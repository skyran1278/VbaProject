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ul\Documents\GitHub\VbaProject\20191125_InternRecords\"/>
    </mc:Choice>
  </mc:AlternateContent>
  <xr:revisionPtr revIDLastSave="0" documentId="13_ncr:1_{D8DB1FB0-B9EC-44BB-8C8E-ADDD64856C7E}" xr6:coauthVersionLast="45" xr6:coauthVersionMax="45" xr10:uidLastSave="{00000000-0000-0000-0000-000000000000}"/>
  <bookViews>
    <workbookView xWindow="-28920" yWindow="-120" windowWidth="29040" windowHeight="15840" tabRatio="810" xr2:uid="{00000000-000D-0000-FFFF-FFFF00000000}"/>
  </bookViews>
  <sheets>
    <sheet name="Release Notes" sheetId="80" r:id="rId1"/>
    <sheet name="原始DATA" sheetId="72" r:id="rId2"/>
    <sheet name="修改後DATA" sheetId="66" r:id="rId3"/>
    <sheet name="VBA Output" sheetId="81" r:id="rId4"/>
    <sheet name="Jason" sheetId="57" r:id="rId5"/>
    <sheet name="Jessie" sheetId="71" r:id="rId6"/>
    <sheet name="Justin " sheetId="13" r:id="rId7"/>
    <sheet name="JW" sheetId="76" r:id="rId8"/>
    <sheet name="Kevin" sheetId="74" r:id="rId9"/>
    <sheet name="Lisa" sheetId="77" r:id="rId10"/>
    <sheet name="MY" sheetId="46" r:id="rId11"/>
    <sheet name="Nick" sheetId="48" r:id="rId12"/>
    <sheet name="Ruby" sheetId="20" r:id="rId13"/>
    <sheet name="WJ" sheetId="73" r:id="rId14"/>
    <sheet name="工作表1" sheetId="27" r:id="rId15"/>
    <sheet name="Paul " sheetId="41" r:id="rId16"/>
    <sheet name="Willy" sheetId="59" r:id="rId17"/>
    <sheet name="Scott" sheetId="75" r:id="rId18"/>
    <sheet name="未使用" sheetId="42" r:id="rId19"/>
    <sheet name="Danny" sheetId="70" r:id="rId20"/>
    <sheet name="Owen" sheetId="56" r:id="rId21"/>
    <sheet name="Lorah" sheetId="37" r:id="rId22"/>
    <sheet name="Amber" sheetId="9" r:id="rId23"/>
    <sheet name="An" sheetId="69" r:id="rId24"/>
    <sheet name="Leo" sheetId="67" r:id="rId25"/>
    <sheet name="Albert" sheetId="33" r:id="rId26"/>
    <sheet name="Denver" sheetId="14" r:id="rId27"/>
    <sheet name="Wilson" sheetId="55" r:id="rId28"/>
    <sheet name="統計" sheetId="63" r:id="rId29"/>
    <sheet name="Anne" sheetId="50" r:id="rId30"/>
    <sheet name="Yvonne" sheetId="58" r:id="rId31"/>
    <sheet name="B6" sheetId="38" r:id="rId32"/>
    <sheet name="TL" sheetId="25" r:id="rId33"/>
    <sheet name="吳悠 " sheetId="35" r:id="rId34"/>
    <sheet name="Sam" sheetId="21" r:id="rId35"/>
    <sheet name="LZ(done)" sheetId="16" r:id="rId36"/>
  </sheets>
  <functionGroups builtInGroupCount="19"/>
  <definedNames>
    <definedName name="_xlnm.Print_Area" localSheetId="22">Amber!$D$1:$O$62</definedName>
    <definedName name="_xlnm.Print_Area" localSheetId="23">An!$D$1:$O$74</definedName>
    <definedName name="_xlnm.Print_Area" localSheetId="29">Anne!$D$1:$O$21</definedName>
    <definedName name="_xlnm.Print_Area" localSheetId="19">Danny!$D$1:$M$76</definedName>
    <definedName name="_xlnm.Print_Area" localSheetId="26">Denver!$D$1:$O$10</definedName>
    <definedName name="_xlnm.Print_Area" localSheetId="4">Jason!$D$1:$O$77</definedName>
    <definedName name="_xlnm.Print_Area" localSheetId="5">Jessie!$D$1:$O$82</definedName>
    <definedName name="_xlnm.Print_Area" localSheetId="6">'Justin '!$D$1:$O$62</definedName>
    <definedName name="_xlnm.Print_Area" localSheetId="7">JW!$D$1:$O$22</definedName>
    <definedName name="_xlnm.Print_Area" localSheetId="8">Kevin!$D$1:$O$82</definedName>
    <definedName name="_xlnm.Print_Area" localSheetId="24">Leo!$D$1:$O$97</definedName>
    <definedName name="_xlnm.Print_Area" localSheetId="9">Lisa!$D$1:$O$76</definedName>
    <definedName name="_xlnm.Print_Area" localSheetId="21">Lorah!$D$1:$O$40</definedName>
    <definedName name="_xlnm.Print_Area" localSheetId="10">MY!$D$1:$O$111</definedName>
    <definedName name="_xlnm.Print_Area" localSheetId="11">Nick!$D$1:$O$88</definedName>
    <definedName name="_xlnm.Print_Area" localSheetId="20">Owen!$D$1:$N$10</definedName>
    <definedName name="_xlnm.Print_Area" localSheetId="15">'Paul '!$D$1:$N$33</definedName>
    <definedName name="_xlnm.Print_Area" localSheetId="12">Ruby!$D$1:$O$88</definedName>
    <definedName name="_xlnm.Print_Area" localSheetId="34">Sam!$D$1:$O$81</definedName>
    <definedName name="_xlnm.Print_Area" localSheetId="17">Scott!$D$1:$M$28</definedName>
    <definedName name="_xlnm.Print_Area" localSheetId="16">Willy!$D$1:$M$32</definedName>
    <definedName name="_xlnm.Print_Area" localSheetId="27">Wilson!$D$1:$O$52</definedName>
    <definedName name="_xlnm.Print_Area" localSheetId="13">WJ!$D$1:$O$74</definedName>
    <definedName name="_xlnm.Print_Area" localSheetId="30">Yvonne!$D$1:$O$23</definedName>
    <definedName name="_xlnm.Print_Titles" localSheetId="25">Albert!$1:$6</definedName>
    <definedName name="_xlnm.Print_Titles" localSheetId="22">Amber!$1:$6</definedName>
    <definedName name="_xlnm.Print_Titles" localSheetId="23">An!$1:$6</definedName>
    <definedName name="_xlnm.Print_Titles" localSheetId="29">Anne!$1:$6</definedName>
    <definedName name="_xlnm.Print_Titles" localSheetId="31">'B6'!$1:$6</definedName>
    <definedName name="_xlnm.Print_Titles" localSheetId="19">Danny!$1:$6</definedName>
    <definedName name="_xlnm.Print_Titles" localSheetId="26">Denver!$1:$6</definedName>
    <definedName name="_xlnm.Print_Titles" localSheetId="4">Jason!$1:$6</definedName>
    <definedName name="_xlnm.Print_Titles" localSheetId="5">Jessie!$1:$6</definedName>
    <definedName name="_xlnm.Print_Titles" localSheetId="6">'Justin '!$1:$6</definedName>
    <definedName name="_xlnm.Print_Titles" localSheetId="7">JW!$1:$6</definedName>
    <definedName name="_xlnm.Print_Titles" localSheetId="8">Kevin!$1:$6</definedName>
    <definedName name="_xlnm.Print_Titles" localSheetId="24">Leo!$1:$6</definedName>
    <definedName name="_xlnm.Print_Titles" localSheetId="9">Lisa!$1:$6</definedName>
    <definedName name="_xlnm.Print_Titles" localSheetId="21">Lorah!$1:$6</definedName>
    <definedName name="_xlnm.Print_Titles" localSheetId="35">'LZ(done)'!$1:$6</definedName>
    <definedName name="_xlnm.Print_Titles" localSheetId="10">MY!$1:$6</definedName>
    <definedName name="_xlnm.Print_Titles" localSheetId="11">Nick!$1:$6</definedName>
    <definedName name="_xlnm.Print_Titles" localSheetId="20">Owen!$1:$6</definedName>
    <definedName name="_xlnm.Print_Titles" localSheetId="15">'Paul '!$1:$6</definedName>
    <definedName name="_xlnm.Print_Titles" localSheetId="12">Ruby!$1:$6</definedName>
    <definedName name="_xlnm.Print_Titles" localSheetId="34">Sam!$1:$6</definedName>
    <definedName name="_xlnm.Print_Titles" localSheetId="17">Scott!$1:$6</definedName>
    <definedName name="_xlnm.Print_Titles" localSheetId="32">TL!$1:$6</definedName>
    <definedName name="_xlnm.Print_Titles" localSheetId="16">Willy!$1:$6</definedName>
    <definedName name="_xlnm.Print_Titles" localSheetId="27">Wilson!$1:$6</definedName>
    <definedName name="_xlnm.Print_Titles" localSheetId="13">WJ!$1:$6</definedName>
    <definedName name="_xlnm.Print_Titles" localSheetId="30">Yvonne!$1:$6</definedName>
    <definedName name="_xlnm.Print_Titles" localSheetId="33">'吳悠 '!$1:$6</definedName>
  </definedNames>
  <calcPr calcId="181029" calcMode="manual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6" i="59" l="1"/>
  <c r="J6" i="59"/>
  <c r="K6" i="59"/>
  <c r="L6" i="59"/>
  <c r="I1" i="59"/>
  <c r="J6" i="73"/>
  <c r="K6" i="73"/>
  <c r="L6" i="73"/>
  <c r="M6" i="73"/>
  <c r="N6" i="73"/>
  <c r="J6" i="20"/>
  <c r="K6" i="20"/>
  <c r="L6" i="20"/>
  <c r="M6" i="20"/>
  <c r="N6" i="20"/>
  <c r="I6" i="20"/>
  <c r="J6" i="48"/>
  <c r="K6" i="48"/>
  <c r="L6" i="48"/>
  <c r="M6" i="48"/>
  <c r="N6" i="48"/>
  <c r="I6" i="48"/>
  <c r="J6" i="46"/>
  <c r="K6" i="46"/>
  <c r="L6" i="46"/>
  <c r="M6" i="46"/>
  <c r="N6" i="46"/>
  <c r="I6" i="46"/>
  <c r="J6" i="77"/>
  <c r="K6" i="77"/>
  <c r="L6" i="77"/>
  <c r="M6" i="77"/>
  <c r="N6" i="77"/>
  <c r="I6" i="77"/>
  <c r="J6" i="74"/>
  <c r="K6" i="74"/>
  <c r="L6" i="74"/>
  <c r="M6" i="74"/>
  <c r="N6" i="74"/>
  <c r="I6" i="74"/>
  <c r="K3" i="76"/>
  <c r="J6" i="76"/>
  <c r="K6" i="76"/>
  <c r="L6" i="76"/>
  <c r="M6" i="76"/>
  <c r="N6" i="76"/>
  <c r="I6" i="76"/>
  <c r="J6" i="13"/>
  <c r="K6" i="13"/>
  <c r="L6" i="13"/>
  <c r="M6" i="13"/>
  <c r="N6" i="13"/>
  <c r="I6" i="13"/>
  <c r="J6" i="71"/>
  <c r="K6" i="71"/>
  <c r="L6" i="71"/>
  <c r="M6" i="71"/>
  <c r="N6" i="71"/>
  <c r="I6" i="71"/>
  <c r="J6" i="57"/>
  <c r="K6" i="57"/>
  <c r="L6" i="57"/>
  <c r="M6" i="57"/>
  <c r="N6" i="57"/>
  <c r="I6" i="57"/>
  <c r="I6" i="73"/>
  <c r="K3" i="73"/>
  <c r="K3" i="20"/>
  <c r="K3" i="46"/>
  <c r="K3" i="48"/>
  <c r="E2" i="48"/>
  <c r="E2" i="20"/>
  <c r="E2" i="46"/>
  <c r="K3" i="77"/>
  <c r="K3" i="13"/>
  <c r="K3" i="71"/>
  <c r="K3" i="57"/>
  <c r="K3" i="74"/>
  <c r="E2" i="13"/>
  <c r="E2" i="57"/>
  <c r="I3" i="59" l="1"/>
  <c r="J3" i="77" l="1"/>
  <c r="I1" i="77"/>
  <c r="S5" i="76"/>
  <c r="I1" i="76"/>
  <c r="U4" i="77" l="1"/>
  <c r="S5" i="77"/>
  <c r="M3" i="77"/>
  <c r="N3" i="77"/>
  <c r="L3" i="77"/>
  <c r="U4" i="76"/>
  <c r="L6" i="75" l="1"/>
  <c r="E2" i="37"/>
  <c r="I1" i="13" l="1"/>
  <c r="O6" i="73" l="1"/>
  <c r="U9" i="73"/>
  <c r="U7" i="73"/>
  <c r="U6" i="73" l="1"/>
  <c r="S5" i="13"/>
  <c r="I6" i="41" l="1"/>
  <c r="N3" i="73" l="1"/>
  <c r="J3" i="73"/>
  <c r="M3" i="73" l="1"/>
  <c r="L3" i="73"/>
  <c r="T4" i="73"/>
  <c r="K6" i="75"/>
  <c r="J6" i="75"/>
  <c r="I6" i="75"/>
  <c r="I1" i="75"/>
  <c r="N3" i="74"/>
  <c r="L3" i="74"/>
  <c r="J3" i="74"/>
  <c r="I1" i="74"/>
  <c r="N3" i="57"/>
  <c r="U4" i="57"/>
  <c r="I1" i="73"/>
  <c r="I1" i="56"/>
  <c r="G8" i="69"/>
  <c r="G7" i="69"/>
  <c r="I8" i="69"/>
  <c r="J8" i="69" s="1"/>
  <c r="I9" i="69"/>
  <c r="I10" i="69"/>
  <c r="J10" i="69" s="1"/>
  <c r="G12" i="69"/>
  <c r="H11" i="69" s="1"/>
  <c r="I11" i="69" s="1"/>
  <c r="J11" i="69" s="1"/>
  <c r="G11" i="69"/>
  <c r="I12" i="69"/>
  <c r="J12" i="69" s="1"/>
  <c r="I13" i="69"/>
  <c r="J13" i="69" s="1"/>
  <c r="I14" i="69"/>
  <c r="J14" i="69" s="1"/>
  <c r="J9" i="69"/>
  <c r="K7" i="69"/>
  <c r="M7" i="69" s="1"/>
  <c r="K8" i="69"/>
  <c r="G10" i="69"/>
  <c r="K9" i="69" s="1"/>
  <c r="G9" i="69"/>
  <c r="K10" i="69"/>
  <c r="K11" i="69"/>
  <c r="M11" i="69" s="1"/>
  <c r="O11" i="69" s="1"/>
  <c r="K12" i="69"/>
  <c r="M12" i="69" s="1"/>
  <c r="G14" i="69"/>
  <c r="G13" i="69"/>
  <c r="K14" i="69"/>
  <c r="N14" i="69" s="1"/>
  <c r="L6" i="69"/>
  <c r="M10" i="69"/>
  <c r="O10" i="69" s="1"/>
  <c r="N10" i="69"/>
  <c r="N11" i="69"/>
  <c r="N12" i="69"/>
  <c r="O15" i="69"/>
  <c r="O16" i="69"/>
  <c r="O17" i="69"/>
  <c r="O18" i="69"/>
  <c r="O19" i="69"/>
  <c r="O20" i="69"/>
  <c r="O21" i="69"/>
  <c r="O22" i="69"/>
  <c r="O23" i="69"/>
  <c r="O24" i="69"/>
  <c r="O25" i="69"/>
  <c r="O26" i="69"/>
  <c r="O27" i="69"/>
  <c r="O28" i="69"/>
  <c r="O29" i="69"/>
  <c r="O30" i="69"/>
  <c r="O31" i="69"/>
  <c r="O32" i="69"/>
  <c r="O33" i="69"/>
  <c r="O34" i="69"/>
  <c r="O35" i="69"/>
  <c r="O36" i="69"/>
  <c r="O37" i="69"/>
  <c r="O38" i="69"/>
  <c r="O39" i="69"/>
  <c r="O40" i="69"/>
  <c r="O41" i="69"/>
  <c r="O42" i="69"/>
  <c r="O43" i="69"/>
  <c r="O44" i="69"/>
  <c r="O45" i="69"/>
  <c r="O46" i="69"/>
  <c r="O47" i="69"/>
  <c r="O48" i="69"/>
  <c r="O49" i="69"/>
  <c r="O50" i="69"/>
  <c r="O51" i="69"/>
  <c r="O52" i="69"/>
  <c r="O53" i="69"/>
  <c r="O54" i="69"/>
  <c r="O55" i="69"/>
  <c r="O56" i="69"/>
  <c r="O57" i="69"/>
  <c r="O58" i="69"/>
  <c r="O59" i="69"/>
  <c r="O60" i="69"/>
  <c r="O61" i="69"/>
  <c r="O62" i="69"/>
  <c r="O63" i="69"/>
  <c r="O64" i="69"/>
  <c r="H14" i="69"/>
  <c r="F14" i="69"/>
  <c r="H13" i="69"/>
  <c r="F13" i="69"/>
  <c r="H12" i="69"/>
  <c r="F12" i="69"/>
  <c r="F11" i="69"/>
  <c r="H10" i="69"/>
  <c r="F10" i="69"/>
  <c r="H9" i="69"/>
  <c r="F9" i="69"/>
  <c r="H8" i="69"/>
  <c r="F8" i="69"/>
  <c r="F7" i="69"/>
  <c r="L6" i="70"/>
  <c r="K6" i="70"/>
  <c r="J6" i="70"/>
  <c r="I6" i="70"/>
  <c r="Q6" i="69"/>
  <c r="P6" i="69"/>
  <c r="N3" i="48"/>
  <c r="P6" i="9"/>
  <c r="Q6" i="9"/>
  <c r="L6" i="41"/>
  <c r="N3" i="46"/>
  <c r="J3" i="71"/>
  <c r="L3" i="71" s="1"/>
  <c r="I1" i="71"/>
  <c r="I1" i="70"/>
  <c r="N3" i="71"/>
  <c r="I1" i="69"/>
  <c r="F8" i="33"/>
  <c r="G8" i="33"/>
  <c r="H8" i="33"/>
  <c r="I8" i="33"/>
  <c r="J8" i="33"/>
  <c r="K8" i="33"/>
  <c r="F9" i="33"/>
  <c r="G9" i="33"/>
  <c r="K9" i="33"/>
  <c r="F10" i="33"/>
  <c r="G10" i="33"/>
  <c r="H10" i="33"/>
  <c r="I10" i="33"/>
  <c r="J10" i="33"/>
  <c r="K10" i="33"/>
  <c r="F11" i="33"/>
  <c r="G11" i="33"/>
  <c r="K11" i="33"/>
  <c r="F12" i="33"/>
  <c r="G12" i="33"/>
  <c r="H12" i="33"/>
  <c r="I12" i="33"/>
  <c r="J12" i="33"/>
  <c r="K12" i="33"/>
  <c r="F13" i="33"/>
  <c r="G13" i="33"/>
  <c r="K13" i="33"/>
  <c r="F14" i="33"/>
  <c r="G14" i="33"/>
  <c r="H14" i="33"/>
  <c r="I14" i="33"/>
  <c r="J14" i="33"/>
  <c r="K14" i="33"/>
  <c r="F15" i="33"/>
  <c r="G15" i="33"/>
  <c r="K15" i="33"/>
  <c r="F16" i="33"/>
  <c r="G16" i="33"/>
  <c r="H16" i="33"/>
  <c r="I16" i="33"/>
  <c r="J16" i="33"/>
  <c r="K16" i="33"/>
  <c r="F17" i="33"/>
  <c r="G17" i="33"/>
  <c r="K17" i="33"/>
  <c r="F18" i="33"/>
  <c r="G18" i="33"/>
  <c r="H18" i="33"/>
  <c r="I18" i="33"/>
  <c r="J18" i="33"/>
  <c r="K18" i="33"/>
  <c r="F19" i="33"/>
  <c r="G19" i="33"/>
  <c r="K19" i="33"/>
  <c r="F20" i="33"/>
  <c r="G20" i="33"/>
  <c r="H20" i="33"/>
  <c r="I20" i="33"/>
  <c r="J20" i="33"/>
  <c r="K20" i="33"/>
  <c r="F21" i="33"/>
  <c r="G21" i="33"/>
  <c r="K21" i="33"/>
  <c r="F22" i="33"/>
  <c r="G22" i="33"/>
  <c r="H22" i="33"/>
  <c r="I22" i="33"/>
  <c r="J22" i="33"/>
  <c r="K22" i="33"/>
  <c r="F23" i="33"/>
  <c r="G23" i="33"/>
  <c r="K23" i="33"/>
  <c r="F24" i="33"/>
  <c r="G24" i="33"/>
  <c r="H24" i="33"/>
  <c r="I24" i="33"/>
  <c r="J24" i="33"/>
  <c r="K24" i="33"/>
  <c r="F25" i="33"/>
  <c r="G25" i="33"/>
  <c r="K25" i="33"/>
  <c r="F26" i="33"/>
  <c r="G26" i="33"/>
  <c r="H26" i="33"/>
  <c r="I26" i="33"/>
  <c r="J26" i="33"/>
  <c r="K26" i="33"/>
  <c r="F8" i="67"/>
  <c r="G8" i="67"/>
  <c r="H8" i="67"/>
  <c r="I8" i="67"/>
  <c r="J8" i="67" s="1"/>
  <c r="K8" i="67"/>
  <c r="N8" i="67" s="1"/>
  <c r="F9" i="67"/>
  <c r="G9" i="67"/>
  <c r="K9" i="67"/>
  <c r="N9" i="67" s="1"/>
  <c r="F10" i="67"/>
  <c r="G10" i="67"/>
  <c r="H10" i="67"/>
  <c r="I10" i="67"/>
  <c r="J10" i="67" s="1"/>
  <c r="K10" i="67"/>
  <c r="N10" i="67" s="1"/>
  <c r="F11" i="67"/>
  <c r="G11" i="67"/>
  <c r="K11" i="67" s="1"/>
  <c r="M11" i="67" s="1"/>
  <c r="H11" i="67"/>
  <c r="I11" i="67"/>
  <c r="J11" i="67"/>
  <c r="F12" i="67"/>
  <c r="G12" i="67"/>
  <c r="H12" i="67"/>
  <c r="I12" i="67"/>
  <c r="J12" i="67"/>
  <c r="K12" i="67"/>
  <c r="N12" i="67" s="1"/>
  <c r="F13" i="67"/>
  <c r="G13" i="67"/>
  <c r="K13" i="67"/>
  <c r="N13" i="67" s="1"/>
  <c r="F14" i="67"/>
  <c r="G14" i="67"/>
  <c r="H14" i="67"/>
  <c r="I14" i="67"/>
  <c r="J14" i="67" s="1"/>
  <c r="K14" i="67"/>
  <c r="N14" i="67" s="1"/>
  <c r="F15" i="67"/>
  <c r="G15" i="67"/>
  <c r="H15" i="67"/>
  <c r="I15" i="67"/>
  <c r="J15" i="67"/>
  <c r="F16" i="67"/>
  <c r="G16" i="67"/>
  <c r="H16" i="67"/>
  <c r="I16" i="67"/>
  <c r="J16" i="67" s="1"/>
  <c r="K16" i="67"/>
  <c r="F17" i="67"/>
  <c r="G17" i="67"/>
  <c r="H17" i="67"/>
  <c r="I17" i="67"/>
  <c r="J17" i="67" s="1"/>
  <c r="F18" i="67"/>
  <c r="G18" i="67"/>
  <c r="H18" i="67"/>
  <c r="I18" i="67"/>
  <c r="J18" i="67" s="1"/>
  <c r="K18" i="67"/>
  <c r="N18" i="67" s="1"/>
  <c r="F19" i="67"/>
  <c r="G19" i="67"/>
  <c r="H19" i="67"/>
  <c r="I19" i="67"/>
  <c r="J19" i="67" s="1"/>
  <c r="F20" i="67"/>
  <c r="G20" i="67"/>
  <c r="H20" i="67"/>
  <c r="I20" i="67"/>
  <c r="J20" i="67"/>
  <c r="K20" i="67"/>
  <c r="F21" i="67"/>
  <c r="G21" i="67"/>
  <c r="H21" i="67"/>
  <c r="I21" i="67"/>
  <c r="J21" i="67" s="1"/>
  <c r="F22" i="67"/>
  <c r="G22" i="67"/>
  <c r="H22" i="67"/>
  <c r="I22" i="67"/>
  <c r="J22" i="67" s="1"/>
  <c r="K22" i="67"/>
  <c r="N22" i="67" s="1"/>
  <c r="F23" i="67"/>
  <c r="G23" i="67"/>
  <c r="H23" i="67"/>
  <c r="I23" i="67"/>
  <c r="J23" i="67" s="1"/>
  <c r="F24" i="67"/>
  <c r="G24" i="67"/>
  <c r="H24" i="67"/>
  <c r="I24" i="67"/>
  <c r="J24" i="67" s="1"/>
  <c r="K24" i="67"/>
  <c r="F25" i="67"/>
  <c r="G25" i="67"/>
  <c r="K25" i="67"/>
  <c r="N25" i="67" s="1"/>
  <c r="F26" i="67"/>
  <c r="G26" i="67"/>
  <c r="H26" i="67"/>
  <c r="I26" i="67"/>
  <c r="J26" i="67"/>
  <c r="K26" i="67"/>
  <c r="N26" i="67" s="1"/>
  <c r="F27" i="67"/>
  <c r="G27" i="67"/>
  <c r="H27" i="67"/>
  <c r="I27" i="67"/>
  <c r="J27" i="67" s="1"/>
  <c r="F28" i="67"/>
  <c r="G28" i="67"/>
  <c r="H28" i="67"/>
  <c r="I28" i="67"/>
  <c r="J28" i="67" s="1"/>
  <c r="K28" i="67"/>
  <c r="N28" i="67" s="1"/>
  <c r="F29" i="67"/>
  <c r="G29" i="67"/>
  <c r="K29" i="67"/>
  <c r="N29" i="67" s="1"/>
  <c r="F30" i="67"/>
  <c r="G30" i="67"/>
  <c r="H30" i="67"/>
  <c r="I30" i="67"/>
  <c r="J30" i="67" s="1"/>
  <c r="K30" i="67"/>
  <c r="N30" i="67" s="1"/>
  <c r="F31" i="67"/>
  <c r="G31" i="67"/>
  <c r="H31" i="67"/>
  <c r="I31" i="67"/>
  <c r="J31" i="67" s="1"/>
  <c r="F32" i="67"/>
  <c r="G32" i="67"/>
  <c r="H32" i="67"/>
  <c r="I32" i="67"/>
  <c r="J32" i="67" s="1"/>
  <c r="K32" i="67"/>
  <c r="N32" i="67"/>
  <c r="F33" i="67"/>
  <c r="G33" i="67"/>
  <c r="H33" i="67"/>
  <c r="I33" i="67"/>
  <c r="J33" i="67" s="1"/>
  <c r="F34" i="67"/>
  <c r="G34" i="67"/>
  <c r="H34" i="67"/>
  <c r="I34" i="67"/>
  <c r="J34" i="67" s="1"/>
  <c r="K34" i="67"/>
  <c r="N34" i="67" s="1"/>
  <c r="F35" i="67"/>
  <c r="G35" i="67"/>
  <c r="K35" i="67"/>
  <c r="N35" i="67"/>
  <c r="F36" i="67"/>
  <c r="G36" i="67"/>
  <c r="H35" i="67" s="1"/>
  <c r="I35" i="67" s="1"/>
  <c r="J35" i="67" s="1"/>
  <c r="H36" i="67"/>
  <c r="I36" i="67"/>
  <c r="J36" i="67" s="1"/>
  <c r="K36" i="67"/>
  <c r="N36" i="67" s="1"/>
  <c r="F37" i="67"/>
  <c r="G37" i="67"/>
  <c r="H37" i="67" s="1"/>
  <c r="K37" i="67"/>
  <c r="N37" i="67"/>
  <c r="F38" i="67"/>
  <c r="G38" i="67"/>
  <c r="H38" i="67"/>
  <c r="I38" i="67"/>
  <c r="J38" i="67" s="1"/>
  <c r="K38" i="67"/>
  <c r="N38" i="67" s="1"/>
  <c r="F39" i="67"/>
  <c r="G39" i="67"/>
  <c r="H39" i="67"/>
  <c r="I39" i="67"/>
  <c r="J39" i="67"/>
  <c r="F40" i="67"/>
  <c r="G40" i="67"/>
  <c r="K39" i="67" s="1"/>
  <c r="N39" i="67" s="1"/>
  <c r="H40" i="67"/>
  <c r="I40" i="67"/>
  <c r="J40" i="67" s="1"/>
  <c r="K40" i="67"/>
  <c r="N40" i="67" s="1"/>
  <c r="F41" i="67"/>
  <c r="G41" i="67"/>
  <c r="K41" i="67"/>
  <c r="F42" i="67"/>
  <c r="G42" i="67"/>
  <c r="H42" i="67"/>
  <c r="I42" i="67"/>
  <c r="J42" i="67"/>
  <c r="K42" i="67"/>
  <c r="N42" i="67"/>
  <c r="F43" i="67"/>
  <c r="G43" i="67"/>
  <c r="H43" i="67"/>
  <c r="I43" i="67"/>
  <c r="J43" i="67" s="1"/>
  <c r="F44" i="67"/>
  <c r="G44" i="67"/>
  <c r="H44" i="67"/>
  <c r="I44" i="67"/>
  <c r="J44" i="67"/>
  <c r="K44" i="67"/>
  <c r="N44" i="67" s="1"/>
  <c r="F45" i="67"/>
  <c r="G45" i="67"/>
  <c r="H45" i="67"/>
  <c r="I45" i="67"/>
  <c r="J45" i="67" s="1"/>
  <c r="F46" i="67"/>
  <c r="G46" i="67"/>
  <c r="H46" i="67"/>
  <c r="I46" i="67"/>
  <c r="J46" i="67" s="1"/>
  <c r="K46" i="67"/>
  <c r="N46" i="67" s="1"/>
  <c r="F47" i="67"/>
  <c r="G47" i="67"/>
  <c r="K47" i="67"/>
  <c r="N47" i="67" s="1"/>
  <c r="F48" i="67"/>
  <c r="G48" i="67"/>
  <c r="H48" i="67"/>
  <c r="I48" i="67"/>
  <c r="J48" i="67" s="1"/>
  <c r="K48" i="67"/>
  <c r="N48" i="67"/>
  <c r="F49" i="67"/>
  <c r="G49" i="67"/>
  <c r="H49" i="67"/>
  <c r="I49" i="67"/>
  <c r="J49" i="67" s="1"/>
  <c r="F50" i="67"/>
  <c r="G50" i="67"/>
  <c r="H50" i="67"/>
  <c r="I50" i="67"/>
  <c r="J50" i="67" s="1"/>
  <c r="K50" i="67"/>
  <c r="N50" i="67" s="1"/>
  <c r="F51" i="67"/>
  <c r="G51" i="67"/>
  <c r="H51" i="67"/>
  <c r="I51" i="67"/>
  <c r="J51" i="67" s="1"/>
  <c r="F52" i="67"/>
  <c r="G52" i="67"/>
  <c r="H52" i="67"/>
  <c r="I52" i="67"/>
  <c r="J52" i="67" s="1"/>
  <c r="K52" i="67"/>
  <c r="N52" i="67"/>
  <c r="F53" i="67"/>
  <c r="G53" i="67"/>
  <c r="K53" i="67"/>
  <c r="N53" i="67" s="1"/>
  <c r="F54" i="67"/>
  <c r="G54" i="67"/>
  <c r="H54" i="67"/>
  <c r="I54" i="67"/>
  <c r="J54" i="67" s="1"/>
  <c r="K54" i="67"/>
  <c r="M54" i="67" s="1"/>
  <c r="F55" i="67"/>
  <c r="G55" i="67"/>
  <c r="K55" i="67"/>
  <c r="M55" i="67" s="1"/>
  <c r="F56" i="67"/>
  <c r="G56" i="67"/>
  <c r="H56" i="67"/>
  <c r="I56" i="67"/>
  <c r="J56" i="67" s="1"/>
  <c r="K56" i="67"/>
  <c r="F57" i="67"/>
  <c r="G57" i="67"/>
  <c r="H57" i="67" s="1"/>
  <c r="K57" i="67"/>
  <c r="N57" i="67" s="1"/>
  <c r="F58" i="67"/>
  <c r="G58" i="67"/>
  <c r="H58" i="67"/>
  <c r="I58" i="67"/>
  <c r="J58" i="67"/>
  <c r="K58" i="67"/>
  <c r="N58" i="67" s="1"/>
  <c r="F59" i="67"/>
  <c r="G59" i="67"/>
  <c r="H59" i="67"/>
  <c r="I59" i="67"/>
  <c r="J59" i="67" s="1"/>
  <c r="F60" i="67"/>
  <c r="G60" i="67"/>
  <c r="K59" i="67" s="1"/>
  <c r="H60" i="67"/>
  <c r="I60" i="67"/>
  <c r="J60" i="67"/>
  <c r="K60" i="67"/>
  <c r="N60" i="67"/>
  <c r="F61" i="67"/>
  <c r="G61" i="67"/>
  <c r="K61" i="67"/>
  <c r="M61" i="67" s="1"/>
  <c r="F62" i="67"/>
  <c r="G62" i="67"/>
  <c r="H62" i="67"/>
  <c r="I62" i="67"/>
  <c r="J62" i="67" s="1"/>
  <c r="K62" i="67"/>
  <c r="N62" i="67"/>
  <c r="F63" i="67"/>
  <c r="G63" i="67"/>
  <c r="K63" i="67" s="1"/>
  <c r="H63" i="67"/>
  <c r="I63" i="67"/>
  <c r="J63" i="67"/>
  <c r="F64" i="67"/>
  <c r="G64" i="67"/>
  <c r="H64" i="67"/>
  <c r="I64" i="67"/>
  <c r="J64" i="67" s="1"/>
  <c r="K64" i="67"/>
  <c r="N64" i="67" s="1"/>
  <c r="F65" i="67"/>
  <c r="G65" i="67"/>
  <c r="K65" i="67"/>
  <c r="M65" i="67" s="1"/>
  <c r="F66" i="67"/>
  <c r="G66" i="67"/>
  <c r="H66" i="67"/>
  <c r="I66" i="67"/>
  <c r="J66" i="67" s="1"/>
  <c r="K66" i="67"/>
  <c r="N66" i="67"/>
  <c r="F67" i="67"/>
  <c r="G67" i="67"/>
  <c r="K67" i="67"/>
  <c r="M67" i="67" s="1"/>
  <c r="N67" i="67"/>
  <c r="F68" i="67"/>
  <c r="G68" i="67"/>
  <c r="H67" i="67" s="1"/>
  <c r="H68" i="67"/>
  <c r="I68" i="67"/>
  <c r="J68" i="67" s="1"/>
  <c r="K68" i="67"/>
  <c r="N68" i="67" s="1"/>
  <c r="F69" i="67"/>
  <c r="G69" i="67"/>
  <c r="K69" i="67" s="1"/>
  <c r="H69" i="67"/>
  <c r="I69" i="67"/>
  <c r="J69" i="67" s="1"/>
  <c r="F70" i="67"/>
  <c r="G70" i="67"/>
  <c r="H70" i="67"/>
  <c r="I70" i="67"/>
  <c r="J70" i="67" s="1"/>
  <c r="K70" i="67"/>
  <c r="F71" i="67"/>
  <c r="G71" i="67"/>
  <c r="K71" i="67"/>
  <c r="N71" i="67" s="1"/>
  <c r="F72" i="67"/>
  <c r="G72" i="67"/>
  <c r="H72" i="67"/>
  <c r="I72" i="67"/>
  <c r="J72" i="67"/>
  <c r="K72" i="67"/>
  <c r="N72" i="67" s="1"/>
  <c r="F73" i="67"/>
  <c r="G73" i="67"/>
  <c r="H73" i="67"/>
  <c r="I73" i="67"/>
  <c r="J73" i="67" s="1"/>
  <c r="F74" i="67"/>
  <c r="G74" i="67"/>
  <c r="H74" i="67"/>
  <c r="I74" i="67"/>
  <c r="J74" i="67" s="1"/>
  <c r="K74" i="67"/>
  <c r="N74" i="67"/>
  <c r="F75" i="67"/>
  <c r="G75" i="67"/>
  <c r="K75" i="67"/>
  <c r="N75" i="67" s="1"/>
  <c r="F76" i="67"/>
  <c r="G76" i="67"/>
  <c r="H75" i="67" s="1"/>
  <c r="I75" i="67" s="1"/>
  <c r="J75" i="67" s="1"/>
  <c r="H76" i="67"/>
  <c r="I76" i="67"/>
  <c r="J76" i="67" s="1"/>
  <c r="K76" i="67"/>
  <c r="M76" i="67" s="1"/>
  <c r="F77" i="67"/>
  <c r="G77" i="67"/>
  <c r="H77" i="67"/>
  <c r="I77" i="67"/>
  <c r="J77" i="67" s="1"/>
  <c r="F78" i="67"/>
  <c r="G78" i="67"/>
  <c r="H78" i="67"/>
  <c r="I78" i="67"/>
  <c r="J78" i="67" s="1"/>
  <c r="K78" i="67"/>
  <c r="N78" i="67" s="1"/>
  <c r="F79" i="67"/>
  <c r="G79" i="67"/>
  <c r="H79" i="67" s="1"/>
  <c r="I79" i="67" s="1"/>
  <c r="J79" i="67" s="1"/>
  <c r="K79" i="67"/>
  <c r="N79" i="67" s="1"/>
  <c r="F80" i="67"/>
  <c r="G80" i="67"/>
  <c r="H80" i="67"/>
  <c r="I80" i="67"/>
  <c r="J80" i="67"/>
  <c r="K80" i="67"/>
  <c r="M80" i="67" s="1"/>
  <c r="F81" i="67"/>
  <c r="G81" i="67"/>
  <c r="H81" i="67"/>
  <c r="I81" i="67"/>
  <c r="J81" i="67" s="1"/>
  <c r="F82" i="67"/>
  <c r="G82" i="67"/>
  <c r="K81" i="67" s="1"/>
  <c r="H82" i="67"/>
  <c r="I82" i="67"/>
  <c r="J82" i="67" s="1"/>
  <c r="K82" i="67"/>
  <c r="N82" i="67"/>
  <c r="F83" i="67"/>
  <c r="G83" i="67"/>
  <c r="K83" i="67"/>
  <c r="M83" i="67" s="1"/>
  <c r="N83" i="67"/>
  <c r="F84" i="67"/>
  <c r="G84" i="67"/>
  <c r="H84" i="67"/>
  <c r="I84" i="67"/>
  <c r="J84" i="67" s="1"/>
  <c r="K84" i="67"/>
  <c r="F85" i="67"/>
  <c r="G85" i="67"/>
  <c r="H85" i="67"/>
  <c r="I85" i="67"/>
  <c r="J85" i="67" s="1"/>
  <c r="F86" i="67"/>
  <c r="G86" i="67"/>
  <c r="K85" i="67" s="1"/>
  <c r="H86" i="67"/>
  <c r="I86" i="67"/>
  <c r="J86" i="67"/>
  <c r="K86" i="67"/>
  <c r="N86" i="67" s="1"/>
  <c r="M71" i="67"/>
  <c r="M42" i="67"/>
  <c r="M62" i="67"/>
  <c r="M22" i="67"/>
  <c r="M52" i="67"/>
  <c r="M47" i="67"/>
  <c r="M30" i="67"/>
  <c r="M66" i="67"/>
  <c r="I37" i="67"/>
  <c r="J37" i="67" s="1"/>
  <c r="M34" i="67"/>
  <c r="M60" i="67"/>
  <c r="M57" i="67"/>
  <c r="M50" i="67"/>
  <c r="H53" i="67"/>
  <c r="I53" i="67" s="1"/>
  <c r="J53" i="67" s="1"/>
  <c r="M35" i="67"/>
  <c r="M28" i="67"/>
  <c r="M25" i="67"/>
  <c r="H23" i="33"/>
  <c r="I23" i="33" s="1"/>
  <c r="J23" i="33"/>
  <c r="M68" i="67"/>
  <c r="M38" i="67"/>
  <c r="K3" i="69"/>
  <c r="M82" i="67"/>
  <c r="H61" i="67"/>
  <c r="I61" i="67" s="1"/>
  <c r="J61" i="67"/>
  <c r="M36" i="67"/>
  <c r="M26" i="67"/>
  <c r="H29" i="67"/>
  <c r="I29" i="67" s="1"/>
  <c r="J29" i="67" s="1"/>
  <c r="M53" i="67"/>
  <c r="M48" i="67"/>
  <c r="M37" i="67"/>
  <c r="M32" i="67"/>
  <c r="M29" i="67"/>
  <c r="M13" i="67"/>
  <c r="M14" i="67"/>
  <c r="H13" i="33"/>
  <c r="H11" i="33"/>
  <c r="J11" i="33" s="1"/>
  <c r="M10" i="67"/>
  <c r="J67" i="67"/>
  <c r="K51" i="67"/>
  <c r="M51" i="67" s="1"/>
  <c r="N51" i="67"/>
  <c r="K43" i="67"/>
  <c r="M43" i="67" s="1"/>
  <c r="K27" i="67"/>
  <c r="M27" i="67" s="1"/>
  <c r="K19" i="67"/>
  <c r="H21" i="33"/>
  <c r="J21" i="33"/>
  <c r="H19" i="33"/>
  <c r="H17" i="33"/>
  <c r="I17" i="33"/>
  <c r="J83" i="67"/>
  <c r="M8" i="67"/>
  <c r="M78" i="67"/>
  <c r="M75" i="67"/>
  <c r="K73" i="67"/>
  <c r="M73" i="67" s="1"/>
  <c r="H65" i="67"/>
  <c r="I65" i="67" s="1"/>
  <c r="J65" i="67" s="1"/>
  <c r="J57" i="67"/>
  <c r="K49" i="67"/>
  <c r="N49" i="67" s="1"/>
  <c r="H41" i="67"/>
  <c r="I41" i="67" s="1"/>
  <c r="J41" i="67" s="1"/>
  <c r="K33" i="67"/>
  <c r="M33" i="67" s="1"/>
  <c r="H25" i="67"/>
  <c r="I25" i="67"/>
  <c r="J25" i="67"/>
  <c r="H9" i="67"/>
  <c r="I9" i="67" s="1"/>
  <c r="J9" i="67" s="1"/>
  <c r="H71" i="67"/>
  <c r="I71" i="67" s="1"/>
  <c r="J71" i="67" s="1"/>
  <c r="H47" i="67"/>
  <c r="I47" i="67" s="1"/>
  <c r="J47" i="67" s="1"/>
  <c r="M39" i="67"/>
  <c r="K31" i="67"/>
  <c r="N31" i="67" s="1"/>
  <c r="K23" i="67"/>
  <c r="N23" i="67" s="1"/>
  <c r="M23" i="67"/>
  <c r="K15" i="67"/>
  <c r="M15" i="67" s="1"/>
  <c r="M12" i="67"/>
  <c r="M9" i="67"/>
  <c r="M79" i="67"/>
  <c r="K77" i="67"/>
  <c r="M77" i="67" s="1"/>
  <c r="M74" i="67"/>
  <c r="N43" i="67"/>
  <c r="I21" i="33"/>
  <c r="N33" i="67"/>
  <c r="J17" i="33"/>
  <c r="N73" i="67"/>
  <c r="M6" i="9"/>
  <c r="K7" i="33"/>
  <c r="L6" i="33"/>
  <c r="N6" i="9"/>
  <c r="L6" i="37"/>
  <c r="L6" i="9"/>
  <c r="F7" i="33"/>
  <c r="G7" i="33"/>
  <c r="H7" i="33" s="1"/>
  <c r="I10" i="14"/>
  <c r="I8" i="14"/>
  <c r="F8" i="14"/>
  <c r="G8" i="14"/>
  <c r="H8" i="14"/>
  <c r="K8" i="14"/>
  <c r="M8" i="14" s="1"/>
  <c r="F9" i="14"/>
  <c r="G9" i="14"/>
  <c r="K9" i="14"/>
  <c r="M9" i="14"/>
  <c r="F10" i="14"/>
  <c r="G10" i="14"/>
  <c r="H10" i="14"/>
  <c r="K10" i="14"/>
  <c r="N10" i="14"/>
  <c r="F8" i="55"/>
  <c r="G8" i="55"/>
  <c r="H8" i="55"/>
  <c r="I8" i="55"/>
  <c r="J8" i="55"/>
  <c r="K8" i="55"/>
  <c r="N8" i="55" s="1"/>
  <c r="F9" i="55"/>
  <c r="G9" i="55"/>
  <c r="H9" i="55" s="1"/>
  <c r="K9" i="55"/>
  <c r="M9" i="55" s="1"/>
  <c r="F10" i="55"/>
  <c r="G10" i="55"/>
  <c r="H10" i="55"/>
  <c r="I10" i="55"/>
  <c r="J10" i="55"/>
  <c r="K10" i="55"/>
  <c r="M10" i="55" s="1"/>
  <c r="F11" i="55"/>
  <c r="G11" i="55"/>
  <c r="K11" i="55"/>
  <c r="N11" i="55" s="1"/>
  <c r="F12" i="55"/>
  <c r="G12" i="55"/>
  <c r="H12" i="55"/>
  <c r="I12" i="55"/>
  <c r="J12" i="55"/>
  <c r="K12" i="55"/>
  <c r="N12" i="55" s="1"/>
  <c r="F13" i="55"/>
  <c r="G13" i="55"/>
  <c r="K13" i="55"/>
  <c r="F14" i="55"/>
  <c r="G14" i="55"/>
  <c r="H14" i="55"/>
  <c r="I14" i="55"/>
  <c r="J14" i="55"/>
  <c r="K14" i="55"/>
  <c r="M14" i="55" s="1"/>
  <c r="F15" i="55"/>
  <c r="G15" i="55"/>
  <c r="H15" i="55" s="1"/>
  <c r="K15" i="55"/>
  <c r="M15" i="55" s="1"/>
  <c r="N15" i="55"/>
  <c r="F16" i="55"/>
  <c r="G16" i="55"/>
  <c r="H16" i="55"/>
  <c r="I16" i="55"/>
  <c r="J16" i="55"/>
  <c r="K16" i="55"/>
  <c r="M16" i="55" s="1"/>
  <c r="N16" i="55"/>
  <c r="F17" i="55"/>
  <c r="G17" i="55"/>
  <c r="H17" i="55" s="1"/>
  <c r="J17" i="55" s="1"/>
  <c r="K17" i="55"/>
  <c r="M17" i="55" s="1"/>
  <c r="F18" i="55"/>
  <c r="G18" i="55"/>
  <c r="H18" i="55"/>
  <c r="I18" i="55"/>
  <c r="J18" i="55"/>
  <c r="K18" i="55"/>
  <c r="M18" i="55" s="1"/>
  <c r="F19" i="55"/>
  <c r="G19" i="55"/>
  <c r="K19" i="55"/>
  <c r="N19" i="55" s="1"/>
  <c r="F20" i="55"/>
  <c r="G20" i="55"/>
  <c r="H20" i="55"/>
  <c r="I20" i="55"/>
  <c r="J20" i="55"/>
  <c r="K20" i="55"/>
  <c r="F21" i="55"/>
  <c r="G21" i="55"/>
  <c r="K21" i="55"/>
  <c r="M21" i="55" s="1"/>
  <c r="F22" i="55"/>
  <c r="G22" i="55"/>
  <c r="H22" i="55"/>
  <c r="I22" i="55"/>
  <c r="J22" i="55"/>
  <c r="K22" i="55"/>
  <c r="N22" i="55" s="1"/>
  <c r="F23" i="55"/>
  <c r="G23" i="55"/>
  <c r="K23" i="55"/>
  <c r="M23" i="55" s="1"/>
  <c r="N23" i="55"/>
  <c r="F24" i="55"/>
  <c r="G24" i="55"/>
  <c r="H24" i="55"/>
  <c r="I24" i="55"/>
  <c r="J24" i="55"/>
  <c r="K24" i="55"/>
  <c r="N24" i="55" s="1"/>
  <c r="F25" i="55"/>
  <c r="G25" i="55"/>
  <c r="H25" i="55" s="1"/>
  <c r="K25" i="55"/>
  <c r="M25" i="55" s="1"/>
  <c r="F26" i="55"/>
  <c r="G26" i="55"/>
  <c r="H26" i="55"/>
  <c r="I26" i="55"/>
  <c r="J26" i="55"/>
  <c r="K26" i="55"/>
  <c r="N26" i="55" s="1"/>
  <c r="F27" i="55"/>
  <c r="G27" i="55"/>
  <c r="K27" i="55"/>
  <c r="N27" i="55" s="1"/>
  <c r="F28" i="55"/>
  <c r="G28" i="55"/>
  <c r="H28" i="55"/>
  <c r="I28" i="55"/>
  <c r="J28" i="55"/>
  <c r="K28" i="55"/>
  <c r="N28" i="55" s="1"/>
  <c r="F29" i="55"/>
  <c r="G29" i="55"/>
  <c r="K29" i="55"/>
  <c r="F30" i="55"/>
  <c r="G30" i="55"/>
  <c r="H29" i="55" s="1"/>
  <c r="J29" i="55" s="1"/>
  <c r="H30" i="55"/>
  <c r="I30" i="55"/>
  <c r="J30" i="55"/>
  <c r="K30" i="55"/>
  <c r="M30" i="55" s="1"/>
  <c r="F31" i="55"/>
  <c r="G31" i="55"/>
  <c r="K31" i="55"/>
  <c r="N31" i="55"/>
  <c r="F32" i="55"/>
  <c r="G32" i="55"/>
  <c r="H32" i="55"/>
  <c r="I32" i="55"/>
  <c r="J32" i="55"/>
  <c r="K32" i="55"/>
  <c r="N32" i="55"/>
  <c r="F33" i="55"/>
  <c r="G33" i="55"/>
  <c r="K33" i="55"/>
  <c r="M33" i="55" s="1"/>
  <c r="F34" i="55"/>
  <c r="G34" i="55"/>
  <c r="H33" i="55" s="1"/>
  <c r="H34" i="55"/>
  <c r="I34" i="55"/>
  <c r="J34" i="55"/>
  <c r="K34" i="55"/>
  <c r="M34" i="55" s="1"/>
  <c r="F35" i="55"/>
  <c r="G35" i="55"/>
  <c r="K35" i="55"/>
  <c r="M35" i="55" s="1"/>
  <c r="F36" i="55"/>
  <c r="G36" i="55"/>
  <c r="H36" i="55"/>
  <c r="I36" i="55"/>
  <c r="J36" i="55"/>
  <c r="K36" i="55"/>
  <c r="M36" i="55" s="1"/>
  <c r="F37" i="55"/>
  <c r="G37" i="55"/>
  <c r="K37" i="55"/>
  <c r="M37" i="55" s="1"/>
  <c r="F38" i="55"/>
  <c r="G38" i="55"/>
  <c r="H38" i="55"/>
  <c r="I38" i="55"/>
  <c r="J38" i="55"/>
  <c r="K38" i="55"/>
  <c r="N38" i="55" s="1"/>
  <c r="F39" i="55"/>
  <c r="G39" i="55"/>
  <c r="K39" i="55"/>
  <c r="N39" i="55"/>
  <c r="F40" i="55"/>
  <c r="G40" i="55"/>
  <c r="H40" i="55"/>
  <c r="I40" i="55"/>
  <c r="J40" i="55"/>
  <c r="K40" i="55"/>
  <c r="N40" i="55" s="1"/>
  <c r="F41" i="55"/>
  <c r="G41" i="55"/>
  <c r="H41" i="55" s="1"/>
  <c r="K41" i="55"/>
  <c r="M41" i="55" s="1"/>
  <c r="F42" i="55"/>
  <c r="G42" i="55"/>
  <c r="H42" i="55"/>
  <c r="I42" i="55"/>
  <c r="J42" i="55"/>
  <c r="K42" i="55"/>
  <c r="N42" i="55" s="1"/>
  <c r="F43" i="55"/>
  <c r="G43" i="55"/>
  <c r="K43" i="55"/>
  <c r="N43" i="55" s="1"/>
  <c r="F44" i="55"/>
  <c r="G44" i="55"/>
  <c r="H44" i="55"/>
  <c r="I44" i="55"/>
  <c r="J44" i="55"/>
  <c r="K44" i="55"/>
  <c r="N44" i="55" s="1"/>
  <c r="F45" i="55"/>
  <c r="G45" i="55"/>
  <c r="H45" i="55"/>
  <c r="I45" i="55"/>
  <c r="J45" i="55"/>
  <c r="F46" i="55"/>
  <c r="G46" i="55"/>
  <c r="K45" i="55" s="1"/>
  <c r="N45" i="55" s="1"/>
  <c r="H46" i="55"/>
  <c r="I46" i="55"/>
  <c r="J46" i="55"/>
  <c r="K46" i="55"/>
  <c r="F47" i="55"/>
  <c r="G47" i="55"/>
  <c r="H47" i="55" s="1"/>
  <c r="I47" i="55" s="1"/>
  <c r="K47" i="55"/>
  <c r="N47" i="55" s="1"/>
  <c r="F48" i="55"/>
  <c r="G48" i="55"/>
  <c r="H48" i="55"/>
  <c r="I48" i="55"/>
  <c r="J48" i="55"/>
  <c r="K48" i="55"/>
  <c r="M48" i="55" s="1"/>
  <c r="N48" i="55"/>
  <c r="F49" i="55"/>
  <c r="G49" i="55"/>
  <c r="K49" i="55"/>
  <c r="M49" i="55"/>
  <c r="F50" i="55"/>
  <c r="G50" i="55"/>
  <c r="H50" i="55"/>
  <c r="I50" i="55"/>
  <c r="J50" i="55"/>
  <c r="K50" i="55"/>
  <c r="M50" i="55" s="1"/>
  <c r="F51" i="55"/>
  <c r="G51" i="55"/>
  <c r="H51" i="55"/>
  <c r="I51" i="55"/>
  <c r="J51" i="55"/>
  <c r="F52" i="55"/>
  <c r="G52" i="55"/>
  <c r="K51" i="55" s="1"/>
  <c r="H52" i="55"/>
  <c r="I52" i="55"/>
  <c r="J52" i="55"/>
  <c r="K52" i="55"/>
  <c r="N52" i="55" s="1"/>
  <c r="I1" i="41"/>
  <c r="H9" i="14"/>
  <c r="I9" i="14"/>
  <c r="M31" i="55"/>
  <c r="H37" i="55"/>
  <c r="I37" i="55" s="1"/>
  <c r="M11" i="55"/>
  <c r="H21" i="55"/>
  <c r="I21" i="55" s="1"/>
  <c r="M12" i="55"/>
  <c r="M8" i="55"/>
  <c r="M10" i="14"/>
  <c r="M24" i="55"/>
  <c r="M27" i="55"/>
  <c r="M28" i="55"/>
  <c r="N36" i="55"/>
  <c r="M39" i="55"/>
  <c r="N14" i="55"/>
  <c r="N37" i="55"/>
  <c r="N21" i="55"/>
  <c r="M32" i="55"/>
  <c r="H13" i="55"/>
  <c r="I13" i="55" s="1"/>
  <c r="N25" i="55"/>
  <c r="H39" i="55"/>
  <c r="J39" i="55" s="1"/>
  <c r="H23" i="55"/>
  <c r="I23" i="55" s="1"/>
  <c r="N8" i="14"/>
  <c r="N50" i="55"/>
  <c r="N49" i="55"/>
  <c r="N33" i="55"/>
  <c r="N17" i="55"/>
  <c r="H35" i="55"/>
  <c r="H31" i="55"/>
  <c r="I31" i="55" s="1"/>
  <c r="N9" i="14"/>
  <c r="L6" i="56"/>
  <c r="L6" i="67"/>
  <c r="G7" i="67"/>
  <c r="K7" i="67" s="1"/>
  <c r="F7" i="67"/>
  <c r="I1" i="67"/>
  <c r="J13" i="55"/>
  <c r="J23" i="55"/>
  <c r="H7" i="67"/>
  <c r="I7" i="67"/>
  <c r="J6" i="9"/>
  <c r="D5" i="9" s="1"/>
  <c r="J3" i="9" s="1"/>
  <c r="K6" i="9"/>
  <c r="I6" i="9"/>
  <c r="U4" i="9" s="1"/>
  <c r="J7" i="67"/>
  <c r="J3" i="48"/>
  <c r="L3" i="48" s="1"/>
  <c r="K3" i="9"/>
  <c r="J6" i="41"/>
  <c r="J3" i="57"/>
  <c r="L3" i="57" s="1"/>
  <c r="J3" i="20"/>
  <c r="L3" i="20" s="1"/>
  <c r="M6" i="56"/>
  <c r="K6" i="56"/>
  <c r="K3" i="56"/>
  <c r="N6" i="56"/>
  <c r="N3" i="56" s="1"/>
  <c r="I6" i="56"/>
  <c r="J6" i="56"/>
  <c r="H8" i="50"/>
  <c r="I8" i="50"/>
  <c r="J8" i="50"/>
  <c r="K8" i="50"/>
  <c r="M8" i="50" s="1"/>
  <c r="K9" i="50"/>
  <c r="M9" i="50" s="1"/>
  <c r="H10" i="50"/>
  <c r="I10" i="50"/>
  <c r="J10" i="50"/>
  <c r="K10" i="50"/>
  <c r="K11" i="50"/>
  <c r="N11" i="50" s="1"/>
  <c r="H12" i="50"/>
  <c r="I12" i="50"/>
  <c r="J12" i="50"/>
  <c r="K12" i="50"/>
  <c r="M12" i="50"/>
  <c r="K13" i="50"/>
  <c r="N13" i="50"/>
  <c r="H14" i="50"/>
  <c r="I14" i="50"/>
  <c r="J14" i="50"/>
  <c r="K14" i="50"/>
  <c r="M14" i="50" s="1"/>
  <c r="K15" i="50"/>
  <c r="H16" i="50"/>
  <c r="I16" i="50"/>
  <c r="J16" i="50"/>
  <c r="K16" i="50"/>
  <c r="M16" i="50" s="1"/>
  <c r="K17" i="50"/>
  <c r="N17" i="50"/>
  <c r="H18" i="50"/>
  <c r="I18" i="50"/>
  <c r="J18" i="50"/>
  <c r="K18" i="50"/>
  <c r="M18" i="50" s="1"/>
  <c r="K7" i="50"/>
  <c r="N7" i="50" s="1"/>
  <c r="K7" i="55"/>
  <c r="J8" i="58"/>
  <c r="J10" i="58"/>
  <c r="J12" i="58"/>
  <c r="J14" i="58"/>
  <c r="J16" i="58"/>
  <c r="J18" i="58"/>
  <c r="J20" i="58"/>
  <c r="I8" i="58"/>
  <c r="I10" i="58"/>
  <c r="I12" i="58"/>
  <c r="I14" i="58"/>
  <c r="I16" i="58"/>
  <c r="I18" i="58"/>
  <c r="I20" i="58"/>
  <c r="H8" i="58"/>
  <c r="H10" i="58"/>
  <c r="H12" i="58"/>
  <c r="H14" i="58"/>
  <c r="H16" i="58"/>
  <c r="H18" i="58"/>
  <c r="H20" i="58"/>
  <c r="K7" i="58"/>
  <c r="N7" i="58" s="1"/>
  <c r="M7" i="58"/>
  <c r="K8" i="58"/>
  <c r="M8" i="58" s="1"/>
  <c r="K9" i="58"/>
  <c r="M9" i="58" s="1"/>
  <c r="K10" i="58"/>
  <c r="M10" i="58" s="1"/>
  <c r="K11" i="58"/>
  <c r="M11" i="58"/>
  <c r="K12" i="58"/>
  <c r="M12" i="58"/>
  <c r="K13" i="58"/>
  <c r="M13" i="58" s="1"/>
  <c r="K14" i="58"/>
  <c r="M14" i="58" s="1"/>
  <c r="K15" i="58"/>
  <c r="M15" i="58" s="1"/>
  <c r="K16" i="58"/>
  <c r="M16" i="58"/>
  <c r="K17" i="58"/>
  <c r="M17" i="58" s="1"/>
  <c r="K18" i="58"/>
  <c r="M18" i="58" s="1"/>
  <c r="K19" i="58"/>
  <c r="M19" i="58" s="1"/>
  <c r="K20" i="58"/>
  <c r="M20" i="58" s="1"/>
  <c r="N12" i="50"/>
  <c r="N16" i="50"/>
  <c r="M13" i="50"/>
  <c r="M17" i="50"/>
  <c r="N9" i="50"/>
  <c r="I1" i="50"/>
  <c r="F9" i="50"/>
  <c r="G9" i="50"/>
  <c r="F10" i="50"/>
  <c r="G10" i="50"/>
  <c r="H9" i="50" s="1"/>
  <c r="F11" i="50"/>
  <c r="G11" i="50"/>
  <c r="F12" i="50"/>
  <c r="G12" i="50"/>
  <c r="H11" i="50" s="1"/>
  <c r="F13" i="50"/>
  <c r="G13" i="50"/>
  <c r="F14" i="50"/>
  <c r="G14" i="50"/>
  <c r="H13" i="50" s="1"/>
  <c r="I13" i="50" s="1"/>
  <c r="F15" i="50"/>
  <c r="G15" i="50"/>
  <c r="F16" i="50"/>
  <c r="G16" i="50"/>
  <c r="F17" i="50"/>
  <c r="G17" i="50"/>
  <c r="F18" i="50"/>
  <c r="G18" i="50"/>
  <c r="G9" i="58"/>
  <c r="G10" i="58"/>
  <c r="G11" i="58"/>
  <c r="G12" i="58"/>
  <c r="N12" i="58"/>
  <c r="G13" i="58"/>
  <c r="G14" i="58"/>
  <c r="H13" i="58" s="1"/>
  <c r="N14" i="58"/>
  <c r="G15" i="58"/>
  <c r="G16" i="58"/>
  <c r="H15" i="58" s="1"/>
  <c r="G17" i="58"/>
  <c r="N17" i="58"/>
  <c r="G18" i="58"/>
  <c r="G19" i="58"/>
  <c r="G20" i="58"/>
  <c r="F20" i="58"/>
  <c r="F19" i="58"/>
  <c r="F18" i="58"/>
  <c r="F17" i="58"/>
  <c r="F16" i="58"/>
  <c r="F15" i="58"/>
  <c r="F14" i="58"/>
  <c r="F13" i="58"/>
  <c r="F12" i="58"/>
  <c r="F11" i="58"/>
  <c r="F10" i="58"/>
  <c r="F9" i="58"/>
  <c r="G8" i="58"/>
  <c r="H7" i="58" s="1"/>
  <c r="F8" i="58"/>
  <c r="G7" i="58"/>
  <c r="F7" i="58"/>
  <c r="L6" i="58"/>
  <c r="I1" i="58"/>
  <c r="I1" i="57"/>
  <c r="H17" i="50"/>
  <c r="J17" i="50" s="1"/>
  <c r="H9" i="58"/>
  <c r="I9" i="58" s="1"/>
  <c r="H15" i="50"/>
  <c r="I15" i="50" s="1"/>
  <c r="N16" i="58"/>
  <c r="N19" i="58"/>
  <c r="N10" i="58"/>
  <c r="N11" i="58"/>
  <c r="J9" i="58"/>
  <c r="F8" i="50"/>
  <c r="G8" i="50"/>
  <c r="G7" i="50"/>
  <c r="H7" i="50" s="1"/>
  <c r="F7" i="50"/>
  <c r="L3" i="56"/>
  <c r="L3" i="41"/>
  <c r="J3" i="56"/>
  <c r="G7" i="55"/>
  <c r="H7" i="55"/>
  <c r="J7" i="55" s="1"/>
  <c r="F7" i="55"/>
  <c r="L6" i="55"/>
  <c r="I1" i="55"/>
  <c r="E2" i="21"/>
  <c r="F8" i="21"/>
  <c r="G8" i="21"/>
  <c r="H8" i="21"/>
  <c r="I8" i="21"/>
  <c r="J8" i="21" s="1"/>
  <c r="K8" i="21"/>
  <c r="M8" i="21" s="1"/>
  <c r="F9" i="21"/>
  <c r="G9" i="21"/>
  <c r="H9" i="21"/>
  <c r="I9" i="21"/>
  <c r="J9" i="21" s="1"/>
  <c r="F10" i="21"/>
  <c r="G10" i="21"/>
  <c r="H10" i="21"/>
  <c r="I10" i="21"/>
  <c r="J10" i="21" s="1"/>
  <c r="K10" i="21"/>
  <c r="N10" i="21" s="1"/>
  <c r="F11" i="21"/>
  <c r="G11" i="21"/>
  <c r="H11" i="21" s="1"/>
  <c r="I11" i="21" s="1"/>
  <c r="J11" i="21" s="1"/>
  <c r="K11" i="21"/>
  <c r="M11" i="21" s="1"/>
  <c r="F12" i="21"/>
  <c r="G12" i="21"/>
  <c r="H12" i="21"/>
  <c r="I12" i="21"/>
  <c r="J12" i="21" s="1"/>
  <c r="K12" i="21"/>
  <c r="M12" i="21" s="1"/>
  <c r="F13" i="21"/>
  <c r="G13" i="21"/>
  <c r="H13" i="21"/>
  <c r="I13" i="21"/>
  <c r="J13" i="21" s="1"/>
  <c r="F14" i="21"/>
  <c r="G14" i="21"/>
  <c r="K13" i="21" s="1"/>
  <c r="H14" i="21"/>
  <c r="I14" i="21"/>
  <c r="J14" i="21" s="1"/>
  <c r="K14" i="21"/>
  <c r="M14" i="21"/>
  <c r="F15" i="21"/>
  <c r="G15" i="21"/>
  <c r="K15" i="21"/>
  <c r="M15" i="21" s="1"/>
  <c r="F16" i="21"/>
  <c r="G16" i="21"/>
  <c r="H15" i="21" s="1"/>
  <c r="I15" i="21" s="1"/>
  <c r="J15" i="21" s="1"/>
  <c r="H16" i="21"/>
  <c r="I16" i="21"/>
  <c r="J16" i="21" s="1"/>
  <c r="K16" i="21"/>
  <c r="N16" i="21" s="1"/>
  <c r="F17" i="21"/>
  <c r="G17" i="21"/>
  <c r="H17" i="21"/>
  <c r="I17" i="21"/>
  <c r="J17" i="21"/>
  <c r="F18" i="21"/>
  <c r="G18" i="21"/>
  <c r="K17" i="21" s="1"/>
  <c r="H18" i="21"/>
  <c r="I18" i="21"/>
  <c r="J18" i="21" s="1"/>
  <c r="K18" i="21"/>
  <c r="M18" i="21" s="1"/>
  <c r="F19" i="21"/>
  <c r="G19" i="21"/>
  <c r="K19" i="21"/>
  <c r="M19" i="21" s="1"/>
  <c r="F20" i="21"/>
  <c r="G20" i="21"/>
  <c r="H20" i="21"/>
  <c r="I20" i="21"/>
  <c r="J20" i="21" s="1"/>
  <c r="K20" i="21"/>
  <c r="N20" i="21" s="1"/>
  <c r="F21" i="21"/>
  <c r="G21" i="21"/>
  <c r="K21" i="21"/>
  <c r="M21" i="21"/>
  <c r="F22" i="21"/>
  <c r="G22" i="21"/>
  <c r="H22" i="21"/>
  <c r="I22" i="21"/>
  <c r="J22" i="21" s="1"/>
  <c r="K22" i="21"/>
  <c r="M22" i="21" s="1"/>
  <c r="F23" i="21"/>
  <c r="G23" i="21"/>
  <c r="H23" i="21"/>
  <c r="I23" i="21"/>
  <c r="J23" i="21" s="1"/>
  <c r="F24" i="21"/>
  <c r="G24" i="21"/>
  <c r="K23" i="21" s="1"/>
  <c r="H24" i="21"/>
  <c r="I24" i="21"/>
  <c r="J24" i="21" s="1"/>
  <c r="K24" i="21"/>
  <c r="M24" i="21" s="1"/>
  <c r="F25" i="21"/>
  <c r="G25" i="21"/>
  <c r="K25" i="21"/>
  <c r="M25" i="21" s="1"/>
  <c r="F26" i="21"/>
  <c r="G26" i="21"/>
  <c r="H26" i="21"/>
  <c r="I26" i="21"/>
  <c r="J26" i="21" s="1"/>
  <c r="K26" i="21"/>
  <c r="M26" i="21" s="1"/>
  <c r="F27" i="21"/>
  <c r="G27" i="21"/>
  <c r="H27" i="21"/>
  <c r="I27" i="21"/>
  <c r="J27" i="21" s="1"/>
  <c r="F28" i="21"/>
  <c r="G28" i="21"/>
  <c r="H28" i="21"/>
  <c r="I28" i="21"/>
  <c r="J28" i="21" s="1"/>
  <c r="K28" i="21"/>
  <c r="M28" i="21"/>
  <c r="F29" i="21"/>
  <c r="G29" i="21"/>
  <c r="K29" i="21"/>
  <c r="M29" i="21" s="1"/>
  <c r="F30" i="21"/>
  <c r="G30" i="21"/>
  <c r="H29" i="21" s="1"/>
  <c r="I29" i="21" s="1"/>
  <c r="J29" i="21" s="1"/>
  <c r="H30" i="21"/>
  <c r="I30" i="21"/>
  <c r="J30" i="21" s="1"/>
  <c r="K30" i="21"/>
  <c r="M30" i="21" s="1"/>
  <c r="F31" i="21"/>
  <c r="G31" i="21"/>
  <c r="K31" i="21"/>
  <c r="M31" i="21" s="1"/>
  <c r="F32" i="21"/>
  <c r="G32" i="21"/>
  <c r="H31" i="21" s="1"/>
  <c r="I31" i="21" s="1"/>
  <c r="J31" i="21" s="1"/>
  <c r="H32" i="21"/>
  <c r="I32" i="21"/>
  <c r="J32" i="21" s="1"/>
  <c r="K32" i="21"/>
  <c r="N32" i="21" s="1"/>
  <c r="F33" i="21"/>
  <c r="G33" i="21"/>
  <c r="H33" i="21"/>
  <c r="I33" i="21"/>
  <c r="J33" i="21" s="1"/>
  <c r="F34" i="21"/>
  <c r="G34" i="21"/>
  <c r="H34" i="21"/>
  <c r="I34" i="21"/>
  <c r="J34" i="21"/>
  <c r="K34" i="21"/>
  <c r="M34" i="21" s="1"/>
  <c r="F35" i="21"/>
  <c r="G35" i="21"/>
  <c r="K35" i="21"/>
  <c r="M35" i="21"/>
  <c r="F36" i="21"/>
  <c r="G36" i="21"/>
  <c r="H36" i="21"/>
  <c r="I36" i="21"/>
  <c r="J36" i="21" s="1"/>
  <c r="K36" i="21"/>
  <c r="M36" i="21" s="1"/>
  <c r="F37" i="21"/>
  <c r="G37" i="21"/>
  <c r="H37" i="21"/>
  <c r="I37" i="21"/>
  <c r="J37" i="21"/>
  <c r="F38" i="21"/>
  <c r="G38" i="21"/>
  <c r="H38" i="21"/>
  <c r="I38" i="21"/>
  <c r="J38" i="21" s="1"/>
  <c r="K38" i="21"/>
  <c r="M38" i="21" s="1"/>
  <c r="F39" i="21"/>
  <c r="G39" i="21"/>
  <c r="H39" i="21" s="1"/>
  <c r="I39" i="21" s="1"/>
  <c r="J39" i="21" s="1"/>
  <c r="K39" i="21"/>
  <c r="M39" i="21" s="1"/>
  <c r="F40" i="21"/>
  <c r="G40" i="21"/>
  <c r="H40" i="21"/>
  <c r="I40" i="21"/>
  <c r="J40" i="21"/>
  <c r="K40" i="21"/>
  <c r="M40" i="21" s="1"/>
  <c r="F41" i="21"/>
  <c r="G41" i="21"/>
  <c r="K41" i="21"/>
  <c r="M41" i="21" s="1"/>
  <c r="F42" i="21"/>
  <c r="G42" i="21"/>
  <c r="H42" i="21"/>
  <c r="I42" i="21"/>
  <c r="J42" i="21" s="1"/>
  <c r="K42" i="21"/>
  <c r="F43" i="21"/>
  <c r="G43" i="21"/>
  <c r="H43" i="21" s="1"/>
  <c r="I43" i="21" s="1"/>
  <c r="K43" i="21"/>
  <c r="M43" i="21" s="1"/>
  <c r="F44" i="21"/>
  <c r="G44" i="21"/>
  <c r="H44" i="21"/>
  <c r="I44" i="21"/>
  <c r="J44" i="21" s="1"/>
  <c r="K44" i="21"/>
  <c r="N44" i="21" s="1"/>
  <c r="F45" i="21"/>
  <c r="G45" i="21"/>
  <c r="H45" i="21"/>
  <c r="I45" i="21"/>
  <c r="J45" i="21" s="1"/>
  <c r="F46" i="21"/>
  <c r="G46" i="21"/>
  <c r="H46" i="21"/>
  <c r="I46" i="21"/>
  <c r="J46" i="21" s="1"/>
  <c r="K46" i="21"/>
  <c r="N46" i="21" s="1"/>
  <c r="M46" i="21"/>
  <c r="F47" i="21"/>
  <c r="G47" i="21"/>
  <c r="K47" i="21"/>
  <c r="M47" i="21"/>
  <c r="F48" i="21"/>
  <c r="G48" i="21"/>
  <c r="H48" i="21"/>
  <c r="I48" i="21"/>
  <c r="J48" i="21" s="1"/>
  <c r="K48" i="21"/>
  <c r="M48" i="21" s="1"/>
  <c r="F49" i="21"/>
  <c r="G49" i="21"/>
  <c r="H49" i="21"/>
  <c r="I49" i="21"/>
  <c r="J49" i="21" s="1"/>
  <c r="F50" i="21"/>
  <c r="G50" i="21"/>
  <c r="K49" i="21" s="1"/>
  <c r="H50" i="21"/>
  <c r="I50" i="21"/>
  <c r="J50" i="21" s="1"/>
  <c r="K50" i="21"/>
  <c r="M50" i="21" s="1"/>
  <c r="F51" i="21"/>
  <c r="G51" i="21"/>
  <c r="H51" i="21" s="1"/>
  <c r="I51" i="21" s="1"/>
  <c r="J51" i="21" s="1"/>
  <c r="K51" i="21"/>
  <c r="M51" i="21" s="1"/>
  <c r="F52" i="21"/>
  <c r="G52" i="21"/>
  <c r="H52" i="21"/>
  <c r="I52" i="21"/>
  <c r="J52" i="21"/>
  <c r="K52" i="21"/>
  <c r="N52" i="21" s="1"/>
  <c r="M52" i="21"/>
  <c r="F53" i="21"/>
  <c r="G53" i="21"/>
  <c r="K53" i="21"/>
  <c r="M53" i="21" s="1"/>
  <c r="F54" i="21"/>
  <c r="G54" i="21"/>
  <c r="H54" i="21"/>
  <c r="I54" i="21"/>
  <c r="J54" i="21" s="1"/>
  <c r="K54" i="21"/>
  <c r="N54" i="21" s="1"/>
  <c r="F55" i="21"/>
  <c r="G55" i="21"/>
  <c r="K55" i="21"/>
  <c r="F56" i="21"/>
  <c r="G56" i="21"/>
  <c r="H56" i="21"/>
  <c r="I56" i="21"/>
  <c r="J56" i="21" s="1"/>
  <c r="K56" i="21"/>
  <c r="N56" i="21" s="1"/>
  <c r="F57" i="21"/>
  <c r="G57" i="21"/>
  <c r="K57" i="21" s="1"/>
  <c r="N57" i="21" s="1"/>
  <c r="H57" i="21"/>
  <c r="I57" i="21"/>
  <c r="J57" i="21" s="1"/>
  <c r="F58" i="21"/>
  <c r="G58" i="21"/>
  <c r="H58" i="21"/>
  <c r="I58" i="21"/>
  <c r="J58" i="21" s="1"/>
  <c r="K58" i="21"/>
  <c r="M58" i="21" s="1"/>
  <c r="F59" i="21"/>
  <c r="G59" i="21"/>
  <c r="K59" i="21"/>
  <c r="N59" i="21" s="1"/>
  <c r="M59" i="21"/>
  <c r="F60" i="21"/>
  <c r="G60" i="21"/>
  <c r="H60" i="21"/>
  <c r="I60" i="21"/>
  <c r="J60" i="21" s="1"/>
  <c r="K60" i="21"/>
  <c r="M60" i="21" s="1"/>
  <c r="F61" i="21"/>
  <c r="G61" i="21"/>
  <c r="K61" i="21"/>
  <c r="M61" i="21" s="1"/>
  <c r="F62" i="21"/>
  <c r="G62" i="21"/>
  <c r="H62" i="21"/>
  <c r="I62" i="21"/>
  <c r="J62" i="21"/>
  <c r="K62" i="21"/>
  <c r="M62" i="21"/>
  <c r="F63" i="21"/>
  <c r="G63" i="21"/>
  <c r="K63" i="21" s="1"/>
  <c r="H63" i="21"/>
  <c r="I63" i="21"/>
  <c r="J63" i="21" s="1"/>
  <c r="F64" i="21"/>
  <c r="G64" i="21"/>
  <c r="H64" i="21"/>
  <c r="I64" i="21"/>
  <c r="J64" i="21"/>
  <c r="K64" i="21"/>
  <c r="M64" i="21" s="1"/>
  <c r="F65" i="21"/>
  <c r="G65" i="21"/>
  <c r="H65" i="21" s="1"/>
  <c r="I65" i="21" s="1"/>
  <c r="J65" i="21" s="1"/>
  <c r="K65" i="21"/>
  <c r="M65" i="21"/>
  <c r="F66" i="21"/>
  <c r="G66" i="21"/>
  <c r="H66" i="21"/>
  <c r="I66" i="21"/>
  <c r="J66" i="21" s="1"/>
  <c r="K66" i="21"/>
  <c r="M66" i="21" s="1"/>
  <c r="F67" i="21"/>
  <c r="G67" i="21"/>
  <c r="K67" i="21"/>
  <c r="F68" i="21"/>
  <c r="G68" i="21"/>
  <c r="H68" i="21"/>
  <c r="I68" i="21"/>
  <c r="J68" i="21" s="1"/>
  <c r="K68" i="21"/>
  <c r="M68" i="21" s="1"/>
  <c r="F69" i="21"/>
  <c r="G69" i="21"/>
  <c r="K69" i="21"/>
  <c r="N69" i="21" s="1"/>
  <c r="M69" i="21"/>
  <c r="F70" i="21"/>
  <c r="G70" i="21"/>
  <c r="H70" i="21"/>
  <c r="I70" i="21"/>
  <c r="J70" i="21" s="1"/>
  <c r="K70" i="21"/>
  <c r="M70" i="21" s="1"/>
  <c r="I7" i="55"/>
  <c r="N14" i="21"/>
  <c r="N40" i="21"/>
  <c r="N68" i="21"/>
  <c r="N62" i="21"/>
  <c r="N25" i="21"/>
  <c r="J43" i="21"/>
  <c r="N21" i="21"/>
  <c r="N11" i="21"/>
  <c r="H19" i="21"/>
  <c r="I19" i="21"/>
  <c r="J19" i="21" s="1"/>
  <c r="H35" i="21"/>
  <c r="I35" i="21" s="1"/>
  <c r="J35" i="21" s="1"/>
  <c r="N24" i="21"/>
  <c r="H59" i="21"/>
  <c r="I59" i="21" s="1"/>
  <c r="J59" i="21" s="1"/>
  <c r="N29" i="21"/>
  <c r="N17" i="21"/>
  <c r="H67" i="21"/>
  <c r="I67" i="21" s="1"/>
  <c r="J67" i="21" s="1"/>
  <c r="H25" i="21"/>
  <c r="I25" i="21" s="1"/>
  <c r="J25" i="21"/>
  <c r="N22" i="21"/>
  <c r="N70" i="21"/>
  <c r="K33" i="21"/>
  <c r="N65" i="21"/>
  <c r="N60" i="21"/>
  <c r="N38" i="21"/>
  <c r="N35" i="21"/>
  <c r="N28" i="21"/>
  <c r="K9" i="21"/>
  <c r="N9" i="21" s="1"/>
  <c r="N66" i="21"/>
  <c r="H61" i="21"/>
  <c r="I61" i="21" s="1"/>
  <c r="J61" i="21" s="1"/>
  <c r="N58" i="21"/>
  <c r="N47" i="21"/>
  <c r="K45" i="21"/>
  <c r="N45" i="21" s="1"/>
  <c r="N39" i="21"/>
  <c r="K37" i="21"/>
  <c r="N37" i="21" s="1"/>
  <c r="N34" i="21"/>
  <c r="N26" i="21"/>
  <c r="H21" i="21"/>
  <c r="I21" i="21" s="1"/>
  <c r="J21" i="21" s="1"/>
  <c r="N18" i="21"/>
  <c r="N15" i="21"/>
  <c r="N8" i="21"/>
  <c r="H55" i="21"/>
  <c r="I55" i="21"/>
  <c r="J55" i="21" s="1"/>
  <c r="H47" i="21"/>
  <c r="I47" i="21" s="1"/>
  <c r="J47" i="21" s="1"/>
  <c r="M17" i="21"/>
  <c r="M37" i="21"/>
  <c r="K6" i="50"/>
  <c r="M6" i="41"/>
  <c r="J3" i="37"/>
  <c r="L3" i="37" s="1"/>
  <c r="F7" i="21"/>
  <c r="G7" i="21"/>
  <c r="H7" i="21" s="1"/>
  <c r="I7" i="21" s="1"/>
  <c r="K7" i="21"/>
  <c r="N7" i="21" s="1"/>
  <c r="I1" i="46"/>
  <c r="I1" i="48"/>
  <c r="I1" i="20"/>
  <c r="I1" i="37"/>
  <c r="I1" i="9"/>
  <c r="J3" i="46"/>
  <c r="L3" i="46" s="1"/>
  <c r="L6" i="14"/>
  <c r="K6" i="14"/>
  <c r="J3" i="21"/>
  <c r="L3" i="21" s="1"/>
  <c r="L6" i="21"/>
  <c r="I1" i="33"/>
  <c r="F7" i="25"/>
  <c r="F8" i="25"/>
  <c r="K6" i="33"/>
  <c r="K6" i="37"/>
  <c r="K3" i="37"/>
  <c r="N6" i="37"/>
  <c r="N3" i="37" s="1"/>
  <c r="M6" i="37"/>
  <c r="L6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10" i="16"/>
  <c r="F11" i="16"/>
  <c r="F12" i="16"/>
  <c r="F13" i="16"/>
  <c r="F14" i="16"/>
  <c r="F7" i="16"/>
  <c r="K8" i="16"/>
  <c r="N8" i="16" s="1"/>
  <c r="I8" i="16"/>
  <c r="J8" i="16"/>
  <c r="K7" i="16"/>
  <c r="M7" i="16"/>
  <c r="I11" i="16"/>
  <c r="J11" i="16" s="1"/>
  <c r="I12" i="16"/>
  <c r="J12" i="16" s="1"/>
  <c r="K12" i="16"/>
  <c r="N12" i="16" s="1"/>
  <c r="K13" i="16"/>
  <c r="N13" i="16"/>
  <c r="I14" i="16"/>
  <c r="J14" i="16"/>
  <c r="K14" i="16"/>
  <c r="N14" i="16" s="1"/>
  <c r="I15" i="16"/>
  <c r="J15" i="16"/>
  <c r="I16" i="16"/>
  <c r="J16" i="16" s="1"/>
  <c r="K16" i="16"/>
  <c r="M16" i="16" s="1"/>
  <c r="K17" i="16"/>
  <c r="M17" i="16" s="1"/>
  <c r="I18" i="16"/>
  <c r="J18" i="16" s="1"/>
  <c r="K18" i="16"/>
  <c r="M18" i="16" s="1"/>
  <c r="I19" i="16"/>
  <c r="J19" i="16"/>
  <c r="I20" i="16"/>
  <c r="J20" i="16" s="1"/>
  <c r="K20" i="16"/>
  <c r="M20" i="16"/>
  <c r="K21" i="16"/>
  <c r="N21" i="16" s="1"/>
  <c r="M21" i="16"/>
  <c r="I22" i="16"/>
  <c r="J22" i="16" s="1"/>
  <c r="K22" i="16"/>
  <c r="N22" i="16" s="1"/>
  <c r="I23" i="16"/>
  <c r="J23" i="16" s="1"/>
  <c r="I24" i="16"/>
  <c r="J24" i="16" s="1"/>
  <c r="K24" i="16"/>
  <c r="N24" i="16" s="1"/>
  <c r="K25" i="16"/>
  <c r="M25" i="16" s="1"/>
  <c r="I26" i="16"/>
  <c r="J26" i="16" s="1"/>
  <c r="K26" i="16"/>
  <c r="M26" i="16" s="1"/>
  <c r="N26" i="16"/>
  <c r="K27" i="16"/>
  <c r="M27" i="16" s="1"/>
  <c r="I28" i="16"/>
  <c r="J28" i="16" s="1"/>
  <c r="K28" i="16"/>
  <c r="M28" i="16"/>
  <c r="I29" i="16"/>
  <c r="J29" i="16" s="1"/>
  <c r="I30" i="16"/>
  <c r="J30" i="16" s="1"/>
  <c r="K30" i="16"/>
  <c r="N30" i="16" s="1"/>
  <c r="K31" i="16"/>
  <c r="M31" i="16" s="1"/>
  <c r="N31" i="16"/>
  <c r="I32" i="16"/>
  <c r="J32" i="16" s="1"/>
  <c r="K32" i="16"/>
  <c r="N32" i="16" s="1"/>
  <c r="I33" i="16"/>
  <c r="J33" i="16" s="1"/>
  <c r="I34" i="16"/>
  <c r="J34" i="16" s="1"/>
  <c r="K34" i="16"/>
  <c r="N34" i="16" s="1"/>
  <c r="K35" i="16"/>
  <c r="N35" i="16" s="1"/>
  <c r="M35" i="16"/>
  <c r="I36" i="16"/>
  <c r="J36" i="16" s="1"/>
  <c r="K36" i="16"/>
  <c r="N36" i="16" s="1"/>
  <c r="H36" i="16"/>
  <c r="G36" i="16"/>
  <c r="G35" i="16"/>
  <c r="H35" i="16" s="1"/>
  <c r="I35" i="16" s="1"/>
  <c r="M13" i="16"/>
  <c r="N25" i="16"/>
  <c r="N7" i="16"/>
  <c r="M8" i="16"/>
  <c r="N27" i="16"/>
  <c r="N28" i="16"/>
  <c r="N20" i="16"/>
  <c r="I1" i="38"/>
  <c r="K16" i="35"/>
  <c r="M16" i="35" s="1"/>
  <c r="I16" i="35"/>
  <c r="H16" i="35"/>
  <c r="G16" i="35"/>
  <c r="F16" i="35"/>
  <c r="K15" i="35"/>
  <c r="N15" i="35" s="1"/>
  <c r="M15" i="35"/>
  <c r="G15" i="35"/>
  <c r="H15" i="35" s="1"/>
  <c r="F15" i="35"/>
  <c r="K14" i="35"/>
  <c r="N14" i="35" s="1"/>
  <c r="I14" i="35"/>
  <c r="H14" i="35"/>
  <c r="G14" i="35"/>
  <c r="F14" i="35"/>
  <c r="K13" i="35"/>
  <c r="G13" i="35"/>
  <c r="F13" i="35"/>
  <c r="I1" i="25"/>
  <c r="K8" i="38"/>
  <c r="N8" i="38" s="1"/>
  <c r="I8" i="38"/>
  <c r="I6" i="38" s="1"/>
  <c r="I3" i="38" s="1"/>
  <c r="H8" i="38"/>
  <c r="G8" i="38"/>
  <c r="H7" i="38" s="1"/>
  <c r="F8" i="38"/>
  <c r="K7" i="38"/>
  <c r="M7" i="38" s="1"/>
  <c r="G7" i="38"/>
  <c r="F7" i="38"/>
  <c r="L6" i="38"/>
  <c r="J6" i="38"/>
  <c r="K10" i="35"/>
  <c r="M10" i="35" s="1"/>
  <c r="I10" i="35"/>
  <c r="H10" i="35"/>
  <c r="G10" i="35"/>
  <c r="F10" i="35"/>
  <c r="K9" i="35"/>
  <c r="M9" i="35" s="1"/>
  <c r="G9" i="35"/>
  <c r="F9" i="35"/>
  <c r="I1" i="14"/>
  <c r="I12" i="35"/>
  <c r="I8" i="35"/>
  <c r="F8" i="35"/>
  <c r="G8" i="35"/>
  <c r="H8" i="35"/>
  <c r="K8" i="35"/>
  <c r="N8" i="35" s="1"/>
  <c r="M8" i="35"/>
  <c r="F11" i="35"/>
  <c r="G11" i="35"/>
  <c r="K11" i="35"/>
  <c r="N11" i="35" s="1"/>
  <c r="F12" i="35"/>
  <c r="G12" i="35"/>
  <c r="H12" i="35"/>
  <c r="K12" i="35"/>
  <c r="M12" i="35" s="1"/>
  <c r="G8" i="25"/>
  <c r="H7" i="25" s="1"/>
  <c r="I7" i="25" s="1"/>
  <c r="H8" i="25"/>
  <c r="I8" i="25"/>
  <c r="F8" i="16"/>
  <c r="G8" i="16"/>
  <c r="H8" i="16"/>
  <c r="F9" i="16"/>
  <c r="G9" i="16"/>
  <c r="K9" i="16"/>
  <c r="M9" i="16" s="1"/>
  <c r="G10" i="16"/>
  <c r="H9" i="16" s="1"/>
  <c r="I9" i="16" s="1"/>
  <c r="J9" i="16" s="1"/>
  <c r="H10" i="16"/>
  <c r="I10" i="16"/>
  <c r="J10" i="16" s="1"/>
  <c r="K10" i="16"/>
  <c r="N10" i="16"/>
  <c r="G11" i="16"/>
  <c r="G12" i="16"/>
  <c r="H12" i="16"/>
  <c r="G13" i="16"/>
  <c r="G14" i="16"/>
  <c r="H13" i="16" s="1"/>
  <c r="I13" i="16" s="1"/>
  <c r="J13" i="16" s="1"/>
  <c r="H14" i="16"/>
  <c r="F15" i="16"/>
  <c r="G15" i="16"/>
  <c r="K15" i="16" s="1"/>
  <c r="H15" i="16"/>
  <c r="F16" i="16"/>
  <c r="G16" i="16"/>
  <c r="H16" i="16"/>
  <c r="F17" i="16"/>
  <c r="G17" i="16"/>
  <c r="F18" i="16"/>
  <c r="G18" i="16"/>
  <c r="H18" i="16"/>
  <c r="F19" i="16"/>
  <c r="G19" i="16"/>
  <c r="H19" i="16"/>
  <c r="F20" i="16"/>
  <c r="G20" i="16"/>
  <c r="H20" i="16"/>
  <c r="F21" i="16"/>
  <c r="G21" i="16"/>
  <c r="G22" i="16"/>
  <c r="H21" i="16" s="1"/>
  <c r="I21" i="16" s="1"/>
  <c r="J21" i="16" s="1"/>
  <c r="H22" i="16"/>
  <c r="G23" i="16"/>
  <c r="G24" i="16"/>
  <c r="K23" i="16" s="1"/>
  <c r="H24" i="16"/>
  <c r="G25" i="16"/>
  <c r="G26" i="16"/>
  <c r="H25" i="16" s="1"/>
  <c r="I25" i="16" s="1"/>
  <c r="H26" i="16"/>
  <c r="G27" i="16"/>
  <c r="G28" i="16"/>
  <c r="H28" i="16"/>
  <c r="G29" i="16"/>
  <c r="K29" i="16" s="1"/>
  <c r="G30" i="16"/>
  <c r="H30" i="16"/>
  <c r="G31" i="16"/>
  <c r="H31" i="16" s="1"/>
  <c r="I31" i="16" s="1"/>
  <c r="J31" i="16" s="1"/>
  <c r="G32" i="16"/>
  <c r="H32" i="16"/>
  <c r="G33" i="16"/>
  <c r="H33" i="16"/>
  <c r="G34" i="16"/>
  <c r="K33" i="16" s="1"/>
  <c r="N33" i="16" s="1"/>
  <c r="H34" i="16"/>
  <c r="G7" i="16"/>
  <c r="H7" i="16" s="1"/>
  <c r="I7" i="16" s="1"/>
  <c r="K19" i="16"/>
  <c r="N19" i="16" s="1"/>
  <c r="H29" i="16"/>
  <c r="N9" i="16"/>
  <c r="H11" i="16"/>
  <c r="K11" i="16"/>
  <c r="N11" i="16" s="1"/>
  <c r="H23" i="16"/>
  <c r="H11" i="35"/>
  <c r="I11" i="35" s="1"/>
  <c r="M10" i="16"/>
  <c r="I6" i="37"/>
  <c r="J6" i="37"/>
  <c r="N3" i="20"/>
  <c r="J6" i="35"/>
  <c r="I1" i="16"/>
  <c r="K7" i="35"/>
  <c r="N7" i="35" s="1"/>
  <c r="G7" i="35"/>
  <c r="F7" i="35"/>
  <c r="L6" i="35"/>
  <c r="K7" i="14"/>
  <c r="N7" i="14" s="1"/>
  <c r="N6" i="14" s="1"/>
  <c r="U4" i="13"/>
  <c r="J6" i="25"/>
  <c r="G7" i="25"/>
  <c r="I1" i="21"/>
  <c r="G7" i="14"/>
  <c r="H7" i="14" s="1"/>
  <c r="I7" i="14" s="1"/>
  <c r="F7" i="14"/>
  <c r="N51" i="55" l="1"/>
  <c r="M51" i="55"/>
  <c r="J33" i="55"/>
  <c r="I33" i="55"/>
  <c r="N63" i="67"/>
  <c r="M63" i="67"/>
  <c r="M9" i="69"/>
  <c r="N9" i="69"/>
  <c r="N23" i="21"/>
  <c r="M23" i="21"/>
  <c r="J9" i="55"/>
  <c r="I9" i="55"/>
  <c r="N69" i="67"/>
  <c r="M69" i="67"/>
  <c r="N81" i="67"/>
  <c r="M81" i="67"/>
  <c r="N49" i="21"/>
  <c r="M49" i="21"/>
  <c r="J41" i="55"/>
  <c r="I41" i="55"/>
  <c r="M7" i="14"/>
  <c r="M6" i="14" s="1"/>
  <c r="I3" i="14" s="1"/>
  <c r="M11" i="35"/>
  <c r="K6" i="35"/>
  <c r="M32" i="16"/>
  <c r="M7" i="21"/>
  <c r="N12" i="21"/>
  <c r="M56" i="21"/>
  <c r="M44" i="21"/>
  <c r="N20" i="58"/>
  <c r="M11" i="50"/>
  <c r="N10" i="55"/>
  <c r="N35" i="55"/>
  <c r="M42" i="55"/>
  <c r="M26" i="55"/>
  <c r="M31" i="67"/>
  <c r="M49" i="67"/>
  <c r="N80" i="67"/>
  <c r="N54" i="67"/>
  <c r="M32" i="21"/>
  <c r="M20" i="21"/>
  <c r="M10" i="21"/>
  <c r="I17" i="50"/>
  <c r="H11" i="58"/>
  <c r="J31" i="55"/>
  <c r="M47" i="55"/>
  <c r="J21" i="55"/>
  <c r="M64" i="67"/>
  <c r="K17" i="67"/>
  <c r="K3" i="67" s="1"/>
  <c r="I6" i="14"/>
  <c r="K6" i="58"/>
  <c r="N15" i="58"/>
  <c r="M7" i="50"/>
  <c r="H43" i="55"/>
  <c r="H27" i="55"/>
  <c r="H11" i="55"/>
  <c r="M72" i="67"/>
  <c r="H25" i="33"/>
  <c r="H15" i="33"/>
  <c r="H9" i="33"/>
  <c r="J9" i="33" s="1"/>
  <c r="M14" i="69"/>
  <c r="N36" i="21"/>
  <c r="N9" i="35"/>
  <c r="H9" i="35"/>
  <c r="M34" i="16"/>
  <c r="N50" i="21"/>
  <c r="N51" i="21"/>
  <c r="N41" i="21"/>
  <c r="H53" i="21"/>
  <c r="I53" i="21" s="1"/>
  <c r="J53" i="21" s="1"/>
  <c r="K27" i="21"/>
  <c r="N8" i="58"/>
  <c r="H19" i="58"/>
  <c r="J19" i="58" s="1"/>
  <c r="N14" i="50"/>
  <c r="N18" i="55"/>
  <c r="M43" i="55"/>
  <c r="M52" i="55"/>
  <c r="H49" i="55"/>
  <c r="K6" i="55"/>
  <c r="N15" i="67"/>
  <c r="M44" i="67"/>
  <c r="H83" i="67"/>
  <c r="K45" i="67"/>
  <c r="I6" i="25"/>
  <c r="I3" i="25" s="1"/>
  <c r="N6" i="38"/>
  <c r="H27" i="16"/>
  <c r="I27" i="16" s="1"/>
  <c r="N7" i="38"/>
  <c r="M13" i="35"/>
  <c r="M6" i="35" s="1"/>
  <c r="M14" i="35"/>
  <c r="M36" i="16"/>
  <c r="N31" i="21"/>
  <c r="M57" i="21"/>
  <c r="N18" i="50"/>
  <c r="N41" i="55"/>
  <c r="N30" i="55"/>
  <c r="J37" i="55"/>
  <c r="M38" i="55"/>
  <c r="M22" i="55"/>
  <c r="M19" i="55"/>
  <c r="N27" i="67"/>
  <c r="M86" i="67"/>
  <c r="M18" i="67"/>
  <c r="N76" i="67"/>
  <c r="N65" i="67"/>
  <c r="N55" i="67"/>
  <c r="K21" i="67"/>
  <c r="N18" i="58"/>
  <c r="N34" i="55"/>
  <c r="J27" i="16"/>
  <c r="D5" i="16" s="1"/>
  <c r="J3" i="16" s="1"/>
  <c r="H17" i="16"/>
  <c r="I17" i="16" s="1"/>
  <c r="J17" i="16" s="1"/>
  <c r="H7" i="35"/>
  <c r="I7" i="35" s="1"/>
  <c r="N10" i="35"/>
  <c r="H13" i="35"/>
  <c r="N18" i="16"/>
  <c r="N53" i="21"/>
  <c r="N64" i="21"/>
  <c r="H69" i="21"/>
  <c r="I69" i="21" s="1"/>
  <c r="J69" i="21" s="1"/>
  <c r="H17" i="58"/>
  <c r="N13" i="58"/>
  <c r="N8" i="50"/>
  <c r="N9" i="55"/>
  <c r="M45" i="55"/>
  <c r="M40" i="55"/>
  <c r="H19" i="55"/>
  <c r="I11" i="33"/>
  <c r="N77" i="67"/>
  <c r="M40" i="67"/>
  <c r="M46" i="67"/>
  <c r="H55" i="67"/>
  <c r="I55" i="67" s="1"/>
  <c r="J55" i="67" s="1"/>
  <c r="J6" i="67" s="1"/>
  <c r="D5" i="67" s="1"/>
  <c r="J3" i="67" s="1"/>
  <c r="L3" i="67" s="1"/>
  <c r="H13" i="67"/>
  <c r="I13" i="67" s="1"/>
  <c r="J13" i="67" s="1"/>
  <c r="O12" i="69"/>
  <c r="M3" i="48"/>
  <c r="K6" i="16"/>
  <c r="J7" i="21"/>
  <c r="I6" i="35"/>
  <c r="I3" i="35" s="1"/>
  <c r="N6" i="16"/>
  <c r="N3" i="16" s="1"/>
  <c r="J7" i="16"/>
  <c r="M29" i="16"/>
  <c r="N29" i="16"/>
  <c r="N23" i="16"/>
  <c r="M23" i="16"/>
  <c r="M15" i="16"/>
  <c r="K3" i="16"/>
  <c r="N15" i="16"/>
  <c r="N63" i="21"/>
  <c r="M63" i="21"/>
  <c r="N17" i="16"/>
  <c r="N7" i="55"/>
  <c r="M7" i="55"/>
  <c r="I19" i="33"/>
  <c r="J19" i="33"/>
  <c r="N85" i="67"/>
  <c r="M85" i="67"/>
  <c r="N24" i="67"/>
  <c r="M24" i="67"/>
  <c r="N12" i="35"/>
  <c r="N13" i="35"/>
  <c r="N16" i="35"/>
  <c r="M30" i="16"/>
  <c r="N16" i="16"/>
  <c r="M45" i="21"/>
  <c r="M33" i="21"/>
  <c r="N33" i="21"/>
  <c r="M42" i="21"/>
  <c r="N42" i="21"/>
  <c r="R5" i="56"/>
  <c r="M3" i="56"/>
  <c r="J15" i="55"/>
  <c r="I15" i="55"/>
  <c r="I25" i="55"/>
  <c r="J25" i="55"/>
  <c r="H7" i="69"/>
  <c r="I7" i="69" s="1"/>
  <c r="I11" i="50"/>
  <c r="J11" i="50"/>
  <c r="M10" i="50"/>
  <c r="N10" i="50"/>
  <c r="I13" i="33"/>
  <c r="J13" i="33"/>
  <c r="N56" i="67"/>
  <c r="M56" i="67"/>
  <c r="N16" i="67"/>
  <c r="M16" i="67"/>
  <c r="M8" i="69"/>
  <c r="O8" i="69" s="1"/>
  <c r="N8" i="69"/>
  <c r="J15" i="58"/>
  <c r="I15" i="58"/>
  <c r="M11" i="16"/>
  <c r="K3" i="21"/>
  <c r="N67" i="21"/>
  <c r="M67" i="21"/>
  <c r="J7" i="50"/>
  <c r="I7" i="50"/>
  <c r="M20" i="55"/>
  <c r="N20" i="55"/>
  <c r="J19" i="55"/>
  <c r="I19" i="55"/>
  <c r="L3" i="9"/>
  <c r="S5" i="9"/>
  <c r="N59" i="67"/>
  <c r="M59" i="67"/>
  <c r="K13" i="69"/>
  <c r="O7" i="69"/>
  <c r="M29" i="55"/>
  <c r="N29" i="55"/>
  <c r="I11" i="58"/>
  <c r="J11" i="58"/>
  <c r="M8" i="38"/>
  <c r="M6" i="38" s="1"/>
  <c r="M22" i="16"/>
  <c r="M24" i="16"/>
  <c r="M12" i="16"/>
  <c r="M13" i="21"/>
  <c r="N13" i="21"/>
  <c r="M9" i="21"/>
  <c r="H41" i="21"/>
  <c r="I41" i="21" s="1"/>
  <c r="J41" i="21" s="1"/>
  <c r="N15" i="50"/>
  <c r="M15" i="50"/>
  <c r="J35" i="55"/>
  <c r="I35" i="55"/>
  <c r="I7" i="33"/>
  <c r="J7" i="33"/>
  <c r="N11" i="67"/>
  <c r="N70" i="67"/>
  <c r="M70" i="67"/>
  <c r="N17" i="67"/>
  <c r="M17" i="67"/>
  <c r="O14" i="69"/>
  <c r="M7" i="35"/>
  <c r="I49" i="55"/>
  <c r="J49" i="55"/>
  <c r="J15" i="50"/>
  <c r="K6" i="38"/>
  <c r="M55" i="21"/>
  <c r="N55" i="21"/>
  <c r="I7" i="58"/>
  <c r="J7" i="58"/>
  <c r="K6" i="67"/>
  <c r="N7" i="67"/>
  <c r="M7" i="67"/>
  <c r="M19" i="67"/>
  <c r="N19" i="67"/>
  <c r="N41" i="67"/>
  <c r="M41" i="67"/>
  <c r="N20" i="67"/>
  <c r="M20" i="67"/>
  <c r="J25" i="33"/>
  <c r="I25" i="33"/>
  <c r="J15" i="33"/>
  <c r="I15" i="33"/>
  <c r="I9" i="33"/>
  <c r="M46" i="55"/>
  <c r="N46" i="55"/>
  <c r="M13" i="55"/>
  <c r="M6" i="55" s="1"/>
  <c r="N13" i="55"/>
  <c r="M33" i="16"/>
  <c r="K6" i="21"/>
  <c r="M19" i="16"/>
  <c r="M14" i="16"/>
  <c r="J13" i="58"/>
  <c r="I13" i="58"/>
  <c r="I9" i="50"/>
  <c r="J9" i="50"/>
  <c r="M6" i="58"/>
  <c r="M45" i="67"/>
  <c r="N45" i="67"/>
  <c r="I17" i="58"/>
  <c r="J17" i="58"/>
  <c r="J43" i="55"/>
  <c r="I43" i="55"/>
  <c r="N84" i="67"/>
  <c r="M84" i="67"/>
  <c r="M21" i="67"/>
  <c r="N21" i="67"/>
  <c r="O9" i="69"/>
  <c r="N43" i="21"/>
  <c r="N61" i="21"/>
  <c r="J47" i="55"/>
  <c r="M44" i="55"/>
  <c r="M58" i="67"/>
  <c r="N19" i="21"/>
  <c r="J13" i="50"/>
  <c r="N9" i="58"/>
  <c r="N6" i="58" s="1"/>
  <c r="I39" i="55"/>
  <c r="N7" i="69"/>
  <c r="N30" i="21"/>
  <c r="N48" i="21"/>
  <c r="M54" i="21"/>
  <c r="M16" i="21"/>
  <c r="I17" i="55"/>
  <c r="N61" i="67"/>
  <c r="I29" i="55"/>
  <c r="I3" i="75"/>
  <c r="M3" i="20"/>
  <c r="T4" i="56"/>
  <c r="U4" i="48"/>
  <c r="S5" i="48"/>
  <c r="U4" i="46"/>
  <c r="S5" i="46"/>
  <c r="M3" i="46"/>
  <c r="U4" i="37"/>
  <c r="S5" i="37"/>
  <c r="R5" i="74"/>
  <c r="T4" i="74"/>
  <c r="M3" i="71"/>
  <c r="S5" i="71"/>
  <c r="U4" i="71"/>
  <c r="S5" i="57"/>
  <c r="I3" i="70"/>
  <c r="M3" i="57"/>
  <c r="J3" i="41"/>
  <c r="I3" i="41" s="1"/>
  <c r="M3" i="74"/>
  <c r="R5" i="73"/>
  <c r="S5" i="20"/>
  <c r="M3" i="37"/>
  <c r="U4" i="20"/>
  <c r="J27" i="55" l="1"/>
  <c r="I27" i="55"/>
  <c r="N27" i="21"/>
  <c r="M27" i="21"/>
  <c r="M6" i="21" s="1"/>
  <c r="M6" i="16"/>
  <c r="S5" i="16" s="1"/>
  <c r="N6" i="55"/>
  <c r="M6" i="67"/>
  <c r="M3" i="67" s="1"/>
  <c r="I19" i="58"/>
  <c r="I6" i="16"/>
  <c r="U4" i="16" s="1"/>
  <c r="I6" i="67"/>
  <c r="U4" i="67" s="1"/>
  <c r="J6" i="16"/>
  <c r="I11" i="55"/>
  <c r="I6" i="55" s="1"/>
  <c r="J11" i="55"/>
  <c r="J6" i="55" s="1"/>
  <c r="M3" i="16"/>
  <c r="I6" i="69"/>
  <c r="J7" i="69"/>
  <c r="J6" i="69" s="1"/>
  <c r="D5" i="69" s="1"/>
  <c r="J3" i="69" s="1"/>
  <c r="L3" i="69" s="1"/>
  <c r="N6" i="35"/>
  <c r="M13" i="69"/>
  <c r="N13" i="69"/>
  <c r="N6" i="69" s="1"/>
  <c r="N3" i="69" s="1"/>
  <c r="N6" i="67"/>
  <c r="N3" i="67" s="1"/>
  <c r="I6" i="50"/>
  <c r="I3" i="50" s="1"/>
  <c r="J6" i="50"/>
  <c r="J6" i="58"/>
  <c r="I6" i="33"/>
  <c r="I6" i="21"/>
  <c r="I6" i="58"/>
  <c r="I3" i="58" s="1"/>
  <c r="N6" i="21"/>
  <c r="N3" i="21" s="1"/>
  <c r="K6" i="69"/>
  <c r="J6" i="21"/>
  <c r="J6" i="33"/>
  <c r="I3" i="55" l="1"/>
  <c r="S5" i="67"/>
  <c r="M3" i="21"/>
  <c r="S5" i="21"/>
  <c r="I3" i="33"/>
  <c r="U4" i="69"/>
  <c r="O13" i="69"/>
  <c r="O6" i="69" s="1"/>
  <c r="M6" i="69"/>
  <c r="U4" i="21"/>
  <c r="M3" i="69" l="1"/>
  <c r="S5" i="69"/>
</calcChain>
</file>

<file path=xl/sharedStrings.xml><?xml version="1.0" encoding="utf-8"?>
<sst xmlns="http://schemas.openxmlformats.org/spreadsheetml/2006/main" count="12505" uniqueCount="181">
  <si>
    <t>sId</t>
  </si>
  <si>
    <t>bEmpId</t>
  </si>
  <si>
    <t>bName</t>
  </si>
  <si>
    <t>bAttType</t>
  </si>
  <si>
    <t>bAttTime</t>
  </si>
  <si>
    <t>下班</t>
  </si>
  <si>
    <t>上班</t>
  </si>
  <si>
    <t>加班</t>
  </si>
  <si>
    <t>加班結束</t>
  </si>
  <si>
    <t>amber</t>
  </si>
  <si>
    <t>justin</t>
  </si>
  <si>
    <t>paul</t>
  </si>
  <si>
    <t>加班</t>
    <phoneticPr fontId="18" type="noConversion"/>
  </si>
  <si>
    <t>lz</t>
  </si>
  <si>
    <t>ruby</t>
  </si>
  <si>
    <t>tl</t>
  </si>
  <si>
    <t xml:space="preserve"> 加班時數</t>
    <phoneticPr fontId="18" type="noConversion"/>
  </si>
  <si>
    <t>1.34 時薪</t>
    <phoneticPr fontId="18" type="noConversion"/>
  </si>
  <si>
    <t>1.67 時薪</t>
    <phoneticPr fontId="18" type="noConversion"/>
  </si>
  <si>
    <t xml:space="preserve"> </t>
    <phoneticPr fontId="18" type="noConversion"/>
  </si>
  <si>
    <t>1.0時薪</t>
    <phoneticPr fontId="18" type="noConversion"/>
  </si>
  <si>
    <t>加班</t>
    <phoneticPr fontId="18" type="noConversion"/>
  </si>
  <si>
    <t>打卡上班</t>
    <phoneticPr fontId="18" type="noConversion"/>
  </si>
  <si>
    <t>出勤時數</t>
    <phoneticPr fontId="18" type="noConversion"/>
  </si>
  <si>
    <t>給薪時數</t>
    <phoneticPr fontId="18" type="noConversion"/>
  </si>
  <si>
    <t>請假</t>
    <phoneticPr fontId="18" type="noConversion"/>
  </si>
  <si>
    <t>小計</t>
    <phoneticPr fontId="18" type="noConversion"/>
  </si>
  <si>
    <t>備註</t>
    <phoneticPr fontId="18" type="noConversion"/>
  </si>
  <si>
    <t>統計</t>
    <phoneticPr fontId="18" type="noConversion"/>
  </si>
  <si>
    <t>出勤工時統計</t>
    <phoneticPr fontId="18" type="noConversion"/>
  </si>
  <si>
    <t>+</t>
    <phoneticPr fontId="18" type="noConversion"/>
  </si>
  <si>
    <t>=</t>
    <phoneticPr fontId="18" type="noConversion"/>
  </si>
  <si>
    <t>請假</t>
    <phoneticPr fontId="18" type="noConversion"/>
  </si>
  <si>
    <t>出勤</t>
    <phoneticPr fontId="18" type="noConversion"/>
  </si>
  <si>
    <t>假補工時</t>
    <phoneticPr fontId="18" type="noConversion"/>
  </si>
  <si>
    <t>2.依勞基法規定 平假日加班前2小時,以1.34時薪計,大於2小時以1.67時薪計</t>
    <phoneticPr fontId="18" type="noConversion"/>
  </si>
  <si>
    <t>1每月上班出勤工時為 176 小時(22天*8小時),周休二日另給8日薪(64小時),超過出勤工時乃以加班計</t>
    <phoneticPr fontId="18" type="noConversion"/>
  </si>
  <si>
    <t>BW</t>
  </si>
  <si>
    <t>lorah</t>
  </si>
  <si>
    <t>2.依勞基法規定 平假日加班前2小時,以1.34時薪計,大於2小時以1.67時薪計</t>
    <phoneticPr fontId="18" type="noConversion"/>
  </si>
  <si>
    <t>加班率</t>
    <phoneticPr fontId="18" type="noConversion"/>
  </si>
  <si>
    <t>加班申請</t>
    <phoneticPr fontId="18" type="noConversion"/>
  </si>
  <si>
    <t>albert</t>
  </si>
  <si>
    <t>事假</t>
    <phoneticPr fontId="18" type="noConversion"/>
  </si>
  <si>
    <t>病假</t>
    <phoneticPr fontId="18" type="noConversion"/>
  </si>
  <si>
    <t>事假</t>
    <phoneticPr fontId="18" type="noConversion"/>
  </si>
  <si>
    <t>特休</t>
    <phoneticPr fontId="18" type="noConversion"/>
  </si>
  <si>
    <t>時數</t>
    <phoneticPr fontId="18" type="noConversion"/>
  </si>
  <si>
    <t>sam</t>
  </si>
  <si>
    <t>1每月上班出勤工時為 176 小時(22天*8小時),周休二日另給8日薪(64小時),超過出勤工時乃以加班計</t>
    <phoneticPr fontId="18" type="noConversion"/>
  </si>
  <si>
    <t>SAM</t>
  </si>
  <si>
    <t>上班</t>
    <phoneticPr fontId="18" type="noConversion"/>
  </si>
  <si>
    <t>BW</t>
    <phoneticPr fontId="18" type="noConversion"/>
  </si>
  <si>
    <t>假補工時</t>
    <phoneticPr fontId="18" type="noConversion"/>
  </si>
  <si>
    <t>work at home</t>
    <phoneticPr fontId="18" type="noConversion"/>
  </si>
  <si>
    <t xml:space="preserve">  </t>
    <phoneticPr fontId="18" type="noConversion"/>
  </si>
  <si>
    <t>TL</t>
    <phoneticPr fontId="18" type="noConversion"/>
  </si>
  <si>
    <t>B6</t>
    <phoneticPr fontId="18" type="noConversion"/>
  </si>
  <si>
    <t>B6</t>
    <phoneticPr fontId="18" type="noConversion"/>
  </si>
  <si>
    <t>LZ</t>
    <phoneticPr fontId="18" type="noConversion"/>
  </si>
  <si>
    <t>討論 RCAD</t>
    <phoneticPr fontId="18" type="noConversion"/>
  </si>
  <si>
    <t>事假</t>
    <phoneticPr fontId="18" type="noConversion"/>
  </si>
  <si>
    <t>my</t>
  </si>
  <si>
    <t>3.請假以半小時為單位</t>
    <phoneticPr fontId="18" type="noConversion"/>
  </si>
  <si>
    <t>（1）全勤獎金 $1000</t>
  </si>
  <si>
    <t>（4）特休假超過1日部分，才計入計算</t>
  </si>
  <si>
    <t>4. 2017-0201 起新設全勤獎金如下</t>
    <phoneticPr fontId="18" type="noConversion"/>
  </si>
  <si>
    <t>（5）晚到不超過9:00 且當日做滿8HR 不計請假 ，超過9:00應請假</t>
    <phoneticPr fontId="18" type="noConversion"/>
  </si>
  <si>
    <t>（2）請假半日內 (一次) $ 800</t>
    <phoneticPr fontId="18" type="noConversion"/>
  </si>
  <si>
    <t>（3）請假 1日內 (一次)$ 500</t>
    <phoneticPr fontId="18" type="noConversion"/>
  </si>
  <si>
    <t>NICK</t>
  </si>
  <si>
    <t>nick</t>
  </si>
  <si>
    <t>jason</t>
  </si>
  <si>
    <t>yvonne</t>
  </si>
  <si>
    <t>特休剩餘</t>
    <phoneticPr fontId="18" type="noConversion"/>
  </si>
  <si>
    <t>小時</t>
    <phoneticPr fontId="18" type="noConversion"/>
  </si>
  <si>
    <t>全勤獎金</t>
    <phoneticPr fontId="18" type="noConversion"/>
  </si>
  <si>
    <t>JUSTIN</t>
  </si>
  <si>
    <t>MY</t>
  </si>
  <si>
    <t>anne</t>
  </si>
  <si>
    <t>特休</t>
    <phoneticPr fontId="18" type="noConversion"/>
  </si>
  <si>
    <t>出勤時數1</t>
    <phoneticPr fontId="18" type="noConversion"/>
  </si>
  <si>
    <t>出勤時數2</t>
  </si>
  <si>
    <t>加班申請</t>
    <phoneticPr fontId="18" type="noConversion"/>
  </si>
  <si>
    <t>(1)打卡時數</t>
    <phoneticPr fontId="18" type="noConversion"/>
  </si>
  <si>
    <t>(2)加班申請</t>
    <phoneticPr fontId="18" type="noConversion"/>
  </si>
  <si>
    <t>JASON</t>
  </si>
  <si>
    <t>owen</t>
  </si>
  <si>
    <t>willy</t>
  </si>
  <si>
    <t>wilson</t>
  </si>
  <si>
    <t>Wilson</t>
  </si>
  <si>
    <t>AMBER</t>
  </si>
  <si>
    <t>RUBY</t>
  </si>
  <si>
    <t>WILSON</t>
  </si>
  <si>
    <t>leo</t>
  </si>
  <si>
    <t>LEO</t>
  </si>
  <si>
    <t>denver</t>
    <phoneticPr fontId="18" type="noConversion"/>
  </si>
  <si>
    <t>1.34時薪</t>
    <phoneticPr fontId="18" type="noConversion"/>
  </si>
  <si>
    <t>1.67時薪</t>
    <phoneticPr fontId="18" type="noConversion"/>
  </si>
  <si>
    <t>&gt;8hr出勤時數</t>
    <phoneticPr fontId="18" type="noConversion"/>
  </si>
  <si>
    <t>出勤時數2</t>
    <phoneticPr fontId="18" type="noConversion"/>
  </si>
  <si>
    <t>1.34時薪</t>
    <phoneticPr fontId="18" type="noConversion"/>
  </si>
  <si>
    <t>&gt;10hr出勤時數</t>
    <phoneticPr fontId="18" type="noConversion"/>
  </si>
  <si>
    <t>交通費100</t>
    <phoneticPr fontId="18" type="noConversion"/>
  </si>
  <si>
    <t>交通費100(已領)</t>
    <phoneticPr fontId="18" type="noConversion"/>
  </si>
  <si>
    <t>ALBERT</t>
  </si>
  <si>
    <t>an</t>
  </si>
  <si>
    <t>AN</t>
  </si>
  <si>
    <t>kevin</t>
  </si>
  <si>
    <t>KEVIN</t>
  </si>
  <si>
    <t>Leo</t>
  </si>
  <si>
    <t>事假</t>
    <phoneticPr fontId="18" type="noConversion"/>
  </si>
  <si>
    <t>danny</t>
  </si>
  <si>
    <t>jessie</t>
  </si>
  <si>
    <t>Lorah</t>
  </si>
  <si>
    <t>-</t>
  </si>
  <si>
    <t>（4）特休假超過1日(1次)部分，才計入計算</t>
    <phoneticPr fontId="18" type="noConversion"/>
  </si>
  <si>
    <r>
      <t>7</t>
    </r>
    <r>
      <rPr>
        <sz val="12"/>
        <color rgb="FF111AD3"/>
        <rFont val="新細明體"/>
        <family val="1"/>
        <charset val="136"/>
        <scheme val="minor"/>
      </rPr>
      <t>0元/hr</t>
    </r>
    <phoneticPr fontId="18" type="noConversion"/>
  </si>
  <si>
    <t>獎金</t>
    <phoneticPr fontId="18" type="noConversion"/>
  </si>
  <si>
    <t>Amber</t>
  </si>
  <si>
    <t>wj</t>
  </si>
  <si>
    <t>WJ</t>
  </si>
  <si>
    <t>事假</t>
    <phoneticPr fontId="18" type="noConversion"/>
  </si>
  <si>
    <t>scott</t>
  </si>
  <si>
    <t>SCOTT</t>
  </si>
  <si>
    <r>
      <rPr>
        <sz val="12"/>
        <color theme="1"/>
        <rFont val="微軟正黑體"/>
        <family val="2"/>
        <charset val="136"/>
      </rPr>
      <t>上班</t>
    </r>
  </si>
  <si>
    <r>
      <rPr>
        <sz val="12"/>
        <color theme="1"/>
        <rFont val="微軟正黑體"/>
        <family val="2"/>
        <charset val="136"/>
      </rPr>
      <t>下班</t>
    </r>
  </si>
  <si>
    <r>
      <rPr>
        <sz val="12"/>
        <color theme="1"/>
        <rFont val="微軟正黑體"/>
        <family val="2"/>
        <charset val="136"/>
      </rPr>
      <t>加班</t>
    </r>
  </si>
  <si>
    <r>
      <rPr>
        <sz val="12"/>
        <color theme="1"/>
        <rFont val="微軟正黑體"/>
        <family val="2"/>
        <charset val="136"/>
      </rPr>
      <t>加班結束</t>
    </r>
  </si>
  <si>
    <r>
      <rPr>
        <sz val="12"/>
        <color rgb="FFFF0000"/>
        <rFont val="微軟正黑體"/>
        <family val="2"/>
        <charset val="136"/>
      </rPr>
      <t>下班</t>
    </r>
  </si>
  <si>
    <r>
      <rPr>
        <sz val="12"/>
        <color rgb="FF111AD3"/>
        <rFont val="微軟正黑體"/>
        <family val="2"/>
        <charset val="136"/>
      </rPr>
      <t>上班</t>
    </r>
  </si>
  <si>
    <r>
      <rPr>
        <sz val="12"/>
        <color rgb="FF111AD3"/>
        <rFont val="微軟正黑體"/>
        <family val="2"/>
        <charset val="136"/>
      </rPr>
      <t>下班</t>
    </r>
  </si>
  <si>
    <t>Danny</t>
  </si>
  <si>
    <t>DANNy</t>
  </si>
  <si>
    <t>dAnNy</t>
  </si>
  <si>
    <t>4. 2017-0201 起新設全勤獎金如下</t>
    <phoneticPr fontId="18" type="noConversion"/>
  </si>
  <si>
    <t>（5）晚到不超過9:00 且當日做滿8HR 不計請假 ，超過9:00應請假</t>
    <phoneticPr fontId="18" type="noConversion"/>
  </si>
  <si>
    <r>
      <rPr>
        <sz val="12"/>
        <color theme="5" tint="-0.249977111117893"/>
        <rFont val="微軟正黑體"/>
        <family val="2"/>
        <charset val="136"/>
      </rPr>
      <t>下班</t>
    </r>
  </si>
  <si>
    <r>
      <rPr>
        <sz val="12"/>
        <color theme="5" tint="-0.249977111117893"/>
        <rFont val="微軟正黑體"/>
        <family val="2"/>
        <charset val="136"/>
      </rPr>
      <t>加班</t>
    </r>
  </si>
  <si>
    <r>
      <rPr>
        <sz val="12"/>
        <color theme="5" tint="-0.249977111117893"/>
        <rFont val="微軟正黑體"/>
        <family val="2"/>
        <charset val="136"/>
      </rPr>
      <t>加班結束</t>
    </r>
  </si>
  <si>
    <t>特休</t>
    <phoneticPr fontId="18" type="noConversion"/>
  </si>
  <si>
    <r>
      <rPr>
        <sz val="12"/>
        <color rgb="FFFF0000"/>
        <rFont val="微軟正黑體"/>
        <family val="2"/>
        <charset val="136"/>
      </rPr>
      <t>上班</t>
    </r>
  </si>
  <si>
    <t xml:space="preserve"> </t>
    <phoneticPr fontId="18" type="noConversion"/>
  </si>
  <si>
    <t>jw</t>
  </si>
  <si>
    <t>JW</t>
  </si>
  <si>
    <t>Kevin</t>
  </si>
  <si>
    <t>Lisa</t>
  </si>
  <si>
    <t>lisa</t>
  </si>
  <si>
    <t>LISA</t>
  </si>
  <si>
    <t>My</t>
  </si>
  <si>
    <t>Nick</t>
  </si>
  <si>
    <r>
      <rPr>
        <sz val="12"/>
        <color theme="7" tint="-0.249977111117893"/>
        <rFont val="微軟正黑體"/>
        <family val="2"/>
        <charset val="136"/>
      </rPr>
      <t>上班</t>
    </r>
  </si>
  <si>
    <r>
      <rPr>
        <sz val="12"/>
        <color rgb="FF111AD3"/>
        <rFont val="微軟正黑體"/>
        <family val="2"/>
        <charset val="136"/>
      </rPr>
      <t>加班結束</t>
    </r>
  </si>
  <si>
    <t>JESSIE</t>
  </si>
  <si>
    <t>Jessie</t>
  </si>
  <si>
    <r>
      <rPr>
        <sz val="12"/>
        <color theme="1"/>
        <rFont val="微軟正黑體"/>
        <family val="2"/>
        <charset val="136"/>
      </rPr>
      <t>公出返回</t>
    </r>
  </si>
  <si>
    <t>NICk</t>
  </si>
  <si>
    <r>
      <rPr>
        <sz val="12"/>
        <color rgb="FFFF0000"/>
        <rFont val="微軟正黑體"/>
        <family val="2"/>
        <charset val="136"/>
      </rPr>
      <t>加班結束</t>
    </r>
  </si>
  <si>
    <t>WILLY</t>
  </si>
  <si>
    <t xml:space="preserve"> </t>
    <phoneticPr fontId="18" type="noConversion"/>
  </si>
  <si>
    <t>特休</t>
    <phoneticPr fontId="18" type="noConversion"/>
  </si>
  <si>
    <t>雙十節</t>
    <phoneticPr fontId="18" type="noConversion"/>
  </si>
  <si>
    <t>備註</t>
    <phoneticPr fontId="18" type="noConversion"/>
  </si>
  <si>
    <r>
      <rPr>
        <sz val="12"/>
        <rFont val="微軟正黑體"/>
        <family val="2"/>
        <charset val="136"/>
      </rPr>
      <t>下班</t>
    </r>
  </si>
  <si>
    <t>特休??</t>
    <phoneticPr fontId="18" type="noConversion"/>
  </si>
  <si>
    <t>病假</t>
    <phoneticPr fontId="18" type="noConversion"/>
  </si>
  <si>
    <t>公出</t>
    <phoneticPr fontId="18" type="noConversion"/>
  </si>
  <si>
    <t>新竹</t>
    <phoneticPr fontId="18" type="noConversion"/>
  </si>
  <si>
    <t>假日加班</t>
    <phoneticPr fontId="18" type="noConversion"/>
  </si>
  <si>
    <t>忘記打，桌球活動</t>
    <phoneticPr fontId="18" type="noConversion"/>
  </si>
  <si>
    <t>$250/hr</t>
    <phoneticPr fontId="18" type="noConversion"/>
  </si>
  <si>
    <t>事假</t>
    <phoneticPr fontId="18" type="noConversion"/>
  </si>
  <si>
    <t>Ruby</t>
  </si>
  <si>
    <t>Project</t>
    <phoneticPr fontId="18" type="noConversion"/>
  </si>
  <si>
    <t>Current version</t>
    <phoneticPr fontId="18" type="noConversion"/>
  </si>
  <si>
    <t xml:space="preserve"> </t>
  </si>
  <si>
    <r>
      <rPr>
        <sz val="12"/>
        <color rgb="FF0070C0"/>
        <rFont val="微軟正黑體"/>
        <family val="2"/>
        <charset val="136"/>
      </rPr>
      <t>下班</t>
    </r>
  </si>
  <si>
    <r>
      <rPr>
        <sz val="12"/>
        <color theme="1"/>
        <rFont val="微軟正黑體"/>
        <family val="2"/>
        <charset val="136"/>
      </rPr>
      <t>公出</t>
    </r>
  </si>
  <si>
    <t>1.0.0</t>
    <phoneticPr fontId="18" type="noConversion"/>
  </si>
  <si>
    <t>For Intern</t>
    <phoneticPr fontId="18" type="noConversion"/>
  </si>
  <si>
    <t>Intern Records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</si>
</sst>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[$-404]aaa;@"/>
    <numFmt numFmtId="177" formatCode="0.00_);[Red]\(0.00\)"/>
    <numFmt numFmtId="178" formatCode="[=0]&quot;-&quot;;0.00"/>
    <numFmt numFmtId="179" formatCode="0.0_ "/>
    <numFmt numFmtId="180" formatCode="[=0]&quot;-&quot;;0.0"/>
    <numFmt numFmtId="181" formatCode="0.0%"/>
    <numFmt numFmtId="182" formatCode="0.00_ "/>
    <numFmt numFmtId="183" formatCode="0.0"/>
    <numFmt numFmtId="184" formatCode="0.000_);[Red]\(0.000\)"/>
    <numFmt numFmtId="185" formatCode="0.000"/>
  </numFmts>
  <fonts count="94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sz val="20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</font>
    <font>
      <sz val="12"/>
      <color theme="4"/>
      <name val="新細明體"/>
      <family val="1"/>
      <charset val="136"/>
      <scheme val="minor"/>
    </font>
    <font>
      <sz val="12"/>
      <color rgb="FF0070C0"/>
      <name val="新細明體"/>
      <family val="1"/>
      <charset val="136"/>
      <scheme val="minor"/>
    </font>
    <font>
      <sz val="12"/>
      <color theme="1"/>
      <name val="Calibri"/>
      <family val="2"/>
    </font>
    <font>
      <sz val="12"/>
      <color rgb="FF111AD3"/>
      <name val="Calibri"/>
      <family val="2"/>
    </font>
    <font>
      <sz val="12"/>
      <color rgb="FFFF0000"/>
      <name val="Calibri"/>
      <family val="2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Calibri"/>
      <family val="2"/>
    </font>
    <font>
      <sz val="12"/>
      <color rgb="FFFF0000"/>
      <name val="微軟正黑體"/>
      <family val="2"/>
      <charset val="136"/>
    </font>
    <font>
      <sz val="12"/>
      <color rgb="FF111AD3"/>
      <name val="微軟正黑體"/>
      <family val="2"/>
      <charset val="136"/>
    </font>
    <font>
      <sz val="12"/>
      <color theme="5" tint="-0.249977111117893"/>
      <name val="Calibri"/>
      <family val="2"/>
    </font>
    <font>
      <sz val="12"/>
      <color theme="5" tint="-0.249977111117893"/>
      <name val="微軟正黑體"/>
      <family val="2"/>
      <charset val="136"/>
    </font>
    <font>
      <sz val="12"/>
      <color theme="1"/>
      <name val="Times New Roman"/>
      <family val="2"/>
      <charset val="136"/>
    </font>
    <font>
      <sz val="12"/>
      <color theme="1"/>
      <name val="細明體"/>
      <family val="3"/>
      <charset val="136"/>
    </font>
    <font>
      <sz val="12"/>
      <color theme="7" tint="-0.249977111117893"/>
      <name val="Calibri"/>
      <family val="2"/>
    </font>
    <font>
      <sz val="12"/>
      <color theme="7" tint="-0.249977111117893"/>
      <name val="微軟正黑體"/>
      <family val="2"/>
      <charset val="136"/>
    </font>
    <font>
      <sz val="12"/>
      <color rgb="FF111AD3"/>
      <name val="新細明體"/>
      <family val="1"/>
      <charset val="136"/>
    </font>
    <font>
      <sz val="12"/>
      <name val="微軟正黑體"/>
      <family val="2"/>
      <charset val="136"/>
    </font>
    <font>
      <sz val="12"/>
      <color theme="9"/>
      <name val="Calibri"/>
      <family val="2"/>
    </font>
    <font>
      <sz val="12"/>
      <color theme="9"/>
      <name val="微軟正黑體"/>
      <family val="2"/>
      <charset val="136"/>
    </font>
    <font>
      <sz val="12"/>
      <color theme="9"/>
      <name val="新細明體"/>
      <family val="1"/>
      <charset val="136"/>
      <scheme val="minor"/>
    </font>
    <font>
      <sz val="12"/>
      <color theme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rgb="FF0070C0"/>
      <name val="微軟正黑體"/>
      <family val="2"/>
      <charset val="136"/>
    </font>
    <font>
      <sz val="12"/>
      <color rgb="FF0070C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5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3" fillId="4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80" fillId="0" borderId="0">
      <alignment vertical="center"/>
    </xf>
    <xf numFmtId="0" fontId="90" fillId="0" borderId="0" applyNumberFormat="0" applyFill="0" applyBorder="0" applyAlignment="0" applyProtection="0">
      <alignment vertical="center"/>
    </xf>
  </cellStyleXfs>
  <cellXfs count="689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14" fillId="0" borderId="0" xfId="0" applyFont="1">
      <alignment vertical="center"/>
    </xf>
    <xf numFmtId="0" fontId="0" fillId="0" borderId="0" xfId="0" applyAlignment="1">
      <alignment horizontal="center" vertical="center"/>
    </xf>
    <xf numFmtId="0" fontId="21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21" fillId="35" borderId="0" xfId="0" applyFont="1" applyFill="1" applyBorder="1" applyAlignment="1">
      <alignment horizontal="center" vertical="center"/>
    </xf>
    <xf numFmtId="0" fontId="0" fillId="34" borderId="10" xfId="0" applyFill="1" applyBorder="1" applyAlignment="1">
      <alignment horizontal="center" vertical="center"/>
    </xf>
    <xf numFmtId="0" fontId="14" fillId="35" borderId="0" xfId="0" applyFont="1" applyFill="1">
      <alignment vertical="center"/>
    </xf>
    <xf numFmtId="0" fontId="0" fillId="35" borderId="0" xfId="0" applyFill="1">
      <alignment vertical="center"/>
    </xf>
    <xf numFmtId="0" fontId="24" fillId="35" borderId="0" xfId="0" applyFont="1" applyFill="1" applyBorder="1">
      <alignment vertical="center"/>
    </xf>
    <xf numFmtId="0" fontId="24" fillId="35" borderId="0" xfId="0" applyFont="1" applyFill="1" applyBorder="1" applyAlignment="1">
      <alignment horizontal="right" vertical="center"/>
    </xf>
    <xf numFmtId="177" fontId="25" fillId="35" borderId="0" xfId="0" applyNumberFormat="1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center" vertical="center"/>
    </xf>
    <xf numFmtId="0" fontId="26" fillId="35" borderId="0" xfId="8" applyFont="1" applyFill="1" applyBorder="1" applyAlignment="1">
      <alignment horizontal="center" vertical="center"/>
    </xf>
    <xf numFmtId="0" fontId="27" fillId="34" borderId="10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right" vertical="center"/>
    </xf>
    <xf numFmtId="0" fontId="19" fillId="35" borderId="0" xfId="0" applyFont="1" applyFill="1">
      <alignment vertical="center"/>
    </xf>
    <xf numFmtId="0" fontId="21" fillId="35" borderId="0" xfId="0" applyFont="1" applyFill="1">
      <alignment vertical="center"/>
    </xf>
    <xf numFmtId="0" fontId="27" fillId="35" borderId="10" xfId="0" applyFont="1" applyFill="1" applyBorder="1" applyAlignment="1">
      <alignment horizontal="center" vertical="center"/>
    </xf>
    <xf numFmtId="0" fontId="27" fillId="35" borderId="0" xfId="7" applyFont="1" applyFill="1" applyAlignment="1">
      <alignment horizontal="center" vertical="center"/>
    </xf>
    <xf numFmtId="0" fontId="27" fillId="35" borderId="0" xfId="8" applyFont="1" applyFill="1" applyAlignment="1">
      <alignment horizontal="center" vertical="center"/>
    </xf>
    <xf numFmtId="0" fontId="0" fillId="33" borderId="12" xfId="0" applyFill="1" applyBorder="1" applyAlignment="1">
      <alignment horizontal="center" vertical="center"/>
    </xf>
    <xf numFmtId="0" fontId="0" fillId="33" borderId="15" xfId="0" applyFill="1" applyBorder="1" applyAlignment="1">
      <alignment horizontal="center" vertical="center"/>
    </xf>
    <xf numFmtId="0" fontId="27" fillId="33" borderId="16" xfId="0" applyFont="1" applyFill="1" applyBorder="1">
      <alignment vertical="center"/>
    </xf>
    <xf numFmtId="0" fontId="27" fillId="33" borderId="16" xfId="0" applyFont="1" applyFill="1" applyBorder="1" applyAlignment="1">
      <alignment horizontal="right" vertical="center"/>
    </xf>
    <xf numFmtId="0" fontId="26" fillId="35" borderId="0" xfId="0" applyFont="1" applyFill="1" applyBorder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0" fillId="33" borderId="13" xfId="0" applyFill="1" applyBorder="1" applyAlignment="1">
      <alignment horizontal="center" vertical="center"/>
    </xf>
    <xf numFmtId="0" fontId="0" fillId="33" borderId="16" xfId="0" applyFill="1" applyBorder="1" applyAlignment="1">
      <alignment horizontal="center" vertical="center"/>
    </xf>
    <xf numFmtId="176" fontId="27" fillId="35" borderId="11" xfId="0" applyNumberFormat="1" applyFont="1" applyFill="1" applyBorder="1">
      <alignment vertical="center"/>
    </xf>
    <xf numFmtId="22" fontId="27" fillId="35" borderId="11" xfId="0" applyNumberFormat="1" applyFont="1" applyFill="1" applyBorder="1" applyAlignment="1">
      <alignment horizontal="right" vertical="center"/>
    </xf>
    <xf numFmtId="177" fontId="27" fillId="35" borderId="11" xfId="0" applyNumberFormat="1" applyFont="1" applyFill="1" applyBorder="1" applyAlignment="1">
      <alignment horizontal="center" vertical="center"/>
    </xf>
    <xf numFmtId="2" fontId="27" fillId="35" borderId="11" xfId="8" applyNumberFormat="1" applyFont="1" applyFill="1" applyBorder="1" applyAlignment="1">
      <alignment horizontal="center" vertical="center"/>
    </xf>
    <xf numFmtId="178" fontId="27" fillId="35" borderId="11" xfId="8" applyNumberFormat="1" applyFont="1" applyFill="1" applyBorder="1" applyAlignment="1">
      <alignment horizontal="center" vertical="center"/>
    </xf>
    <xf numFmtId="0" fontId="27" fillId="35" borderId="11" xfId="0" applyFont="1" applyFill="1" applyBorder="1" applyAlignment="1">
      <alignment horizontal="center" vertical="center"/>
    </xf>
    <xf numFmtId="0" fontId="0" fillId="34" borderId="12" xfId="0" applyFill="1" applyBorder="1" applyAlignment="1">
      <alignment horizontal="center" vertical="center"/>
    </xf>
    <xf numFmtId="0" fontId="0" fillId="34" borderId="13" xfId="0" applyFill="1" applyBorder="1" applyAlignment="1">
      <alignment horizontal="center" vertical="center"/>
    </xf>
    <xf numFmtId="0" fontId="27" fillId="34" borderId="14" xfId="0" applyFont="1" applyFill="1" applyBorder="1" applyAlignment="1">
      <alignment horizontal="center" vertical="center"/>
    </xf>
    <xf numFmtId="0" fontId="0" fillId="34" borderId="18" xfId="0" applyFill="1" applyBorder="1" applyAlignment="1">
      <alignment horizontal="center" vertical="center"/>
    </xf>
    <xf numFmtId="0" fontId="27" fillId="34" borderId="19" xfId="0" applyFont="1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0" fillId="34" borderId="16" xfId="0" applyFill="1" applyBorder="1" applyAlignment="1">
      <alignment horizontal="center" vertical="center"/>
    </xf>
    <xf numFmtId="2" fontId="27" fillId="34" borderId="16" xfId="7" applyNumberFormat="1" applyFont="1" applyFill="1" applyBorder="1" applyAlignment="1">
      <alignment horizontal="center" vertical="center"/>
    </xf>
    <xf numFmtId="0" fontId="27" fillId="34" borderId="17" xfId="0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left" vertical="center"/>
    </xf>
    <xf numFmtId="179" fontId="0" fillId="35" borderId="0" xfId="0" applyNumberFormat="1" applyFill="1">
      <alignment vertical="center"/>
    </xf>
    <xf numFmtId="0" fontId="0" fillId="35" borderId="0" xfId="0" applyFill="1" applyBorder="1">
      <alignment vertical="center"/>
    </xf>
    <xf numFmtId="179" fontId="0" fillId="0" borderId="0" xfId="0" applyNumberFormat="1">
      <alignment vertical="center"/>
    </xf>
    <xf numFmtId="0" fontId="19" fillId="33" borderId="17" xfId="0" applyFont="1" applyFill="1" applyBorder="1" applyAlignment="1">
      <alignment horizontal="center" vertical="center"/>
    </xf>
    <xf numFmtId="177" fontId="28" fillId="35" borderId="0" xfId="0" applyNumberFormat="1" applyFont="1" applyFill="1" applyAlignment="1">
      <alignment horizontal="center" vertical="center"/>
    </xf>
    <xf numFmtId="2" fontId="19" fillId="33" borderId="16" xfId="7" applyNumberFormat="1" applyFont="1" applyFill="1" applyBorder="1" applyAlignment="1">
      <alignment horizontal="center" vertical="center"/>
    </xf>
    <xf numFmtId="2" fontId="19" fillId="33" borderId="16" xfId="8" applyNumberFormat="1" applyFont="1" applyFill="1" applyBorder="1" applyAlignment="1">
      <alignment horizontal="center" vertical="center"/>
    </xf>
    <xf numFmtId="2" fontId="22" fillId="33" borderId="16" xfId="7" applyNumberFormat="1" applyFont="1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180" fontId="27" fillId="35" borderId="0" xfId="8" applyNumberFormat="1" applyFont="1" applyFill="1" applyAlignment="1">
      <alignment horizontal="center" vertical="center"/>
    </xf>
    <xf numFmtId="181" fontId="0" fillId="35" borderId="0" xfId="42" applyNumberFormat="1" applyFont="1" applyFill="1">
      <alignment vertical="center"/>
    </xf>
    <xf numFmtId="2" fontId="27" fillId="35" borderId="11" xfId="0" applyNumberFormat="1" applyFont="1" applyFill="1" applyBorder="1" applyAlignment="1">
      <alignment horizontal="center" vertical="center"/>
    </xf>
    <xf numFmtId="2" fontId="27" fillId="35" borderId="0" xfId="8" applyNumberFormat="1" applyFont="1" applyFill="1" applyAlignment="1">
      <alignment horizontal="center" vertical="center"/>
    </xf>
    <xf numFmtId="2" fontId="0" fillId="35" borderId="0" xfId="0" applyNumberFormat="1" applyFill="1" applyAlignment="1">
      <alignment horizontal="center" vertical="center"/>
    </xf>
    <xf numFmtId="2" fontId="0" fillId="35" borderId="0" xfId="0" applyNumberFormat="1" applyFill="1">
      <alignment vertical="center"/>
    </xf>
    <xf numFmtId="2" fontId="0" fillId="0" borderId="0" xfId="0" applyNumberFormat="1">
      <alignment vertical="center"/>
    </xf>
    <xf numFmtId="0" fontId="19" fillId="0" borderId="0" xfId="0" applyFont="1">
      <alignment vertical="center"/>
    </xf>
    <xf numFmtId="177" fontId="19" fillId="35" borderId="11" xfId="0" applyNumberFormat="1" applyFont="1" applyFill="1" applyBorder="1" applyAlignment="1">
      <alignment horizontal="center" vertical="center"/>
    </xf>
    <xf numFmtId="178" fontId="19" fillId="35" borderId="11" xfId="8" applyNumberFormat="1" applyFont="1" applyFill="1" applyBorder="1" applyAlignment="1">
      <alignment horizontal="center" vertical="center"/>
    </xf>
    <xf numFmtId="2" fontId="19" fillId="35" borderId="11" xfId="0" applyNumberFormat="1" applyFont="1" applyFill="1" applyBorder="1" applyAlignment="1">
      <alignment horizontal="center" vertical="center"/>
    </xf>
    <xf numFmtId="22" fontId="19" fillId="35" borderId="11" xfId="0" applyNumberFormat="1" applyFont="1" applyFill="1" applyBorder="1" applyAlignment="1">
      <alignment horizontal="right" vertical="center"/>
    </xf>
    <xf numFmtId="2" fontId="19" fillId="35" borderId="11" xfId="8" applyNumberFormat="1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right" vertical="center"/>
    </xf>
    <xf numFmtId="2" fontId="23" fillId="34" borderId="13" xfId="0" applyNumberFormat="1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right" vertical="center"/>
    </xf>
    <xf numFmtId="2" fontId="23" fillId="34" borderId="10" xfId="0" applyNumberFormat="1" applyFont="1" applyFill="1" applyBorder="1" applyAlignment="1">
      <alignment horizontal="center" vertical="center"/>
    </xf>
    <xf numFmtId="0" fontId="23" fillId="34" borderId="15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6" xfId="0" applyFont="1" applyFill="1" applyBorder="1">
      <alignment vertical="center"/>
    </xf>
    <xf numFmtId="0" fontId="23" fillId="34" borderId="16" xfId="0" applyFont="1" applyFill="1" applyBorder="1" applyAlignment="1">
      <alignment horizontal="right" vertical="center"/>
    </xf>
    <xf numFmtId="2" fontId="23" fillId="34" borderId="16" xfId="7" applyNumberFormat="1" applyFont="1" applyFill="1" applyBorder="1" applyAlignment="1">
      <alignment horizontal="center" vertical="center"/>
    </xf>
    <xf numFmtId="0" fontId="23" fillId="33" borderId="13" xfId="0" applyFont="1" applyFill="1" applyBorder="1">
      <alignment vertical="center"/>
    </xf>
    <xf numFmtId="0" fontId="23" fillId="33" borderId="13" xfId="0" applyFont="1" applyFill="1" applyBorder="1" applyAlignment="1">
      <alignment horizontal="right" vertical="center"/>
    </xf>
    <xf numFmtId="0" fontId="23" fillId="33" borderId="13" xfId="7" applyFont="1" applyFill="1" applyBorder="1" applyAlignment="1">
      <alignment horizontal="center" vertical="center"/>
    </xf>
    <xf numFmtId="0" fontId="23" fillId="33" borderId="13" xfId="8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/>
    </xf>
    <xf numFmtId="177" fontId="23" fillId="33" borderId="13" xfId="0" applyNumberFormat="1" applyFont="1" applyFill="1" applyBorder="1" applyAlignment="1">
      <alignment horizontal="center" vertical="center"/>
    </xf>
    <xf numFmtId="0" fontId="23" fillId="33" borderId="14" xfId="0" applyFont="1" applyFill="1" applyBorder="1" applyAlignment="1">
      <alignment horizontal="center" vertical="center"/>
    </xf>
    <xf numFmtId="0" fontId="19" fillId="34" borderId="10" xfId="0" applyFont="1" applyFill="1" applyBorder="1" applyAlignment="1">
      <alignment horizontal="center" vertical="center"/>
    </xf>
    <xf numFmtId="0" fontId="19" fillId="34" borderId="18" xfId="0" applyFont="1" applyFill="1" applyBorder="1" applyAlignment="1">
      <alignment horizontal="center" vertical="center"/>
    </xf>
    <xf numFmtId="2" fontId="23" fillId="33" borderId="16" xfId="7" applyNumberFormat="1" applyFont="1" applyFill="1" applyBorder="1" applyAlignment="1">
      <alignment horizontal="center" vertical="center"/>
    </xf>
    <xf numFmtId="176" fontId="23" fillId="35" borderId="11" xfId="0" applyNumberFormat="1" applyFont="1" applyFill="1" applyBorder="1">
      <alignment vertical="center"/>
    </xf>
    <xf numFmtId="22" fontId="23" fillId="35" borderId="11" xfId="0" applyNumberFormat="1" applyFont="1" applyFill="1" applyBorder="1" applyAlignment="1">
      <alignment horizontal="right" vertical="center"/>
    </xf>
    <xf numFmtId="177" fontId="23" fillId="35" borderId="11" xfId="0" applyNumberFormat="1" applyFont="1" applyFill="1" applyBorder="1" applyAlignment="1">
      <alignment horizontal="center" vertical="center"/>
    </xf>
    <xf numFmtId="2" fontId="23" fillId="35" borderId="11" xfId="0" applyNumberFormat="1" applyFont="1" applyFill="1" applyBorder="1" applyAlignment="1">
      <alignment horizontal="center" vertical="center"/>
    </xf>
    <xf numFmtId="2" fontId="23" fillId="35" borderId="11" xfId="8" applyNumberFormat="1" applyFont="1" applyFill="1" applyBorder="1" applyAlignment="1">
      <alignment horizontal="center" vertical="center"/>
    </xf>
    <xf numFmtId="178" fontId="23" fillId="35" borderId="11" xfId="8" applyNumberFormat="1" applyFont="1" applyFill="1" applyBorder="1" applyAlignment="1">
      <alignment horizontal="center" vertical="center"/>
    </xf>
    <xf numFmtId="0" fontId="23" fillId="35" borderId="10" xfId="0" applyFont="1" applyFill="1" applyBorder="1" applyAlignment="1">
      <alignment horizontal="center" vertical="center"/>
    </xf>
    <xf numFmtId="0" fontId="23" fillId="34" borderId="13" xfId="0" applyFont="1" applyFill="1" applyBorder="1">
      <alignment vertical="center"/>
    </xf>
    <xf numFmtId="177" fontId="23" fillId="34" borderId="13" xfId="0" applyNumberFormat="1" applyFont="1" applyFill="1" applyBorder="1" applyAlignment="1">
      <alignment horizontal="center" vertical="center"/>
    </xf>
    <xf numFmtId="0" fontId="23" fillId="34" borderId="14" xfId="0" applyFont="1" applyFill="1" applyBorder="1" applyAlignment="1">
      <alignment horizontal="center" vertical="center"/>
    </xf>
    <xf numFmtId="0" fontId="23" fillId="34" borderId="10" xfId="0" applyFont="1" applyFill="1" applyBorder="1">
      <alignment vertical="center"/>
    </xf>
    <xf numFmtId="0" fontId="23" fillId="34" borderId="10" xfId="0" applyFont="1" applyFill="1" applyBorder="1" applyAlignment="1">
      <alignment horizontal="center" vertical="center"/>
    </xf>
    <xf numFmtId="177" fontId="23" fillId="34" borderId="10" xfId="0" applyNumberFormat="1" applyFont="1" applyFill="1" applyBorder="1" applyAlignment="1">
      <alignment horizontal="center" vertical="center"/>
    </xf>
    <xf numFmtId="0" fontId="23" fillId="34" borderId="19" xfId="0" applyFont="1" applyFill="1" applyBorder="1" applyAlignment="1">
      <alignment horizontal="center" vertical="center"/>
    </xf>
    <xf numFmtId="0" fontId="23" fillId="34" borderId="17" xfId="0" applyFont="1" applyFill="1" applyBorder="1" applyAlignment="1">
      <alignment horizontal="center" vertical="center"/>
    </xf>
    <xf numFmtId="176" fontId="22" fillId="35" borderId="11" xfId="0" applyNumberFormat="1" applyFont="1" applyFill="1" applyBorder="1">
      <alignment vertical="center"/>
    </xf>
    <xf numFmtId="0" fontId="22" fillId="33" borderId="13" xfId="0" applyFont="1" applyFill="1" applyBorder="1">
      <alignment vertical="center"/>
    </xf>
    <xf numFmtId="0" fontId="22" fillId="33" borderId="13" xfId="0" applyFont="1" applyFill="1" applyBorder="1" applyAlignment="1">
      <alignment horizontal="right" vertical="center"/>
    </xf>
    <xf numFmtId="0" fontId="22" fillId="33" borderId="13" xfId="7" applyFont="1" applyFill="1" applyBorder="1" applyAlignment="1">
      <alignment horizontal="center" vertical="center"/>
    </xf>
    <xf numFmtId="0" fontId="22" fillId="33" borderId="13" xfId="8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177" fontId="22" fillId="33" borderId="13" xfId="0" applyNumberFormat="1" applyFont="1" applyFill="1" applyBorder="1" applyAlignment="1">
      <alignment horizontal="center" vertical="center"/>
    </xf>
    <xf numFmtId="0" fontId="22" fillId="33" borderId="14" xfId="0" applyFont="1" applyFill="1" applyBorder="1" applyAlignment="1">
      <alignment horizontal="center" vertical="center"/>
    </xf>
    <xf numFmtId="0" fontId="22" fillId="34" borderId="13" xfId="0" applyFont="1" applyFill="1" applyBorder="1">
      <alignment vertical="center"/>
    </xf>
    <xf numFmtId="0" fontId="22" fillId="34" borderId="13" xfId="0" applyFont="1" applyFill="1" applyBorder="1" applyAlignment="1">
      <alignment horizontal="right" vertical="center"/>
    </xf>
    <xf numFmtId="177" fontId="22" fillId="34" borderId="13" xfId="0" applyNumberFormat="1" applyFont="1" applyFill="1" applyBorder="1" applyAlignment="1">
      <alignment horizontal="center" vertical="center"/>
    </xf>
    <xf numFmtId="0" fontId="22" fillId="34" borderId="14" xfId="0" applyFont="1" applyFill="1" applyBorder="1" applyAlignment="1">
      <alignment horizontal="center" vertical="center"/>
    </xf>
    <xf numFmtId="0" fontId="22" fillId="34" borderId="10" xfId="0" applyFont="1" applyFill="1" applyBorder="1">
      <alignment vertical="center"/>
    </xf>
    <xf numFmtId="0" fontId="22" fillId="34" borderId="10" xfId="0" applyFont="1" applyFill="1" applyBorder="1" applyAlignment="1">
      <alignment horizontal="right" vertical="center"/>
    </xf>
    <xf numFmtId="0" fontId="22" fillId="34" borderId="10" xfId="0" applyFont="1" applyFill="1" applyBorder="1" applyAlignment="1">
      <alignment horizontal="center" vertical="center"/>
    </xf>
    <xf numFmtId="177" fontId="22" fillId="34" borderId="10" xfId="0" applyNumberFormat="1" applyFont="1" applyFill="1" applyBorder="1" applyAlignment="1">
      <alignment horizontal="center" vertical="center"/>
    </xf>
    <xf numFmtId="0" fontId="22" fillId="34" borderId="19" xfId="0" applyFont="1" applyFill="1" applyBorder="1" applyAlignment="1">
      <alignment horizontal="center" vertical="center"/>
    </xf>
    <xf numFmtId="0" fontId="22" fillId="34" borderId="16" xfId="0" applyFont="1" applyFill="1" applyBorder="1">
      <alignment vertical="center"/>
    </xf>
    <xf numFmtId="0" fontId="22" fillId="34" borderId="16" xfId="0" applyFont="1" applyFill="1" applyBorder="1" applyAlignment="1">
      <alignment horizontal="right" vertical="center"/>
    </xf>
    <xf numFmtId="0" fontId="22" fillId="34" borderId="16" xfId="0" applyFont="1" applyFill="1" applyBorder="1" applyAlignment="1">
      <alignment horizontal="center" vertical="center"/>
    </xf>
    <xf numFmtId="2" fontId="22" fillId="34" borderId="16" xfId="7" applyNumberFormat="1" applyFont="1" applyFill="1" applyBorder="1" applyAlignment="1">
      <alignment horizontal="center" vertical="center"/>
    </xf>
    <xf numFmtId="22" fontId="22" fillId="35" borderId="11" xfId="0" applyNumberFormat="1" applyFont="1" applyFill="1" applyBorder="1" applyAlignment="1">
      <alignment horizontal="right" vertical="center"/>
    </xf>
    <xf numFmtId="177" fontId="22" fillId="35" borderId="11" xfId="0" applyNumberFormat="1" applyFont="1" applyFill="1" applyBorder="1" applyAlignment="1">
      <alignment horizontal="center" vertical="center"/>
    </xf>
    <xf numFmtId="2" fontId="22" fillId="35" borderId="11" xfId="0" applyNumberFormat="1" applyFont="1" applyFill="1" applyBorder="1" applyAlignment="1">
      <alignment horizontal="center" vertical="center"/>
    </xf>
    <xf numFmtId="2" fontId="22" fillId="35" borderId="11" xfId="8" applyNumberFormat="1" applyFont="1" applyFill="1" applyBorder="1" applyAlignment="1">
      <alignment horizontal="center" vertical="center"/>
    </xf>
    <xf numFmtId="178" fontId="22" fillId="35" borderId="11" xfId="8" applyNumberFormat="1" applyFont="1" applyFill="1" applyBorder="1" applyAlignment="1">
      <alignment horizontal="center" vertical="center"/>
    </xf>
    <xf numFmtId="0" fontId="23" fillId="0" borderId="0" xfId="0" applyFont="1">
      <alignment vertical="center"/>
    </xf>
    <xf numFmtId="0" fontId="20" fillId="33" borderId="13" xfId="0" applyFont="1" applyFill="1" applyBorder="1" applyAlignment="1">
      <alignment horizontal="center" vertical="center"/>
    </xf>
    <xf numFmtId="0" fontId="20" fillId="33" borderId="13" xfId="0" applyFont="1" applyFill="1" applyBorder="1">
      <alignment vertical="center"/>
    </xf>
    <xf numFmtId="0" fontId="23" fillId="33" borderId="12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176" fontId="19" fillId="35" borderId="11" xfId="0" applyNumberFormat="1" applyFont="1" applyFill="1" applyBorder="1">
      <alignment vertical="center"/>
    </xf>
    <xf numFmtId="2" fontId="19" fillId="34" borderId="10" xfId="0" applyNumberFormat="1" applyFont="1" applyFill="1" applyBorder="1" applyAlignment="1">
      <alignment horizontal="center" vertical="center"/>
    </xf>
    <xf numFmtId="0" fontId="27" fillId="35" borderId="0" xfId="0" applyFont="1" applyFill="1">
      <alignment vertical="center"/>
    </xf>
    <xf numFmtId="0" fontId="27" fillId="0" borderId="10" xfId="0" applyFont="1" applyBorder="1">
      <alignment vertical="center"/>
    </xf>
    <xf numFmtId="2" fontId="19" fillId="34" borderId="21" xfId="0" applyNumberFormat="1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1" xfId="0" applyBorder="1">
      <alignment vertical="center"/>
    </xf>
    <xf numFmtId="22" fontId="0" fillId="0" borderId="11" xfId="0" applyNumberFormat="1" applyBorder="1">
      <alignment vertical="center"/>
    </xf>
    <xf numFmtId="0" fontId="0" fillId="0" borderId="10" xfId="0" applyBorder="1">
      <alignment vertical="center"/>
    </xf>
    <xf numFmtId="22" fontId="0" fillId="0" borderId="10" xfId="0" applyNumberFormat="1" applyBorder="1">
      <alignment vertical="center"/>
    </xf>
    <xf numFmtId="0" fontId="29" fillId="0" borderId="0" xfId="0" applyFont="1" applyBorder="1">
      <alignment vertical="center"/>
    </xf>
    <xf numFmtId="22" fontId="27" fillId="0" borderId="10" xfId="0" applyNumberFormat="1" applyFont="1" applyBorder="1">
      <alignment vertical="center"/>
    </xf>
    <xf numFmtId="0" fontId="19" fillId="35" borderId="10" xfId="0" applyFont="1" applyFill="1" applyBorder="1" applyAlignment="1">
      <alignment horizontal="center" vertical="center"/>
    </xf>
    <xf numFmtId="0" fontId="20" fillId="0" borderId="0" xfId="0" applyFont="1" applyBorder="1">
      <alignment vertical="center"/>
    </xf>
    <xf numFmtId="0" fontId="23" fillId="35" borderId="0" xfId="0" applyFont="1" applyFill="1">
      <alignment vertical="center"/>
    </xf>
    <xf numFmtId="182" fontId="19" fillId="34" borderId="10" xfId="0" applyNumberFormat="1" applyFont="1" applyFill="1" applyBorder="1" applyAlignment="1">
      <alignment horizontal="center" vertical="center"/>
    </xf>
    <xf numFmtId="0" fontId="23" fillId="0" borderId="0" xfId="0" applyFont="1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22" fontId="0" fillId="0" borderId="11" xfId="0" applyNumberFormat="1" applyBorder="1" applyAlignment="1">
      <alignment horizontal="right" vertical="center"/>
    </xf>
    <xf numFmtId="0" fontId="0" fillId="0" borderId="10" xfId="0" applyBorder="1" applyAlignment="1">
      <alignment horizontal="center" vertical="center"/>
    </xf>
    <xf numFmtId="22" fontId="0" fillId="0" borderId="10" xfId="0" applyNumberFormat="1" applyBorder="1" applyAlignment="1">
      <alignment horizontal="right" vertical="center"/>
    </xf>
    <xf numFmtId="0" fontId="29" fillId="0" borderId="0" xfId="0" applyFont="1" applyBorder="1" applyAlignment="1">
      <alignment horizontal="center" vertical="center"/>
    </xf>
    <xf numFmtId="22" fontId="27" fillId="0" borderId="10" xfId="0" applyNumberFormat="1" applyFont="1" applyBorder="1" applyAlignment="1">
      <alignment horizontal="right" vertical="center"/>
    </xf>
    <xf numFmtId="0" fontId="27" fillId="0" borderId="0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22" fontId="0" fillId="0" borderId="0" xfId="0" applyNumberFormat="1" applyBorder="1" applyAlignment="1">
      <alignment horizontal="right" vertical="center"/>
    </xf>
    <xf numFmtId="2" fontId="19" fillId="34" borderId="18" xfId="0" applyNumberFormat="1" applyFont="1" applyFill="1" applyBorder="1" applyAlignment="1">
      <alignment horizontal="center" vertical="center"/>
    </xf>
    <xf numFmtId="0" fontId="29" fillId="0" borderId="10" xfId="0" applyFont="1" applyBorder="1" applyAlignment="1">
      <alignment horizontal="center" vertical="center"/>
    </xf>
    <xf numFmtId="0" fontId="22" fillId="35" borderId="1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9" fillId="0" borderId="0" xfId="0" applyFont="1" applyAlignment="1">
      <alignment horizontal="right" vertical="center"/>
    </xf>
    <xf numFmtId="177" fontId="30" fillId="35" borderId="0" xfId="0" applyNumberFormat="1" applyFont="1" applyFill="1" applyAlignment="1">
      <alignment horizontal="center" vertical="center"/>
    </xf>
    <xf numFmtId="0" fontId="19" fillId="35" borderId="0" xfId="7" applyFont="1" applyFill="1" applyAlignment="1">
      <alignment horizontal="center" vertical="center"/>
    </xf>
    <xf numFmtId="0" fontId="19" fillId="35" borderId="0" xfId="8" applyFont="1" applyFill="1" applyAlignment="1">
      <alignment horizontal="center" vertical="center"/>
    </xf>
    <xf numFmtId="0" fontId="19" fillId="35" borderId="0" xfId="0" applyFont="1" applyFill="1" applyAlignment="1">
      <alignment horizontal="center" vertical="center"/>
    </xf>
    <xf numFmtId="0" fontId="23" fillId="35" borderId="11" xfId="0" applyFont="1" applyFill="1" applyBorder="1" applyAlignment="1">
      <alignment horizontal="center" vertical="center"/>
    </xf>
    <xf numFmtId="0" fontId="20" fillId="35" borderId="0" xfId="0" applyFont="1" applyFill="1">
      <alignment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177" fontId="31" fillId="35" borderId="0" xfId="0" applyNumberFormat="1" applyFont="1" applyFill="1" applyAlignment="1">
      <alignment horizontal="center" vertical="center"/>
    </xf>
    <xf numFmtId="0" fontId="23" fillId="35" borderId="0" xfId="7" applyFont="1" applyFill="1" applyAlignment="1">
      <alignment horizontal="center" vertical="center"/>
    </xf>
    <xf numFmtId="0" fontId="23" fillId="35" borderId="0" xfId="8" applyFont="1" applyFill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27" fillId="0" borderId="0" xfId="0" applyFont="1" applyAlignment="1">
      <alignment horizontal="center" vertical="center"/>
    </xf>
    <xf numFmtId="22" fontId="19" fillId="0" borderId="10" xfId="0" applyNumberFormat="1" applyFont="1" applyBorder="1">
      <alignment vertical="center"/>
    </xf>
    <xf numFmtId="0" fontId="19" fillId="0" borderId="10" xfId="0" applyFont="1" applyBorder="1">
      <alignment vertical="center"/>
    </xf>
    <xf numFmtId="0" fontId="0" fillId="34" borderId="22" xfId="0" applyFill="1" applyBorder="1" applyAlignment="1">
      <alignment horizontal="center" vertical="center"/>
    </xf>
    <xf numFmtId="0" fontId="0" fillId="34" borderId="23" xfId="0" applyFill="1" applyBorder="1" applyAlignment="1">
      <alignment horizontal="center" vertical="center"/>
    </xf>
    <xf numFmtId="0" fontId="14" fillId="33" borderId="13" xfId="0" applyFont="1" applyFill="1" applyBorder="1" applyAlignment="1">
      <alignment horizontal="center" vertical="center"/>
    </xf>
    <xf numFmtId="0" fontId="14" fillId="33" borderId="16" xfId="0" applyFont="1" applyFill="1" applyBorder="1" applyAlignment="1">
      <alignment horizontal="center" vertical="center"/>
    </xf>
    <xf numFmtId="0" fontId="19" fillId="35" borderId="11" xfId="0" applyFont="1" applyFill="1" applyBorder="1" applyAlignment="1">
      <alignment horizontal="center" vertical="center"/>
    </xf>
    <xf numFmtId="0" fontId="19" fillId="0" borderId="0" xfId="0" applyFont="1" applyFill="1">
      <alignment vertical="center"/>
    </xf>
    <xf numFmtId="0" fontId="19" fillId="33" borderId="16" xfId="0" applyFont="1" applyFill="1" applyBorder="1" applyAlignment="1">
      <alignment horizontal="center" vertical="center"/>
    </xf>
    <xf numFmtId="2" fontId="0" fillId="33" borderId="16" xfId="0" applyNumberForma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32" fillId="0" borderId="0" xfId="0" applyFont="1" applyAlignment="1">
      <alignment horizontal="center" vertical="center"/>
    </xf>
    <xf numFmtId="0" fontId="32" fillId="35" borderId="0" xfId="0" applyFont="1" applyFill="1" applyBorder="1" applyAlignment="1">
      <alignment horizontal="center" vertical="center"/>
    </xf>
    <xf numFmtId="0" fontId="33" fillId="35" borderId="0" xfId="0" applyFont="1" applyFill="1" applyBorder="1">
      <alignment vertical="center"/>
    </xf>
    <xf numFmtId="0" fontId="33" fillId="35" borderId="0" xfId="0" applyFont="1" applyFill="1" applyBorder="1" applyAlignment="1">
      <alignment horizontal="right" vertical="center"/>
    </xf>
    <xf numFmtId="177" fontId="34" fillId="35" borderId="0" xfId="0" applyNumberFormat="1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left" vertical="center"/>
    </xf>
    <xf numFmtId="0" fontId="35" fillId="35" borderId="0" xfId="8" applyFont="1" applyFill="1" applyBorder="1" applyAlignment="1">
      <alignment horizontal="center" vertical="center"/>
    </xf>
    <xf numFmtId="0" fontId="35" fillId="35" borderId="0" xfId="0" applyFont="1" applyFill="1" applyBorder="1" applyAlignment="1">
      <alignment horizontal="center" vertical="center"/>
    </xf>
    <xf numFmtId="0" fontId="32" fillId="35" borderId="0" xfId="0" applyFont="1" applyFill="1">
      <alignment vertical="center"/>
    </xf>
    <xf numFmtId="0" fontId="36" fillId="0" borderId="0" xfId="0" applyFont="1">
      <alignment vertical="center"/>
    </xf>
    <xf numFmtId="0" fontId="36" fillId="0" borderId="0" xfId="0" applyFont="1" applyAlignment="1">
      <alignment horizontal="center" vertical="center"/>
    </xf>
    <xf numFmtId="0" fontId="36" fillId="33" borderId="12" xfId="0" applyFont="1" applyFill="1" applyBorder="1" applyAlignment="1">
      <alignment horizontal="center" vertical="center"/>
    </xf>
    <xf numFmtId="0" fontId="36" fillId="33" borderId="13" xfId="0" applyFont="1" applyFill="1" applyBorder="1" applyAlignment="1">
      <alignment horizontal="center" vertical="center"/>
    </xf>
    <xf numFmtId="0" fontId="37" fillId="33" borderId="13" xfId="0" applyFont="1" applyFill="1" applyBorder="1">
      <alignment vertical="center"/>
    </xf>
    <xf numFmtId="0" fontId="37" fillId="33" borderId="13" xfId="0" applyFont="1" applyFill="1" applyBorder="1" applyAlignment="1">
      <alignment horizontal="right" vertical="center"/>
    </xf>
    <xf numFmtId="0" fontId="37" fillId="33" borderId="13" xfId="7" applyFont="1" applyFill="1" applyBorder="1" applyAlignment="1">
      <alignment horizontal="center" vertical="center"/>
    </xf>
    <xf numFmtId="0" fontId="37" fillId="33" borderId="13" xfId="8" applyFont="1" applyFill="1" applyBorder="1" applyAlignment="1">
      <alignment horizontal="center" vertical="center"/>
    </xf>
    <xf numFmtId="0" fontId="37" fillId="33" borderId="13" xfId="0" applyFont="1" applyFill="1" applyBorder="1" applyAlignment="1">
      <alignment horizontal="center" vertical="center"/>
    </xf>
    <xf numFmtId="177" fontId="37" fillId="33" borderId="13" xfId="0" applyNumberFormat="1" applyFont="1" applyFill="1" applyBorder="1" applyAlignment="1">
      <alignment horizontal="center" vertical="center"/>
    </xf>
    <xf numFmtId="0" fontId="37" fillId="33" borderId="14" xfId="0" applyFont="1" applyFill="1" applyBorder="1" applyAlignment="1">
      <alignment horizontal="center" vertical="center"/>
    </xf>
    <xf numFmtId="0" fontId="36" fillId="35" borderId="0" xfId="0" applyFont="1" applyFill="1">
      <alignment vertical="center"/>
    </xf>
    <xf numFmtId="0" fontId="36" fillId="33" borderId="15" xfId="0" applyFont="1" applyFill="1" applyBorder="1" applyAlignment="1">
      <alignment horizontal="center" vertical="center"/>
    </xf>
    <xf numFmtId="0" fontId="36" fillId="33" borderId="16" xfId="0" applyFont="1" applyFill="1" applyBorder="1" applyAlignment="1">
      <alignment horizontal="center" vertical="center"/>
    </xf>
    <xf numFmtId="0" fontId="38" fillId="33" borderId="16" xfId="0" applyFont="1" applyFill="1" applyBorder="1">
      <alignment vertical="center"/>
    </xf>
    <xf numFmtId="0" fontId="38" fillId="33" borderId="16" xfId="0" applyFont="1" applyFill="1" applyBorder="1" applyAlignment="1">
      <alignment horizontal="right" vertical="center"/>
    </xf>
    <xf numFmtId="2" fontId="39" fillId="33" borderId="16" xfId="7" applyNumberFormat="1" applyFont="1" applyFill="1" applyBorder="1" applyAlignment="1">
      <alignment horizontal="center" vertical="center"/>
    </xf>
    <xf numFmtId="2" fontId="37" fillId="33" borderId="16" xfId="7" applyNumberFormat="1" applyFont="1" applyFill="1" applyBorder="1" applyAlignment="1">
      <alignment horizontal="center" vertical="center"/>
    </xf>
    <xf numFmtId="2" fontId="39" fillId="33" borderId="16" xfId="8" applyNumberFormat="1" applyFont="1" applyFill="1" applyBorder="1" applyAlignment="1">
      <alignment horizontal="center" vertical="center"/>
    </xf>
    <xf numFmtId="0" fontId="39" fillId="33" borderId="17" xfId="0" applyFont="1" applyFill="1" applyBorder="1" applyAlignment="1">
      <alignment horizontal="center" vertical="center"/>
    </xf>
    <xf numFmtId="0" fontId="36" fillId="34" borderId="12" xfId="0" applyFont="1" applyFill="1" applyBorder="1" applyAlignment="1">
      <alignment horizontal="center" vertical="center"/>
    </xf>
    <xf numFmtId="0" fontId="36" fillId="34" borderId="13" xfId="0" applyFont="1" applyFill="1" applyBorder="1" applyAlignment="1">
      <alignment horizontal="center" vertical="center"/>
    </xf>
    <xf numFmtId="0" fontId="37" fillId="34" borderId="13" xfId="0" applyFont="1" applyFill="1" applyBorder="1">
      <alignment vertical="center"/>
    </xf>
    <xf numFmtId="0" fontId="37" fillId="34" borderId="13" xfId="0" applyFont="1" applyFill="1" applyBorder="1" applyAlignment="1">
      <alignment horizontal="right" vertical="center"/>
    </xf>
    <xf numFmtId="177" fontId="37" fillId="34" borderId="13" xfId="0" applyNumberFormat="1" applyFont="1" applyFill="1" applyBorder="1" applyAlignment="1">
      <alignment horizontal="center" vertical="center"/>
    </xf>
    <xf numFmtId="0" fontId="37" fillId="34" borderId="14" xfId="0" applyFont="1" applyFill="1" applyBorder="1" applyAlignment="1">
      <alignment horizontal="center" vertical="center"/>
    </xf>
    <xf numFmtId="0" fontId="36" fillId="34" borderId="18" xfId="0" applyFont="1" applyFill="1" applyBorder="1" applyAlignment="1">
      <alignment horizontal="center" vertical="center"/>
    </xf>
    <xf numFmtId="0" fontId="36" fillId="34" borderId="10" xfId="0" applyFont="1" applyFill="1" applyBorder="1" applyAlignment="1">
      <alignment horizontal="center" vertical="center"/>
    </xf>
    <xf numFmtId="0" fontId="37" fillId="34" borderId="10" xfId="0" applyFont="1" applyFill="1" applyBorder="1">
      <alignment vertical="center"/>
    </xf>
    <xf numFmtId="0" fontId="37" fillId="34" borderId="10" xfId="0" applyFont="1" applyFill="1" applyBorder="1" applyAlignment="1">
      <alignment horizontal="right" vertical="center"/>
    </xf>
    <xf numFmtId="0" fontId="37" fillId="34" borderId="10" xfId="0" applyFont="1" applyFill="1" applyBorder="1" applyAlignment="1">
      <alignment horizontal="center" vertical="center"/>
    </xf>
    <xf numFmtId="177" fontId="37" fillId="34" borderId="10" xfId="0" applyNumberFormat="1" applyFont="1" applyFill="1" applyBorder="1" applyAlignment="1">
      <alignment horizontal="center" vertical="center"/>
    </xf>
    <xf numFmtId="0" fontId="37" fillId="34" borderId="19" xfId="0" applyFont="1" applyFill="1" applyBorder="1" applyAlignment="1">
      <alignment horizontal="center" vertical="center"/>
    </xf>
    <xf numFmtId="0" fontId="36" fillId="34" borderId="15" xfId="0" applyFont="1" applyFill="1" applyBorder="1" applyAlignment="1">
      <alignment horizontal="center" vertical="center"/>
    </xf>
    <xf numFmtId="0" fontId="36" fillId="34" borderId="16" xfId="0" applyFont="1" applyFill="1" applyBorder="1" applyAlignment="1">
      <alignment horizontal="center" vertical="center"/>
    </xf>
    <xf numFmtId="0" fontId="37" fillId="34" borderId="16" xfId="0" applyFont="1" applyFill="1" applyBorder="1">
      <alignment vertical="center"/>
    </xf>
    <xf numFmtId="0" fontId="37" fillId="34" borderId="16" xfId="0" applyFont="1" applyFill="1" applyBorder="1" applyAlignment="1">
      <alignment horizontal="right" vertical="center"/>
    </xf>
    <xf numFmtId="0" fontId="37" fillId="34" borderId="16" xfId="0" applyFont="1" applyFill="1" applyBorder="1" applyAlignment="1">
      <alignment horizontal="center" vertical="center"/>
    </xf>
    <xf numFmtId="2" fontId="37" fillId="34" borderId="16" xfId="7" applyNumberFormat="1" applyFont="1" applyFill="1" applyBorder="1" applyAlignment="1">
      <alignment horizontal="center" vertical="center"/>
    </xf>
    <xf numFmtId="0" fontId="38" fillId="34" borderId="17" xfId="0" applyFont="1" applyFill="1" applyBorder="1" applyAlignment="1">
      <alignment horizontal="center" vertical="center"/>
    </xf>
    <xf numFmtId="176" fontId="37" fillId="35" borderId="11" xfId="0" applyNumberFormat="1" applyFont="1" applyFill="1" applyBorder="1">
      <alignment vertical="center"/>
    </xf>
    <xf numFmtId="22" fontId="37" fillId="35" borderId="11" xfId="0" applyNumberFormat="1" applyFont="1" applyFill="1" applyBorder="1" applyAlignment="1">
      <alignment horizontal="right" vertical="center"/>
    </xf>
    <xf numFmtId="0" fontId="37" fillId="35" borderId="11" xfId="0" applyFont="1" applyFill="1" applyBorder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38" fillId="0" borderId="0" xfId="0" applyFont="1">
      <alignment vertical="center"/>
    </xf>
    <xf numFmtId="0" fontId="38" fillId="0" borderId="0" xfId="0" applyFont="1" applyAlignment="1">
      <alignment horizontal="right" vertical="center"/>
    </xf>
    <xf numFmtId="177" fontId="41" fillId="35" borderId="0" xfId="0" applyNumberFormat="1" applyFont="1" applyFill="1" applyAlignment="1">
      <alignment horizontal="center" vertical="center"/>
    </xf>
    <xf numFmtId="0" fontId="38" fillId="35" borderId="0" xfId="7" applyFont="1" applyFill="1" applyAlignment="1">
      <alignment horizontal="center" vertical="center"/>
    </xf>
    <xf numFmtId="0" fontId="38" fillId="35" borderId="0" xfId="8" applyFont="1" applyFill="1" applyAlignment="1">
      <alignment horizontal="center" vertical="center"/>
    </xf>
    <xf numFmtId="0" fontId="38" fillId="35" borderId="0" xfId="0" applyFont="1" applyFill="1" applyAlignment="1">
      <alignment horizontal="center" vertical="center"/>
    </xf>
    <xf numFmtId="0" fontId="42" fillId="0" borderId="0" xfId="0" applyFont="1">
      <alignment vertical="center"/>
    </xf>
    <xf numFmtId="0" fontId="42" fillId="0" borderId="0" xfId="0" applyFont="1" applyAlignment="1">
      <alignment horizontal="center" vertical="center"/>
    </xf>
    <xf numFmtId="0" fontId="42" fillId="35" borderId="0" xfId="0" applyFont="1" applyFill="1" applyBorder="1" applyAlignment="1">
      <alignment horizontal="center" vertical="center"/>
    </xf>
    <xf numFmtId="0" fontId="43" fillId="35" borderId="0" xfId="0" applyFont="1" applyFill="1" applyBorder="1">
      <alignment vertical="center"/>
    </xf>
    <xf numFmtId="0" fontId="43" fillId="35" borderId="0" xfId="0" applyFont="1" applyFill="1" applyBorder="1" applyAlignment="1">
      <alignment horizontal="right" vertical="center"/>
    </xf>
    <xf numFmtId="177" fontId="44" fillId="35" borderId="0" xfId="0" applyNumberFormat="1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left" vertical="center"/>
    </xf>
    <xf numFmtId="0" fontId="45" fillId="35" borderId="0" xfId="8" applyFont="1" applyFill="1" applyBorder="1" applyAlignment="1">
      <alignment horizontal="center" vertical="center"/>
    </xf>
    <xf numFmtId="0" fontId="45" fillId="35" borderId="0" xfId="0" applyFont="1" applyFill="1" applyBorder="1" applyAlignment="1">
      <alignment horizontal="center" vertical="center"/>
    </xf>
    <xf numFmtId="0" fontId="46" fillId="0" borderId="0" xfId="0" applyFont="1">
      <alignment vertical="center"/>
    </xf>
    <xf numFmtId="0" fontId="46" fillId="0" borderId="0" xfId="0" applyFont="1" applyAlignment="1">
      <alignment horizontal="center" vertical="center"/>
    </xf>
    <xf numFmtId="0" fontId="47" fillId="33" borderId="12" xfId="0" applyFont="1" applyFill="1" applyBorder="1" applyAlignment="1">
      <alignment horizontal="center" vertical="center"/>
    </xf>
    <xf numFmtId="182" fontId="48" fillId="33" borderId="13" xfId="0" applyNumberFormat="1" applyFont="1" applyFill="1" applyBorder="1" applyAlignment="1">
      <alignment horizontal="center" vertical="center"/>
    </xf>
    <xf numFmtId="0" fontId="47" fillId="33" borderId="13" xfId="0" applyFont="1" applyFill="1" applyBorder="1">
      <alignment vertical="center"/>
    </xf>
    <xf numFmtId="0" fontId="47" fillId="33" borderId="13" xfId="0" applyFont="1" applyFill="1" applyBorder="1" applyAlignment="1">
      <alignment horizontal="right" vertical="center"/>
    </xf>
    <xf numFmtId="0" fontId="47" fillId="33" borderId="13" xfId="7" applyFont="1" applyFill="1" applyBorder="1" applyAlignment="1">
      <alignment horizontal="center" vertical="center"/>
    </xf>
    <xf numFmtId="0" fontId="47" fillId="33" borderId="13" xfId="8" applyFont="1" applyFill="1" applyBorder="1" applyAlignment="1">
      <alignment horizontal="center" vertical="center"/>
    </xf>
    <xf numFmtId="0" fontId="47" fillId="33" borderId="13" xfId="0" applyFont="1" applyFill="1" applyBorder="1" applyAlignment="1">
      <alignment horizontal="center" vertical="center"/>
    </xf>
    <xf numFmtId="177" fontId="47" fillId="33" borderId="13" xfId="0" applyNumberFormat="1" applyFont="1" applyFill="1" applyBorder="1" applyAlignment="1">
      <alignment horizontal="center" vertical="center"/>
    </xf>
    <xf numFmtId="0" fontId="47" fillId="33" borderId="14" xfId="0" applyFont="1" applyFill="1" applyBorder="1" applyAlignment="1">
      <alignment horizontal="center" vertical="center"/>
    </xf>
    <xf numFmtId="0" fontId="46" fillId="33" borderId="15" xfId="0" applyFont="1" applyFill="1" applyBorder="1" applyAlignment="1">
      <alignment horizontal="center" vertical="center"/>
    </xf>
    <xf numFmtId="0" fontId="48" fillId="33" borderId="16" xfId="0" applyFont="1" applyFill="1" applyBorder="1" applyAlignment="1">
      <alignment horizontal="center" vertical="center"/>
    </xf>
    <xf numFmtId="0" fontId="49" fillId="33" borderId="16" xfId="0" applyFont="1" applyFill="1" applyBorder="1">
      <alignment vertical="center"/>
    </xf>
    <xf numFmtId="0" fontId="49" fillId="33" borderId="16" xfId="0" applyFont="1" applyFill="1" applyBorder="1" applyAlignment="1">
      <alignment horizontal="right" vertical="center"/>
    </xf>
    <xf numFmtId="2" fontId="47" fillId="33" borderId="16" xfId="7" applyNumberFormat="1" applyFont="1" applyFill="1" applyBorder="1" applyAlignment="1">
      <alignment horizontal="center" vertical="center"/>
    </xf>
    <xf numFmtId="2" fontId="50" fillId="33" borderId="16" xfId="7" applyNumberFormat="1" applyFont="1" applyFill="1" applyBorder="1" applyAlignment="1">
      <alignment horizontal="center" vertical="center"/>
    </xf>
    <xf numFmtId="2" fontId="51" fillId="33" borderId="16" xfId="8" applyNumberFormat="1" applyFont="1" applyFill="1" applyBorder="1" applyAlignment="1">
      <alignment horizontal="center" vertical="center"/>
    </xf>
    <xf numFmtId="0" fontId="51" fillId="33" borderId="17" xfId="0" applyFont="1" applyFill="1" applyBorder="1" applyAlignment="1">
      <alignment horizontal="center" vertical="center"/>
    </xf>
    <xf numFmtId="0" fontId="47" fillId="34" borderId="12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right" vertical="center"/>
    </xf>
    <xf numFmtId="2" fontId="47" fillId="34" borderId="13" xfId="0" applyNumberFormat="1" applyFont="1" applyFill="1" applyBorder="1" applyAlignment="1">
      <alignment horizontal="center" vertical="center"/>
    </xf>
    <xf numFmtId="0" fontId="49" fillId="34" borderId="14" xfId="0" applyFont="1" applyFill="1" applyBorder="1" applyAlignment="1">
      <alignment horizontal="center" vertical="center"/>
    </xf>
    <xf numFmtId="0" fontId="51" fillId="34" borderId="18" xfId="0" applyFont="1" applyFill="1" applyBorder="1" applyAlignment="1">
      <alignment horizontal="center" vertical="center"/>
    </xf>
    <xf numFmtId="0" fontId="51" fillId="34" borderId="10" xfId="0" applyFont="1" applyFill="1" applyBorder="1" applyAlignment="1">
      <alignment horizontal="center" vertical="center"/>
    </xf>
    <xf numFmtId="2" fontId="51" fillId="34" borderId="10" xfId="0" applyNumberFormat="1" applyFont="1" applyFill="1" applyBorder="1" applyAlignment="1">
      <alignment horizontal="center" vertical="center"/>
    </xf>
    <xf numFmtId="0" fontId="47" fillId="34" borderId="10" xfId="0" applyFont="1" applyFill="1" applyBorder="1" applyAlignment="1">
      <alignment horizontal="right" vertical="center"/>
    </xf>
    <xf numFmtId="2" fontId="47" fillId="34" borderId="10" xfId="0" applyNumberFormat="1" applyFont="1" applyFill="1" applyBorder="1" applyAlignment="1">
      <alignment horizontal="center" vertical="center"/>
    </xf>
    <xf numFmtId="0" fontId="49" fillId="34" borderId="19" xfId="0" applyFont="1" applyFill="1" applyBorder="1" applyAlignment="1">
      <alignment horizontal="center" vertical="center"/>
    </xf>
    <xf numFmtId="0" fontId="47" fillId="34" borderId="15" xfId="0" applyFont="1" applyFill="1" applyBorder="1" applyAlignment="1">
      <alignment horizontal="center" vertical="center"/>
    </xf>
    <xf numFmtId="0" fontId="47" fillId="34" borderId="16" xfId="0" applyFont="1" applyFill="1" applyBorder="1" applyAlignment="1">
      <alignment horizontal="center" vertical="center"/>
    </xf>
    <xf numFmtId="0" fontId="47" fillId="34" borderId="16" xfId="0" applyFont="1" applyFill="1" applyBorder="1">
      <alignment vertical="center"/>
    </xf>
    <xf numFmtId="0" fontId="47" fillId="34" borderId="16" xfId="0" applyFont="1" applyFill="1" applyBorder="1" applyAlignment="1">
      <alignment horizontal="right" vertical="center"/>
    </xf>
    <xf numFmtId="2" fontId="47" fillId="34" borderId="16" xfId="7" applyNumberFormat="1" applyFont="1" applyFill="1" applyBorder="1" applyAlignment="1">
      <alignment horizontal="center" vertical="center"/>
    </xf>
    <xf numFmtId="0" fontId="49" fillId="34" borderId="17" xfId="0" applyFont="1" applyFill="1" applyBorder="1" applyAlignment="1">
      <alignment horizontal="center" vertical="center"/>
    </xf>
    <xf numFmtId="176" fontId="50" fillId="35" borderId="11" xfId="0" applyNumberFormat="1" applyFont="1" applyFill="1" applyBorder="1">
      <alignment vertical="center"/>
    </xf>
    <xf numFmtId="22" fontId="50" fillId="35" borderId="11" xfId="0" applyNumberFormat="1" applyFont="1" applyFill="1" applyBorder="1" applyAlignment="1">
      <alignment horizontal="right" vertical="center"/>
    </xf>
    <xf numFmtId="177" fontId="50" fillId="35" borderId="11" xfId="0" applyNumberFormat="1" applyFont="1" applyFill="1" applyBorder="1" applyAlignment="1">
      <alignment horizontal="center" vertical="center"/>
    </xf>
    <xf numFmtId="2" fontId="50" fillId="35" borderId="11" xfId="0" applyNumberFormat="1" applyFont="1" applyFill="1" applyBorder="1" applyAlignment="1">
      <alignment horizontal="center" vertical="center"/>
    </xf>
    <xf numFmtId="2" fontId="50" fillId="35" borderId="11" xfId="8" applyNumberFormat="1" applyFont="1" applyFill="1" applyBorder="1" applyAlignment="1">
      <alignment horizontal="center" vertical="center"/>
    </xf>
    <xf numFmtId="178" fontId="50" fillId="35" borderId="11" xfId="8" applyNumberFormat="1" applyFont="1" applyFill="1" applyBorder="1" applyAlignment="1">
      <alignment horizontal="center" vertical="center"/>
    </xf>
    <xf numFmtId="0" fontId="49" fillId="0" borderId="0" xfId="0" applyFont="1">
      <alignment vertical="center"/>
    </xf>
    <xf numFmtId="0" fontId="51" fillId="35" borderId="0" xfId="0" applyFont="1" applyFill="1">
      <alignment vertical="center"/>
    </xf>
    <xf numFmtId="0" fontId="51" fillId="0" borderId="0" xfId="0" applyFont="1">
      <alignment vertical="center"/>
    </xf>
    <xf numFmtId="0" fontId="51" fillId="36" borderId="0" xfId="0" applyFont="1" applyFill="1">
      <alignment vertical="center"/>
    </xf>
    <xf numFmtId="0" fontId="49" fillId="35" borderId="0" xfId="8" applyFont="1" applyFill="1" applyAlignment="1">
      <alignment horizontal="center" vertical="center"/>
    </xf>
    <xf numFmtId="0" fontId="49" fillId="35" borderId="0" xfId="0" applyFont="1" applyFill="1" applyAlignment="1">
      <alignment horizontal="center" vertical="center"/>
    </xf>
    <xf numFmtId="0" fontId="49" fillId="0" borderId="0" xfId="0" applyFont="1" applyAlignment="1">
      <alignment horizontal="right" vertical="center"/>
    </xf>
    <xf numFmtId="177" fontId="52" fillId="35" borderId="0" xfId="0" applyNumberFormat="1" applyFont="1" applyFill="1" applyAlignment="1">
      <alignment horizontal="center" vertical="center"/>
    </xf>
    <xf numFmtId="0" fontId="49" fillId="35" borderId="0" xfId="7" applyFont="1" applyFill="1" applyAlignment="1">
      <alignment horizontal="center" vertical="center"/>
    </xf>
    <xf numFmtId="0" fontId="53" fillId="0" borderId="0" xfId="0" applyFont="1">
      <alignment vertical="center"/>
    </xf>
    <xf numFmtId="0" fontId="54" fillId="0" borderId="0" xfId="0" applyFont="1">
      <alignment vertical="center"/>
    </xf>
    <xf numFmtId="0" fontId="53" fillId="0" borderId="0" xfId="0" applyFont="1" applyBorder="1">
      <alignment vertical="center"/>
    </xf>
    <xf numFmtId="0" fontId="53" fillId="0" borderId="11" xfId="0" applyFont="1" applyBorder="1">
      <alignment vertical="center"/>
    </xf>
    <xf numFmtId="22" fontId="53" fillId="0" borderId="11" xfId="0" applyNumberFormat="1" applyFont="1" applyBorder="1">
      <alignment vertical="center"/>
    </xf>
    <xf numFmtId="0" fontId="53" fillId="0" borderId="10" xfId="0" applyFont="1" applyBorder="1">
      <alignment vertical="center"/>
    </xf>
    <xf numFmtId="22" fontId="53" fillId="0" borderId="10" xfId="0" applyNumberFormat="1" applyFont="1" applyBorder="1">
      <alignment vertical="center"/>
    </xf>
    <xf numFmtId="0" fontId="54" fillId="0" borderId="10" xfId="0" applyFont="1" applyBorder="1">
      <alignment vertical="center"/>
    </xf>
    <xf numFmtId="22" fontId="55" fillId="0" borderId="10" xfId="0" applyNumberFormat="1" applyFont="1" applyBorder="1">
      <alignment vertical="center"/>
    </xf>
    <xf numFmtId="0" fontId="55" fillId="0" borderId="10" xfId="0" applyFont="1" applyBorder="1">
      <alignment vertical="center"/>
    </xf>
    <xf numFmtId="0" fontId="55" fillId="0" borderId="0" xfId="0" applyFont="1">
      <alignment vertical="center"/>
    </xf>
    <xf numFmtId="0" fontId="14" fillId="37" borderId="0" xfId="0" applyFont="1" applyFill="1">
      <alignment vertical="center"/>
    </xf>
    <xf numFmtId="0" fontId="56" fillId="0" borderId="0" xfId="0" applyFont="1">
      <alignment vertical="center"/>
    </xf>
    <xf numFmtId="0" fontId="56" fillId="0" borderId="0" xfId="0" applyFont="1" applyAlignment="1">
      <alignment horizontal="center" vertical="center"/>
    </xf>
    <xf numFmtId="0" fontId="56" fillId="35" borderId="0" xfId="0" applyFont="1" applyFill="1" applyBorder="1" applyAlignment="1">
      <alignment horizontal="center" vertical="center"/>
    </xf>
    <xf numFmtId="0" fontId="57" fillId="35" borderId="0" xfId="0" applyFont="1" applyFill="1" applyBorder="1">
      <alignment vertical="center"/>
    </xf>
    <xf numFmtId="0" fontId="57" fillId="35" borderId="0" xfId="0" applyFont="1" applyFill="1" applyBorder="1" applyAlignment="1">
      <alignment horizontal="right" vertical="center"/>
    </xf>
    <xf numFmtId="177" fontId="58" fillId="35" borderId="0" xfId="0" applyNumberFormat="1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left" vertical="center"/>
    </xf>
    <xf numFmtId="0" fontId="59" fillId="35" borderId="0" xfId="8" applyFont="1" applyFill="1" applyBorder="1" applyAlignment="1">
      <alignment horizontal="center" vertical="center"/>
    </xf>
    <xf numFmtId="0" fontId="59" fillId="35" borderId="0" xfId="0" applyFont="1" applyFill="1" applyBorder="1" applyAlignment="1">
      <alignment horizontal="center" vertical="center"/>
    </xf>
    <xf numFmtId="0" fontId="56" fillId="35" borderId="0" xfId="0" applyFont="1" applyFill="1">
      <alignment vertical="center"/>
    </xf>
    <xf numFmtId="0" fontId="60" fillId="0" borderId="0" xfId="0" applyFont="1">
      <alignment vertical="center"/>
    </xf>
    <xf numFmtId="0" fontId="60" fillId="0" borderId="0" xfId="0" applyFont="1" applyAlignment="1">
      <alignment horizontal="center" vertical="center"/>
    </xf>
    <xf numFmtId="0" fontId="61" fillId="33" borderId="12" xfId="0" applyFont="1" applyFill="1" applyBorder="1" applyAlignment="1">
      <alignment horizontal="center" vertical="center"/>
    </xf>
    <xf numFmtId="0" fontId="61" fillId="33" borderId="13" xfId="0" applyFont="1" applyFill="1" applyBorder="1">
      <alignment vertical="center"/>
    </xf>
    <xf numFmtId="0" fontId="61" fillId="33" borderId="13" xfId="0" applyFont="1" applyFill="1" applyBorder="1" applyAlignment="1">
      <alignment horizontal="right" vertical="center"/>
    </xf>
    <xf numFmtId="0" fontId="61" fillId="33" borderId="13" xfId="7" applyFont="1" applyFill="1" applyBorder="1" applyAlignment="1">
      <alignment horizontal="center" vertical="center"/>
    </xf>
    <xf numFmtId="0" fontId="61" fillId="33" borderId="13" xfId="8" applyFont="1" applyFill="1" applyBorder="1" applyAlignment="1">
      <alignment horizontal="center" vertical="center"/>
    </xf>
    <xf numFmtId="0" fontId="61" fillId="33" borderId="13" xfId="0" applyFont="1" applyFill="1" applyBorder="1" applyAlignment="1">
      <alignment horizontal="center" vertical="center"/>
    </xf>
    <xf numFmtId="177" fontId="61" fillId="33" borderId="13" xfId="0" applyNumberFormat="1" applyFont="1" applyFill="1" applyBorder="1" applyAlignment="1">
      <alignment horizontal="center" vertical="center"/>
    </xf>
    <xf numFmtId="0" fontId="61" fillId="33" borderId="14" xfId="0" applyFont="1" applyFill="1" applyBorder="1" applyAlignment="1">
      <alignment horizontal="center" vertical="center"/>
    </xf>
    <xf numFmtId="0" fontId="60" fillId="35" borderId="0" xfId="0" applyFont="1" applyFill="1">
      <alignment vertical="center"/>
    </xf>
    <xf numFmtId="0" fontId="60" fillId="33" borderId="15" xfId="0" applyFont="1" applyFill="1" applyBorder="1" applyAlignment="1">
      <alignment horizontal="center" vertical="center"/>
    </xf>
    <xf numFmtId="0" fontId="63" fillId="33" borderId="16" xfId="0" applyFont="1" applyFill="1" applyBorder="1">
      <alignment vertical="center"/>
    </xf>
    <xf numFmtId="0" fontId="63" fillId="33" borderId="16" xfId="0" applyFont="1" applyFill="1" applyBorder="1" applyAlignment="1">
      <alignment horizontal="right" vertical="center"/>
    </xf>
    <xf numFmtId="2" fontId="61" fillId="33" borderId="16" xfId="7" applyNumberFormat="1" applyFont="1" applyFill="1" applyBorder="1" applyAlignment="1">
      <alignment horizontal="center" vertical="center"/>
    </xf>
    <xf numFmtId="2" fontId="64" fillId="33" borderId="16" xfId="7" applyNumberFormat="1" applyFont="1" applyFill="1" applyBorder="1" applyAlignment="1">
      <alignment horizontal="center" vertical="center"/>
    </xf>
    <xf numFmtId="2" fontId="65" fillId="33" borderId="16" xfId="8" applyNumberFormat="1" applyFont="1" applyFill="1" applyBorder="1" applyAlignment="1">
      <alignment horizontal="center" vertical="center"/>
    </xf>
    <xf numFmtId="0" fontId="65" fillId="33" borderId="17" xfId="0" applyFont="1" applyFill="1" applyBorder="1" applyAlignment="1">
      <alignment horizontal="center" vertical="center"/>
    </xf>
    <xf numFmtId="0" fontId="61" fillId="34" borderId="12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right" vertical="center"/>
    </xf>
    <xf numFmtId="2" fontId="61" fillId="34" borderId="13" xfId="0" applyNumberFormat="1" applyFont="1" applyFill="1" applyBorder="1" applyAlignment="1">
      <alignment horizontal="center" vertical="center"/>
    </xf>
    <xf numFmtId="0" fontId="63" fillId="34" borderId="10" xfId="0" applyFont="1" applyFill="1" applyBorder="1" applyAlignment="1">
      <alignment horizontal="center" vertical="center"/>
    </xf>
    <xf numFmtId="0" fontId="60" fillId="35" borderId="0" xfId="0" applyFont="1" applyFill="1" applyBorder="1">
      <alignment vertical="center"/>
    </xf>
    <xf numFmtId="179" fontId="60" fillId="0" borderId="0" xfId="0" applyNumberFormat="1" applyFont="1">
      <alignment vertical="center"/>
    </xf>
    <xf numFmtId="0" fontId="65" fillId="34" borderId="10" xfId="0" applyFont="1" applyFill="1" applyBorder="1" applyAlignment="1">
      <alignment horizontal="center" vertical="center"/>
    </xf>
    <xf numFmtId="0" fontId="61" fillId="34" borderId="10" xfId="0" applyFont="1" applyFill="1" applyBorder="1" applyAlignment="1">
      <alignment horizontal="right" vertical="center"/>
    </xf>
    <xf numFmtId="2" fontId="61" fillId="34" borderId="10" xfId="0" applyNumberFormat="1" applyFont="1" applyFill="1" applyBorder="1" applyAlignment="1">
      <alignment horizontal="center" vertical="center"/>
    </xf>
    <xf numFmtId="181" fontId="60" fillId="35" borderId="0" xfId="42" applyNumberFormat="1" applyFont="1" applyFill="1">
      <alignment vertical="center"/>
    </xf>
    <xf numFmtId="0" fontId="61" fillId="34" borderId="15" xfId="0" applyFont="1" applyFill="1" applyBorder="1" applyAlignment="1">
      <alignment horizontal="center" vertical="center"/>
    </xf>
    <xf numFmtId="0" fontId="61" fillId="34" borderId="16" xfId="0" applyFont="1" applyFill="1" applyBorder="1" applyAlignment="1">
      <alignment horizontal="center" vertical="center"/>
    </xf>
    <xf numFmtId="0" fontId="61" fillId="34" borderId="16" xfId="0" applyFont="1" applyFill="1" applyBorder="1">
      <alignment vertical="center"/>
    </xf>
    <xf numFmtId="0" fontId="61" fillId="34" borderId="16" xfId="0" applyFont="1" applyFill="1" applyBorder="1" applyAlignment="1">
      <alignment horizontal="right" vertical="center"/>
    </xf>
    <xf numFmtId="2" fontId="61" fillId="34" borderId="16" xfId="7" applyNumberFormat="1" applyFont="1" applyFill="1" applyBorder="1" applyAlignment="1">
      <alignment horizontal="center" vertical="center"/>
    </xf>
    <xf numFmtId="179" fontId="60" fillId="35" borderId="0" xfId="0" applyNumberFormat="1" applyFont="1" applyFill="1">
      <alignment vertical="center"/>
    </xf>
    <xf numFmtId="0" fontId="65" fillId="35" borderId="0" xfId="0" applyFont="1" applyFill="1">
      <alignment vertical="center"/>
    </xf>
    <xf numFmtId="0" fontId="65" fillId="0" borderId="0" xfId="0" applyFont="1">
      <alignment vertical="center"/>
    </xf>
    <xf numFmtId="0" fontId="63" fillId="35" borderId="0" xfId="0" applyFont="1" applyFill="1">
      <alignment vertical="center"/>
    </xf>
    <xf numFmtId="0" fontId="63" fillId="0" borderId="0" xfId="0" applyFont="1">
      <alignment vertical="center"/>
    </xf>
    <xf numFmtId="0" fontId="62" fillId="35" borderId="0" xfId="0" applyFont="1" applyFill="1">
      <alignment vertical="center"/>
    </xf>
    <xf numFmtId="0" fontId="62" fillId="0" borderId="0" xfId="0" applyFont="1">
      <alignment vertical="center"/>
    </xf>
    <xf numFmtId="0" fontId="63" fillId="0" borderId="0" xfId="0" applyFont="1" applyAlignment="1">
      <alignment horizontal="right" vertical="center"/>
    </xf>
    <xf numFmtId="177" fontId="66" fillId="35" borderId="0" xfId="0" applyNumberFormat="1" applyFont="1" applyFill="1" applyAlignment="1">
      <alignment horizontal="center" vertical="center"/>
    </xf>
    <xf numFmtId="0" fontId="63" fillId="35" borderId="0" xfId="7" applyFont="1" applyFill="1" applyAlignment="1">
      <alignment horizontal="center" vertical="center"/>
    </xf>
    <xf numFmtId="0" fontId="63" fillId="35" borderId="0" xfId="8" applyFont="1" applyFill="1" applyAlignment="1">
      <alignment horizontal="center" vertical="center"/>
    </xf>
    <xf numFmtId="0" fontId="63" fillId="35" borderId="0" xfId="0" applyFont="1" applyFill="1" applyAlignment="1">
      <alignment horizontal="center" vertical="center"/>
    </xf>
    <xf numFmtId="179" fontId="14" fillId="35" borderId="0" xfId="0" applyNumberFormat="1" applyFont="1" applyFill="1">
      <alignment vertical="center"/>
    </xf>
    <xf numFmtId="177" fontId="27" fillId="35" borderId="0" xfId="0" applyNumberFormat="1" applyFont="1" applyFill="1">
      <alignment vertical="center"/>
    </xf>
    <xf numFmtId="0" fontId="19" fillId="36" borderId="0" xfId="0" applyFont="1" applyFill="1">
      <alignment vertical="center"/>
    </xf>
    <xf numFmtId="0" fontId="0" fillId="36" borderId="0" xfId="0" applyFill="1">
      <alignment vertical="center"/>
    </xf>
    <xf numFmtId="22" fontId="27" fillId="0" borderId="0" xfId="0" applyNumberFormat="1" applyFont="1">
      <alignment vertical="center"/>
    </xf>
    <xf numFmtId="0" fontId="14" fillId="33" borderId="13" xfId="0" applyNumberFormat="1" applyFont="1" applyFill="1" applyBorder="1" applyAlignment="1">
      <alignment horizontal="center" vertical="center"/>
    </xf>
    <xf numFmtId="2" fontId="19" fillId="34" borderId="20" xfId="0" applyNumberFormat="1" applyFont="1" applyFill="1" applyBorder="1" applyAlignment="1">
      <alignment horizontal="center" vertical="center"/>
    </xf>
    <xf numFmtId="0" fontId="50" fillId="35" borderId="11" xfId="0" applyFont="1" applyFill="1" applyBorder="1" applyAlignment="1">
      <alignment horizontal="center" vertical="center"/>
    </xf>
    <xf numFmtId="0" fontId="19" fillId="38" borderId="0" xfId="0" applyFont="1" applyFill="1">
      <alignment vertical="center"/>
    </xf>
    <xf numFmtId="179" fontId="19" fillId="35" borderId="0" xfId="0" applyNumberFormat="1" applyFont="1" applyFill="1">
      <alignment vertical="center"/>
    </xf>
    <xf numFmtId="0" fontId="1" fillId="0" borderId="0" xfId="0" applyFont="1">
      <alignment vertical="center"/>
    </xf>
    <xf numFmtId="0" fontId="27" fillId="0" borderId="0" xfId="0" applyFont="1" applyFill="1">
      <alignment vertical="center"/>
    </xf>
    <xf numFmtId="177" fontId="23" fillId="35" borderId="10" xfId="0" applyNumberFormat="1" applyFont="1" applyFill="1" applyBorder="1" applyAlignment="1">
      <alignment horizontal="center" vertical="center"/>
    </xf>
    <xf numFmtId="2" fontId="65" fillId="34" borderId="18" xfId="0" applyNumberFormat="1" applyFont="1" applyFill="1" applyBorder="1" applyAlignment="1">
      <alignment horizontal="center" vertical="center"/>
    </xf>
    <xf numFmtId="0" fontId="67" fillId="0" borderId="0" xfId="0" applyFont="1" applyFill="1" applyBorder="1">
      <alignment vertical="center"/>
    </xf>
    <xf numFmtId="0" fontId="22" fillId="35" borderId="0" xfId="0" applyFont="1" applyFill="1">
      <alignment vertical="center"/>
    </xf>
    <xf numFmtId="179" fontId="27" fillId="35" borderId="0" xfId="0" applyNumberFormat="1" applyFont="1" applyFill="1">
      <alignment vertical="center"/>
    </xf>
    <xf numFmtId="0" fontId="29" fillId="0" borderId="0" xfId="0" applyFont="1">
      <alignment vertical="center"/>
    </xf>
    <xf numFmtId="0" fontId="60" fillId="37" borderId="0" xfId="0" applyFont="1" applyFill="1">
      <alignment vertical="center"/>
    </xf>
    <xf numFmtId="179" fontId="60" fillId="37" borderId="0" xfId="0" applyNumberFormat="1" applyFont="1" applyFill="1">
      <alignment vertical="center"/>
    </xf>
    <xf numFmtId="0" fontId="63" fillId="37" borderId="0" xfId="0" applyFont="1" applyFill="1">
      <alignment vertical="center"/>
    </xf>
    <xf numFmtId="177" fontId="19" fillId="35" borderId="0" xfId="0" applyNumberFormat="1" applyFont="1" applyFill="1">
      <alignment vertical="center"/>
    </xf>
    <xf numFmtId="0" fontId="29" fillId="0" borderId="10" xfId="0" applyFont="1" applyBorder="1">
      <alignment vertical="center"/>
    </xf>
    <xf numFmtId="0" fontId="19" fillId="37" borderId="0" xfId="0" applyFont="1" applyFill="1">
      <alignment vertical="center"/>
    </xf>
    <xf numFmtId="179" fontId="20" fillId="35" borderId="0" xfId="0" applyNumberFormat="1" applyFont="1" applyFill="1">
      <alignment vertical="center"/>
    </xf>
    <xf numFmtId="177" fontId="27" fillId="0" borderId="0" xfId="0" applyNumberFormat="1" applyFont="1">
      <alignment vertical="center"/>
    </xf>
    <xf numFmtId="0" fontId="26" fillId="35" borderId="0" xfId="8" applyFont="1" applyFill="1" applyBorder="1" applyAlignment="1">
      <alignment horizontal="left" vertical="center"/>
    </xf>
    <xf numFmtId="176" fontId="22" fillId="35" borderId="10" xfId="0" applyNumberFormat="1" applyFont="1" applyFill="1" applyBorder="1">
      <alignment vertical="center"/>
    </xf>
    <xf numFmtId="22" fontId="22" fillId="35" borderId="10" xfId="0" applyNumberFormat="1" applyFont="1" applyFill="1" applyBorder="1" applyAlignment="1">
      <alignment horizontal="right" vertical="center"/>
    </xf>
    <xf numFmtId="0" fontId="68" fillId="0" borderId="0" xfId="0" applyFont="1">
      <alignment vertical="center"/>
    </xf>
    <xf numFmtId="0" fontId="68" fillId="0" borderId="10" xfId="0" applyFont="1" applyBorder="1">
      <alignment vertical="center"/>
    </xf>
    <xf numFmtId="22" fontId="68" fillId="0" borderId="10" xfId="0" applyNumberFormat="1" applyFont="1" applyBorder="1">
      <alignment vertical="center"/>
    </xf>
    <xf numFmtId="176" fontId="68" fillId="35" borderId="10" xfId="0" applyNumberFormat="1" applyFont="1" applyFill="1" applyBorder="1">
      <alignment vertical="center"/>
    </xf>
    <xf numFmtId="22" fontId="68" fillId="35" borderId="10" xfId="0" applyNumberFormat="1" applyFont="1" applyFill="1" applyBorder="1" applyAlignment="1">
      <alignment horizontal="right" vertical="center"/>
    </xf>
    <xf numFmtId="0" fontId="68" fillId="35" borderId="0" xfId="0" applyFont="1" applyFill="1">
      <alignment vertical="center"/>
    </xf>
    <xf numFmtId="0" fontId="27" fillId="35" borderId="10" xfId="7" applyFont="1" applyFill="1" applyBorder="1" applyAlignment="1">
      <alignment horizontal="center" vertical="center"/>
    </xf>
    <xf numFmtId="0" fontId="27" fillId="35" borderId="10" xfId="8" applyFont="1" applyFill="1" applyBorder="1" applyAlignment="1">
      <alignment horizontal="center" vertical="center"/>
    </xf>
    <xf numFmtId="2" fontId="69" fillId="35" borderId="11" xfId="0" applyNumberFormat="1" applyFont="1" applyFill="1" applyBorder="1" applyAlignment="1">
      <alignment horizontal="center" vertical="center"/>
    </xf>
    <xf numFmtId="2" fontId="23" fillId="35" borderId="10" xfId="0" applyNumberFormat="1" applyFont="1" applyFill="1" applyBorder="1" applyAlignment="1">
      <alignment horizontal="center" vertical="center"/>
    </xf>
    <xf numFmtId="2" fontId="51" fillId="34" borderId="18" xfId="0" applyNumberFormat="1" applyFont="1" applyFill="1" applyBorder="1" applyAlignment="1">
      <alignment horizontal="center" vertical="center"/>
    </xf>
    <xf numFmtId="0" fontId="27" fillId="38" borderId="0" xfId="0" applyFont="1" applyFill="1">
      <alignment vertical="center"/>
    </xf>
    <xf numFmtId="0" fontId="27" fillId="36" borderId="0" xfId="0" applyFont="1" applyFill="1">
      <alignment vertical="center"/>
    </xf>
    <xf numFmtId="0" fontId="27" fillId="37" borderId="0" xfId="0" applyFont="1" applyFill="1">
      <alignment vertical="center"/>
    </xf>
    <xf numFmtId="0" fontId="70" fillId="0" borderId="0" xfId="0" applyFont="1" applyBorder="1" applyAlignment="1">
      <alignment horizontal="center" vertical="center"/>
    </xf>
    <xf numFmtId="0" fontId="70" fillId="0" borderId="11" xfId="0" applyFont="1" applyBorder="1" applyAlignment="1">
      <alignment horizontal="left" vertical="center"/>
    </xf>
    <xf numFmtId="22" fontId="70" fillId="0" borderId="11" xfId="0" applyNumberFormat="1" applyFont="1" applyBorder="1" applyAlignment="1">
      <alignment horizontal="center" vertical="center"/>
    </xf>
    <xf numFmtId="176" fontId="70" fillId="0" borderId="11" xfId="0" applyNumberFormat="1" applyFont="1" applyBorder="1" applyAlignment="1">
      <alignment horizontal="center" vertical="center"/>
    </xf>
    <xf numFmtId="20" fontId="70" fillId="0" borderId="11" xfId="0" applyNumberFormat="1" applyFont="1" applyBorder="1" applyAlignment="1">
      <alignment horizontal="center" vertical="center"/>
    </xf>
    <xf numFmtId="177" fontId="70" fillId="0" borderId="11" xfId="0" applyNumberFormat="1" applyFont="1" applyBorder="1" applyAlignment="1">
      <alignment horizontal="center" vertical="center"/>
    </xf>
    <xf numFmtId="0" fontId="70" fillId="0" borderId="10" xfId="0" applyFont="1" applyBorder="1" applyAlignment="1">
      <alignment horizontal="left" vertical="center"/>
    </xf>
    <xf numFmtId="22" fontId="70" fillId="0" borderId="10" xfId="0" applyNumberFormat="1" applyFont="1" applyBorder="1" applyAlignment="1">
      <alignment horizontal="center" vertical="center"/>
    </xf>
    <xf numFmtId="0" fontId="71" fillId="0" borderId="0" xfId="0" applyFont="1" applyBorder="1" applyAlignment="1">
      <alignment horizontal="center" vertical="center"/>
    </xf>
    <xf numFmtId="0" fontId="71" fillId="0" borderId="10" xfId="0" applyFont="1" applyBorder="1" applyAlignment="1">
      <alignment horizontal="left" vertical="center"/>
    </xf>
    <xf numFmtId="22" fontId="71" fillId="0" borderId="10" xfId="0" applyNumberFormat="1" applyFont="1" applyBorder="1" applyAlignment="1">
      <alignment horizontal="center" vertical="center"/>
    </xf>
    <xf numFmtId="176" fontId="71" fillId="0" borderId="11" xfId="0" applyNumberFormat="1" applyFont="1" applyBorder="1" applyAlignment="1">
      <alignment horizontal="center" vertical="center"/>
    </xf>
    <xf numFmtId="20" fontId="71" fillId="0" borderId="11" xfId="0" applyNumberFormat="1" applyFont="1" applyBorder="1" applyAlignment="1">
      <alignment horizontal="center" vertical="center"/>
    </xf>
    <xf numFmtId="177" fontId="71" fillId="0" borderId="11" xfId="0" applyNumberFormat="1" applyFont="1" applyBorder="1" applyAlignment="1">
      <alignment horizontal="center" vertical="center"/>
    </xf>
    <xf numFmtId="176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6" fontId="71" fillId="0" borderId="10" xfId="0" applyNumberFormat="1" applyFont="1" applyBorder="1" applyAlignment="1">
      <alignment horizontal="center" vertical="center"/>
    </xf>
    <xf numFmtId="20" fontId="71" fillId="0" borderId="10" xfId="0" applyNumberFormat="1" applyFont="1" applyBorder="1" applyAlignment="1">
      <alignment horizontal="center" vertical="center"/>
    </xf>
    <xf numFmtId="177" fontId="71" fillId="0" borderId="10" xfId="0" applyNumberFormat="1" applyFont="1" applyBorder="1" applyAlignment="1">
      <alignment horizontal="center" vertical="center"/>
    </xf>
    <xf numFmtId="0" fontId="29" fillId="35" borderId="0" xfId="0" applyFont="1" applyFill="1">
      <alignment vertical="center"/>
    </xf>
    <xf numFmtId="0" fontId="70" fillId="0" borderId="10" xfId="0" applyFont="1" applyBorder="1" applyAlignment="1">
      <alignment horizontal="center" vertical="center"/>
    </xf>
    <xf numFmtId="0" fontId="22" fillId="0" borderId="0" xfId="0" applyFont="1">
      <alignment vertical="center"/>
    </xf>
    <xf numFmtId="22" fontId="22" fillId="0" borderId="0" xfId="0" applyNumberFormat="1" applyFont="1">
      <alignment vertical="center"/>
    </xf>
    <xf numFmtId="0" fontId="0" fillId="35" borderId="0" xfId="0" applyFont="1" applyFill="1">
      <alignment vertical="center"/>
    </xf>
    <xf numFmtId="0" fontId="0" fillId="0" borderId="0" xfId="0" applyFont="1">
      <alignment vertical="center"/>
    </xf>
    <xf numFmtId="0" fontId="29" fillId="0" borderId="11" xfId="0" applyFont="1" applyBorder="1">
      <alignment vertical="center"/>
    </xf>
    <xf numFmtId="22" fontId="27" fillId="0" borderId="11" xfId="0" applyNumberFormat="1" applyFont="1" applyBorder="1">
      <alignment vertical="center"/>
    </xf>
    <xf numFmtId="182" fontId="27" fillId="0" borderId="0" xfId="0" applyNumberFormat="1" applyFont="1">
      <alignment vertical="center"/>
    </xf>
    <xf numFmtId="179" fontId="29" fillId="35" borderId="0" xfId="0" applyNumberFormat="1" applyFont="1" applyFill="1">
      <alignment vertical="center"/>
    </xf>
    <xf numFmtId="0" fontId="27" fillId="35" borderId="0" xfId="0" applyFont="1" applyFill="1" applyBorder="1" applyAlignment="1">
      <alignment horizontal="center" vertical="center"/>
    </xf>
    <xf numFmtId="177" fontId="71" fillId="35" borderId="11" xfId="0" applyNumberFormat="1" applyFont="1" applyFill="1" applyBorder="1" applyAlignment="1">
      <alignment horizontal="center" vertical="center"/>
    </xf>
    <xf numFmtId="0" fontId="0" fillId="0" borderId="0" xfId="0">
      <alignment vertical="center"/>
    </xf>
    <xf numFmtId="176" fontId="75" fillId="0" borderId="10" xfId="0" applyNumberFormat="1" applyFont="1" applyBorder="1" applyAlignment="1">
      <alignment horizontal="center" vertical="center"/>
    </xf>
    <xf numFmtId="0" fontId="0" fillId="0" borderId="0" xfId="0">
      <alignment vertical="center"/>
    </xf>
    <xf numFmtId="179" fontId="14" fillId="33" borderId="13" xfId="0" applyNumberFormat="1" applyFont="1" applyFill="1" applyBorder="1" applyAlignment="1">
      <alignment horizontal="center" vertical="center"/>
    </xf>
    <xf numFmtId="183" fontId="51" fillId="34" borderId="10" xfId="0" applyNumberFormat="1" applyFont="1" applyFill="1" applyBorder="1" applyAlignment="1">
      <alignment horizontal="center" vertical="center"/>
    </xf>
    <xf numFmtId="0" fontId="27" fillId="34" borderId="21" xfId="0" applyFont="1" applyFill="1" applyBorder="1" applyAlignment="1">
      <alignment horizontal="center" vertical="center"/>
    </xf>
    <xf numFmtId="0" fontId="21" fillId="0" borderId="10" xfId="0" applyFont="1" applyBorder="1">
      <alignment vertical="center"/>
    </xf>
    <xf numFmtId="0" fontId="0" fillId="33" borderId="10" xfId="0" applyFill="1" applyBorder="1" applyAlignment="1">
      <alignment horizontal="center" vertical="center"/>
    </xf>
    <xf numFmtId="0" fontId="27" fillId="33" borderId="10" xfId="0" applyFont="1" applyFill="1" applyBorder="1">
      <alignment vertical="center"/>
    </xf>
    <xf numFmtId="0" fontId="27" fillId="33" borderId="10" xfId="0" applyFont="1" applyFill="1" applyBorder="1" applyAlignment="1">
      <alignment horizontal="right" vertical="center"/>
    </xf>
    <xf numFmtId="2" fontId="23" fillId="33" borderId="10" xfId="7" applyNumberFormat="1" applyFont="1" applyFill="1" applyBorder="1" applyAlignment="1">
      <alignment horizontal="center" vertical="center"/>
    </xf>
    <xf numFmtId="2" fontId="22" fillId="33" borderId="10" xfId="7" applyNumberFormat="1" applyFont="1" applyFill="1" applyBorder="1" applyAlignment="1">
      <alignment horizontal="center" vertical="center"/>
    </xf>
    <xf numFmtId="2" fontId="19" fillId="33" borderId="10" xfId="8" applyNumberFormat="1" applyFont="1" applyFill="1" applyBorder="1" applyAlignment="1">
      <alignment horizontal="center" vertical="center"/>
    </xf>
    <xf numFmtId="0" fontId="19" fillId="33" borderId="10" xfId="0" applyFont="1" applyFill="1" applyBorder="1" applyAlignment="1">
      <alignment horizontal="center" vertical="center"/>
    </xf>
    <xf numFmtId="2" fontId="23" fillId="34" borderId="10" xfId="7" applyNumberFormat="1" applyFont="1" applyFill="1" applyBorder="1" applyAlignment="1">
      <alignment horizontal="center" vertical="center"/>
    </xf>
    <xf numFmtId="0" fontId="27" fillId="0" borderId="10" xfId="0" applyFont="1" applyBorder="1" applyAlignment="1">
      <alignment horizontal="right" vertical="center"/>
    </xf>
    <xf numFmtId="177" fontId="28" fillId="35" borderId="10" xfId="0" applyNumberFormat="1" applyFont="1" applyFill="1" applyBorder="1" applyAlignment="1">
      <alignment horizontal="center" vertical="center"/>
    </xf>
    <xf numFmtId="0" fontId="0" fillId="35" borderId="10" xfId="0" applyFill="1" applyBorder="1">
      <alignment vertical="center"/>
    </xf>
    <xf numFmtId="0" fontId="0" fillId="0" borderId="24" xfId="0" applyBorder="1" applyAlignment="1">
      <alignment horizontal="center" vertical="center"/>
    </xf>
    <xf numFmtId="0" fontId="27" fillId="0" borderId="0" xfId="0" applyFont="1" applyBorder="1">
      <alignment vertical="center"/>
    </xf>
    <xf numFmtId="0" fontId="27" fillId="0" borderId="0" xfId="0" applyFont="1" applyBorder="1" applyAlignment="1">
      <alignment horizontal="right" vertical="center"/>
    </xf>
    <xf numFmtId="177" fontId="28" fillId="35" borderId="0" xfId="0" applyNumberFormat="1" applyFont="1" applyFill="1" applyBorder="1" applyAlignment="1">
      <alignment horizontal="center" vertical="center"/>
    </xf>
    <xf numFmtId="0" fontId="27" fillId="35" borderId="0" xfId="7" applyFont="1" applyFill="1" applyBorder="1" applyAlignment="1">
      <alignment horizontal="center" vertical="center"/>
    </xf>
    <xf numFmtId="0" fontId="27" fillId="35" borderId="0" xfId="8" applyFont="1" applyFill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23" fillId="33" borderId="11" xfId="0" applyFont="1" applyFill="1" applyBorder="1" applyAlignment="1">
      <alignment horizontal="center" vertical="center"/>
    </xf>
    <xf numFmtId="0" fontId="14" fillId="33" borderId="11" xfId="0" applyFont="1" applyFill="1" applyBorder="1" applyAlignment="1">
      <alignment horizontal="center" vertical="center"/>
    </xf>
    <xf numFmtId="0" fontId="23" fillId="33" borderId="11" xfId="0" applyFont="1" applyFill="1" applyBorder="1">
      <alignment vertical="center"/>
    </xf>
    <xf numFmtId="0" fontId="23" fillId="33" borderId="11" xfId="0" applyFont="1" applyFill="1" applyBorder="1" applyAlignment="1">
      <alignment horizontal="right" vertical="center"/>
    </xf>
    <xf numFmtId="0" fontId="23" fillId="33" borderId="11" xfId="7" applyFont="1" applyFill="1" applyBorder="1" applyAlignment="1">
      <alignment horizontal="center" vertical="center"/>
    </xf>
    <xf numFmtId="0" fontId="23" fillId="33" borderId="11" xfId="8" applyFont="1" applyFill="1" applyBorder="1" applyAlignment="1">
      <alignment horizontal="center" vertical="center"/>
    </xf>
    <xf numFmtId="177" fontId="23" fillId="33" borderId="11" xfId="0" applyNumberFormat="1" applyFont="1" applyFill="1" applyBorder="1" applyAlignment="1">
      <alignment horizontal="center" vertical="center"/>
    </xf>
    <xf numFmtId="0" fontId="21" fillId="0" borderId="0" xfId="0" applyFont="1" applyBorder="1">
      <alignment vertical="center"/>
    </xf>
    <xf numFmtId="0" fontId="21" fillId="0" borderId="0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63" fillId="35" borderId="0" xfId="7" applyFont="1" applyFill="1" applyBorder="1" applyAlignment="1">
      <alignment horizontal="center" vertical="center"/>
    </xf>
    <xf numFmtId="0" fontId="63" fillId="35" borderId="0" xfId="8" applyFont="1" applyFill="1" applyBorder="1" applyAlignment="1">
      <alignment horizontal="center" vertical="center"/>
    </xf>
    <xf numFmtId="0" fontId="29" fillId="35" borderId="10" xfId="0" applyFont="1" applyFill="1" applyBorder="1">
      <alignment vertical="center"/>
    </xf>
    <xf numFmtId="0" fontId="22" fillId="34" borderId="23" xfId="0" applyFont="1" applyFill="1" applyBorder="1">
      <alignment vertical="center"/>
    </xf>
    <xf numFmtId="0" fontId="22" fillId="34" borderId="23" xfId="0" applyFont="1" applyFill="1" applyBorder="1" applyAlignment="1">
      <alignment horizontal="right" vertical="center"/>
    </xf>
    <xf numFmtId="0" fontId="22" fillId="34" borderId="23" xfId="0" applyFont="1" applyFill="1" applyBorder="1" applyAlignment="1">
      <alignment horizontal="center" vertical="center"/>
    </xf>
    <xf numFmtId="2" fontId="22" fillId="34" borderId="23" xfId="7" applyNumberFormat="1" applyFont="1" applyFill="1" applyBorder="1" applyAlignment="1">
      <alignment horizontal="center" vertical="center"/>
    </xf>
    <xf numFmtId="0" fontId="27" fillId="34" borderId="26" xfId="0" applyFont="1" applyFill="1" applyBorder="1" applyAlignment="1">
      <alignment horizontal="center" vertical="center"/>
    </xf>
    <xf numFmtId="177" fontId="70" fillId="0" borderId="21" xfId="0" applyNumberFormat="1" applyFont="1" applyBorder="1" applyAlignment="1">
      <alignment horizontal="center" vertical="center"/>
    </xf>
    <xf numFmtId="179" fontId="1" fillId="0" borderId="0" xfId="0" applyNumberFormat="1" applyFont="1">
      <alignment vertical="center"/>
    </xf>
    <xf numFmtId="0" fontId="1" fillId="35" borderId="0" xfId="0" applyFont="1" applyFill="1">
      <alignment vertical="center"/>
    </xf>
    <xf numFmtId="177" fontId="29" fillId="35" borderId="0" xfId="0" applyNumberFormat="1" applyFont="1" applyFill="1">
      <alignment vertical="center"/>
    </xf>
    <xf numFmtId="177" fontId="0" fillId="0" borderId="0" xfId="0" applyNumberFormat="1">
      <alignment vertical="center"/>
    </xf>
    <xf numFmtId="0" fontId="1" fillId="0" borderId="0" xfId="0" applyFont="1" applyAlignment="1">
      <alignment horizontal="center" vertical="center"/>
    </xf>
    <xf numFmtId="0" fontId="63" fillId="35" borderId="19" xfId="0" applyFont="1" applyFill="1" applyBorder="1" applyAlignment="1">
      <alignment horizontal="center" vertical="center"/>
    </xf>
    <xf numFmtId="0" fontId="27" fillId="35" borderId="21" xfId="0" applyFont="1" applyFill="1" applyBorder="1" applyAlignment="1">
      <alignment horizontal="center" vertical="center"/>
    </xf>
    <xf numFmtId="0" fontId="23" fillId="34" borderId="23" xfId="0" applyFont="1" applyFill="1" applyBorder="1">
      <alignment vertical="center"/>
    </xf>
    <xf numFmtId="0" fontId="19" fillId="35" borderId="19" xfId="0" applyFont="1" applyFill="1" applyBorder="1" applyAlignment="1">
      <alignment horizontal="center" vertical="center"/>
    </xf>
    <xf numFmtId="2" fontId="23" fillId="34" borderId="23" xfId="7" applyNumberFormat="1" applyFont="1" applyFill="1" applyBorder="1" applyAlignment="1">
      <alignment horizontal="center" vertical="center"/>
    </xf>
    <xf numFmtId="0" fontId="23" fillId="35" borderId="19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35" borderId="19" xfId="0" applyFill="1" applyBorder="1">
      <alignment vertical="center"/>
    </xf>
    <xf numFmtId="0" fontId="27" fillId="34" borderId="23" xfId="0" applyFont="1" applyFill="1" applyBorder="1" applyAlignment="1">
      <alignment horizontal="center" vertical="center"/>
    </xf>
    <xf numFmtId="0" fontId="23" fillId="35" borderId="14" xfId="0" applyFont="1" applyFill="1" applyBorder="1" applyAlignment="1">
      <alignment horizontal="center" vertical="center"/>
    </xf>
    <xf numFmtId="0" fontId="23" fillId="35" borderId="21" xfId="0" applyFont="1" applyFill="1" applyBorder="1" applyAlignment="1">
      <alignment horizontal="center" vertical="center"/>
    </xf>
    <xf numFmtId="0" fontId="63" fillId="35" borderId="28" xfId="0" applyFont="1" applyFill="1" applyBorder="1" applyAlignment="1">
      <alignment horizontal="center" vertical="center"/>
    </xf>
    <xf numFmtId="0" fontId="0" fillId="0" borderId="23" xfId="0" applyBorder="1">
      <alignment vertical="center"/>
    </xf>
    <xf numFmtId="0" fontId="23" fillId="35" borderId="28" xfId="0" applyFont="1" applyFill="1" applyBorder="1" applyAlignment="1">
      <alignment horizontal="center" vertical="center"/>
    </xf>
    <xf numFmtId="0" fontId="23" fillId="35" borderId="27" xfId="0" applyFont="1" applyFill="1" applyBorder="1" applyAlignment="1">
      <alignment horizontal="center" vertical="center"/>
    </xf>
    <xf numFmtId="0" fontId="27" fillId="35" borderId="28" xfId="0" applyFont="1" applyFill="1" applyBorder="1" applyAlignment="1">
      <alignment horizontal="center" vertical="center"/>
    </xf>
    <xf numFmtId="177" fontId="72" fillId="37" borderId="10" xfId="0" applyNumberFormat="1" applyFont="1" applyFill="1" applyBorder="1" applyAlignment="1">
      <alignment horizontal="center" vertical="center"/>
    </xf>
    <xf numFmtId="177" fontId="81" fillId="0" borderId="11" xfId="0" applyNumberFormat="1" applyFont="1" applyBorder="1" applyAlignment="1">
      <alignment horizontal="center" vertical="center"/>
    </xf>
    <xf numFmtId="0" fontId="23" fillId="34" borderId="23" xfId="0" applyFont="1" applyFill="1" applyBorder="1" applyAlignment="1">
      <alignment horizontal="right" vertical="center"/>
    </xf>
    <xf numFmtId="0" fontId="23" fillId="34" borderId="22" xfId="0" applyFont="1" applyFill="1" applyBorder="1" applyAlignment="1">
      <alignment horizontal="center" vertical="center"/>
    </xf>
    <xf numFmtId="0" fontId="23" fillId="34" borderId="23" xfId="0" applyFont="1" applyFill="1" applyBorder="1" applyAlignment="1">
      <alignment horizontal="center" vertical="center"/>
    </xf>
    <xf numFmtId="0" fontId="19" fillId="35" borderId="28" xfId="0" applyFont="1" applyFill="1" applyBorder="1" applyAlignment="1">
      <alignment horizontal="center"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0" fontId="78" fillId="0" borderId="10" xfId="0" applyFont="1" applyBorder="1" applyAlignment="1">
      <alignment horizontal="center" vertical="center"/>
    </xf>
    <xf numFmtId="22" fontId="78" fillId="0" borderId="10" xfId="0" applyNumberFormat="1" applyFont="1" applyBorder="1" applyAlignment="1">
      <alignment horizontal="center" vertical="center"/>
    </xf>
    <xf numFmtId="22" fontId="72" fillId="37" borderId="10" xfId="0" applyNumberFormat="1" applyFont="1" applyFill="1" applyBorder="1" applyAlignment="1">
      <alignment horizontal="center" vertical="center"/>
    </xf>
    <xf numFmtId="0" fontId="0" fillId="0" borderId="10" xfId="0" applyBorder="1">
      <alignment vertical="center"/>
    </xf>
    <xf numFmtId="177" fontId="70" fillId="0" borderId="10" xfId="0" applyNumberFormat="1" applyFont="1" applyBorder="1" applyAlignment="1">
      <alignment horizontal="center" vertical="center"/>
    </xf>
    <xf numFmtId="183" fontId="14" fillId="33" borderId="13" xfId="0" applyNumberFormat="1" applyFont="1" applyFill="1" applyBorder="1" applyAlignment="1">
      <alignment horizontal="center" vertical="center"/>
    </xf>
    <xf numFmtId="20" fontId="72" fillId="37" borderId="10" xfId="0" applyNumberFormat="1" applyFont="1" applyFill="1" applyBorder="1" applyAlignment="1">
      <alignment horizontal="center" vertical="center"/>
    </xf>
    <xf numFmtId="0" fontId="27" fillId="35" borderId="19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35" borderId="0" xfId="0" applyFill="1">
      <alignment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right" vertical="center"/>
    </xf>
    <xf numFmtId="0" fontId="27" fillId="35" borderId="0" xfId="7" applyFont="1" applyFill="1" applyAlignment="1">
      <alignment horizontal="center" vertical="center"/>
    </xf>
    <xf numFmtId="0" fontId="27" fillId="35" borderId="11" xfId="0" applyFont="1" applyFill="1" applyBorder="1" applyAlignment="1">
      <alignment horizontal="center" vertical="center"/>
    </xf>
    <xf numFmtId="177" fontId="28" fillId="35" borderId="0" xfId="0" applyNumberFormat="1" applyFont="1" applyFill="1" applyAlignment="1">
      <alignment horizontal="center" vertical="center"/>
    </xf>
    <xf numFmtId="0" fontId="27" fillId="35" borderId="0" xfId="0" applyFont="1" applyFill="1">
      <alignment vertical="center"/>
    </xf>
    <xf numFmtId="0" fontId="20" fillId="35" borderId="0" xfId="0" applyFont="1" applyFill="1">
      <alignment vertical="center"/>
    </xf>
    <xf numFmtId="177" fontId="27" fillId="35" borderId="0" xfId="0" applyNumberFormat="1" applyFont="1" applyFill="1">
      <alignment vertical="center"/>
    </xf>
    <xf numFmtId="0" fontId="29" fillId="0" borderId="0" xfId="0" applyFont="1">
      <alignment vertical="center"/>
    </xf>
    <xf numFmtId="177" fontId="27" fillId="0" borderId="0" xfId="0" applyNumberFormat="1" applyFont="1">
      <alignment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35" borderId="0" xfId="0" applyFill="1">
      <alignment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right" vertical="center"/>
    </xf>
    <xf numFmtId="0" fontId="27" fillId="35" borderId="0" xfId="7" applyFont="1" applyFill="1" applyAlignment="1">
      <alignment horizontal="center" vertical="center"/>
    </xf>
    <xf numFmtId="177" fontId="28" fillId="35" borderId="0" xfId="0" applyNumberFormat="1" applyFont="1" applyFill="1" applyAlignment="1">
      <alignment horizontal="center" vertical="center"/>
    </xf>
    <xf numFmtId="0" fontId="20" fillId="35" borderId="0" xfId="0" applyFont="1" applyFill="1">
      <alignment vertical="center"/>
    </xf>
    <xf numFmtId="0" fontId="1" fillId="0" borderId="0" xfId="0" applyFont="1" applyAlignment="1">
      <alignment horizontal="center" vertical="center"/>
    </xf>
    <xf numFmtId="0" fontId="29" fillId="0" borderId="0" xfId="0" applyFont="1">
      <alignment vertical="center"/>
    </xf>
    <xf numFmtId="0" fontId="27" fillId="0" borderId="0" xfId="0" applyFont="1">
      <alignment vertical="center"/>
    </xf>
    <xf numFmtId="0" fontId="27" fillId="35" borderId="0" xfId="0" applyFont="1" applyFill="1">
      <alignment vertical="center"/>
    </xf>
    <xf numFmtId="0" fontId="0" fillId="0" borderId="10" xfId="0" applyBorder="1">
      <alignment vertical="center"/>
    </xf>
    <xf numFmtId="179" fontId="27" fillId="35" borderId="0" xfId="0" applyNumberFormat="1" applyFont="1" applyFill="1">
      <alignment vertical="center"/>
    </xf>
    <xf numFmtId="0" fontId="29" fillId="0" borderId="10" xfId="0" applyFont="1" applyBorder="1">
      <alignment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0" fontId="71" fillId="0" borderId="10" xfId="0" applyFont="1" applyBorder="1" applyAlignment="1">
      <alignment horizontal="center" vertical="center"/>
    </xf>
    <xf numFmtId="22" fontId="71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0" fontId="0" fillId="0" borderId="10" xfId="0" applyBorder="1">
      <alignment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177" fontId="70" fillId="0" borderId="21" xfId="0" applyNumberFormat="1" applyFont="1" applyFill="1" applyBorder="1" applyAlignment="1">
      <alignment horizontal="center" vertical="center"/>
    </xf>
    <xf numFmtId="176" fontId="72" fillId="37" borderId="10" xfId="0" applyNumberFormat="1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35" borderId="0" xfId="0" applyFont="1" applyFill="1">
      <alignment vertical="center"/>
    </xf>
    <xf numFmtId="0" fontId="72" fillId="37" borderId="10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35" borderId="10" xfId="0" applyFont="1" applyFill="1" applyBorder="1" applyAlignment="1">
      <alignment horizontal="center" vertical="center"/>
    </xf>
    <xf numFmtId="0" fontId="27" fillId="35" borderId="0" xfId="0" applyFont="1" applyFill="1">
      <alignment vertical="center"/>
    </xf>
    <xf numFmtId="0" fontId="29" fillId="0" borderId="0" xfId="0" applyFont="1">
      <alignment vertical="center"/>
    </xf>
    <xf numFmtId="0" fontId="0" fillId="0" borderId="10" xfId="0" applyBorder="1">
      <alignment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177" fontId="70" fillId="0" borderId="11" xfId="0" applyNumberFormat="1" applyFont="1" applyBorder="1" applyAlignment="1">
      <alignment horizontal="center" vertical="center"/>
    </xf>
    <xf numFmtId="0" fontId="27" fillId="35" borderId="10" xfId="0" applyFont="1" applyFill="1" applyBorder="1" applyAlignment="1">
      <alignment horizontal="center" vertical="center"/>
    </xf>
    <xf numFmtId="0" fontId="23" fillId="35" borderId="10" xfId="0" applyFont="1" applyFill="1" applyBorder="1" applyAlignment="1">
      <alignment horizontal="center" vertical="center"/>
    </xf>
    <xf numFmtId="0" fontId="19" fillId="35" borderId="10" xfId="0" applyFont="1" applyFill="1" applyBorder="1" applyAlignment="1">
      <alignment horizontal="center" vertical="center"/>
    </xf>
    <xf numFmtId="0" fontId="27" fillId="35" borderId="1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Fill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0" fontId="78" fillId="0" borderId="10" xfId="0" applyFont="1" applyBorder="1" applyAlignment="1">
      <alignment horizontal="center" vertical="center"/>
    </xf>
    <xf numFmtId="22" fontId="78" fillId="0" borderId="10" xfId="0" applyNumberFormat="1" applyFont="1" applyBorder="1" applyAlignment="1">
      <alignment horizontal="center" vertical="center"/>
    </xf>
    <xf numFmtId="0" fontId="0" fillId="0" borderId="10" xfId="0" applyBorder="1">
      <alignment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Fill="1" applyBorder="1" applyAlignment="1">
      <alignment horizontal="center" vertical="center"/>
    </xf>
    <xf numFmtId="177" fontId="70" fillId="0" borderId="11" xfId="0" applyNumberFormat="1" applyFont="1" applyBorder="1" applyAlignment="1">
      <alignment horizontal="center" vertical="center"/>
    </xf>
    <xf numFmtId="0" fontId="0" fillId="0" borderId="0" xfId="0">
      <alignment vertical="center"/>
    </xf>
    <xf numFmtId="0" fontId="0" fillId="0" borderId="10" xfId="0" applyBorder="1">
      <alignment vertical="center"/>
    </xf>
    <xf numFmtId="177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Fill="1" applyBorder="1" applyAlignment="1">
      <alignment horizontal="center" vertical="center"/>
    </xf>
    <xf numFmtId="0" fontId="70" fillId="0" borderId="10" xfId="0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35" borderId="0" xfId="0" applyFill="1">
      <alignment vertical="center"/>
    </xf>
    <xf numFmtId="0" fontId="27" fillId="35" borderId="10" xfId="0" applyFont="1" applyFill="1" applyBorder="1" applyAlignment="1">
      <alignment horizontal="center" vertical="center"/>
    </xf>
    <xf numFmtId="0" fontId="0" fillId="0" borderId="11" xfId="0" applyBorder="1">
      <alignment vertical="center"/>
    </xf>
    <xf numFmtId="0" fontId="19" fillId="35" borderId="10" xfId="0" applyFont="1" applyFill="1" applyBorder="1" applyAlignment="1">
      <alignment horizontal="center" vertical="center"/>
    </xf>
    <xf numFmtId="0" fontId="29" fillId="0" borderId="0" xfId="0" applyFont="1">
      <alignment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0" fontId="71" fillId="0" borderId="10" xfId="0" applyFont="1" applyBorder="1" applyAlignment="1">
      <alignment horizontal="center" vertical="center"/>
    </xf>
    <xf numFmtId="22" fontId="71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82" fillId="0" borderId="10" xfId="0" applyFont="1" applyBorder="1" applyAlignment="1">
      <alignment horizontal="center" vertical="center"/>
    </xf>
    <xf numFmtId="22" fontId="82" fillId="0" borderId="10" xfId="0" applyNumberFormat="1" applyFont="1" applyBorder="1" applyAlignment="1">
      <alignment horizontal="center" vertical="center"/>
    </xf>
    <xf numFmtId="179" fontId="19" fillId="34" borderId="10" xfId="0" applyNumberFormat="1" applyFont="1" applyFill="1" applyBorder="1" applyAlignment="1">
      <alignment horizontal="center" vertical="center"/>
    </xf>
    <xf numFmtId="0" fontId="84" fillId="35" borderId="10" xfId="0" applyFont="1" applyFill="1" applyBorder="1" applyAlignment="1">
      <alignment horizontal="center" vertical="center"/>
    </xf>
    <xf numFmtId="0" fontId="14" fillId="37" borderId="16" xfId="0" applyFont="1" applyFill="1" applyBorder="1" applyAlignment="1">
      <alignment horizontal="center" vertical="center"/>
    </xf>
    <xf numFmtId="0" fontId="48" fillId="37" borderId="16" xfId="0" applyFont="1" applyFill="1" applyBorder="1" applyAlignment="1">
      <alignment horizontal="center" vertical="center"/>
    </xf>
    <xf numFmtId="0" fontId="75" fillId="0" borderId="10" xfId="0" applyFont="1" applyBorder="1" applyAlignment="1">
      <alignment horizontal="center" vertical="center"/>
    </xf>
    <xf numFmtId="22" fontId="75" fillId="0" borderId="10" xfId="0" applyNumberFormat="1" applyFont="1" applyBorder="1" applyAlignment="1">
      <alignment horizontal="center" vertical="center"/>
    </xf>
    <xf numFmtId="0" fontId="19" fillId="37" borderId="19" xfId="0" applyFont="1" applyFill="1" applyBorder="1" applyAlignment="1">
      <alignment horizontal="center" vertical="center"/>
    </xf>
    <xf numFmtId="0" fontId="14" fillId="37" borderId="10" xfId="0" applyFont="1" applyFill="1" applyBorder="1" applyAlignment="1">
      <alignment horizontal="center" vertical="center"/>
    </xf>
    <xf numFmtId="2" fontId="19" fillId="37" borderId="10" xfId="0" applyNumberFormat="1" applyFont="1" applyFill="1" applyBorder="1" applyAlignment="1">
      <alignment horizontal="center" vertical="center"/>
    </xf>
    <xf numFmtId="0" fontId="19" fillId="37" borderId="10" xfId="0" applyFont="1" applyFill="1" applyBorder="1" applyAlignment="1">
      <alignment horizontal="center" vertical="center"/>
    </xf>
    <xf numFmtId="0" fontId="14" fillId="37" borderId="11" xfId="0" applyFont="1" applyFill="1" applyBorder="1" applyAlignment="1">
      <alignment horizontal="center" vertical="center"/>
    </xf>
    <xf numFmtId="0" fontId="86" fillId="0" borderId="10" xfId="0" applyFont="1" applyBorder="1" applyAlignment="1">
      <alignment horizontal="center" vertical="center"/>
    </xf>
    <xf numFmtId="0" fontId="87" fillId="0" borderId="10" xfId="0" applyFont="1" applyBorder="1" applyAlignment="1">
      <alignment horizontal="center" vertical="center"/>
    </xf>
    <xf numFmtId="22" fontId="86" fillId="0" borderId="10" xfId="0" applyNumberFormat="1" applyFont="1" applyBorder="1" applyAlignment="1">
      <alignment horizontal="center" vertical="center"/>
    </xf>
    <xf numFmtId="176" fontId="86" fillId="0" borderId="10" xfId="0" applyNumberFormat="1" applyFont="1" applyBorder="1" applyAlignment="1">
      <alignment horizontal="center" vertical="center"/>
    </xf>
    <xf numFmtId="20" fontId="86" fillId="0" borderId="10" xfId="0" applyNumberFormat="1" applyFont="1" applyBorder="1" applyAlignment="1">
      <alignment horizontal="center" vertical="center"/>
    </xf>
    <xf numFmtId="177" fontId="86" fillId="0" borderId="10" xfId="0" applyNumberFormat="1" applyFont="1" applyBorder="1" applyAlignment="1">
      <alignment horizontal="center" vertical="center"/>
    </xf>
    <xf numFmtId="0" fontId="88" fillId="35" borderId="10" xfId="0" applyFont="1" applyFill="1" applyBorder="1" applyAlignment="1">
      <alignment horizontal="center" vertical="center"/>
    </xf>
    <xf numFmtId="0" fontId="89" fillId="35" borderId="0" xfId="0" applyFont="1" applyFill="1">
      <alignment vertical="center"/>
    </xf>
    <xf numFmtId="0" fontId="88" fillId="35" borderId="0" xfId="0" applyFont="1" applyFill="1">
      <alignment vertical="center"/>
    </xf>
    <xf numFmtId="0" fontId="88" fillId="0" borderId="0" xfId="0" applyFont="1">
      <alignment vertical="center"/>
    </xf>
    <xf numFmtId="0" fontId="62" fillId="37" borderId="16" xfId="0" applyFont="1" applyFill="1" applyBorder="1" applyAlignment="1">
      <alignment horizontal="center" vertical="center"/>
    </xf>
    <xf numFmtId="0" fontId="70" fillId="39" borderId="0" xfId="50" applyFont="1" applyFill="1" applyAlignment="1">
      <alignment horizontal="left" vertical="center"/>
    </xf>
    <xf numFmtId="0" fontId="72" fillId="39" borderId="0" xfId="50" applyFont="1" applyFill="1" applyAlignment="1">
      <alignment horizontal="left" vertical="center"/>
    </xf>
    <xf numFmtId="0" fontId="70" fillId="39" borderId="0" xfId="50" applyFont="1" applyFill="1" applyAlignment="1">
      <alignment horizontal="center" vertical="center"/>
    </xf>
    <xf numFmtId="183" fontId="72" fillId="39" borderId="0" xfId="50" applyNumberFormat="1" applyFont="1" applyFill="1" applyAlignment="1">
      <alignment horizontal="left" vertical="center"/>
    </xf>
    <xf numFmtId="0" fontId="91" fillId="39" borderId="0" xfId="52" applyFont="1" applyFill="1" applyAlignment="1">
      <alignment horizontal="center" vertical="center"/>
    </xf>
    <xf numFmtId="0" fontId="70" fillId="39" borderId="29" xfId="50" applyFont="1" applyFill="1" applyBorder="1" applyAlignment="1">
      <alignment horizontal="center" vertical="center"/>
    </xf>
    <xf numFmtId="0" fontId="70" fillId="39" borderId="29" xfId="50" applyFont="1" applyFill="1" applyBorder="1" applyAlignment="1">
      <alignment horizontal="left" vertical="center"/>
    </xf>
    <xf numFmtId="14" fontId="70" fillId="39" borderId="0" xfId="50" applyNumberFormat="1" applyFont="1" applyFill="1" applyAlignment="1">
      <alignment horizontal="center" vertical="center"/>
    </xf>
    <xf numFmtId="0" fontId="70" fillId="0" borderId="0" xfId="0" applyFont="1">
      <alignment vertical="center"/>
    </xf>
    <xf numFmtId="22" fontId="70" fillId="0" borderId="0" xfId="0" applyNumberFormat="1" applyFont="1">
      <alignment vertical="center"/>
    </xf>
    <xf numFmtId="0" fontId="72" fillId="0" borderId="0" xfId="0" applyFont="1">
      <alignment vertical="center"/>
    </xf>
    <xf numFmtId="0" fontId="93" fillId="0" borderId="0" xfId="0" applyFont="1">
      <alignment vertical="center"/>
    </xf>
    <xf numFmtId="22" fontId="93" fillId="0" borderId="0" xfId="0" applyNumberFormat="1" applyFont="1">
      <alignment vertical="center"/>
    </xf>
    <xf numFmtId="0" fontId="71" fillId="0" borderId="0" xfId="0" applyFont="1">
      <alignment vertical="center"/>
    </xf>
    <xf numFmtId="0" fontId="70" fillId="0" borderId="0" xfId="0" applyFont="1" applyAlignment="1">
      <alignment horizontal="center" vertical="center"/>
    </xf>
    <xf numFmtId="22" fontId="70" fillId="0" borderId="0" xfId="0" applyNumberFormat="1" applyFont="1" applyAlignment="1">
      <alignment horizontal="center" vertical="center"/>
    </xf>
    <xf numFmtId="0" fontId="72" fillId="37" borderId="0" xfId="0" applyFont="1" applyFill="1">
      <alignment vertical="center"/>
    </xf>
    <xf numFmtId="22" fontId="72" fillId="37" borderId="0" xfId="0" applyNumberFormat="1" applyFont="1" applyFill="1">
      <alignment vertical="center"/>
    </xf>
    <xf numFmtId="0" fontId="82" fillId="0" borderId="0" xfId="0" applyFont="1">
      <alignment vertical="center"/>
    </xf>
    <xf numFmtId="22" fontId="82" fillId="0" borderId="0" xfId="0" applyNumberFormat="1" applyFont="1">
      <alignment vertical="center"/>
    </xf>
    <xf numFmtId="0" fontId="93" fillId="0" borderId="10" xfId="0" applyFont="1" applyBorder="1" applyAlignment="1">
      <alignment horizontal="center" vertical="center"/>
    </xf>
    <xf numFmtId="22" fontId="93" fillId="0" borderId="10" xfId="0" applyNumberFormat="1" applyFont="1" applyBorder="1" applyAlignment="1">
      <alignment horizontal="center" vertical="center"/>
    </xf>
    <xf numFmtId="184" fontId="70" fillId="0" borderId="10" xfId="0" applyNumberFormat="1" applyFont="1" applyBorder="1" applyAlignment="1">
      <alignment horizontal="center" vertical="center"/>
    </xf>
    <xf numFmtId="184" fontId="70" fillId="0" borderId="10" xfId="0" applyNumberFormat="1" applyFont="1" applyFill="1" applyBorder="1" applyAlignment="1">
      <alignment horizontal="center" vertical="center"/>
    </xf>
    <xf numFmtId="185" fontId="70" fillId="0" borderId="10" xfId="0" applyNumberFormat="1" applyFont="1" applyBorder="1" applyAlignment="1">
      <alignment horizontal="center" vertical="center"/>
    </xf>
  </cellXfs>
  <cellStyles count="53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1 2" xfId="44" xr:uid="{00000000-0005-0000-0000-00000D000000}"/>
    <cellStyle name="60% - 輔色2" xfId="25" builtinId="36" customBuiltin="1"/>
    <cellStyle name="60% - 輔色2 2" xfId="45" xr:uid="{00000000-0005-0000-0000-00000F000000}"/>
    <cellStyle name="60% - 輔色3" xfId="29" builtinId="40" customBuiltin="1"/>
    <cellStyle name="60% - 輔色3 2" xfId="46" xr:uid="{00000000-0005-0000-0000-000011000000}"/>
    <cellStyle name="60% - 輔色4" xfId="33" builtinId="44" customBuiltin="1"/>
    <cellStyle name="60% - 輔色4 2" xfId="47" xr:uid="{00000000-0005-0000-0000-000013000000}"/>
    <cellStyle name="60% - 輔色5" xfId="37" builtinId="48" customBuiltin="1"/>
    <cellStyle name="60% - 輔色5 2" xfId="48" xr:uid="{00000000-0005-0000-0000-000015000000}"/>
    <cellStyle name="60% - 輔色6" xfId="41" builtinId="52" customBuiltin="1"/>
    <cellStyle name="60% - 輔色6 2" xfId="49" xr:uid="{00000000-0005-0000-0000-000017000000}"/>
    <cellStyle name="一般" xfId="0" builtinId="0"/>
    <cellStyle name="一般 2" xfId="50" xr:uid="{00000000-0005-0000-0000-000019000000}"/>
    <cellStyle name="一般 2 2" xfId="51" xr:uid="{00000000-0005-0000-0000-00001A000000}"/>
    <cellStyle name="中等" xfId="8" builtinId="28" customBuiltin="1"/>
    <cellStyle name="中等 2" xfId="43" xr:uid="{00000000-0005-0000-0000-00001C000000}"/>
    <cellStyle name="合計" xfId="17" builtinId="25" customBuiltin="1"/>
    <cellStyle name="好" xfId="6" builtinId="26" customBuiltin="1"/>
    <cellStyle name="百分比" xfId="42" builtinId="5"/>
    <cellStyle name="計算方式" xfId="11" builtinId="22" customBuiltin="1"/>
    <cellStyle name="連結的儲存格" xfId="12" builtinId="24" customBuiltin="1"/>
    <cellStyle name="備註" xfId="15" builtinId="10" customBuiltin="1"/>
    <cellStyle name="超連結" xfId="52" builtinId="8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11AD3"/>
      <color rgb="FF23956F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0</xdr:rowOff>
    </xdr:from>
    <xdr:to>
      <xdr:col>16</xdr:col>
      <xdr:colOff>600075</xdr:colOff>
      <xdr:row>9</xdr:row>
      <xdr:rowOff>114300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4F4C6D34-B2EF-443E-939B-6CDA9F3BEC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81575" y="200025"/>
          <a:ext cx="67722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11</xdr:row>
      <xdr:rowOff>0</xdr:rowOff>
    </xdr:from>
    <xdr:to>
      <xdr:col>9</xdr:col>
      <xdr:colOff>657225</xdr:colOff>
      <xdr:row>16</xdr:row>
      <xdr:rowOff>0</xdr:rowOff>
    </xdr:to>
    <xdr:sp macro="[0]!Main.MAIN" textlink="">
      <xdr:nvSpPr>
        <xdr:cNvPr id="4" name="矩形 3">
          <a:extLst>
            <a:ext uri="{FF2B5EF4-FFF2-40B4-BE49-F238E27FC236}">
              <a16:creationId xmlns:a16="http://schemas.microsoft.com/office/drawing/2014/main" id="{7235AF11-F311-4114-A7A1-AD76FA584DBC}"/>
            </a:ext>
          </a:extLst>
        </xdr:cNvPr>
        <xdr:cNvSpPr/>
      </xdr:nvSpPr>
      <xdr:spPr>
        <a:xfrm>
          <a:off x="4981575" y="2200275"/>
          <a:ext cx="2028825" cy="100012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i="0">
              <a:latin typeface="Yuanti TC" panose="02010600040101010101" pitchFamily="2" charset="-120"/>
              <a:ea typeface="Yuanti TC" panose="02010600040101010101" pitchFamily="2" charset="-120"/>
            </a:rPr>
            <a:t>計算工時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C7FAB-BFD4-49CA-9090-D632AC53C279}">
  <sheetPr codeName="工作表35">
    <tabColor theme="9" tint="0.39997558519241921"/>
  </sheetPr>
  <dimension ref="B2:E8"/>
  <sheetViews>
    <sheetView tabSelected="1" workbookViewId="0">
      <selection activeCell="F15" sqref="F15"/>
    </sheetView>
  </sheetViews>
  <sheetFormatPr defaultColWidth="8.625" defaultRowHeight="15.75"/>
  <cols>
    <col min="1" max="1" width="8.625" style="664"/>
    <col min="2" max="2" width="13.625" style="666" customWidth="1"/>
    <col min="3" max="4" width="8.625" style="666"/>
    <col min="5" max="16384" width="8.625" style="664"/>
  </cols>
  <sheetData>
    <row r="2" spans="2:5">
      <c r="B2" s="664" t="s">
        <v>173</v>
      </c>
      <c r="C2" s="665" t="s">
        <v>180</v>
      </c>
    </row>
    <row r="3" spans="2:5">
      <c r="B3" s="664" t="s">
        <v>174</v>
      </c>
      <c r="C3" s="667" t="s">
        <v>178</v>
      </c>
    </row>
    <row r="4" spans="2:5">
      <c r="C4" s="666" t="s">
        <v>175</v>
      </c>
    </row>
    <row r="5" spans="2:5">
      <c r="B5" s="668"/>
    </row>
    <row r="6" spans="2:5" s="670" customFormat="1" ht="16.5" thickBot="1">
      <c r="B6" s="669"/>
      <c r="C6" s="669"/>
      <c r="D6" s="669"/>
    </row>
    <row r="7" spans="2:5" ht="16.5" thickTop="1"/>
    <row r="8" spans="2:5">
      <c r="B8" s="671">
        <v>43794</v>
      </c>
      <c r="C8" s="666" t="s">
        <v>178</v>
      </c>
      <c r="D8" s="666">
        <v>1</v>
      </c>
      <c r="E8" s="664" t="s">
        <v>179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612"/>
  <sheetViews>
    <sheetView zoomScaleNormal="100" workbookViewId="0">
      <selection activeCell="F6" sqref="F6"/>
    </sheetView>
  </sheetViews>
  <sheetFormatPr defaultRowHeight="15.75"/>
  <cols>
    <col min="1" max="1" width="6.5" style="672" bestFit="1" customWidth="1"/>
    <col min="2" max="2" width="7.5" style="672" bestFit="1" customWidth="1"/>
    <col min="3" max="3" width="7.25" style="672" bestFit="1" customWidth="1"/>
    <col min="4" max="4" width="9.5" style="672" bestFit="1" customWidth="1"/>
    <col min="5" max="5" width="15.5" style="672" bestFit="1" customWidth="1"/>
    <col min="6" max="16384" width="9" style="672"/>
  </cols>
  <sheetData>
    <row r="1" spans="1:5">
      <c r="A1" s="672" t="s">
        <v>0</v>
      </c>
      <c r="B1" s="672" t="s">
        <v>1</v>
      </c>
      <c r="C1" s="672" t="s">
        <v>2</v>
      </c>
      <c r="D1" s="672" t="s">
        <v>3</v>
      </c>
      <c r="E1" s="672" t="s">
        <v>4</v>
      </c>
    </row>
    <row r="2" spans="1:5">
      <c r="A2" s="672">
        <v>12850</v>
      </c>
      <c r="B2" s="672" t="s">
        <v>72</v>
      </c>
      <c r="C2" s="672" t="s">
        <v>72</v>
      </c>
      <c r="D2" s="672" t="s">
        <v>125</v>
      </c>
      <c r="E2" s="673">
        <v>43346.371388888889</v>
      </c>
    </row>
    <row r="3" spans="1:5">
      <c r="A3" s="672">
        <v>12866</v>
      </c>
      <c r="B3" s="672" t="s">
        <v>72</v>
      </c>
      <c r="C3" s="672" t="s">
        <v>72</v>
      </c>
      <c r="D3" s="672" t="s">
        <v>126</v>
      </c>
      <c r="E3" s="673">
        <v>43346.773206018515</v>
      </c>
    </row>
    <row r="4" spans="1:5">
      <c r="A4" s="672">
        <v>12867</v>
      </c>
      <c r="B4" s="672" t="s">
        <v>72</v>
      </c>
      <c r="C4" s="672" t="s">
        <v>72</v>
      </c>
      <c r="D4" s="672" t="s">
        <v>127</v>
      </c>
      <c r="E4" s="673">
        <v>43346.774212962962</v>
      </c>
    </row>
    <row r="5" spans="1:5">
      <c r="A5" s="672">
        <v>12874</v>
      </c>
      <c r="B5" s="672" t="s">
        <v>72</v>
      </c>
      <c r="C5" s="672" t="s">
        <v>72</v>
      </c>
      <c r="D5" s="672" t="s">
        <v>128</v>
      </c>
      <c r="E5" s="673">
        <v>43346.821203703701</v>
      </c>
    </row>
    <row r="6" spans="1:5">
      <c r="A6" s="672">
        <v>12883</v>
      </c>
      <c r="B6" s="672" t="s">
        <v>72</v>
      </c>
      <c r="C6" s="672" t="s">
        <v>72</v>
      </c>
      <c r="D6" s="672" t="s">
        <v>125</v>
      </c>
      <c r="E6" s="673">
        <v>43347.372627314813</v>
      </c>
    </row>
    <row r="7" spans="1:5">
      <c r="A7" s="672">
        <v>12899</v>
      </c>
      <c r="B7" s="672" t="s">
        <v>72</v>
      </c>
      <c r="C7" s="672" t="s">
        <v>72</v>
      </c>
      <c r="D7" s="672" t="s">
        <v>126</v>
      </c>
      <c r="E7" s="673">
        <v>43347.77140046296</v>
      </c>
    </row>
    <row r="8" spans="1:5">
      <c r="A8" s="672">
        <v>12902</v>
      </c>
      <c r="B8" s="672" t="s">
        <v>72</v>
      </c>
      <c r="C8" s="672" t="s">
        <v>72</v>
      </c>
      <c r="D8" s="672" t="s">
        <v>127</v>
      </c>
      <c r="E8" s="673">
        <v>43347.781307870369</v>
      </c>
    </row>
    <row r="9" spans="1:5">
      <c r="A9" s="672">
        <v>12908</v>
      </c>
      <c r="B9" s="672" t="s">
        <v>72</v>
      </c>
      <c r="C9" s="672" t="s">
        <v>72</v>
      </c>
      <c r="D9" s="672" t="s">
        <v>128</v>
      </c>
      <c r="E9" s="673">
        <v>43347.837372685186</v>
      </c>
    </row>
    <row r="10" spans="1:5">
      <c r="A10" s="672">
        <v>12919</v>
      </c>
      <c r="B10" s="672" t="s">
        <v>86</v>
      </c>
      <c r="C10" s="672" t="s">
        <v>72</v>
      </c>
      <c r="D10" s="672" t="s">
        <v>125</v>
      </c>
      <c r="E10" s="673">
        <v>43348.372372685182</v>
      </c>
    </row>
    <row r="11" spans="1:5">
      <c r="A11" s="672">
        <v>12927</v>
      </c>
      <c r="B11" s="672" t="s">
        <v>72</v>
      </c>
      <c r="C11" s="672" t="s">
        <v>72</v>
      </c>
      <c r="D11" s="672" t="s">
        <v>126</v>
      </c>
      <c r="E11" s="673">
        <v>43348.771064814813</v>
      </c>
    </row>
    <row r="12" spans="1:5">
      <c r="A12" s="672">
        <v>12933</v>
      </c>
      <c r="B12" s="672" t="s">
        <v>72</v>
      </c>
      <c r="C12" s="672" t="s">
        <v>72</v>
      </c>
      <c r="D12" s="672" t="s">
        <v>127</v>
      </c>
      <c r="E12" s="673">
        <v>43348.779513888891</v>
      </c>
    </row>
    <row r="13" spans="1:5">
      <c r="A13" s="672">
        <v>12942</v>
      </c>
      <c r="B13" s="672" t="s">
        <v>72</v>
      </c>
      <c r="C13" s="672" t="s">
        <v>72</v>
      </c>
      <c r="D13" s="672" t="s">
        <v>128</v>
      </c>
      <c r="E13" s="673">
        <v>43348.830231481479</v>
      </c>
    </row>
    <row r="14" spans="1:5">
      <c r="A14" s="672">
        <v>12953</v>
      </c>
      <c r="B14" s="672" t="s">
        <v>72</v>
      </c>
      <c r="C14" s="672" t="s">
        <v>72</v>
      </c>
      <c r="D14" s="672" t="s">
        <v>125</v>
      </c>
      <c r="E14" s="673">
        <v>43349.372916666667</v>
      </c>
    </row>
    <row r="15" spans="1:5">
      <c r="A15" s="672">
        <v>12966</v>
      </c>
      <c r="B15" s="672" t="s">
        <v>72</v>
      </c>
      <c r="C15" s="672" t="s">
        <v>72</v>
      </c>
      <c r="D15" s="672" t="s">
        <v>126</v>
      </c>
      <c r="E15" s="673">
        <v>43349.771469907406</v>
      </c>
    </row>
    <row r="16" spans="1:5">
      <c r="A16" s="672">
        <v>12968</v>
      </c>
      <c r="B16" s="672" t="s">
        <v>72</v>
      </c>
      <c r="C16" s="672" t="s">
        <v>72</v>
      </c>
      <c r="D16" s="672" t="s">
        <v>127</v>
      </c>
      <c r="E16" s="673">
        <v>43349.771562499998</v>
      </c>
    </row>
    <row r="17" spans="1:5">
      <c r="A17" s="672">
        <v>12977</v>
      </c>
      <c r="B17" s="672" t="s">
        <v>72</v>
      </c>
      <c r="C17" s="672" t="s">
        <v>72</v>
      </c>
      <c r="D17" s="672" t="s">
        <v>128</v>
      </c>
      <c r="E17" s="673">
        <v>43349.86577546296</v>
      </c>
    </row>
    <row r="18" spans="1:5">
      <c r="A18" s="672">
        <v>12984</v>
      </c>
      <c r="B18" s="672" t="s">
        <v>72</v>
      </c>
      <c r="C18" s="672" t="s">
        <v>72</v>
      </c>
      <c r="D18" s="672" t="s">
        <v>125</v>
      </c>
      <c r="E18" s="673">
        <v>43350.37332175926</v>
      </c>
    </row>
    <row r="19" spans="1:5">
      <c r="A19" s="672">
        <v>12995</v>
      </c>
      <c r="B19" s="672" t="s">
        <v>72</v>
      </c>
      <c r="C19" s="672" t="s">
        <v>72</v>
      </c>
      <c r="D19" s="672" t="s">
        <v>126</v>
      </c>
      <c r="E19" s="673">
        <v>43350.775706018518</v>
      </c>
    </row>
    <row r="20" spans="1:5">
      <c r="A20" s="672">
        <v>12996</v>
      </c>
      <c r="B20" s="672" t="s">
        <v>72</v>
      </c>
      <c r="C20" s="672" t="s">
        <v>72</v>
      </c>
      <c r="D20" s="672" t="s">
        <v>127</v>
      </c>
      <c r="E20" s="673">
        <v>43350.775740740741</v>
      </c>
    </row>
    <row r="21" spans="1:5">
      <c r="A21" s="672">
        <v>13002</v>
      </c>
      <c r="B21" s="672" t="s">
        <v>72</v>
      </c>
      <c r="C21" s="672" t="s">
        <v>72</v>
      </c>
      <c r="D21" s="672" t="s">
        <v>128</v>
      </c>
      <c r="E21" s="673">
        <v>43350.818483796298</v>
      </c>
    </row>
    <row r="22" spans="1:5">
      <c r="A22" s="672">
        <v>13012</v>
      </c>
      <c r="B22" s="672" t="s">
        <v>72</v>
      </c>
      <c r="C22" s="672" t="s">
        <v>72</v>
      </c>
      <c r="D22" s="672" t="s">
        <v>125</v>
      </c>
      <c r="E22" s="673">
        <v>43353.373460648145</v>
      </c>
    </row>
    <row r="23" spans="1:5">
      <c r="A23" s="672">
        <v>13023</v>
      </c>
      <c r="B23" s="672" t="s">
        <v>86</v>
      </c>
      <c r="C23" s="672" t="s">
        <v>72</v>
      </c>
      <c r="D23" s="672" t="s">
        <v>126</v>
      </c>
      <c r="E23" s="673">
        <v>43353.781064814815</v>
      </c>
    </row>
    <row r="24" spans="1:5">
      <c r="A24" s="672">
        <v>13038</v>
      </c>
      <c r="B24" s="672" t="s">
        <v>86</v>
      </c>
      <c r="C24" s="672" t="s">
        <v>72</v>
      </c>
      <c r="D24" s="672" t="s">
        <v>125</v>
      </c>
      <c r="E24" s="673">
        <v>43354.373645833337</v>
      </c>
    </row>
    <row r="25" spans="1:5">
      <c r="A25" s="672">
        <v>13050</v>
      </c>
      <c r="B25" s="672" t="s">
        <v>72</v>
      </c>
      <c r="C25" s="672" t="s">
        <v>72</v>
      </c>
      <c r="D25" s="672" t="s">
        <v>126</v>
      </c>
      <c r="E25" s="673">
        <v>43354.772777777776</v>
      </c>
    </row>
    <row r="26" spans="1:5">
      <c r="A26" s="672">
        <v>13054</v>
      </c>
      <c r="B26" s="672" t="s">
        <v>72</v>
      </c>
      <c r="C26" s="672" t="s">
        <v>72</v>
      </c>
      <c r="D26" s="672" t="s">
        <v>127</v>
      </c>
      <c r="E26" s="673">
        <v>43354.783148148148</v>
      </c>
    </row>
    <row r="27" spans="1:5">
      <c r="A27" s="672">
        <v>13060</v>
      </c>
      <c r="B27" s="672" t="s">
        <v>86</v>
      </c>
      <c r="C27" s="672" t="s">
        <v>72</v>
      </c>
      <c r="D27" s="672" t="s">
        <v>128</v>
      </c>
      <c r="E27" s="673">
        <v>43354.851689814815</v>
      </c>
    </row>
    <row r="28" spans="1:5">
      <c r="A28" s="672">
        <v>13073</v>
      </c>
      <c r="B28" s="672" t="s">
        <v>72</v>
      </c>
      <c r="C28" s="672" t="s">
        <v>72</v>
      </c>
      <c r="D28" s="672" t="s">
        <v>125</v>
      </c>
      <c r="E28" s="673">
        <v>43355.37296296296</v>
      </c>
    </row>
    <row r="29" spans="1:5">
      <c r="A29" s="672">
        <v>13089</v>
      </c>
      <c r="B29" s="672" t="s">
        <v>72</v>
      </c>
      <c r="C29" s="672" t="s">
        <v>72</v>
      </c>
      <c r="D29" s="672" t="s">
        <v>126</v>
      </c>
      <c r="E29" s="673">
        <v>43355.77144675926</v>
      </c>
    </row>
    <row r="30" spans="1:5">
      <c r="A30" s="672">
        <v>13090</v>
      </c>
      <c r="B30" s="672" t="s">
        <v>72</v>
      </c>
      <c r="C30" s="672" t="s">
        <v>72</v>
      </c>
      <c r="D30" s="672" t="s">
        <v>127</v>
      </c>
      <c r="E30" s="673">
        <v>43355.771458333336</v>
      </c>
    </row>
    <row r="31" spans="1:5">
      <c r="A31" s="672">
        <v>13100</v>
      </c>
      <c r="B31" s="672" t="s">
        <v>72</v>
      </c>
      <c r="C31" s="672" t="s">
        <v>72</v>
      </c>
      <c r="D31" s="672" t="s">
        <v>128</v>
      </c>
      <c r="E31" s="673">
        <v>43355.857476851852</v>
      </c>
    </row>
    <row r="32" spans="1:5">
      <c r="A32" s="672">
        <v>13109</v>
      </c>
      <c r="B32" s="672" t="s">
        <v>86</v>
      </c>
      <c r="C32" s="672" t="s">
        <v>72</v>
      </c>
      <c r="D32" s="672" t="s">
        <v>125</v>
      </c>
      <c r="E32" s="673">
        <v>43356.430960648147</v>
      </c>
    </row>
    <row r="33" spans="1:5">
      <c r="A33" s="672">
        <v>13121</v>
      </c>
      <c r="B33" s="672" t="s">
        <v>72</v>
      </c>
      <c r="C33" s="672" t="s">
        <v>72</v>
      </c>
      <c r="D33" s="672" t="s">
        <v>126</v>
      </c>
      <c r="E33" s="673">
        <v>43356.771481481483</v>
      </c>
    </row>
    <row r="34" spans="1:5">
      <c r="A34" s="672">
        <v>13122</v>
      </c>
      <c r="B34" s="672" t="s">
        <v>72</v>
      </c>
      <c r="C34" s="672" t="s">
        <v>72</v>
      </c>
      <c r="D34" s="672" t="s">
        <v>127</v>
      </c>
      <c r="E34" s="673">
        <v>43356.771493055552</v>
      </c>
    </row>
    <row r="35" spans="1:5">
      <c r="A35" s="672">
        <v>13130</v>
      </c>
      <c r="B35" s="672" t="s">
        <v>72</v>
      </c>
      <c r="C35" s="672" t="s">
        <v>72</v>
      </c>
      <c r="D35" s="672" t="s">
        <v>128</v>
      </c>
      <c r="E35" s="673">
        <v>43356.868981481479</v>
      </c>
    </row>
    <row r="36" spans="1:5">
      <c r="A36" s="672">
        <v>13140</v>
      </c>
      <c r="B36" s="672" t="s">
        <v>72</v>
      </c>
      <c r="C36" s="672" t="s">
        <v>72</v>
      </c>
      <c r="D36" s="672" t="s">
        <v>125</v>
      </c>
      <c r="E36" s="673">
        <v>43357.374467592592</v>
      </c>
    </row>
    <row r="37" spans="1:5">
      <c r="A37" s="672">
        <v>13148</v>
      </c>
      <c r="B37" s="672" t="s">
        <v>72</v>
      </c>
      <c r="C37" s="672" t="s">
        <v>72</v>
      </c>
      <c r="D37" s="672" t="s">
        <v>126</v>
      </c>
      <c r="E37" s="673">
        <v>43357.771099537036</v>
      </c>
    </row>
    <row r="38" spans="1:5">
      <c r="A38" s="672">
        <v>13149</v>
      </c>
      <c r="B38" s="672" t="s">
        <v>72</v>
      </c>
      <c r="C38" s="672" t="s">
        <v>72</v>
      </c>
      <c r="D38" s="672" t="s">
        <v>127</v>
      </c>
      <c r="E38" s="673">
        <v>43357.771111111113</v>
      </c>
    </row>
    <row r="39" spans="1:5">
      <c r="A39" s="672">
        <v>13158</v>
      </c>
      <c r="B39" s="672" t="s">
        <v>72</v>
      </c>
      <c r="C39" s="672" t="s">
        <v>72</v>
      </c>
      <c r="D39" s="672" t="s">
        <v>128</v>
      </c>
      <c r="E39" s="673">
        <v>43357.7965625</v>
      </c>
    </row>
    <row r="40" spans="1:5">
      <c r="A40" s="672">
        <v>13173</v>
      </c>
      <c r="B40" s="672" t="s">
        <v>72</v>
      </c>
      <c r="C40" s="672" t="s">
        <v>72</v>
      </c>
      <c r="D40" s="672" t="s">
        <v>126</v>
      </c>
      <c r="E40" s="673">
        <v>43360.771377314813</v>
      </c>
    </row>
    <row r="41" spans="1:5">
      <c r="A41" s="672">
        <v>13176</v>
      </c>
      <c r="B41" s="672" t="s">
        <v>72</v>
      </c>
      <c r="C41" s="672" t="s">
        <v>72</v>
      </c>
      <c r="D41" s="672" t="s">
        <v>127</v>
      </c>
      <c r="E41" s="673">
        <v>43360.772858796299</v>
      </c>
    </row>
    <row r="42" spans="1:5">
      <c r="A42" s="672">
        <v>13184</v>
      </c>
      <c r="B42" s="672" t="s">
        <v>72</v>
      </c>
      <c r="C42" s="672" t="s">
        <v>72</v>
      </c>
      <c r="D42" s="672" t="s">
        <v>128</v>
      </c>
      <c r="E42" s="673">
        <v>43360.828472222223</v>
      </c>
    </row>
    <row r="43" spans="1:5">
      <c r="A43" s="672">
        <v>13195</v>
      </c>
      <c r="B43" s="672" t="s">
        <v>72</v>
      </c>
      <c r="C43" s="672" t="s">
        <v>72</v>
      </c>
      <c r="D43" s="672" t="s">
        <v>125</v>
      </c>
      <c r="E43" s="673">
        <v>43361.369641203702</v>
      </c>
    </row>
    <row r="44" spans="1:5">
      <c r="A44" s="672">
        <v>13211</v>
      </c>
      <c r="B44" s="672" t="s">
        <v>72</v>
      </c>
      <c r="C44" s="672" t="s">
        <v>72</v>
      </c>
      <c r="D44" s="672" t="s">
        <v>126</v>
      </c>
      <c r="E44" s="673">
        <v>43361.771539351852</v>
      </c>
    </row>
    <row r="45" spans="1:5">
      <c r="A45" s="672">
        <v>13220</v>
      </c>
      <c r="B45" s="672" t="s">
        <v>72</v>
      </c>
      <c r="C45" s="672" t="s">
        <v>72</v>
      </c>
      <c r="D45" s="672" t="s">
        <v>127</v>
      </c>
      <c r="E45" s="673">
        <v>43361.786192129628</v>
      </c>
    </row>
    <row r="46" spans="1:5">
      <c r="A46" s="672">
        <v>13226</v>
      </c>
      <c r="B46" s="672" t="s">
        <v>72</v>
      </c>
      <c r="C46" s="672" t="s">
        <v>72</v>
      </c>
      <c r="D46" s="672" t="s">
        <v>128</v>
      </c>
      <c r="E46" s="673">
        <v>43361.894178240742</v>
      </c>
    </row>
    <row r="47" spans="1:5">
      <c r="A47" s="672">
        <v>13234</v>
      </c>
      <c r="B47" s="672" t="s">
        <v>72</v>
      </c>
      <c r="C47" s="672" t="s">
        <v>72</v>
      </c>
      <c r="D47" s="672" t="s">
        <v>125</v>
      </c>
      <c r="E47" s="673">
        <v>43362.370891203704</v>
      </c>
    </row>
    <row r="48" spans="1:5">
      <c r="A48" s="672">
        <v>13248</v>
      </c>
      <c r="B48" s="672" t="s">
        <v>86</v>
      </c>
      <c r="C48" s="672" t="s">
        <v>72</v>
      </c>
      <c r="D48" s="672" t="s">
        <v>126</v>
      </c>
      <c r="E48" s="673">
        <v>43362.771122685182</v>
      </c>
    </row>
    <row r="49" spans="1:5">
      <c r="A49" s="672">
        <v>13254</v>
      </c>
      <c r="B49" s="672" t="s">
        <v>72</v>
      </c>
      <c r="C49" s="672" t="s">
        <v>72</v>
      </c>
      <c r="D49" s="672" t="s">
        <v>127</v>
      </c>
      <c r="E49" s="673">
        <v>43362.782500000001</v>
      </c>
    </row>
    <row r="50" spans="1:5">
      <c r="A50" s="672">
        <v>13262</v>
      </c>
      <c r="B50" s="672" t="s">
        <v>72</v>
      </c>
      <c r="C50" s="672" t="s">
        <v>72</v>
      </c>
      <c r="D50" s="672" t="s">
        <v>128</v>
      </c>
      <c r="E50" s="673">
        <v>43362.819895833331</v>
      </c>
    </row>
    <row r="51" spans="1:5">
      <c r="A51" s="672">
        <v>13272</v>
      </c>
      <c r="B51" s="672" t="s">
        <v>72</v>
      </c>
      <c r="C51" s="672" t="s">
        <v>72</v>
      </c>
      <c r="D51" s="672" t="s">
        <v>125</v>
      </c>
      <c r="E51" s="673">
        <v>43363.373229166667</v>
      </c>
    </row>
    <row r="52" spans="1:5">
      <c r="A52" s="672">
        <v>13283</v>
      </c>
      <c r="B52" s="672" t="s">
        <v>72</v>
      </c>
      <c r="C52" s="672" t="s">
        <v>72</v>
      </c>
      <c r="D52" s="672" t="s">
        <v>126</v>
      </c>
      <c r="E52" s="673">
        <v>43363.775636574072</v>
      </c>
    </row>
    <row r="53" spans="1:5">
      <c r="A53" s="672">
        <v>13284</v>
      </c>
      <c r="B53" s="672" t="s">
        <v>72</v>
      </c>
      <c r="C53" s="672" t="s">
        <v>72</v>
      </c>
      <c r="D53" s="672" t="s">
        <v>127</v>
      </c>
      <c r="E53" s="673">
        <v>43363.775648148148</v>
      </c>
    </row>
    <row r="54" spans="1:5">
      <c r="A54" s="672">
        <v>13288</v>
      </c>
      <c r="B54" s="672" t="s">
        <v>72</v>
      </c>
      <c r="C54" s="672" t="s">
        <v>72</v>
      </c>
      <c r="D54" s="672" t="s">
        <v>128</v>
      </c>
      <c r="E54" s="673">
        <v>43363.804305555554</v>
      </c>
    </row>
    <row r="55" spans="1:5">
      <c r="A55" s="672">
        <v>13299</v>
      </c>
      <c r="B55" s="672" t="s">
        <v>72</v>
      </c>
      <c r="C55" s="672" t="s">
        <v>72</v>
      </c>
      <c r="D55" s="672" t="s">
        <v>125</v>
      </c>
      <c r="E55" s="673">
        <v>43364.374895833331</v>
      </c>
    </row>
    <row r="56" spans="1:5">
      <c r="A56" s="672">
        <v>13310</v>
      </c>
      <c r="B56" s="672" t="s">
        <v>72</v>
      </c>
      <c r="C56" s="672" t="s">
        <v>72</v>
      </c>
      <c r="D56" s="672" t="s">
        <v>127</v>
      </c>
      <c r="E56" s="673">
        <v>43364.778506944444</v>
      </c>
    </row>
    <row r="57" spans="1:5">
      <c r="A57" s="672">
        <v>13311</v>
      </c>
      <c r="B57" s="672" t="s">
        <v>72</v>
      </c>
      <c r="C57" s="672" t="s">
        <v>72</v>
      </c>
      <c r="D57" s="672" t="s">
        <v>126</v>
      </c>
      <c r="E57" s="673">
        <v>43364.77853009259</v>
      </c>
    </row>
    <row r="58" spans="1:5">
      <c r="A58" s="672">
        <v>13313</v>
      </c>
      <c r="B58" s="672" t="s">
        <v>72</v>
      </c>
      <c r="C58" s="672" t="s">
        <v>72</v>
      </c>
      <c r="D58" s="672" t="s">
        <v>128</v>
      </c>
      <c r="E58" s="673">
        <v>43364.833356481482</v>
      </c>
    </row>
    <row r="59" spans="1:5">
      <c r="A59" s="672">
        <v>13324</v>
      </c>
      <c r="B59" s="672" t="s">
        <v>72</v>
      </c>
      <c r="C59" s="672" t="s">
        <v>72</v>
      </c>
      <c r="D59" s="672" t="s">
        <v>125</v>
      </c>
      <c r="E59" s="673">
        <v>43368.37300925926</v>
      </c>
    </row>
    <row r="60" spans="1:5">
      <c r="A60" s="672">
        <v>13338</v>
      </c>
      <c r="B60" s="672" t="s">
        <v>86</v>
      </c>
      <c r="C60" s="672" t="s">
        <v>72</v>
      </c>
      <c r="D60" s="672" t="s">
        <v>126</v>
      </c>
      <c r="E60" s="673">
        <v>43368.772766203707</v>
      </c>
    </row>
    <row r="61" spans="1:5">
      <c r="A61" s="672">
        <v>13339</v>
      </c>
      <c r="B61" s="672" t="s">
        <v>86</v>
      </c>
      <c r="C61" s="672" t="s">
        <v>72</v>
      </c>
      <c r="D61" s="672" t="s">
        <v>127</v>
      </c>
      <c r="E61" s="673">
        <v>43368.772824074076</v>
      </c>
    </row>
    <row r="62" spans="1:5">
      <c r="A62" s="672">
        <v>13354</v>
      </c>
      <c r="B62" s="672" t="s">
        <v>86</v>
      </c>
      <c r="C62" s="672" t="s">
        <v>72</v>
      </c>
      <c r="D62" s="672" t="s">
        <v>128</v>
      </c>
      <c r="E62" s="673">
        <v>43368.856493055559</v>
      </c>
    </row>
    <row r="63" spans="1:5">
      <c r="A63" s="672">
        <v>13366</v>
      </c>
      <c r="B63" s="672" t="s">
        <v>72</v>
      </c>
      <c r="C63" s="672" t="s">
        <v>72</v>
      </c>
      <c r="D63" s="672" t="s">
        <v>125</v>
      </c>
      <c r="E63" s="673">
        <v>43369.443715277775</v>
      </c>
    </row>
    <row r="64" spans="1:5">
      <c r="A64" s="672">
        <v>13379</v>
      </c>
      <c r="B64" s="672" t="s">
        <v>72</v>
      </c>
      <c r="C64" s="672" t="s">
        <v>72</v>
      </c>
      <c r="D64" s="672" t="s">
        <v>126</v>
      </c>
      <c r="E64" s="673">
        <v>43369.772488425922</v>
      </c>
    </row>
    <row r="65" spans="1:5">
      <c r="A65" s="672">
        <v>13380</v>
      </c>
      <c r="B65" s="672" t="s">
        <v>72</v>
      </c>
      <c r="C65" s="672" t="s">
        <v>72</v>
      </c>
      <c r="D65" s="672" t="s">
        <v>127</v>
      </c>
      <c r="E65" s="673">
        <v>43369.772511574076</v>
      </c>
    </row>
    <row r="66" spans="1:5">
      <c r="A66" s="672">
        <v>13388</v>
      </c>
      <c r="B66" s="672" t="s">
        <v>72</v>
      </c>
      <c r="C66" s="672" t="s">
        <v>72</v>
      </c>
      <c r="D66" s="672" t="s">
        <v>128</v>
      </c>
      <c r="E66" s="673">
        <v>43369.805439814816</v>
      </c>
    </row>
    <row r="67" spans="1:5">
      <c r="A67" s="672">
        <v>13402</v>
      </c>
      <c r="B67" s="672" t="s">
        <v>72</v>
      </c>
      <c r="C67" s="672" t="s">
        <v>72</v>
      </c>
      <c r="D67" s="672" t="s">
        <v>125</v>
      </c>
      <c r="E67" s="673">
        <v>43370.374178240738</v>
      </c>
    </row>
    <row r="68" spans="1:5">
      <c r="A68" s="672">
        <v>13410</v>
      </c>
      <c r="B68" s="672" t="s">
        <v>72</v>
      </c>
      <c r="C68" s="672" t="s">
        <v>72</v>
      </c>
      <c r="D68" s="672" t="s">
        <v>127</v>
      </c>
      <c r="E68" s="673">
        <v>43370.771805555552</v>
      </c>
    </row>
    <row r="69" spans="1:5">
      <c r="A69" s="672">
        <v>13409</v>
      </c>
      <c r="B69" s="672" t="s">
        <v>72</v>
      </c>
      <c r="C69" s="672" t="s">
        <v>72</v>
      </c>
      <c r="D69" s="672" t="s">
        <v>126</v>
      </c>
      <c r="E69" s="673">
        <v>43370.771805555552</v>
      </c>
    </row>
    <row r="70" spans="1:5">
      <c r="A70" s="672">
        <v>13424</v>
      </c>
      <c r="B70" s="672" t="s">
        <v>72</v>
      </c>
      <c r="C70" s="672" t="s">
        <v>72</v>
      </c>
      <c r="D70" s="672" t="s">
        <v>128</v>
      </c>
      <c r="E70" s="673">
        <v>43370.846307870372</v>
      </c>
    </row>
    <row r="71" spans="1:5">
      <c r="A71" s="672">
        <v>13438</v>
      </c>
      <c r="B71" s="672" t="s">
        <v>72</v>
      </c>
      <c r="C71" s="672" t="s">
        <v>72</v>
      </c>
      <c r="D71" s="672" t="s">
        <v>125</v>
      </c>
      <c r="E71" s="673">
        <v>43371.478217592594</v>
      </c>
    </row>
    <row r="72" spans="1:5">
      <c r="A72" s="672">
        <v>13445</v>
      </c>
      <c r="B72" s="672" t="s">
        <v>86</v>
      </c>
      <c r="C72" s="672" t="s">
        <v>72</v>
      </c>
      <c r="D72" s="672" t="s">
        <v>126</v>
      </c>
      <c r="E72" s="673">
        <v>43371.769583333335</v>
      </c>
    </row>
    <row r="73" spans="1:5">
      <c r="A73" s="672">
        <v>13446</v>
      </c>
      <c r="B73" s="672" t="s">
        <v>86</v>
      </c>
      <c r="C73" s="672" t="s">
        <v>72</v>
      </c>
      <c r="D73" s="672" t="s">
        <v>127</v>
      </c>
      <c r="E73" s="673">
        <v>43371.769594907404</v>
      </c>
    </row>
    <row r="74" spans="1:5">
      <c r="A74" s="672">
        <v>13454</v>
      </c>
      <c r="B74" s="672" t="s">
        <v>72</v>
      </c>
      <c r="C74" s="672" t="s">
        <v>72</v>
      </c>
      <c r="D74" s="672" t="s">
        <v>128</v>
      </c>
      <c r="E74" s="673">
        <v>43371.819641203707</v>
      </c>
    </row>
    <row r="75" spans="1:5">
      <c r="A75" s="672">
        <v>12846</v>
      </c>
      <c r="B75" s="672" t="s">
        <v>113</v>
      </c>
      <c r="C75" s="672" t="s">
        <v>113</v>
      </c>
      <c r="D75" s="672" t="s">
        <v>125</v>
      </c>
      <c r="E75" s="673">
        <v>43346.353761574072</v>
      </c>
    </row>
    <row r="76" spans="1:5">
      <c r="A76" s="672">
        <v>12854</v>
      </c>
      <c r="B76" s="672" t="s">
        <v>113</v>
      </c>
      <c r="C76" s="672" t="s">
        <v>113</v>
      </c>
      <c r="D76" s="672" t="s">
        <v>126</v>
      </c>
      <c r="E76" s="673">
        <v>43346.766574074078</v>
      </c>
    </row>
    <row r="77" spans="1:5">
      <c r="A77" s="672">
        <v>12863</v>
      </c>
      <c r="B77" s="672" t="s">
        <v>113</v>
      </c>
      <c r="C77" s="672" t="s">
        <v>113</v>
      </c>
      <c r="D77" s="672" t="s">
        <v>127</v>
      </c>
      <c r="E77" s="673">
        <v>43346.771516203706</v>
      </c>
    </row>
    <row r="78" spans="1:5">
      <c r="A78" s="672">
        <v>12869</v>
      </c>
      <c r="B78" s="672" t="s">
        <v>113</v>
      </c>
      <c r="C78" s="672" t="s">
        <v>113</v>
      </c>
      <c r="D78" s="672" t="s">
        <v>128</v>
      </c>
      <c r="E78" s="673">
        <v>43346.793993055559</v>
      </c>
    </row>
    <row r="79" spans="1:5">
      <c r="A79" s="672">
        <v>12877</v>
      </c>
      <c r="B79" s="672" t="s">
        <v>113</v>
      </c>
      <c r="C79" s="672" t="s">
        <v>113</v>
      </c>
      <c r="D79" s="672" t="s">
        <v>125</v>
      </c>
      <c r="E79" s="673">
        <v>43347.350358796299</v>
      </c>
    </row>
    <row r="80" spans="1:5">
      <c r="A80" s="672">
        <v>12887</v>
      </c>
      <c r="B80" s="672" t="s">
        <v>113</v>
      </c>
      <c r="C80" s="672" t="s">
        <v>113</v>
      </c>
      <c r="D80" s="672" t="s">
        <v>126</v>
      </c>
      <c r="E80" s="673">
        <v>43347.755833333336</v>
      </c>
    </row>
    <row r="81" spans="1:5">
      <c r="A81" s="672">
        <v>12913</v>
      </c>
      <c r="B81" s="672" t="s">
        <v>113</v>
      </c>
      <c r="C81" s="672" t="s">
        <v>113</v>
      </c>
      <c r="D81" s="672" t="s">
        <v>125</v>
      </c>
      <c r="E81" s="673">
        <v>43348.352060185185</v>
      </c>
    </row>
    <row r="82" spans="1:5">
      <c r="A82" s="672">
        <v>12922</v>
      </c>
      <c r="B82" s="672" t="s">
        <v>113</v>
      </c>
      <c r="C82" s="672" t="s">
        <v>113</v>
      </c>
      <c r="D82" s="672" t="s">
        <v>126</v>
      </c>
      <c r="E82" s="673">
        <v>43348.763657407406</v>
      </c>
    </row>
    <row r="83" spans="1:5">
      <c r="A83" s="672">
        <v>12925</v>
      </c>
      <c r="B83" s="672" t="s">
        <v>113</v>
      </c>
      <c r="C83" s="672" t="s">
        <v>113</v>
      </c>
      <c r="D83" s="672" t="s">
        <v>127</v>
      </c>
      <c r="E83" s="673">
        <v>43348.770925925928</v>
      </c>
    </row>
    <row r="84" spans="1:5">
      <c r="A84" s="672">
        <v>12940</v>
      </c>
      <c r="B84" s="672" t="s">
        <v>113</v>
      </c>
      <c r="C84" s="672" t="s">
        <v>113</v>
      </c>
      <c r="D84" s="672" t="s">
        <v>128</v>
      </c>
      <c r="E84" s="673">
        <v>43348.793425925927</v>
      </c>
    </row>
    <row r="85" spans="1:5">
      <c r="A85" s="672">
        <v>12947</v>
      </c>
      <c r="B85" s="672" t="s">
        <v>113</v>
      </c>
      <c r="C85" s="672" t="s">
        <v>113</v>
      </c>
      <c r="D85" s="672" t="s">
        <v>125</v>
      </c>
      <c r="E85" s="673">
        <v>43349.353020833332</v>
      </c>
    </row>
    <row r="86" spans="1:5">
      <c r="A86" s="672">
        <v>12957</v>
      </c>
      <c r="B86" s="672" t="s">
        <v>113</v>
      </c>
      <c r="C86" s="672" t="s">
        <v>113</v>
      </c>
      <c r="D86" s="672" t="s">
        <v>126</v>
      </c>
      <c r="E86" s="673">
        <v>43349.755393518521</v>
      </c>
    </row>
    <row r="87" spans="1:5">
      <c r="A87" s="672">
        <v>12959</v>
      </c>
      <c r="B87" s="672" t="s">
        <v>113</v>
      </c>
      <c r="C87" s="672" t="s">
        <v>113</v>
      </c>
      <c r="D87" s="672" t="s">
        <v>127</v>
      </c>
      <c r="E87" s="673">
        <v>43349.769803240742</v>
      </c>
    </row>
    <row r="88" spans="1:5">
      <c r="A88" s="672">
        <v>12976</v>
      </c>
      <c r="B88" s="672" t="s">
        <v>113</v>
      </c>
      <c r="C88" s="672" t="s">
        <v>113</v>
      </c>
      <c r="D88" s="672" t="s">
        <v>128</v>
      </c>
      <c r="E88" s="673">
        <v>43349.858298611114</v>
      </c>
    </row>
    <row r="89" spans="1:5">
      <c r="A89" s="672">
        <v>12979</v>
      </c>
      <c r="B89" s="672" t="s">
        <v>113</v>
      </c>
      <c r="C89" s="672" t="s">
        <v>113</v>
      </c>
      <c r="D89" s="672" t="s">
        <v>125</v>
      </c>
      <c r="E89" s="673">
        <v>43350.351597222223</v>
      </c>
    </row>
    <row r="90" spans="1:5">
      <c r="A90" s="672">
        <v>12997</v>
      </c>
      <c r="B90" s="672" t="s">
        <v>113</v>
      </c>
      <c r="C90" s="672" t="s">
        <v>113</v>
      </c>
      <c r="D90" s="672" t="s">
        <v>126</v>
      </c>
      <c r="E90" s="673">
        <v>43350.777407407404</v>
      </c>
    </row>
    <row r="91" spans="1:5">
      <c r="A91" s="672">
        <v>12998</v>
      </c>
      <c r="B91" s="672" t="s">
        <v>113</v>
      </c>
      <c r="C91" s="672" t="s">
        <v>113</v>
      </c>
      <c r="D91" s="672" t="s">
        <v>127</v>
      </c>
      <c r="E91" s="673">
        <v>43350.777465277781</v>
      </c>
    </row>
    <row r="92" spans="1:5">
      <c r="A92" s="672">
        <v>13003</v>
      </c>
      <c r="B92" s="672" t="s">
        <v>113</v>
      </c>
      <c r="C92" s="672" t="s">
        <v>113</v>
      </c>
      <c r="D92" s="672" t="s">
        <v>128</v>
      </c>
      <c r="E92" s="673">
        <v>43350.81890046296</v>
      </c>
    </row>
    <row r="93" spans="1:5">
      <c r="A93" s="672">
        <v>13006</v>
      </c>
      <c r="B93" s="672" t="s">
        <v>113</v>
      </c>
      <c r="C93" s="672" t="s">
        <v>113</v>
      </c>
      <c r="D93" s="672" t="s">
        <v>125</v>
      </c>
      <c r="E93" s="673">
        <v>43353.353113425925</v>
      </c>
    </row>
    <row r="94" spans="1:5">
      <c r="A94" s="672">
        <v>13014</v>
      </c>
      <c r="B94" s="672" t="s">
        <v>113</v>
      </c>
      <c r="C94" s="672" t="s">
        <v>113</v>
      </c>
      <c r="D94" s="672" t="s">
        <v>126</v>
      </c>
      <c r="E94" s="673">
        <v>43353.751712962963</v>
      </c>
    </row>
    <row r="95" spans="1:5">
      <c r="A95" s="672">
        <v>13029</v>
      </c>
      <c r="B95" s="672" t="s">
        <v>113</v>
      </c>
      <c r="C95" s="672" t="s">
        <v>113</v>
      </c>
      <c r="D95" s="672" t="s">
        <v>125</v>
      </c>
      <c r="E95" s="673">
        <v>43354.352384259262</v>
      </c>
    </row>
    <row r="96" spans="1:5">
      <c r="A96" s="672">
        <v>13042</v>
      </c>
      <c r="B96" s="672" t="s">
        <v>113</v>
      </c>
      <c r="C96" s="672" t="s">
        <v>113</v>
      </c>
      <c r="D96" s="672" t="s">
        <v>126</v>
      </c>
      <c r="E96" s="673">
        <v>43354.763298611113</v>
      </c>
    </row>
    <row r="97" spans="1:5">
      <c r="A97" s="672">
        <v>13052</v>
      </c>
      <c r="B97" s="672" t="s">
        <v>113</v>
      </c>
      <c r="C97" s="672" t="s">
        <v>113</v>
      </c>
      <c r="D97" s="672" t="s">
        <v>127</v>
      </c>
      <c r="E97" s="673">
        <v>43354.772835648146</v>
      </c>
    </row>
    <row r="98" spans="1:5">
      <c r="A98" s="672">
        <v>13063</v>
      </c>
      <c r="B98" s="672" t="s">
        <v>113</v>
      </c>
      <c r="C98" s="672" t="s">
        <v>113</v>
      </c>
      <c r="D98" s="672" t="s">
        <v>128</v>
      </c>
      <c r="E98" s="673">
        <v>43354.858344907407</v>
      </c>
    </row>
    <row r="99" spans="1:5">
      <c r="A99" s="672">
        <v>13066</v>
      </c>
      <c r="B99" s="672" t="s">
        <v>113</v>
      </c>
      <c r="C99" s="672" t="s">
        <v>113</v>
      </c>
      <c r="D99" s="672" t="s">
        <v>125</v>
      </c>
      <c r="E99" s="673">
        <v>43355.351840277777</v>
      </c>
    </row>
    <row r="100" spans="1:5">
      <c r="A100" s="672">
        <v>13075</v>
      </c>
      <c r="B100" s="672" t="s">
        <v>113</v>
      </c>
      <c r="C100" s="672" t="s">
        <v>113</v>
      </c>
      <c r="D100" s="672" t="s">
        <v>126</v>
      </c>
      <c r="E100" s="673">
        <v>43355.76253472222</v>
      </c>
    </row>
    <row r="101" spans="1:5">
      <c r="A101" s="672">
        <v>13076</v>
      </c>
      <c r="B101" s="672" t="s">
        <v>113</v>
      </c>
      <c r="C101" s="672" t="s">
        <v>113</v>
      </c>
      <c r="D101" s="672" t="s">
        <v>127</v>
      </c>
      <c r="E101" s="673">
        <v>43355.769594907404</v>
      </c>
    </row>
    <row r="102" spans="1:5">
      <c r="A102" s="672">
        <v>13099</v>
      </c>
      <c r="B102" s="672" t="s">
        <v>113</v>
      </c>
      <c r="C102" s="672" t="s">
        <v>113</v>
      </c>
      <c r="D102" s="672" t="s">
        <v>128</v>
      </c>
      <c r="E102" s="673">
        <v>43355.85728009259</v>
      </c>
    </row>
    <row r="103" spans="1:5">
      <c r="A103" s="672">
        <v>13102</v>
      </c>
      <c r="B103" s="672" t="s">
        <v>113</v>
      </c>
      <c r="C103" s="672" t="s">
        <v>113</v>
      </c>
      <c r="D103" s="672" t="s">
        <v>125</v>
      </c>
      <c r="E103" s="673">
        <v>43356.350312499999</v>
      </c>
    </row>
    <row r="104" spans="1:5">
      <c r="A104" s="672">
        <v>13112</v>
      </c>
      <c r="B104" s="672" t="s">
        <v>113</v>
      </c>
      <c r="C104" s="672" t="s">
        <v>113</v>
      </c>
      <c r="D104" s="672" t="s">
        <v>126</v>
      </c>
      <c r="E104" s="673">
        <v>43356.75371527778</v>
      </c>
    </row>
    <row r="105" spans="1:5">
      <c r="A105" s="672">
        <v>13133</v>
      </c>
      <c r="B105" s="672" t="s">
        <v>113</v>
      </c>
      <c r="C105" s="672" t="s">
        <v>113</v>
      </c>
      <c r="D105" s="672" t="s">
        <v>125</v>
      </c>
      <c r="E105" s="673">
        <v>43357.352592592593</v>
      </c>
    </row>
    <row r="106" spans="1:5">
      <c r="A106" s="672">
        <v>13144</v>
      </c>
      <c r="B106" s="672" t="s">
        <v>113</v>
      </c>
      <c r="C106" s="672" t="s">
        <v>113</v>
      </c>
      <c r="D106" s="672" t="s">
        <v>126</v>
      </c>
      <c r="E106" s="673">
        <v>43357.763055555559</v>
      </c>
    </row>
    <row r="107" spans="1:5">
      <c r="A107" s="672">
        <v>13147</v>
      </c>
      <c r="B107" s="672" t="s">
        <v>113</v>
      </c>
      <c r="C107" s="672" t="s">
        <v>113</v>
      </c>
      <c r="D107" s="672" t="s">
        <v>127</v>
      </c>
      <c r="E107" s="673">
        <v>43357.771018518521</v>
      </c>
    </row>
    <row r="108" spans="1:5">
      <c r="A108" s="672">
        <v>13159</v>
      </c>
      <c r="B108" s="672" t="s">
        <v>113</v>
      </c>
      <c r="C108" s="672" t="s">
        <v>113</v>
      </c>
      <c r="D108" s="672" t="s">
        <v>128</v>
      </c>
      <c r="E108" s="673">
        <v>43357.796666666669</v>
      </c>
    </row>
    <row r="109" spans="1:5">
      <c r="A109" s="672">
        <v>13165</v>
      </c>
      <c r="B109" s="672" t="s">
        <v>113</v>
      </c>
      <c r="C109" s="672" t="s">
        <v>113</v>
      </c>
      <c r="D109" s="672" t="s">
        <v>126</v>
      </c>
      <c r="E109" s="673">
        <v>43360.751446759263</v>
      </c>
    </row>
    <row r="110" spans="1:5">
      <c r="A110" s="672">
        <v>13190</v>
      </c>
      <c r="B110" s="672" t="s">
        <v>113</v>
      </c>
      <c r="C110" s="672" t="s">
        <v>113</v>
      </c>
      <c r="D110" s="672" t="s">
        <v>125</v>
      </c>
      <c r="E110" s="673">
        <v>43361.350937499999</v>
      </c>
    </row>
    <row r="111" spans="1:5">
      <c r="A111" s="672">
        <v>13203</v>
      </c>
      <c r="B111" s="672" t="s">
        <v>113</v>
      </c>
      <c r="C111" s="672" t="s">
        <v>113</v>
      </c>
      <c r="D111" s="672" t="s">
        <v>126</v>
      </c>
      <c r="E111" s="673">
        <v>43361.755659722221</v>
      </c>
    </row>
    <row r="112" spans="1:5">
      <c r="A112" s="672">
        <v>13210</v>
      </c>
      <c r="B112" s="672" t="s">
        <v>113</v>
      </c>
      <c r="C112" s="672" t="s">
        <v>113</v>
      </c>
      <c r="D112" s="672" t="s">
        <v>127</v>
      </c>
      <c r="E112" s="673">
        <v>43361.77144675926</v>
      </c>
    </row>
    <row r="113" spans="1:5">
      <c r="A113" s="672">
        <v>13227</v>
      </c>
      <c r="B113" s="672" t="s">
        <v>113</v>
      </c>
      <c r="C113" s="672" t="s">
        <v>113</v>
      </c>
      <c r="D113" s="672" t="s">
        <v>128</v>
      </c>
      <c r="E113" s="673">
        <v>43361.896168981482</v>
      </c>
    </row>
    <row r="114" spans="1:5">
      <c r="A114" s="672">
        <v>13229</v>
      </c>
      <c r="B114" s="672" t="s">
        <v>113</v>
      </c>
      <c r="C114" s="672" t="s">
        <v>113</v>
      </c>
      <c r="D114" s="672" t="s">
        <v>125</v>
      </c>
      <c r="E114" s="673">
        <v>43362.348912037036</v>
      </c>
    </row>
    <row r="115" spans="1:5">
      <c r="A115" s="672">
        <v>13239</v>
      </c>
      <c r="B115" s="672" t="s">
        <v>113</v>
      </c>
      <c r="C115" s="672" t="s">
        <v>113</v>
      </c>
      <c r="D115" s="672" t="s">
        <v>126</v>
      </c>
      <c r="E115" s="673">
        <v>43362.764560185184</v>
      </c>
    </row>
    <row r="116" spans="1:5">
      <c r="A116" s="672">
        <v>13245</v>
      </c>
      <c r="B116" s="672" t="s">
        <v>113</v>
      </c>
      <c r="C116" s="672" t="s">
        <v>113</v>
      </c>
      <c r="D116" s="672" t="s">
        <v>127</v>
      </c>
      <c r="E116" s="673">
        <v>43362.771064814813</v>
      </c>
    </row>
    <row r="117" spans="1:5">
      <c r="A117" s="672">
        <v>13261</v>
      </c>
      <c r="B117" s="672" t="s">
        <v>113</v>
      </c>
      <c r="C117" s="672" t="s">
        <v>113</v>
      </c>
      <c r="D117" s="672" t="s">
        <v>128</v>
      </c>
      <c r="E117" s="673">
        <v>43362.813217592593</v>
      </c>
    </row>
    <row r="118" spans="1:5">
      <c r="A118" s="672">
        <v>13267</v>
      </c>
      <c r="B118" s="672" t="s">
        <v>113</v>
      </c>
      <c r="C118" s="672" t="s">
        <v>113</v>
      </c>
      <c r="D118" s="672" t="s">
        <v>125</v>
      </c>
      <c r="E118" s="673">
        <v>43363.349675925929</v>
      </c>
    </row>
    <row r="119" spans="1:5">
      <c r="A119" s="672">
        <v>13277</v>
      </c>
      <c r="B119" s="672" t="s">
        <v>113</v>
      </c>
      <c r="C119" s="672" t="s">
        <v>113</v>
      </c>
      <c r="D119" s="672" t="s">
        <v>126</v>
      </c>
      <c r="E119" s="673">
        <v>43363.765717592592</v>
      </c>
    </row>
    <row r="120" spans="1:5">
      <c r="A120" s="672">
        <v>13293</v>
      </c>
      <c r="B120" s="672" t="s">
        <v>113</v>
      </c>
      <c r="C120" s="672" t="s">
        <v>113</v>
      </c>
      <c r="D120" s="672" t="s">
        <v>125</v>
      </c>
      <c r="E120" s="673">
        <v>43364.352731481478</v>
      </c>
    </row>
    <row r="121" spans="1:5">
      <c r="A121" s="672">
        <v>13304</v>
      </c>
      <c r="B121" s="672" t="s">
        <v>113</v>
      </c>
      <c r="C121" s="672" t="s">
        <v>113</v>
      </c>
      <c r="D121" s="672" t="s">
        <v>126</v>
      </c>
      <c r="E121" s="673">
        <v>43364.760555555556</v>
      </c>
    </row>
    <row r="122" spans="1:5">
      <c r="A122" s="672">
        <v>13317</v>
      </c>
      <c r="B122" s="672" t="s">
        <v>113</v>
      </c>
      <c r="C122" s="672" t="s">
        <v>113</v>
      </c>
      <c r="D122" s="672" t="s">
        <v>125</v>
      </c>
      <c r="E122" s="673">
        <v>43368.3512962963</v>
      </c>
    </row>
    <row r="123" spans="1:5">
      <c r="A123" s="672">
        <v>13331</v>
      </c>
      <c r="B123" s="672" t="s">
        <v>113</v>
      </c>
      <c r="C123" s="672" t="s">
        <v>113</v>
      </c>
      <c r="D123" s="672" t="s">
        <v>126</v>
      </c>
      <c r="E123" s="673">
        <v>43368.759525462963</v>
      </c>
    </row>
    <row r="124" spans="1:5">
      <c r="A124" s="672">
        <v>13332</v>
      </c>
      <c r="B124" s="672" t="s">
        <v>113</v>
      </c>
      <c r="C124" s="672" t="s">
        <v>113</v>
      </c>
      <c r="D124" s="672" t="s">
        <v>127</v>
      </c>
      <c r="E124" s="673">
        <v>43368.768576388888</v>
      </c>
    </row>
    <row r="125" spans="1:5">
      <c r="A125" s="672">
        <v>13349</v>
      </c>
      <c r="B125" s="672" t="s">
        <v>113</v>
      </c>
      <c r="C125" s="672" t="s">
        <v>113</v>
      </c>
      <c r="D125" s="672" t="s">
        <v>128</v>
      </c>
      <c r="E125" s="673">
        <v>43368.812719907408</v>
      </c>
    </row>
    <row r="126" spans="1:5">
      <c r="A126" s="672">
        <v>13358</v>
      </c>
      <c r="B126" s="672" t="s">
        <v>113</v>
      </c>
      <c r="C126" s="672" t="s">
        <v>113</v>
      </c>
      <c r="D126" s="672" t="s">
        <v>125</v>
      </c>
      <c r="E126" s="673">
        <v>43369.354074074072</v>
      </c>
    </row>
    <row r="127" spans="1:5">
      <c r="A127" s="672">
        <v>13383</v>
      </c>
      <c r="B127" s="672" t="s">
        <v>113</v>
      </c>
      <c r="C127" s="672" t="s">
        <v>113</v>
      </c>
      <c r="D127" s="672" t="s">
        <v>126</v>
      </c>
      <c r="E127" s="673">
        <v>43369.773032407407</v>
      </c>
    </row>
    <row r="128" spans="1:5">
      <c r="A128" s="672">
        <v>13395</v>
      </c>
      <c r="B128" s="672" t="s">
        <v>113</v>
      </c>
      <c r="C128" s="672" t="s">
        <v>113</v>
      </c>
      <c r="D128" s="672" t="s">
        <v>125</v>
      </c>
      <c r="E128" s="673">
        <v>43370.354259259257</v>
      </c>
    </row>
    <row r="129" spans="1:5">
      <c r="A129" s="672">
        <v>13403</v>
      </c>
      <c r="B129" s="672" t="s">
        <v>113</v>
      </c>
      <c r="C129" s="672" t="s">
        <v>113</v>
      </c>
      <c r="D129" s="672" t="s">
        <v>126</v>
      </c>
      <c r="E129" s="673">
        <v>43370.755243055559</v>
      </c>
    </row>
    <row r="130" spans="1:5">
      <c r="A130" s="672">
        <v>13408</v>
      </c>
      <c r="B130" s="672" t="s">
        <v>113</v>
      </c>
      <c r="C130" s="672" t="s">
        <v>113</v>
      </c>
      <c r="D130" s="672" t="s">
        <v>127</v>
      </c>
      <c r="E130" s="673">
        <v>43370.771481481483</v>
      </c>
    </row>
    <row r="131" spans="1:5">
      <c r="A131" s="672">
        <v>13428</v>
      </c>
      <c r="B131" s="672" t="s">
        <v>113</v>
      </c>
      <c r="C131" s="672" t="s">
        <v>113</v>
      </c>
      <c r="D131" s="672" t="s">
        <v>128</v>
      </c>
      <c r="E131" s="673">
        <v>43370.889386574076</v>
      </c>
    </row>
    <row r="132" spans="1:5">
      <c r="A132" s="672">
        <v>12852</v>
      </c>
      <c r="B132" s="672" t="s">
        <v>10</v>
      </c>
      <c r="C132" s="672" t="s">
        <v>10</v>
      </c>
      <c r="D132" s="672" t="s">
        <v>125</v>
      </c>
      <c r="E132" s="673">
        <v>43346.372349537036</v>
      </c>
    </row>
    <row r="133" spans="1:5">
      <c r="A133" s="672">
        <v>12871</v>
      </c>
      <c r="B133" s="672" t="s">
        <v>10</v>
      </c>
      <c r="C133" s="672" t="s">
        <v>10</v>
      </c>
      <c r="D133" s="672" t="s">
        <v>126</v>
      </c>
      <c r="E133" s="673">
        <v>43346.810023148151</v>
      </c>
    </row>
    <row r="134" spans="1:5">
      <c r="A134" s="672">
        <v>12882</v>
      </c>
      <c r="B134" s="672" t="s">
        <v>10</v>
      </c>
      <c r="C134" s="672" t="s">
        <v>10</v>
      </c>
      <c r="D134" s="672" t="s">
        <v>125</v>
      </c>
      <c r="E134" s="673">
        <v>43347.371770833335</v>
      </c>
    </row>
    <row r="135" spans="1:5">
      <c r="A135" s="672">
        <v>12907</v>
      </c>
      <c r="B135" s="672" t="s">
        <v>10</v>
      </c>
      <c r="C135" s="672" t="s">
        <v>10</v>
      </c>
      <c r="D135" s="672" t="s">
        <v>126</v>
      </c>
      <c r="E135" s="673">
        <v>43347.837071759262</v>
      </c>
    </row>
    <row r="136" spans="1:5">
      <c r="A136" s="672">
        <v>12918</v>
      </c>
      <c r="B136" s="672" t="s">
        <v>10</v>
      </c>
      <c r="C136" s="672" t="s">
        <v>10</v>
      </c>
      <c r="D136" s="672" t="s">
        <v>125</v>
      </c>
      <c r="E136" s="673">
        <v>43348.371145833335</v>
      </c>
    </row>
    <row r="137" spans="1:5">
      <c r="A137" s="672">
        <v>12943</v>
      </c>
      <c r="B137" s="672" t="s">
        <v>10</v>
      </c>
      <c r="C137" s="672" t="s">
        <v>10</v>
      </c>
      <c r="D137" s="672" t="s">
        <v>126</v>
      </c>
      <c r="E137" s="673">
        <v>43348.850300925929</v>
      </c>
    </row>
    <row r="138" spans="1:5">
      <c r="A138" s="672">
        <v>12951</v>
      </c>
      <c r="B138" s="672" t="s">
        <v>77</v>
      </c>
      <c r="C138" s="672" t="s">
        <v>10</v>
      </c>
      <c r="D138" s="672" t="s">
        <v>125</v>
      </c>
      <c r="E138" s="673">
        <v>43349.370995370373</v>
      </c>
    </row>
    <row r="139" spans="1:5">
      <c r="A139" s="672">
        <v>12973</v>
      </c>
      <c r="B139" s="672" t="s">
        <v>10</v>
      </c>
      <c r="C139" s="672" t="s">
        <v>10</v>
      </c>
      <c r="D139" s="672" t="s">
        <v>126</v>
      </c>
      <c r="E139" s="673">
        <v>43349.814710648148</v>
      </c>
    </row>
    <row r="140" spans="1:5">
      <c r="A140" s="672">
        <v>13009</v>
      </c>
      <c r="B140" s="672" t="s">
        <v>77</v>
      </c>
      <c r="C140" s="672" t="s">
        <v>10</v>
      </c>
      <c r="D140" s="672" t="s">
        <v>125</v>
      </c>
      <c r="E140" s="673">
        <v>43353.37228009259</v>
      </c>
    </row>
    <row r="141" spans="1:5">
      <c r="A141" s="672">
        <v>13026</v>
      </c>
      <c r="B141" s="672" t="s">
        <v>10</v>
      </c>
      <c r="C141" s="672" t="s">
        <v>10</v>
      </c>
      <c r="D141" s="672" t="s">
        <v>126</v>
      </c>
      <c r="E141" s="673">
        <v>43353.810682870368</v>
      </c>
    </row>
    <row r="142" spans="1:5">
      <c r="A142" s="672">
        <v>13034</v>
      </c>
      <c r="B142" s="672" t="s">
        <v>10</v>
      </c>
      <c r="C142" s="672" t="s">
        <v>10</v>
      </c>
      <c r="D142" s="672" t="s">
        <v>125</v>
      </c>
      <c r="E142" s="673">
        <v>43354.371400462966</v>
      </c>
    </row>
    <row r="143" spans="1:5">
      <c r="A143" s="672">
        <v>13059</v>
      </c>
      <c r="B143" s="672" t="s">
        <v>10</v>
      </c>
      <c r="C143" s="672" t="s">
        <v>10</v>
      </c>
      <c r="D143" s="672" t="s">
        <v>126</v>
      </c>
      <c r="E143" s="673">
        <v>43354.837291666663</v>
      </c>
    </row>
    <row r="144" spans="1:5">
      <c r="A144" s="672">
        <v>13067</v>
      </c>
      <c r="B144" s="672" t="s">
        <v>10</v>
      </c>
      <c r="C144" s="672" t="s">
        <v>10</v>
      </c>
      <c r="D144" s="672" t="s">
        <v>125</v>
      </c>
      <c r="E144" s="673">
        <v>43355.353877314818</v>
      </c>
    </row>
    <row r="145" spans="1:5">
      <c r="A145" s="672">
        <v>13074</v>
      </c>
      <c r="B145" s="672" t="s">
        <v>10</v>
      </c>
      <c r="C145" s="672" t="s">
        <v>10</v>
      </c>
      <c r="D145" s="672" t="s">
        <v>126</v>
      </c>
      <c r="E145" s="673">
        <v>43355.519629629627</v>
      </c>
    </row>
    <row r="146" spans="1:5">
      <c r="A146" s="672">
        <v>13108</v>
      </c>
      <c r="B146" s="672" t="s">
        <v>10</v>
      </c>
      <c r="C146" s="672" t="s">
        <v>10</v>
      </c>
      <c r="D146" s="672" t="s">
        <v>125</v>
      </c>
      <c r="E146" s="673">
        <v>43356.37296296296</v>
      </c>
    </row>
    <row r="147" spans="1:5">
      <c r="A147" s="672">
        <v>13128</v>
      </c>
      <c r="B147" s="672" t="s">
        <v>10</v>
      </c>
      <c r="C147" s="672" t="s">
        <v>10</v>
      </c>
      <c r="D147" s="672" t="s">
        <v>126</v>
      </c>
      <c r="E147" s="673">
        <v>43356.838958333334</v>
      </c>
    </row>
    <row r="148" spans="1:5">
      <c r="A148" s="672">
        <v>13139</v>
      </c>
      <c r="B148" s="672" t="s">
        <v>10</v>
      </c>
      <c r="C148" s="672" t="s">
        <v>10</v>
      </c>
      <c r="D148" s="672" t="s">
        <v>125</v>
      </c>
      <c r="E148" s="673">
        <v>43357.372870370367</v>
      </c>
    </row>
    <row r="149" spans="1:5">
      <c r="A149" s="672">
        <v>13156</v>
      </c>
      <c r="B149" s="672" t="s">
        <v>10</v>
      </c>
      <c r="C149" s="672" t="s">
        <v>10</v>
      </c>
      <c r="D149" s="672" t="s">
        <v>126</v>
      </c>
      <c r="E149" s="673">
        <v>43357.791701388887</v>
      </c>
    </row>
    <row r="150" spans="1:5">
      <c r="A150" s="672">
        <v>13183</v>
      </c>
      <c r="B150" s="672" t="s">
        <v>10</v>
      </c>
      <c r="C150" s="672" t="s">
        <v>10</v>
      </c>
      <c r="D150" s="672" t="s">
        <v>126</v>
      </c>
      <c r="E150" s="673">
        <v>43360.828252314815</v>
      </c>
    </row>
    <row r="151" spans="1:5">
      <c r="A151" s="672">
        <v>13196</v>
      </c>
      <c r="B151" s="672" t="s">
        <v>10</v>
      </c>
      <c r="C151" s="672" t="s">
        <v>10</v>
      </c>
      <c r="D151" s="672" t="s">
        <v>125</v>
      </c>
      <c r="E151" s="673">
        <v>43361.371319444443</v>
      </c>
    </row>
    <row r="152" spans="1:5">
      <c r="A152" s="672">
        <v>13221</v>
      </c>
      <c r="B152" s="672" t="s">
        <v>10</v>
      </c>
      <c r="C152" s="672" t="s">
        <v>10</v>
      </c>
      <c r="D152" s="672" t="s">
        <v>126</v>
      </c>
      <c r="E152" s="673">
        <v>43361.80746527778</v>
      </c>
    </row>
    <row r="153" spans="1:5">
      <c r="A153" s="672">
        <v>13236</v>
      </c>
      <c r="B153" s="672" t="s">
        <v>10</v>
      </c>
      <c r="C153" s="672" t="s">
        <v>10</v>
      </c>
      <c r="D153" s="672" t="s">
        <v>125</v>
      </c>
      <c r="E153" s="673">
        <v>43362.373969907407</v>
      </c>
    </row>
    <row r="154" spans="1:5">
      <c r="A154" s="672">
        <v>13256</v>
      </c>
      <c r="B154" s="672" t="s">
        <v>10</v>
      </c>
      <c r="C154" s="672" t="s">
        <v>10</v>
      </c>
      <c r="D154" s="672" t="s">
        <v>126</v>
      </c>
      <c r="E154" s="673">
        <v>43362.792754629627</v>
      </c>
    </row>
    <row r="155" spans="1:5">
      <c r="A155" s="672">
        <v>13273</v>
      </c>
      <c r="B155" s="672" t="s">
        <v>10</v>
      </c>
      <c r="C155" s="672" t="s">
        <v>10</v>
      </c>
      <c r="D155" s="672" t="s">
        <v>125</v>
      </c>
      <c r="E155" s="673">
        <v>43363.373344907406</v>
      </c>
    </row>
    <row r="156" spans="1:5">
      <c r="A156" s="672">
        <v>13287</v>
      </c>
      <c r="B156" s="672" t="s">
        <v>10</v>
      </c>
      <c r="C156" s="672" t="s">
        <v>10</v>
      </c>
      <c r="D156" s="672" t="s">
        <v>126</v>
      </c>
      <c r="E156" s="673">
        <v>43363.792488425926</v>
      </c>
    </row>
    <row r="157" spans="1:5">
      <c r="A157" s="672">
        <v>13297</v>
      </c>
      <c r="B157" s="672" t="s">
        <v>10</v>
      </c>
      <c r="C157" s="672" t="s">
        <v>10</v>
      </c>
      <c r="D157" s="672" t="s">
        <v>125</v>
      </c>
      <c r="E157" s="673">
        <v>43364.369050925925</v>
      </c>
    </row>
    <row r="158" spans="1:5">
      <c r="A158" s="672">
        <v>13312</v>
      </c>
      <c r="B158" s="672" t="s">
        <v>10</v>
      </c>
      <c r="C158" s="672" t="s">
        <v>10</v>
      </c>
      <c r="D158" s="672" t="s">
        <v>126</v>
      </c>
      <c r="E158" s="673">
        <v>43364.793182870373</v>
      </c>
    </row>
    <row r="159" spans="1:5">
      <c r="A159" s="672">
        <v>13323</v>
      </c>
      <c r="B159" s="672" t="s">
        <v>10</v>
      </c>
      <c r="C159" s="672" t="s">
        <v>10</v>
      </c>
      <c r="D159" s="672" t="s">
        <v>125</v>
      </c>
      <c r="E159" s="673">
        <v>43368.37295138889</v>
      </c>
    </row>
    <row r="160" spans="1:5">
      <c r="A160" s="672">
        <v>13353</v>
      </c>
      <c r="B160" s="672" t="s">
        <v>10</v>
      </c>
      <c r="C160" s="672" t="s">
        <v>10</v>
      </c>
      <c r="D160" s="672" t="s">
        <v>126</v>
      </c>
      <c r="E160" s="673">
        <v>43368.851458333331</v>
      </c>
    </row>
    <row r="161" spans="1:5">
      <c r="A161" s="672">
        <v>13359</v>
      </c>
      <c r="B161" s="672" t="s">
        <v>10</v>
      </c>
      <c r="C161" s="672" t="s">
        <v>10</v>
      </c>
      <c r="D161" s="672" t="s">
        <v>125</v>
      </c>
      <c r="E161" s="673">
        <v>43369.354131944441</v>
      </c>
    </row>
    <row r="162" spans="1:5">
      <c r="A162" s="672">
        <v>13367</v>
      </c>
      <c r="B162" s="672" t="s">
        <v>10</v>
      </c>
      <c r="C162" s="672" t="s">
        <v>10</v>
      </c>
      <c r="D162" s="672" t="s">
        <v>126</v>
      </c>
      <c r="E162" s="673">
        <v>43369.506388888891</v>
      </c>
    </row>
    <row r="163" spans="1:5">
      <c r="A163" s="672">
        <v>13401</v>
      </c>
      <c r="B163" s="672" t="s">
        <v>10</v>
      </c>
      <c r="C163" s="672" t="s">
        <v>10</v>
      </c>
      <c r="D163" s="672" t="s">
        <v>125</v>
      </c>
      <c r="E163" s="673">
        <v>43370.372499999998</v>
      </c>
    </row>
    <row r="164" spans="1:5">
      <c r="A164" s="672">
        <v>13422</v>
      </c>
      <c r="B164" s="672" t="s">
        <v>10</v>
      </c>
      <c r="C164" s="672" t="s">
        <v>10</v>
      </c>
      <c r="D164" s="672" t="s">
        <v>126</v>
      </c>
      <c r="E164" s="673">
        <v>43370.801817129628</v>
      </c>
    </row>
    <row r="165" spans="1:5">
      <c r="A165" s="672">
        <v>13435</v>
      </c>
      <c r="B165" s="672" t="s">
        <v>10</v>
      </c>
      <c r="C165" s="672" t="s">
        <v>10</v>
      </c>
      <c r="D165" s="672" t="s">
        <v>125</v>
      </c>
      <c r="E165" s="673">
        <v>43371.372094907405</v>
      </c>
    </row>
    <row r="166" spans="1:5">
      <c r="A166" s="672">
        <v>13452</v>
      </c>
      <c r="B166" s="672" t="s">
        <v>10</v>
      </c>
      <c r="C166" s="672" t="s">
        <v>10</v>
      </c>
      <c r="D166" s="672" t="s">
        <v>126</v>
      </c>
      <c r="E166" s="673">
        <v>43371.777453703704</v>
      </c>
    </row>
    <row r="167" spans="1:5">
      <c r="A167" s="672">
        <v>12890</v>
      </c>
      <c r="B167" s="672" t="s">
        <v>143</v>
      </c>
      <c r="C167" s="672" t="s">
        <v>143</v>
      </c>
      <c r="D167" s="672" t="s">
        <v>126</v>
      </c>
      <c r="E167" s="673">
        <v>43347.770636574074</v>
      </c>
    </row>
    <row r="168" spans="1:5">
      <c r="A168" s="672">
        <v>12891</v>
      </c>
      <c r="B168" s="672" t="s">
        <v>143</v>
      </c>
      <c r="C168" s="672" t="s">
        <v>143</v>
      </c>
      <c r="D168" s="672" t="s">
        <v>127</v>
      </c>
      <c r="E168" s="673">
        <v>43347.770775462966</v>
      </c>
    </row>
    <row r="169" spans="1:5">
      <c r="A169" s="672">
        <v>12905</v>
      </c>
      <c r="B169" s="672" t="s">
        <v>143</v>
      </c>
      <c r="C169" s="672" t="s">
        <v>143</v>
      </c>
      <c r="D169" s="672" t="s">
        <v>128</v>
      </c>
      <c r="E169" s="673">
        <v>43347.803784722222</v>
      </c>
    </row>
    <row r="170" spans="1:5">
      <c r="A170" s="672">
        <v>12914</v>
      </c>
      <c r="B170" s="672" t="s">
        <v>143</v>
      </c>
      <c r="C170" s="672" t="s">
        <v>143</v>
      </c>
      <c r="D170" s="672" t="s">
        <v>125</v>
      </c>
      <c r="E170" s="673">
        <v>43348.364340277774</v>
      </c>
    </row>
    <row r="171" spans="1:5">
      <c r="A171" s="672">
        <v>12930</v>
      </c>
      <c r="B171" s="672" t="s">
        <v>143</v>
      </c>
      <c r="C171" s="672" t="s">
        <v>143</v>
      </c>
      <c r="D171" s="672" t="s">
        <v>126</v>
      </c>
      <c r="E171" s="673">
        <v>43348.771493055552</v>
      </c>
    </row>
    <row r="172" spans="1:5">
      <c r="A172" s="672">
        <v>12931</v>
      </c>
      <c r="B172" s="672" t="s">
        <v>143</v>
      </c>
      <c r="C172" s="672" t="s">
        <v>143</v>
      </c>
      <c r="D172" s="672" t="s">
        <v>127</v>
      </c>
      <c r="E172" s="673">
        <v>43348.771550925929</v>
      </c>
    </row>
    <row r="173" spans="1:5">
      <c r="A173" s="672">
        <v>12934</v>
      </c>
      <c r="B173" s="672" t="s">
        <v>143</v>
      </c>
      <c r="C173" s="672" t="s">
        <v>143</v>
      </c>
      <c r="D173" s="672" t="s">
        <v>126</v>
      </c>
      <c r="E173" s="673">
        <v>43348.783703703702</v>
      </c>
    </row>
    <row r="174" spans="1:5">
      <c r="A174" s="672">
        <v>12948</v>
      </c>
      <c r="B174" s="672" t="s">
        <v>143</v>
      </c>
      <c r="C174" s="672" t="s">
        <v>143</v>
      </c>
      <c r="D174" s="672" t="s">
        <v>125</v>
      </c>
      <c r="E174" s="673">
        <v>43349.359317129631</v>
      </c>
    </row>
    <row r="175" spans="1:5">
      <c r="A175" s="672">
        <v>12970</v>
      </c>
      <c r="B175" s="672" t="s">
        <v>143</v>
      </c>
      <c r="C175" s="672" t="s">
        <v>143</v>
      </c>
      <c r="D175" s="672" t="s">
        <v>126</v>
      </c>
      <c r="E175" s="673">
        <v>43349.77275462963</v>
      </c>
    </row>
    <row r="176" spans="1:5">
      <c r="A176" s="672">
        <v>12980</v>
      </c>
      <c r="B176" s="672" t="s">
        <v>143</v>
      </c>
      <c r="C176" s="672" t="s">
        <v>143</v>
      </c>
      <c r="D176" s="672" t="s">
        <v>125</v>
      </c>
      <c r="E176" s="673">
        <v>43350.360983796294</v>
      </c>
    </row>
    <row r="177" spans="1:5">
      <c r="A177" s="672">
        <v>12993</v>
      </c>
      <c r="B177" s="672" t="s">
        <v>143</v>
      </c>
      <c r="C177" s="672" t="s">
        <v>143</v>
      </c>
      <c r="D177" s="672" t="s">
        <v>126</v>
      </c>
      <c r="E177" s="673">
        <v>43350.772847222222</v>
      </c>
    </row>
    <row r="178" spans="1:5">
      <c r="A178" s="672">
        <v>12994</v>
      </c>
      <c r="B178" s="672" t="s">
        <v>143</v>
      </c>
      <c r="C178" s="672" t="s">
        <v>143</v>
      </c>
      <c r="D178" s="672" t="s">
        <v>127</v>
      </c>
      <c r="E178" s="673">
        <v>43350.772893518515</v>
      </c>
    </row>
    <row r="179" spans="1:5">
      <c r="A179" s="672">
        <v>13001</v>
      </c>
      <c r="B179" s="672" t="s">
        <v>143</v>
      </c>
      <c r="C179" s="672" t="s">
        <v>143</v>
      </c>
      <c r="D179" s="672" t="s">
        <v>128</v>
      </c>
      <c r="E179" s="673">
        <v>43350.807662037034</v>
      </c>
    </row>
    <row r="180" spans="1:5">
      <c r="A180" s="672">
        <v>13007</v>
      </c>
      <c r="B180" s="672" t="s">
        <v>143</v>
      </c>
      <c r="C180" s="672" t="s">
        <v>143</v>
      </c>
      <c r="D180" s="672" t="s">
        <v>125</v>
      </c>
      <c r="E180" s="673">
        <v>43353.361990740741</v>
      </c>
    </row>
    <row r="181" spans="1:5">
      <c r="A181" s="672">
        <v>13022</v>
      </c>
      <c r="B181" s="672" t="s">
        <v>143</v>
      </c>
      <c r="C181" s="672" t="s">
        <v>143</v>
      </c>
      <c r="D181" s="672" t="s">
        <v>126</v>
      </c>
      <c r="E181" s="673">
        <v>43353.771412037036</v>
      </c>
    </row>
    <row r="182" spans="1:5">
      <c r="A182" s="672">
        <v>13030</v>
      </c>
      <c r="B182" s="672" t="s">
        <v>143</v>
      </c>
      <c r="C182" s="672" t="s">
        <v>143</v>
      </c>
      <c r="D182" s="672" t="s">
        <v>125</v>
      </c>
      <c r="E182" s="673">
        <v>43354.363622685189</v>
      </c>
    </row>
    <row r="183" spans="1:5">
      <c r="A183" s="672">
        <v>13047</v>
      </c>
      <c r="B183" s="672" t="s">
        <v>143</v>
      </c>
      <c r="C183" s="672" t="s">
        <v>143</v>
      </c>
      <c r="D183" s="672" t="s">
        <v>126</v>
      </c>
      <c r="E183" s="673">
        <v>43354.771273148152</v>
      </c>
    </row>
    <row r="184" spans="1:5">
      <c r="A184" s="672">
        <v>13048</v>
      </c>
      <c r="B184" s="672" t="s">
        <v>143</v>
      </c>
      <c r="C184" s="672" t="s">
        <v>143</v>
      </c>
      <c r="D184" s="672" t="s">
        <v>127</v>
      </c>
      <c r="E184" s="673">
        <v>43354.771307870367</v>
      </c>
    </row>
    <row r="185" spans="1:5">
      <c r="A185" s="672">
        <v>13057</v>
      </c>
      <c r="B185" s="672" t="s">
        <v>143</v>
      </c>
      <c r="C185" s="672" t="s">
        <v>143</v>
      </c>
      <c r="D185" s="672" t="s">
        <v>128</v>
      </c>
      <c r="E185" s="673">
        <v>43354.804537037038</v>
      </c>
    </row>
    <row r="186" spans="1:5">
      <c r="A186" s="672">
        <v>13069</v>
      </c>
      <c r="B186" s="672" t="s">
        <v>143</v>
      </c>
      <c r="C186" s="672" t="s">
        <v>143</v>
      </c>
      <c r="D186" s="672" t="s">
        <v>125</v>
      </c>
      <c r="E186" s="673">
        <v>43355.366249999999</v>
      </c>
    </row>
    <row r="187" spans="1:5">
      <c r="A187" s="672">
        <v>13085</v>
      </c>
      <c r="B187" s="672" t="s">
        <v>143</v>
      </c>
      <c r="C187" s="672" t="s">
        <v>143</v>
      </c>
      <c r="D187" s="672" t="s">
        <v>126</v>
      </c>
      <c r="E187" s="673">
        <v>43355.771249999998</v>
      </c>
    </row>
    <row r="188" spans="1:5">
      <c r="A188" s="672">
        <v>13087</v>
      </c>
      <c r="B188" s="672" t="s">
        <v>143</v>
      </c>
      <c r="C188" s="672" t="s">
        <v>143</v>
      </c>
      <c r="D188" s="672" t="s">
        <v>127</v>
      </c>
      <c r="E188" s="673">
        <v>43355.771319444444</v>
      </c>
    </row>
    <row r="189" spans="1:5">
      <c r="A189" s="672">
        <v>13094</v>
      </c>
      <c r="B189" s="672" t="s">
        <v>143</v>
      </c>
      <c r="C189" s="672" t="s">
        <v>143</v>
      </c>
      <c r="D189" s="672" t="s">
        <v>128</v>
      </c>
      <c r="E189" s="673">
        <v>43355.783645833333</v>
      </c>
    </row>
    <row r="190" spans="1:5">
      <c r="A190" s="672">
        <v>13103</v>
      </c>
      <c r="B190" s="672" t="s">
        <v>143</v>
      </c>
      <c r="C190" s="672" t="s">
        <v>143</v>
      </c>
      <c r="D190" s="672" t="s">
        <v>125</v>
      </c>
      <c r="E190" s="673">
        <v>43356.363298611112</v>
      </c>
    </row>
    <row r="191" spans="1:5">
      <c r="A191" s="672">
        <v>13123</v>
      </c>
      <c r="B191" s="672" t="s">
        <v>143</v>
      </c>
      <c r="C191" s="672" t="s">
        <v>143</v>
      </c>
      <c r="D191" s="672" t="s">
        <v>126</v>
      </c>
      <c r="E191" s="673">
        <v>43356.772881944446</v>
      </c>
    </row>
    <row r="192" spans="1:5">
      <c r="A192" s="672">
        <v>13124</v>
      </c>
      <c r="B192" s="672" t="s">
        <v>143</v>
      </c>
      <c r="C192" s="672" t="s">
        <v>143</v>
      </c>
      <c r="D192" s="672" t="s">
        <v>127</v>
      </c>
      <c r="E192" s="673">
        <v>43356.772916666669</v>
      </c>
    </row>
    <row r="193" spans="1:5">
      <c r="A193" s="672">
        <v>13126</v>
      </c>
      <c r="B193" s="672" t="s">
        <v>143</v>
      </c>
      <c r="C193" s="672" t="s">
        <v>143</v>
      </c>
      <c r="D193" s="672" t="s">
        <v>128</v>
      </c>
      <c r="E193" s="673">
        <v>43356.820092592592</v>
      </c>
    </row>
    <row r="194" spans="1:5">
      <c r="A194" s="672">
        <v>13134</v>
      </c>
      <c r="B194" s="672" t="s">
        <v>143</v>
      </c>
      <c r="C194" s="672" t="s">
        <v>143</v>
      </c>
      <c r="D194" s="672" t="s">
        <v>125</v>
      </c>
      <c r="E194" s="673">
        <v>43357.363240740742</v>
      </c>
    </row>
    <row r="195" spans="1:5">
      <c r="A195" s="672">
        <v>13152</v>
      </c>
      <c r="B195" s="672" t="s">
        <v>143</v>
      </c>
      <c r="C195" s="672" t="s">
        <v>143</v>
      </c>
      <c r="D195" s="672" t="s">
        <v>126</v>
      </c>
      <c r="E195" s="673">
        <v>43357.772777777776</v>
      </c>
    </row>
    <row r="196" spans="1:5">
      <c r="A196" s="672">
        <v>13153</v>
      </c>
      <c r="B196" s="672" t="s">
        <v>143</v>
      </c>
      <c r="C196" s="672" t="s">
        <v>143</v>
      </c>
      <c r="D196" s="672" t="s">
        <v>127</v>
      </c>
      <c r="E196" s="673">
        <v>43357.772800925923</v>
      </c>
    </row>
    <row r="197" spans="1:5">
      <c r="A197" s="672">
        <v>13160</v>
      </c>
      <c r="B197" s="672" t="s">
        <v>143</v>
      </c>
      <c r="C197" s="672" t="s">
        <v>143</v>
      </c>
      <c r="D197" s="672" t="s">
        <v>128</v>
      </c>
      <c r="E197" s="673">
        <v>43357.797546296293</v>
      </c>
    </row>
    <row r="198" spans="1:5">
      <c r="A198" s="672">
        <v>13174</v>
      </c>
      <c r="B198" s="672" t="s">
        <v>143</v>
      </c>
      <c r="C198" s="672" t="s">
        <v>143</v>
      </c>
      <c r="D198" s="672" t="s">
        <v>126</v>
      </c>
      <c r="E198" s="673">
        <v>43360.771770833337</v>
      </c>
    </row>
    <row r="199" spans="1:5">
      <c r="A199" s="672">
        <v>13175</v>
      </c>
      <c r="B199" s="672" t="s">
        <v>143</v>
      </c>
      <c r="C199" s="672" t="s">
        <v>143</v>
      </c>
      <c r="D199" s="672" t="s">
        <v>127</v>
      </c>
      <c r="E199" s="673">
        <v>43360.771840277775</v>
      </c>
    </row>
    <row r="200" spans="1:5">
      <c r="A200" s="672">
        <v>13182</v>
      </c>
      <c r="B200" s="672" t="s">
        <v>143</v>
      </c>
      <c r="C200" s="672" t="s">
        <v>143</v>
      </c>
      <c r="D200" s="672" t="s">
        <v>128</v>
      </c>
      <c r="E200" s="673">
        <v>43360.814259259256</v>
      </c>
    </row>
    <row r="201" spans="1:5">
      <c r="A201" s="672">
        <v>13198</v>
      </c>
      <c r="B201" s="672" t="s">
        <v>143</v>
      </c>
      <c r="C201" s="672" t="s">
        <v>143</v>
      </c>
      <c r="D201" s="672" t="s">
        <v>125</v>
      </c>
      <c r="E201" s="673">
        <v>43361.374120370368</v>
      </c>
    </row>
    <row r="202" spans="1:5">
      <c r="A202" s="672">
        <v>13212</v>
      </c>
      <c r="B202" s="672" t="s">
        <v>143</v>
      </c>
      <c r="C202" s="672" t="s">
        <v>143</v>
      </c>
      <c r="D202" s="672" t="s">
        <v>126</v>
      </c>
      <c r="E202" s="673">
        <v>43361.771666666667</v>
      </c>
    </row>
    <row r="203" spans="1:5">
      <c r="A203" s="672">
        <v>13213</v>
      </c>
      <c r="B203" s="672" t="s">
        <v>143</v>
      </c>
      <c r="C203" s="672" t="s">
        <v>143</v>
      </c>
      <c r="D203" s="672" t="s">
        <v>127</v>
      </c>
      <c r="E203" s="673">
        <v>43361.771701388891</v>
      </c>
    </row>
    <row r="204" spans="1:5">
      <c r="A204" s="672">
        <v>13218</v>
      </c>
      <c r="B204" s="672" t="s">
        <v>143</v>
      </c>
      <c r="C204" s="672" t="s">
        <v>143</v>
      </c>
      <c r="D204" s="672" t="s">
        <v>128</v>
      </c>
      <c r="E204" s="673">
        <v>43361.784143518518</v>
      </c>
    </row>
    <row r="205" spans="1:5">
      <c r="A205" s="672">
        <v>13231</v>
      </c>
      <c r="B205" s="672" t="s">
        <v>143</v>
      </c>
      <c r="C205" s="672" t="s">
        <v>143</v>
      </c>
      <c r="D205" s="672" t="s">
        <v>125</v>
      </c>
      <c r="E205" s="673">
        <v>43362.356319444443</v>
      </c>
    </row>
    <row r="206" spans="1:5">
      <c r="A206" s="672">
        <v>13252</v>
      </c>
      <c r="B206" s="672" t="s">
        <v>143</v>
      </c>
      <c r="C206" s="672" t="s">
        <v>143</v>
      </c>
      <c r="D206" s="672" t="s">
        <v>126</v>
      </c>
      <c r="E206" s="673">
        <v>43362.77684027778</v>
      </c>
    </row>
    <row r="207" spans="1:5">
      <c r="A207" s="672">
        <v>13253</v>
      </c>
      <c r="B207" s="672" t="s">
        <v>143</v>
      </c>
      <c r="C207" s="672" t="s">
        <v>143</v>
      </c>
      <c r="D207" s="672" t="s">
        <v>127</v>
      </c>
      <c r="E207" s="673">
        <v>43362.776898148149</v>
      </c>
    </row>
    <row r="208" spans="1:5">
      <c r="A208" s="672">
        <v>13258</v>
      </c>
      <c r="B208" s="672" t="s">
        <v>143</v>
      </c>
      <c r="C208" s="672" t="s">
        <v>143</v>
      </c>
      <c r="D208" s="672" t="s">
        <v>128</v>
      </c>
      <c r="E208" s="673">
        <v>43362.800358796296</v>
      </c>
    </row>
    <row r="209" spans="1:5">
      <c r="A209" s="672">
        <v>13270</v>
      </c>
      <c r="B209" s="672" t="s">
        <v>143</v>
      </c>
      <c r="C209" s="672" t="s">
        <v>143</v>
      </c>
      <c r="D209" s="672" t="s">
        <v>125</v>
      </c>
      <c r="E209" s="673">
        <v>43363.369247685187</v>
      </c>
    </row>
    <row r="210" spans="1:5">
      <c r="A210" s="672">
        <v>13282</v>
      </c>
      <c r="B210" s="672" t="s">
        <v>143</v>
      </c>
      <c r="C210" s="672" t="s">
        <v>143</v>
      </c>
      <c r="D210" s="672" t="s">
        <v>126</v>
      </c>
      <c r="E210" s="673">
        <v>43363.774895833332</v>
      </c>
    </row>
    <row r="211" spans="1:5">
      <c r="A211" s="672">
        <v>13294</v>
      </c>
      <c r="B211" s="672" t="s">
        <v>143</v>
      </c>
      <c r="C211" s="672" t="s">
        <v>143</v>
      </c>
      <c r="D211" s="672" t="s">
        <v>125</v>
      </c>
      <c r="E211" s="673">
        <v>43364.363518518519</v>
      </c>
    </row>
    <row r="212" spans="1:5">
      <c r="A212" s="672">
        <v>13309</v>
      </c>
      <c r="B212" s="672" t="s">
        <v>143</v>
      </c>
      <c r="C212" s="672" t="s">
        <v>143</v>
      </c>
      <c r="D212" s="672" t="s">
        <v>126</v>
      </c>
      <c r="E212" s="673">
        <v>43364.769502314812</v>
      </c>
    </row>
    <row r="213" spans="1:5">
      <c r="A213" s="672">
        <v>13318</v>
      </c>
      <c r="B213" s="672" t="s">
        <v>143</v>
      </c>
      <c r="C213" s="672" t="s">
        <v>143</v>
      </c>
      <c r="D213" s="672" t="s">
        <v>125</v>
      </c>
      <c r="E213" s="673">
        <v>43368.363946759258</v>
      </c>
    </row>
    <row r="214" spans="1:5">
      <c r="A214" s="672">
        <v>13344</v>
      </c>
      <c r="B214" s="672" t="s">
        <v>143</v>
      </c>
      <c r="C214" s="672" t="s">
        <v>143</v>
      </c>
      <c r="D214" s="672" t="s">
        <v>126</v>
      </c>
      <c r="E214" s="673">
        <v>43368.780787037038</v>
      </c>
    </row>
    <row r="215" spans="1:5">
      <c r="A215" s="672">
        <v>13345</v>
      </c>
      <c r="B215" s="672" t="s">
        <v>143</v>
      </c>
      <c r="C215" s="672" t="s">
        <v>143</v>
      </c>
      <c r="D215" s="672" t="s">
        <v>127</v>
      </c>
      <c r="E215" s="673">
        <v>43368.780833333331</v>
      </c>
    </row>
    <row r="216" spans="1:5">
      <c r="A216" s="672">
        <v>13352</v>
      </c>
      <c r="B216" s="672" t="s">
        <v>144</v>
      </c>
      <c r="C216" s="672" t="s">
        <v>143</v>
      </c>
      <c r="D216" s="672" t="s">
        <v>128</v>
      </c>
      <c r="E216" s="673">
        <v>43368.838807870372</v>
      </c>
    </row>
    <row r="217" spans="1:5">
      <c r="A217" s="672">
        <v>13360</v>
      </c>
      <c r="B217" s="672" t="s">
        <v>143</v>
      </c>
      <c r="C217" s="672" t="s">
        <v>143</v>
      </c>
      <c r="D217" s="672" t="s">
        <v>125</v>
      </c>
      <c r="E217" s="673">
        <v>43369.356215277781</v>
      </c>
    </row>
    <row r="218" spans="1:5">
      <c r="A218" s="672">
        <v>13377</v>
      </c>
      <c r="B218" s="672" t="s">
        <v>143</v>
      </c>
      <c r="C218" s="672" t="s">
        <v>143</v>
      </c>
      <c r="D218" s="672" t="s">
        <v>126</v>
      </c>
      <c r="E218" s="673">
        <v>43369.771666666667</v>
      </c>
    </row>
    <row r="219" spans="1:5">
      <c r="A219" s="672">
        <v>13378</v>
      </c>
      <c r="B219" s="672" t="s">
        <v>143</v>
      </c>
      <c r="C219" s="672" t="s">
        <v>143</v>
      </c>
      <c r="D219" s="672" t="s">
        <v>127</v>
      </c>
      <c r="E219" s="673">
        <v>43369.771689814814</v>
      </c>
    </row>
    <row r="220" spans="1:5">
      <c r="A220" s="672">
        <v>13386</v>
      </c>
      <c r="B220" s="672" t="s">
        <v>143</v>
      </c>
      <c r="C220" s="672" t="s">
        <v>143</v>
      </c>
      <c r="D220" s="672" t="s">
        <v>128</v>
      </c>
      <c r="E220" s="673">
        <v>43369.78670138889</v>
      </c>
    </row>
    <row r="221" spans="1:5">
      <c r="A221" s="672">
        <v>13396</v>
      </c>
      <c r="B221" s="672" t="s">
        <v>143</v>
      </c>
      <c r="C221" s="672" t="s">
        <v>143</v>
      </c>
      <c r="D221" s="672" t="s">
        <v>125</v>
      </c>
      <c r="E221" s="673">
        <v>43370.365648148145</v>
      </c>
    </row>
    <row r="222" spans="1:5">
      <c r="A222" s="672">
        <v>13416</v>
      </c>
      <c r="B222" s="672" t="s">
        <v>143</v>
      </c>
      <c r="C222" s="672" t="s">
        <v>143</v>
      </c>
      <c r="D222" s="672" t="s">
        <v>126</v>
      </c>
      <c r="E222" s="673">
        <v>43370.774189814816</v>
      </c>
    </row>
    <row r="223" spans="1:5">
      <c r="A223" s="672">
        <v>13417</v>
      </c>
      <c r="B223" s="672" t="s">
        <v>143</v>
      </c>
      <c r="C223" s="672" t="s">
        <v>143</v>
      </c>
      <c r="D223" s="672" t="s">
        <v>127</v>
      </c>
      <c r="E223" s="673">
        <v>43370.774224537039</v>
      </c>
    </row>
    <row r="224" spans="1:5">
      <c r="A224" s="672">
        <v>13421</v>
      </c>
      <c r="B224" s="672" t="s">
        <v>143</v>
      </c>
      <c r="C224" s="672" t="s">
        <v>143</v>
      </c>
      <c r="D224" s="672" t="s">
        <v>128</v>
      </c>
      <c r="E224" s="673">
        <v>43370.798564814817</v>
      </c>
    </row>
    <row r="225" spans="1:5">
      <c r="A225" s="672">
        <v>13431</v>
      </c>
      <c r="B225" s="672" t="s">
        <v>143</v>
      </c>
      <c r="C225" s="672" t="s">
        <v>143</v>
      </c>
      <c r="D225" s="672" t="s">
        <v>125</v>
      </c>
      <c r="E225" s="673">
        <v>43371.362662037034</v>
      </c>
    </row>
    <row r="226" spans="1:5">
      <c r="A226" s="672">
        <v>13443</v>
      </c>
      <c r="B226" s="672" t="s">
        <v>143</v>
      </c>
      <c r="C226" s="672" t="s">
        <v>143</v>
      </c>
      <c r="D226" s="672" t="s">
        <v>126</v>
      </c>
      <c r="E226" s="673">
        <v>43371.768495370372</v>
      </c>
    </row>
    <row r="227" spans="1:5">
      <c r="A227" s="672">
        <v>12853</v>
      </c>
      <c r="B227" s="672" t="s">
        <v>108</v>
      </c>
      <c r="C227" s="672" t="s">
        <v>108</v>
      </c>
      <c r="D227" s="672" t="s">
        <v>125</v>
      </c>
      <c r="E227" s="673">
        <v>43346.373460648145</v>
      </c>
    </row>
    <row r="228" spans="1:5">
      <c r="A228" s="672">
        <v>12855</v>
      </c>
      <c r="B228" s="672" t="s">
        <v>109</v>
      </c>
      <c r="C228" s="672" t="s">
        <v>108</v>
      </c>
      <c r="D228" s="672" t="s">
        <v>126</v>
      </c>
      <c r="E228" s="673">
        <v>43346.770428240743</v>
      </c>
    </row>
    <row r="229" spans="1:5">
      <c r="A229" s="672">
        <v>12856</v>
      </c>
      <c r="B229" s="672" t="s">
        <v>109</v>
      </c>
      <c r="C229" s="672" t="s">
        <v>108</v>
      </c>
      <c r="D229" s="672" t="s">
        <v>127</v>
      </c>
      <c r="E229" s="673">
        <v>43346.770462962966</v>
      </c>
    </row>
    <row r="230" spans="1:5">
      <c r="A230" s="672">
        <v>12872</v>
      </c>
      <c r="B230" s="672" t="s">
        <v>109</v>
      </c>
      <c r="C230" s="672" t="s">
        <v>108</v>
      </c>
      <c r="D230" s="672" t="s">
        <v>128</v>
      </c>
      <c r="E230" s="673">
        <v>43346.811539351853</v>
      </c>
    </row>
    <row r="231" spans="1:5">
      <c r="A231" s="672">
        <v>12875</v>
      </c>
      <c r="B231" s="672" t="s">
        <v>108</v>
      </c>
      <c r="C231" s="672" t="s">
        <v>108</v>
      </c>
      <c r="D231" s="672" t="s">
        <v>125</v>
      </c>
      <c r="E231" s="673">
        <v>43347.345462962963</v>
      </c>
    </row>
    <row r="232" spans="1:5">
      <c r="A232" s="672">
        <v>12886</v>
      </c>
      <c r="B232" s="672" t="s">
        <v>109</v>
      </c>
      <c r="C232" s="672" t="s">
        <v>108</v>
      </c>
      <c r="D232" s="672" t="s">
        <v>126</v>
      </c>
      <c r="E232" s="673">
        <v>43347.7503125</v>
      </c>
    </row>
    <row r="233" spans="1:5">
      <c r="A233" s="672">
        <v>12888</v>
      </c>
      <c r="B233" s="672" t="s">
        <v>109</v>
      </c>
      <c r="C233" s="672" t="s">
        <v>108</v>
      </c>
      <c r="D233" s="672" t="s">
        <v>127</v>
      </c>
      <c r="E233" s="673">
        <v>43347.77008101852</v>
      </c>
    </row>
    <row r="234" spans="1:5">
      <c r="A234" s="672">
        <v>12906</v>
      </c>
      <c r="B234" s="672" t="s">
        <v>109</v>
      </c>
      <c r="C234" s="672" t="s">
        <v>108</v>
      </c>
      <c r="D234" s="672" t="s">
        <v>128</v>
      </c>
      <c r="E234" s="673">
        <v>43347.819594907407</v>
      </c>
    </row>
    <row r="235" spans="1:5">
      <c r="A235" s="672">
        <v>12920</v>
      </c>
      <c r="B235" s="672" t="s">
        <v>108</v>
      </c>
      <c r="C235" s="672" t="s">
        <v>108</v>
      </c>
      <c r="D235" s="672" t="s">
        <v>125</v>
      </c>
      <c r="E235" s="673">
        <v>43348.374664351853</v>
      </c>
    </row>
    <row r="236" spans="1:5">
      <c r="A236" s="672">
        <v>12928</v>
      </c>
      <c r="B236" s="672" t="s">
        <v>109</v>
      </c>
      <c r="C236" s="672" t="s">
        <v>108</v>
      </c>
      <c r="D236" s="672" t="s">
        <v>126</v>
      </c>
      <c r="E236" s="673">
        <v>43348.77138888889</v>
      </c>
    </row>
    <row r="237" spans="1:5">
      <c r="A237" s="672">
        <v>12929</v>
      </c>
      <c r="B237" s="672" t="s">
        <v>109</v>
      </c>
      <c r="C237" s="672" t="s">
        <v>108</v>
      </c>
      <c r="D237" s="672" t="s">
        <v>127</v>
      </c>
      <c r="E237" s="673">
        <v>43348.771435185183</v>
      </c>
    </row>
    <row r="238" spans="1:5">
      <c r="A238" s="672">
        <v>12932</v>
      </c>
      <c r="B238" s="672" t="s">
        <v>109</v>
      </c>
      <c r="C238" s="672" t="s">
        <v>108</v>
      </c>
      <c r="D238" s="672" t="s">
        <v>128</v>
      </c>
      <c r="E238" s="673">
        <v>43348.777708333335</v>
      </c>
    </row>
    <row r="239" spans="1:5">
      <c r="A239" s="672">
        <v>12949</v>
      </c>
      <c r="B239" s="672" t="s">
        <v>108</v>
      </c>
      <c r="C239" s="672" t="s">
        <v>108</v>
      </c>
      <c r="D239" s="672" t="s">
        <v>125</v>
      </c>
      <c r="E239" s="673">
        <v>43349.365567129629</v>
      </c>
    </row>
    <row r="240" spans="1:5">
      <c r="A240" s="672">
        <v>12958</v>
      </c>
      <c r="B240" s="672" t="s">
        <v>109</v>
      </c>
      <c r="C240" s="672" t="s">
        <v>108</v>
      </c>
      <c r="D240" s="672" t="s">
        <v>126</v>
      </c>
      <c r="E240" s="673">
        <v>43349.765451388892</v>
      </c>
    </row>
    <row r="241" spans="1:5">
      <c r="A241" s="672">
        <v>12983</v>
      </c>
      <c r="B241" s="672" t="s">
        <v>108</v>
      </c>
      <c r="C241" s="672" t="s">
        <v>108</v>
      </c>
      <c r="D241" s="672" t="s">
        <v>125</v>
      </c>
      <c r="E241" s="673">
        <v>43350.373310185183</v>
      </c>
    </row>
    <row r="242" spans="1:5">
      <c r="A242" s="672">
        <v>12987</v>
      </c>
      <c r="B242" s="672" t="s">
        <v>109</v>
      </c>
      <c r="C242" s="672" t="s">
        <v>108</v>
      </c>
      <c r="D242" s="672" t="s">
        <v>126</v>
      </c>
      <c r="E242" s="673">
        <v>43350.77070601852</v>
      </c>
    </row>
    <row r="243" spans="1:5">
      <c r="A243" s="672">
        <v>12988</v>
      </c>
      <c r="B243" s="672" t="s">
        <v>109</v>
      </c>
      <c r="C243" s="672" t="s">
        <v>108</v>
      </c>
      <c r="D243" s="672" t="s">
        <v>127</v>
      </c>
      <c r="E243" s="673">
        <v>43350.770775462966</v>
      </c>
    </row>
    <row r="244" spans="1:5">
      <c r="A244" s="672">
        <v>13000</v>
      </c>
      <c r="B244" s="672" t="s">
        <v>109</v>
      </c>
      <c r="C244" s="672" t="s">
        <v>108</v>
      </c>
      <c r="D244" s="672" t="s">
        <v>128</v>
      </c>
      <c r="E244" s="673">
        <v>43350.799201388887</v>
      </c>
    </row>
    <row r="245" spans="1:5">
      <c r="A245" s="672">
        <v>13011</v>
      </c>
      <c r="B245" s="672" t="s">
        <v>108</v>
      </c>
      <c r="C245" s="672" t="s">
        <v>108</v>
      </c>
      <c r="D245" s="672" t="s">
        <v>125</v>
      </c>
      <c r="E245" s="673">
        <v>43353.373402777775</v>
      </c>
    </row>
    <row r="246" spans="1:5">
      <c r="A246" s="672">
        <v>13016</v>
      </c>
      <c r="B246" s="672" t="s">
        <v>108</v>
      </c>
      <c r="C246" s="672" t="s">
        <v>108</v>
      </c>
      <c r="D246" s="672" t="s">
        <v>126</v>
      </c>
      <c r="E246" s="673">
        <v>43353.770335648151</v>
      </c>
    </row>
    <row r="247" spans="1:5">
      <c r="A247" s="672">
        <v>13017</v>
      </c>
      <c r="B247" s="672" t="s">
        <v>108</v>
      </c>
      <c r="C247" s="672" t="s">
        <v>108</v>
      </c>
      <c r="D247" s="672" t="s">
        <v>127</v>
      </c>
      <c r="E247" s="673">
        <v>43353.770381944443</v>
      </c>
    </row>
    <row r="248" spans="1:5">
      <c r="A248" s="672">
        <v>13025</v>
      </c>
      <c r="B248" s="672" t="s">
        <v>109</v>
      </c>
      <c r="C248" s="672" t="s">
        <v>108</v>
      </c>
      <c r="D248" s="672" t="s">
        <v>128</v>
      </c>
      <c r="E248" s="673">
        <v>43353.789768518516</v>
      </c>
    </row>
    <row r="249" spans="1:5">
      <c r="A249" s="672">
        <v>13036</v>
      </c>
      <c r="B249" s="672" t="s">
        <v>109</v>
      </c>
      <c r="C249" s="672" t="s">
        <v>108</v>
      </c>
      <c r="D249" s="672" t="s">
        <v>125</v>
      </c>
      <c r="E249" s="673">
        <v>43354.373159722221</v>
      </c>
    </row>
    <row r="250" spans="1:5">
      <c r="A250" s="672">
        <v>13037</v>
      </c>
      <c r="B250" s="672" t="s">
        <v>108</v>
      </c>
      <c r="C250" s="672" t="s">
        <v>108</v>
      </c>
      <c r="D250" s="672" t="s">
        <v>125</v>
      </c>
      <c r="E250" s="673">
        <v>43354.373379629629</v>
      </c>
    </row>
    <row r="251" spans="1:5">
      <c r="A251" s="672">
        <v>13046</v>
      </c>
      <c r="B251" s="672" t="s">
        <v>109</v>
      </c>
      <c r="C251" s="672" t="s">
        <v>108</v>
      </c>
      <c r="D251" s="672" t="s">
        <v>126</v>
      </c>
      <c r="E251" s="673">
        <v>43354.769456018519</v>
      </c>
    </row>
    <row r="252" spans="1:5">
      <c r="A252" s="672">
        <v>13056</v>
      </c>
      <c r="B252" s="672" t="s">
        <v>109</v>
      </c>
      <c r="C252" s="672" t="s">
        <v>108</v>
      </c>
      <c r="D252" s="672" t="s">
        <v>127</v>
      </c>
      <c r="E252" s="673">
        <v>43354.789097222223</v>
      </c>
    </row>
    <row r="253" spans="1:5">
      <c r="A253" s="672">
        <v>13061</v>
      </c>
      <c r="B253" s="672" t="s">
        <v>109</v>
      </c>
      <c r="C253" s="672" t="s">
        <v>108</v>
      </c>
      <c r="D253" s="672" t="s">
        <v>128</v>
      </c>
      <c r="E253" s="673">
        <v>43354.853495370371</v>
      </c>
    </row>
    <row r="254" spans="1:5">
      <c r="A254" s="672">
        <v>13070</v>
      </c>
      <c r="B254" s="672" t="s">
        <v>108</v>
      </c>
      <c r="C254" s="672" t="s">
        <v>108</v>
      </c>
      <c r="D254" s="672" t="s">
        <v>125</v>
      </c>
      <c r="E254" s="673">
        <v>43355.369143518517</v>
      </c>
    </row>
    <row r="255" spans="1:5">
      <c r="A255" s="672">
        <v>13081</v>
      </c>
      <c r="B255" s="672" t="s">
        <v>108</v>
      </c>
      <c r="C255" s="672" t="s">
        <v>108</v>
      </c>
      <c r="D255" s="672" t="s">
        <v>126</v>
      </c>
      <c r="E255" s="673">
        <v>43355.770972222221</v>
      </c>
    </row>
    <row r="256" spans="1:5">
      <c r="A256" s="672">
        <v>13082</v>
      </c>
      <c r="B256" s="672" t="s">
        <v>108</v>
      </c>
      <c r="C256" s="672" t="s">
        <v>108</v>
      </c>
      <c r="D256" s="672" t="s">
        <v>127</v>
      </c>
      <c r="E256" s="673">
        <v>43355.771018518521</v>
      </c>
    </row>
    <row r="257" spans="1:5">
      <c r="A257" s="672">
        <v>13093</v>
      </c>
      <c r="B257" s="672" t="s">
        <v>108</v>
      </c>
      <c r="C257" s="672" t="s">
        <v>108</v>
      </c>
      <c r="D257" s="672" t="s">
        <v>128</v>
      </c>
      <c r="E257" s="673">
        <v>43355.783321759256</v>
      </c>
    </row>
    <row r="258" spans="1:5">
      <c r="A258" s="672">
        <v>13107</v>
      </c>
      <c r="B258" s="672" t="s">
        <v>108</v>
      </c>
      <c r="C258" s="672" t="s">
        <v>108</v>
      </c>
      <c r="D258" s="672" t="s">
        <v>125</v>
      </c>
      <c r="E258" s="673">
        <v>43356.37122685185</v>
      </c>
    </row>
    <row r="259" spans="1:5">
      <c r="A259" s="672">
        <v>13118</v>
      </c>
      <c r="B259" s="672" t="s">
        <v>109</v>
      </c>
      <c r="C259" s="672" t="s">
        <v>108</v>
      </c>
      <c r="D259" s="672" t="s">
        <v>126</v>
      </c>
      <c r="E259" s="673">
        <v>43356.771006944444</v>
      </c>
    </row>
    <row r="260" spans="1:5">
      <c r="A260" s="672">
        <v>13120</v>
      </c>
      <c r="B260" s="672" t="s">
        <v>109</v>
      </c>
      <c r="C260" s="672" t="s">
        <v>108</v>
      </c>
      <c r="D260" s="672" t="s">
        <v>127</v>
      </c>
      <c r="E260" s="673">
        <v>43356.771041666667</v>
      </c>
    </row>
    <row r="261" spans="1:5">
      <c r="A261" s="672">
        <v>13127</v>
      </c>
      <c r="B261" s="672" t="s">
        <v>108</v>
      </c>
      <c r="C261" s="672" t="s">
        <v>108</v>
      </c>
      <c r="D261" s="672" t="s">
        <v>128</v>
      </c>
      <c r="E261" s="673">
        <v>43356.835925925923</v>
      </c>
    </row>
    <row r="262" spans="1:5">
      <c r="A262" s="672">
        <v>13137</v>
      </c>
      <c r="B262" s="672" t="s">
        <v>108</v>
      </c>
      <c r="C262" s="672" t="s">
        <v>108</v>
      </c>
      <c r="D262" s="672" t="s">
        <v>125</v>
      </c>
      <c r="E262" s="673">
        <v>43357.371539351851</v>
      </c>
    </row>
    <row r="263" spans="1:5">
      <c r="A263" s="672">
        <v>13145</v>
      </c>
      <c r="B263" s="672" t="s">
        <v>109</v>
      </c>
      <c r="C263" s="672" t="s">
        <v>108</v>
      </c>
      <c r="D263" s="672" t="s">
        <v>126</v>
      </c>
      <c r="E263" s="673">
        <v>43357.770243055558</v>
      </c>
    </row>
    <row r="264" spans="1:5">
      <c r="A264" s="672">
        <v>13146</v>
      </c>
      <c r="B264" s="672" t="s">
        <v>109</v>
      </c>
      <c r="C264" s="672" t="s">
        <v>108</v>
      </c>
      <c r="D264" s="672" t="s">
        <v>127</v>
      </c>
      <c r="E264" s="673">
        <v>43357.770289351851</v>
      </c>
    </row>
    <row r="265" spans="1:5">
      <c r="A265" s="672">
        <v>13155</v>
      </c>
      <c r="B265" s="672" t="s">
        <v>108</v>
      </c>
      <c r="C265" s="672" t="s">
        <v>108</v>
      </c>
      <c r="D265" s="672" t="s">
        <v>128</v>
      </c>
      <c r="E265" s="673">
        <v>43357.791562500002</v>
      </c>
    </row>
    <row r="266" spans="1:5">
      <c r="A266" s="672">
        <v>13166</v>
      </c>
      <c r="B266" s="672" t="s">
        <v>108</v>
      </c>
      <c r="C266" s="672" t="s">
        <v>108</v>
      </c>
      <c r="D266" s="672" t="s">
        <v>126</v>
      </c>
      <c r="E266" s="673">
        <v>43360.770532407405</v>
      </c>
    </row>
    <row r="267" spans="1:5">
      <c r="A267" s="672">
        <v>13179</v>
      </c>
      <c r="B267" s="672" t="s">
        <v>108</v>
      </c>
      <c r="C267" s="672" t="s">
        <v>108</v>
      </c>
      <c r="D267" s="672" t="s">
        <v>127</v>
      </c>
      <c r="E267" s="673">
        <v>43360.791574074072</v>
      </c>
    </row>
    <row r="268" spans="1:5">
      <c r="A268" s="672">
        <v>13186</v>
      </c>
      <c r="B268" s="672" t="s">
        <v>108</v>
      </c>
      <c r="C268" s="672" t="s">
        <v>108</v>
      </c>
      <c r="D268" s="672" t="s">
        <v>128</v>
      </c>
      <c r="E268" s="673">
        <v>43360.851990740739</v>
      </c>
    </row>
    <row r="269" spans="1:5">
      <c r="A269" s="672">
        <v>13197</v>
      </c>
      <c r="B269" s="672" t="s">
        <v>108</v>
      </c>
      <c r="C269" s="672" t="s">
        <v>108</v>
      </c>
      <c r="D269" s="672" t="s">
        <v>125</v>
      </c>
      <c r="E269" s="673">
        <v>43361.374085648145</v>
      </c>
    </row>
    <row r="270" spans="1:5">
      <c r="A270" s="672">
        <v>13217</v>
      </c>
      <c r="B270" s="672" t="s">
        <v>109</v>
      </c>
      <c r="C270" s="672" t="s">
        <v>108</v>
      </c>
      <c r="D270" s="672" t="s">
        <v>126</v>
      </c>
      <c r="E270" s="673">
        <v>43361.77244212963</v>
      </c>
    </row>
    <row r="271" spans="1:5">
      <c r="A271" s="672">
        <v>13235</v>
      </c>
      <c r="B271" s="672" t="s">
        <v>145</v>
      </c>
      <c r="C271" s="672" t="s">
        <v>108</v>
      </c>
      <c r="D271" s="672" t="s">
        <v>125</v>
      </c>
      <c r="E271" s="673">
        <v>43362.371747685182</v>
      </c>
    </row>
    <row r="272" spans="1:5">
      <c r="A272" s="672">
        <v>13242</v>
      </c>
      <c r="B272" s="672" t="s">
        <v>108</v>
      </c>
      <c r="C272" s="672" t="s">
        <v>108</v>
      </c>
      <c r="D272" s="672" t="s">
        <v>126</v>
      </c>
      <c r="E272" s="673">
        <v>43362.770995370367</v>
      </c>
    </row>
    <row r="273" spans="1:5">
      <c r="A273" s="672">
        <v>13243</v>
      </c>
      <c r="B273" s="672" t="s">
        <v>108</v>
      </c>
      <c r="C273" s="672" t="s">
        <v>108</v>
      </c>
      <c r="D273" s="672" t="s">
        <v>127</v>
      </c>
      <c r="E273" s="673">
        <v>43362.771006944444</v>
      </c>
    </row>
    <row r="274" spans="1:5">
      <c r="A274" s="672">
        <v>13260</v>
      </c>
      <c r="B274" s="672" t="s">
        <v>108</v>
      </c>
      <c r="C274" s="672" t="s">
        <v>108</v>
      </c>
      <c r="D274" s="672" t="s">
        <v>128</v>
      </c>
      <c r="E274" s="673">
        <v>43362.800995370373</v>
      </c>
    </row>
    <row r="275" spans="1:5">
      <c r="A275" s="672">
        <v>13271</v>
      </c>
      <c r="B275" s="672" t="s">
        <v>108</v>
      </c>
      <c r="C275" s="672" t="s">
        <v>108</v>
      </c>
      <c r="D275" s="672" t="s">
        <v>125</v>
      </c>
      <c r="E275" s="673">
        <v>43363.371574074074</v>
      </c>
    </row>
    <row r="276" spans="1:5">
      <c r="A276" s="672">
        <v>13279</v>
      </c>
      <c r="B276" s="672" t="s">
        <v>109</v>
      </c>
      <c r="C276" s="672" t="s">
        <v>108</v>
      </c>
      <c r="D276" s="672" t="s">
        <v>126</v>
      </c>
      <c r="E276" s="673">
        <v>43363.771689814814</v>
      </c>
    </row>
    <row r="277" spans="1:5">
      <c r="A277" s="672">
        <v>13295</v>
      </c>
      <c r="B277" s="672" t="s">
        <v>108</v>
      </c>
      <c r="C277" s="672" t="s">
        <v>108</v>
      </c>
      <c r="D277" s="672" t="s">
        <v>125</v>
      </c>
      <c r="E277" s="673">
        <v>43364.363645833335</v>
      </c>
    </row>
    <row r="278" spans="1:5">
      <c r="A278" s="672">
        <v>13305</v>
      </c>
      <c r="B278" s="672" t="s">
        <v>108</v>
      </c>
      <c r="C278" s="672" t="s">
        <v>108</v>
      </c>
      <c r="D278" s="672" t="s">
        <v>126</v>
      </c>
      <c r="E278" s="673">
        <v>43364.764432870368</v>
      </c>
    </row>
    <row r="279" spans="1:5">
      <c r="A279" s="672">
        <v>13322</v>
      </c>
      <c r="B279" s="672" t="s">
        <v>108</v>
      </c>
      <c r="C279" s="672" t="s">
        <v>108</v>
      </c>
      <c r="D279" s="672" t="s">
        <v>125</v>
      </c>
      <c r="E279" s="673">
        <v>43368.372893518521</v>
      </c>
    </row>
    <row r="280" spans="1:5">
      <c r="A280" s="672">
        <v>13333</v>
      </c>
      <c r="B280" s="672" t="s">
        <v>145</v>
      </c>
      <c r="C280" s="672" t="s">
        <v>108</v>
      </c>
      <c r="D280" s="672" t="s">
        <v>126</v>
      </c>
      <c r="E280" s="673">
        <v>43368.770277777781</v>
      </c>
    </row>
    <row r="281" spans="1:5">
      <c r="A281" s="672">
        <v>13347</v>
      </c>
      <c r="B281" s="672" t="s">
        <v>108</v>
      </c>
      <c r="C281" s="672" t="s">
        <v>108</v>
      </c>
      <c r="D281" s="672" t="s">
        <v>127</v>
      </c>
      <c r="E281" s="673">
        <v>43368.790590277778</v>
      </c>
    </row>
    <row r="282" spans="1:5">
      <c r="A282" s="672">
        <v>13356</v>
      </c>
      <c r="B282" s="672" t="s">
        <v>109</v>
      </c>
      <c r="C282" s="672" t="s">
        <v>108</v>
      </c>
      <c r="D282" s="672" t="s">
        <v>128</v>
      </c>
      <c r="E282" s="673">
        <v>43368.875335648147</v>
      </c>
    </row>
    <row r="283" spans="1:5">
      <c r="A283" s="672">
        <v>13363</v>
      </c>
      <c r="B283" s="672" t="s">
        <v>108</v>
      </c>
      <c r="C283" s="672" t="s">
        <v>108</v>
      </c>
      <c r="D283" s="672" t="s">
        <v>125</v>
      </c>
      <c r="E283" s="673">
        <v>43369.371342592596</v>
      </c>
    </row>
    <row r="284" spans="1:5">
      <c r="A284" s="672">
        <v>13369</v>
      </c>
      <c r="B284" s="672" t="s">
        <v>108</v>
      </c>
      <c r="C284" s="672" t="s">
        <v>108</v>
      </c>
      <c r="D284" s="672" t="s">
        <v>126</v>
      </c>
      <c r="E284" s="673">
        <v>43369.769293981481</v>
      </c>
    </row>
    <row r="285" spans="1:5">
      <c r="A285" s="672">
        <v>13371</v>
      </c>
      <c r="B285" s="672" t="s">
        <v>108</v>
      </c>
      <c r="C285" s="672" t="s">
        <v>108</v>
      </c>
      <c r="D285" s="672" t="s">
        <v>127</v>
      </c>
      <c r="E285" s="673">
        <v>43369.76934027778</v>
      </c>
    </row>
    <row r="286" spans="1:5">
      <c r="A286" s="672">
        <v>13389</v>
      </c>
      <c r="B286" s="672" t="s">
        <v>108</v>
      </c>
      <c r="C286" s="672" t="s">
        <v>108</v>
      </c>
      <c r="D286" s="672" t="s">
        <v>128</v>
      </c>
      <c r="E286" s="673">
        <v>43369.812673611108</v>
      </c>
    </row>
    <row r="287" spans="1:5">
      <c r="A287" s="672">
        <v>13398</v>
      </c>
      <c r="B287" s="672" t="s">
        <v>108</v>
      </c>
      <c r="C287" s="672" t="s">
        <v>108</v>
      </c>
      <c r="D287" s="672" t="s">
        <v>125</v>
      </c>
      <c r="E287" s="673">
        <v>43370.371319444443</v>
      </c>
    </row>
    <row r="288" spans="1:5">
      <c r="A288" s="672">
        <v>13411</v>
      </c>
      <c r="B288" s="672" t="s">
        <v>108</v>
      </c>
      <c r="C288" s="672" t="s">
        <v>108</v>
      </c>
      <c r="D288" s="672" t="s">
        <v>126</v>
      </c>
      <c r="E288" s="673">
        <v>43370.771979166668</v>
      </c>
    </row>
    <row r="289" spans="1:5">
      <c r="A289" s="672">
        <v>13413</v>
      </c>
      <c r="B289" s="672" t="s">
        <v>108</v>
      </c>
      <c r="C289" s="672" t="s">
        <v>108</v>
      </c>
      <c r="D289" s="672" t="s">
        <v>127</v>
      </c>
      <c r="E289" s="673">
        <v>43370.77202546296</v>
      </c>
    </row>
    <row r="290" spans="1:5">
      <c r="A290" s="672">
        <v>13420</v>
      </c>
      <c r="B290" s="672" t="s">
        <v>108</v>
      </c>
      <c r="C290" s="672" t="s">
        <v>108</v>
      </c>
      <c r="D290" s="672" t="s">
        <v>128</v>
      </c>
      <c r="E290" s="673">
        <v>43370.797951388886</v>
      </c>
    </row>
    <row r="291" spans="1:5">
      <c r="A291" s="672">
        <v>13432</v>
      </c>
      <c r="B291" s="672" t="s">
        <v>108</v>
      </c>
      <c r="C291" s="672" t="s">
        <v>108</v>
      </c>
      <c r="D291" s="672" t="s">
        <v>125</v>
      </c>
      <c r="E291" s="673">
        <v>43371.365358796298</v>
      </c>
    </row>
    <row r="292" spans="1:5">
      <c r="A292" s="672">
        <v>13449</v>
      </c>
      <c r="B292" s="672" t="s">
        <v>108</v>
      </c>
      <c r="C292" s="672" t="s">
        <v>108</v>
      </c>
      <c r="D292" s="672" t="s">
        <v>126</v>
      </c>
      <c r="E292" s="673">
        <v>43371.773194444446</v>
      </c>
    </row>
    <row r="293" spans="1:5">
      <c r="A293" s="672">
        <v>13189</v>
      </c>
      <c r="B293" s="672" t="s">
        <v>146</v>
      </c>
      <c r="C293" s="672" t="s">
        <v>147</v>
      </c>
      <c r="D293" s="672" t="s">
        <v>125</v>
      </c>
      <c r="E293" s="673">
        <v>43361.350034722222</v>
      </c>
    </row>
    <row r="294" spans="1:5">
      <c r="A294" s="672">
        <v>13202</v>
      </c>
      <c r="B294" s="672" t="s">
        <v>146</v>
      </c>
      <c r="C294" s="672" t="s">
        <v>147</v>
      </c>
      <c r="D294" s="672" t="s">
        <v>126</v>
      </c>
      <c r="E294" s="673">
        <v>43361.754618055558</v>
      </c>
    </row>
    <row r="295" spans="1:5">
      <c r="A295" s="672">
        <v>13215</v>
      </c>
      <c r="B295" s="672" t="s">
        <v>146</v>
      </c>
      <c r="C295" s="672" t="s">
        <v>147</v>
      </c>
      <c r="D295" s="672" t="s">
        <v>127</v>
      </c>
      <c r="E295" s="673">
        <v>43361.77202546296</v>
      </c>
    </row>
    <row r="296" spans="1:5">
      <c r="A296" s="672">
        <v>13225</v>
      </c>
      <c r="B296" s="672" t="s">
        <v>146</v>
      </c>
      <c r="C296" s="672" t="s">
        <v>147</v>
      </c>
      <c r="D296" s="672" t="s">
        <v>128</v>
      </c>
      <c r="E296" s="673">
        <v>43361.878472222219</v>
      </c>
    </row>
    <row r="297" spans="1:5">
      <c r="A297" s="672">
        <v>13230</v>
      </c>
      <c r="B297" s="672" t="s">
        <v>146</v>
      </c>
      <c r="C297" s="672" t="s">
        <v>147</v>
      </c>
      <c r="D297" s="672" t="s">
        <v>125</v>
      </c>
      <c r="E297" s="673">
        <v>43362.3512962963</v>
      </c>
    </row>
    <row r="298" spans="1:5">
      <c r="A298" s="672">
        <v>13238</v>
      </c>
      <c r="B298" s="672" t="s">
        <v>146</v>
      </c>
      <c r="C298" s="672" t="s">
        <v>147</v>
      </c>
      <c r="D298" s="672" t="s">
        <v>126</v>
      </c>
      <c r="E298" s="673">
        <v>43362.754861111112</v>
      </c>
    </row>
    <row r="299" spans="1:5">
      <c r="A299" s="672">
        <v>13247</v>
      </c>
      <c r="B299" s="672" t="s">
        <v>146</v>
      </c>
      <c r="C299" s="672" t="s">
        <v>147</v>
      </c>
      <c r="D299" s="672" t="s">
        <v>127</v>
      </c>
      <c r="E299" s="673">
        <v>43362.771099537036</v>
      </c>
    </row>
    <row r="300" spans="1:5">
      <c r="A300" s="672">
        <v>13263</v>
      </c>
      <c r="B300" s="672" t="s">
        <v>147</v>
      </c>
      <c r="C300" s="672" t="s">
        <v>147</v>
      </c>
      <c r="D300" s="672" t="s">
        <v>128</v>
      </c>
      <c r="E300" s="673">
        <v>43362.82099537037</v>
      </c>
    </row>
    <row r="301" spans="1:5">
      <c r="A301" s="672">
        <v>13268</v>
      </c>
      <c r="B301" s="672" t="s">
        <v>147</v>
      </c>
      <c r="C301" s="672" t="s">
        <v>147</v>
      </c>
      <c r="D301" s="672" t="s">
        <v>125</v>
      </c>
      <c r="E301" s="673">
        <v>43363.349722222221</v>
      </c>
    </row>
    <row r="302" spans="1:5">
      <c r="A302" s="672">
        <v>13275</v>
      </c>
      <c r="B302" s="672" t="s">
        <v>146</v>
      </c>
      <c r="C302" s="672" t="s">
        <v>147</v>
      </c>
      <c r="D302" s="672" t="s">
        <v>126</v>
      </c>
      <c r="E302" s="673">
        <v>43363.753391203703</v>
      </c>
    </row>
    <row r="303" spans="1:5">
      <c r="A303" s="672">
        <v>13292</v>
      </c>
      <c r="B303" s="672" t="s">
        <v>147</v>
      </c>
      <c r="C303" s="672" t="s">
        <v>147</v>
      </c>
      <c r="D303" s="672" t="s">
        <v>125</v>
      </c>
      <c r="E303" s="673">
        <v>43364.349687499998</v>
      </c>
    </row>
    <row r="304" spans="1:5">
      <c r="A304" s="672">
        <v>13306</v>
      </c>
      <c r="B304" s="672" t="s">
        <v>147</v>
      </c>
      <c r="C304" s="672" t="s">
        <v>147</v>
      </c>
      <c r="D304" s="672" t="s">
        <v>126</v>
      </c>
      <c r="E304" s="673">
        <v>43364.764745370368</v>
      </c>
    </row>
    <row r="305" spans="1:5">
      <c r="A305" s="672">
        <v>13316</v>
      </c>
      <c r="B305" s="672" t="s">
        <v>147</v>
      </c>
      <c r="C305" s="672" t="s">
        <v>147</v>
      </c>
      <c r="D305" s="672" t="s">
        <v>125</v>
      </c>
      <c r="E305" s="673">
        <v>43368.348495370374</v>
      </c>
    </row>
    <row r="306" spans="1:5">
      <c r="A306" s="672">
        <v>13330</v>
      </c>
      <c r="B306" s="672" t="s">
        <v>147</v>
      </c>
      <c r="C306" s="672" t="s">
        <v>147</v>
      </c>
      <c r="D306" s="672" t="s">
        <v>126</v>
      </c>
      <c r="E306" s="673">
        <v>43368.753483796296</v>
      </c>
    </row>
    <row r="307" spans="1:5">
      <c r="A307" s="672">
        <v>13342</v>
      </c>
      <c r="B307" s="672" t="s">
        <v>147</v>
      </c>
      <c r="C307" s="672" t="s">
        <v>147</v>
      </c>
      <c r="D307" s="672" t="s">
        <v>127</v>
      </c>
      <c r="E307" s="673">
        <v>43368.773819444446</v>
      </c>
    </row>
    <row r="308" spans="1:5">
      <c r="A308" s="672">
        <v>13350</v>
      </c>
      <c r="B308" s="672" t="s">
        <v>147</v>
      </c>
      <c r="C308" s="672" t="s">
        <v>147</v>
      </c>
      <c r="D308" s="672" t="s">
        <v>128</v>
      </c>
      <c r="E308" s="673">
        <v>43368.829861111109</v>
      </c>
    </row>
    <row r="309" spans="1:5">
      <c r="A309" s="672">
        <v>13364</v>
      </c>
      <c r="B309" s="672" t="s">
        <v>147</v>
      </c>
      <c r="C309" s="672" t="s">
        <v>147</v>
      </c>
      <c r="D309" s="672" t="s">
        <v>125</v>
      </c>
      <c r="E309" s="673">
        <v>43369.373020833336</v>
      </c>
    </row>
    <row r="310" spans="1:5">
      <c r="A310" s="672">
        <v>13381</v>
      </c>
      <c r="B310" s="672" t="s">
        <v>147</v>
      </c>
      <c r="C310" s="672" t="s">
        <v>147</v>
      </c>
      <c r="D310" s="672" t="s">
        <v>126</v>
      </c>
      <c r="E310" s="673">
        <v>43369.772592592592</v>
      </c>
    </row>
    <row r="311" spans="1:5">
      <c r="A311" s="672">
        <v>13382</v>
      </c>
      <c r="B311" s="672" t="s">
        <v>147</v>
      </c>
      <c r="C311" s="672" t="s">
        <v>147</v>
      </c>
      <c r="D311" s="672" t="s">
        <v>127</v>
      </c>
      <c r="E311" s="673">
        <v>43369.772696759261</v>
      </c>
    </row>
    <row r="312" spans="1:5">
      <c r="A312" s="672">
        <v>13392</v>
      </c>
      <c r="B312" s="672" t="s">
        <v>147</v>
      </c>
      <c r="C312" s="672" t="s">
        <v>147</v>
      </c>
      <c r="D312" s="672" t="s">
        <v>128</v>
      </c>
      <c r="E312" s="673">
        <v>43369.85738425926</v>
      </c>
    </row>
    <row r="313" spans="1:5">
      <c r="A313" s="672">
        <v>13394</v>
      </c>
      <c r="B313" s="672" t="s">
        <v>147</v>
      </c>
      <c r="C313" s="672" t="s">
        <v>147</v>
      </c>
      <c r="D313" s="672" t="s">
        <v>125</v>
      </c>
      <c r="E313" s="673">
        <v>43370.350937499999</v>
      </c>
    </row>
    <row r="314" spans="1:5">
      <c r="A314" s="672">
        <v>13404</v>
      </c>
      <c r="B314" s="672" t="s">
        <v>148</v>
      </c>
      <c r="C314" s="672" t="s">
        <v>147</v>
      </c>
      <c r="D314" s="672" t="s">
        <v>126</v>
      </c>
      <c r="E314" s="673">
        <v>43370.75540509259</v>
      </c>
    </row>
    <row r="315" spans="1:5">
      <c r="A315" s="672">
        <v>13412</v>
      </c>
      <c r="B315" s="672" t="s">
        <v>147</v>
      </c>
      <c r="C315" s="672" t="s">
        <v>147</v>
      </c>
      <c r="D315" s="672" t="s">
        <v>127</v>
      </c>
      <c r="E315" s="673">
        <v>43370.771990740737</v>
      </c>
    </row>
    <row r="316" spans="1:5">
      <c r="A316" s="672">
        <v>13423</v>
      </c>
      <c r="B316" s="672" t="s">
        <v>147</v>
      </c>
      <c r="C316" s="672" t="s">
        <v>147</v>
      </c>
      <c r="D316" s="672" t="s">
        <v>128</v>
      </c>
      <c r="E316" s="673">
        <v>43370.83494212963</v>
      </c>
    </row>
    <row r="317" spans="1:5">
      <c r="A317" s="672">
        <v>13430</v>
      </c>
      <c r="B317" s="672" t="s">
        <v>147</v>
      </c>
      <c r="C317" s="672" t="s">
        <v>147</v>
      </c>
      <c r="D317" s="672" t="s">
        <v>125</v>
      </c>
      <c r="E317" s="673">
        <v>43371.351435185185</v>
      </c>
    </row>
    <row r="318" spans="1:5">
      <c r="A318" s="672">
        <v>13440</v>
      </c>
      <c r="B318" s="672" t="s">
        <v>148</v>
      </c>
      <c r="C318" s="672" t="s">
        <v>147</v>
      </c>
      <c r="D318" s="672" t="s">
        <v>126</v>
      </c>
      <c r="E318" s="673">
        <v>43371.75681712963</v>
      </c>
    </row>
    <row r="319" spans="1:5">
      <c r="A319" s="672">
        <v>12848</v>
      </c>
      <c r="B319" s="672" t="s">
        <v>62</v>
      </c>
      <c r="C319" s="672" t="s">
        <v>62</v>
      </c>
      <c r="D319" s="672" t="s">
        <v>125</v>
      </c>
      <c r="E319" s="673">
        <v>43346.371296296296</v>
      </c>
    </row>
    <row r="320" spans="1:5">
      <c r="A320" s="672">
        <v>12860</v>
      </c>
      <c r="B320" s="672" t="s">
        <v>62</v>
      </c>
      <c r="C320" s="672" t="s">
        <v>62</v>
      </c>
      <c r="D320" s="672" t="s">
        <v>126</v>
      </c>
      <c r="E320" s="673">
        <v>43346.771307870367</v>
      </c>
    </row>
    <row r="321" spans="1:5">
      <c r="A321" s="672">
        <v>12861</v>
      </c>
      <c r="B321" s="672" t="s">
        <v>62</v>
      </c>
      <c r="C321" s="672" t="s">
        <v>62</v>
      </c>
      <c r="D321" s="672" t="s">
        <v>127</v>
      </c>
      <c r="E321" s="673">
        <v>43346.77134259259</v>
      </c>
    </row>
    <row r="322" spans="1:5">
      <c r="A322" s="672">
        <v>12868</v>
      </c>
      <c r="B322" s="672" t="s">
        <v>62</v>
      </c>
      <c r="C322" s="672" t="s">
        <v>62</v>
      </c>
      <c r="D322" s="672" t="s">
        <v>128</v>
      </c>
      <c r="E322" s="673">
        <v>43346.785046296296</v>
      </c>
    </row>
    <row r="323" spans="1:5">
      <c r="A323" s="672">
        <v>12881</v>
      </c>
      <c r="B323" s="672" t="s">
        <v>62</v>
      </c>
      <c r="C323" s="672" t="s">
        <v>62</v>
      </c>
      <c r="D323" s="672" t="s">
        <v>125</v>
      </c>
      <c r="E323" s="673">
        <v>43347.371678240743</v>
      </c>
    </row>
    <row r="324" spans="1:5">
      <c r="A324" s="672">
        <v>12895</v>
      </c>
      <c r="B324" s="672" t="s">
        <v>62</v>
      </c>
      <c r="C324" s="672" t="s">
        <v>62</v>
      </c>
      <c r="D324" s="672" t="s">
        <v>126</v>
      </c>
      <c r="E324" s="673">
        <v>43347.771006944444</v>
      </c>
    </row>
    <row r="325" spans="1:5">
      <c r="A325" s="672">
        <v>12896</v>
      </c>
      <c r="B325" s="672" t="s">
        <v>62</v>
      </c>
      <c r="C325" s="672" t="s">
        <v>62</v>
      </c>
      <c r="D325" s="672" t="s">
        <v>127</v>
      </c>
      <c r="E325" s="673">
        <v>43347.771053240744</v>
      </c>
    </row>
    <row r="326" spans="1:5">
      <c r="A326" s="672">
        <v>12900</v>
      </c>
      <c r="B326" s="672" t="s">
        <v>62</v>
      </c>
      <c r="C326" s="672" t="s">
        <v>62</v>
      </c>
      <c r="D326" s="672" t="s">
        <v>128</v>
      </c>
      <c r="E326" s="673">
        <v>43347.774953703702</v>
      </c>
    </row>
    <row r="327" spans="1:5">
      <c r="A327" s="672">
        <v>12901</v>
      </c>
      <c r="B327" s="672" t="s">
        <v>62</v>
      </c>
      <c r="C327" s="672" t="s">
        <v>62</v>
      </c>
      <c r="D327" s="672" t="s">
        <v>127</v>
      </c>
      <c r="E327" s="673">
        <v>43347.777673611112</v>
      </c>
    </row>
    <row r="328" spans="1:5">
      <c r="A328" s="672">
        <v>12910</v>
      </c>
      <c r="B328" s="672" t="s">
        <v>62</v>
      </c>
      <c r="C328" s="672" t="s">
        <v>62</v>
      </c>
      <c r="D328" s="672" t="s">
        <v>128</v>
      </c>
      <c r="E328" s="673">
        <v>43347.868356481478</v>
      </c>
    </row>
    <row r="329" spans="1:5">
      <c r="A329" s="672">
        <v>12915</v>
      </c>
      <c r="B329" s="672" t="s">
        <v>62</v>
      </c>
      <c r="C329" s="672" t="s">
        <v>62</v>
      </c>
      <c r="D329" s="672" t="s">
        <v>125</v>
      </c>
      <c r="E329" s="673">
        <v>43348.36917824074</v>
      </c>
    </row>
    <row r="330" spans="1:5">
      <c r="A330" s="672">
        <v>12935</v>
      </c>
      <c r="B330" s="672" t="s">
        <v>62</v>
      </c>
      <c r="C330" s="672" t="s">
        <v>62</v>
      </c>
      <c r="D330" s="672" t="s">
        <v>126</v>
      </c>
      <c r="E330" s="673">
        <v>43348.783935185187</v>
      </c>
    </row>
    <row r="331" spans="1:5">
      <c r="A331" s="672">
        <v>12936</v>
      </c>
      <c r="B331" s="672" t="s">
        <v>62</v>
      </c>
      <c r="C331" s="672" t="s">
        <v>62</v>
      </c>
      <c r="D331" s="672" t="s">
        <v>127</v>
      </c>
      <c r="E331" s="673">
        <v>43348.783958333333</v>
      </c>
    </row>
    <row r="332" spans="1:5">
      <c r="A332" s="672">
        <v>12945</v>
      </c>
      <c r="B332" s="672" t="s">
        <v>78</v>
      </c>
      <c r="C332" s="672" t="s">
        <v>62</v>
      </c>
      <c r="D332" s="672" t="s">
        <v>128</v>
      </c>
      <c r="E332" s="673">
        <v>43348.911493055559</v>
      </c>
    </row>
    <row r="333" spans="1:5">
      <c r="A333" s="672">
        <v>12954</v>
      </c>
      <c r="B333" s="672" t="s">
        <v>62</v>
      </c>
      <c r="C333" s="672" t="s">
        <v>62</v>
      </c>
      <c r="D333" s="672" t="s">
        <v>125</v>
      </c>
      <c r="E333" s="673">
        <v>43349.374814814815</v>
      </c>
    </row>
    <row r="334" spans="1:5">
      <c r="A334" s="672">
        <v>12961</v>
      </c>
      <c r="B334" s="672" t="s">
        <v>62</v>
      </c>
      <c r="C334" s="672" t="s">
        <v>62</v>
      </c>
      <c r="D334" s="672" t="s">
        <v>126</v>
      </c>
      <c r="E334" s="673">
        <v>43349.77065972222</v>
      </c>
    </row>
    <row r="335" spans="1:5">
      <c r="A335" s="672">
        <v>12963</v>
      </c>
      <c r="B335" s="672" t="s">
        <v>62</v>
      </c>
      <c r="C335" s="672" t="s">
        <v>62</v>
      </c>
      <c r="D335" s="672" t="s">
        <v>127</v>
      </c>
      <c r="E335" s="673">
        <v>43349.770868055559</v>
      </c>
    </row>
    <row r="336" spans="1:5">
      <c r="A336" s="672">
        <v>12971</v>
      </c>
      <c r="B336" s="672" t="s">
        <v>62</v>
      </c>
      <c r="C336" s="672" t="s">
        <v>62</v>
      </c>
      <c r="D336" s="672" t="s">
        <v>128</v>
      </c>
      <c r="E336" s="673">
        <v>43349.77784722222</v>
      </c>
    </row>
    <row r="337" spans="1:5">
      <c r="A337" s="672">
        <v>12991</v>
      </c>
      <c r="B337" s="672" t="s">
        <v>62</v>
      </c>
      <c r="C337" s="672" t="s">
        <v>62</v>
      </c>
      <c r="D337" s="672" t="s">
        <v>126</v>
      </c>
      <c r="E337" s="673">
        <v>43350.771435185183</v>
      </c>
    </row>
    <row r="338" spans="1:5">
      <c r="A338" s="672">
        <v>12992</v>
      </c>
      <c r="B338" s="672" t="s">
        <v>62</v>
      </c>
      <c r="C338" s="672" t="s">
        <v>62</v>
      </c>
      <c r="D338" s="672" t="s">
        <v>127</v>
      </c>
      <c r="E338" s="673">
        <v>43350.771469907406</v>
      </c>
    </row>
    <row r="339" spans="1:5">
      <c r="A339" s="672">
        <v>13004</v>
      </c>
      <c r="B339" s="672" t="s">
        <v>78</v>
      </c>
      <c r="C339" s="672" t="s">
        <v>62</v>
      </c>
      <c r="D339" s="672" t="s">
        <v>128</v>
      </c>
      <c r="E339" s="673">
        <v>43350.855266203704</v>
      </c>
    </row>
    <row r="340" spans="1:5">
      <c r="A340" s="672">
        <v>13013</v>
      </c>
      <c r="B340" s="672" t="s">
        <v>78</v>
      </c>
      <c r="C340" s="672" t="s">
        <v>62</v>
      </c>
      <c r="D340" s="672" t="s">
        <v>125</v>
      </c>
      <c r="E340" s="673">
        <v>43353.374398148146</v>
      </c>
    </row>
    <row r="341" spans="1:5">
      <c r="A341" s="672">
        <v>13020</v>
      </c>
      <c r="B341" s="672" t="s">
        <v>62</v>
      </c>
      <c r="C341" s="672" t="s">
        <v>62</v>
      </c>
      <c r="D341" s="672" t="s">
        <v>126</v>
      </c>
      <c r="E341" s="673">
        <v>43353.771365740744</v>
      </c>
    </row>
    <row r="342" spans="1:5">
      <c r="A342" s="672">
        <v>13021</v>
      </c>
      <c r="B342" s="672" t="s">
        <v>62</v>
      </c>
      <c r="C342" s="672" t="s">
        <v>62</v>
      </c>
      <c r="D342" s="672" t="s">
        <v>127</v>
      </c>
      <c r="E342" s="673">
        <v>43353.77140046296</v>
      </c>
    </row>
    <row r="343" spans="1:5">
      <c r="A343" s="672">
        <v>13024</v>
      </c>
      <c r="B343" s="672" t="s">
        <v>62</v>
      </c>
      <c r="C343" s="672" t="s">
        <v>62</v>
      </c>
      <c r="D343" s="672" t="s">
        <v>128</v>
      </c>
      <c r="E343" s="673">
        <v>43353.787858796299</v>
      </c>
    </row>
    <row r="344" spans="1:5">
      <c r="A344" s="672">
        <v>13032</v>
      </c>
      <c r="B344" s="672" t="s">
        <v>62</v>
      </c>
      <c r="C344" s="672" t="s">
        <v>62</v>
      </c>
      <c r="D344" s="672" t="s">
        <v>125</v>
      </c>
      <c r="E344" s="673">
        <v>43354.36923611111</v>
      </c>
    </row>
    <row r="345" spans="1:5">
      <c r="A345" s="672">
        <v>13044</v>
      </c>
      <c r="B345" s="672" t="s">
        <v>62</v>
      </c>
      <c r="C345" s="672" t="s">
        <v>62</v>
      </c>
      <c r="D345" s="672" t="s">
        <v>126</v>
      </c>
      <c r="E345" s="673">
        <v>43354.768888888888</v>
      </c>
    </row>
    <row r="346" spans="1:5">
      <c r="A346" s="672">
        <v>13045</v>
      </c>
      <c r="B346" s="672" t="s">
        <v>62</v>
      </c>
      <c r="C346" s="672" t="s">
        <v>62</v>
      </c>
      <c r="D346" s="672" t="s">
        <v>127</v>
      </c>
      <c r="E346" s="673">
        <v>43354.768900462965</v>
      </c>
    </row>
    <row r="347" spans="1:5">
      <c r="A347" s="672">
        <v>13058</v>
      </c>
      <c r="B347" s="672" t="s">
        <v>62</v>
      </c>
      <c r="C347" s="672" t="s">
        <v>62</v>
      </c>
      <c r="D347" s="672" t="s">
        <v>128</v>
      </c>
      <c r="E347" s="673">
        <v>43354.8359837963</v>
      </c>
    </row>
    <row r="348" spans="1:5">
      <c r="A348" s="672">
        <v>13071</v>
      </c>
      <c r="B348" s="672" t="s">
        <v>78</v>
      </c>
      <c r="C348" s="672" t="s">
        <v>62</v>
      </c>
      <c r="D348" s="672" t="s">
        <v>125</v>
      </c>
      <c r="E348" s="673">
        <v>43355.371134259258</v>
      </c>
    </row>
    <row r="349" spans="1:5">
      <c r="A349" s="672">
        <v>13077</v>
      </c>
      <c r="B349" s="672" t="s">
        <v>62</v>
      </c>
      <c r="C349" s="672" t="s">
        <v>62</v>
      </c>
      <c r="D349" s="672" t="s">
        <v>126</v>
      </c>
      <c r="E349" s="673">
        <v>43355.770243055558</v>
      </c>
    </row>
    <row r="350" spans="1:5">
      <c r="A350" s="672">
        <v>13078</v>
      </c>
      <c r="B350" s="672" t="s">
        <v>62</v>
      </c>
      <c r="C350" s="672" t="s">
        <v>62</v>
      </c>
      <c r="D350" s="672" t="s">
        <v>127</v>
      </c>
      <c r="E350" s="673">
        <v>43355.770266203705</v>
      </c>
    </row>
    <row r="351" spans="1:5">
      <c r="A351" s="672">
        <v>13092</v>
      </c>
      <c r="B351" s="672" t="s">
        <v>62</v>
      </c>
      <c r="C351" s="672" t="s">
        <v>62</v>
      </c>
      <c r="D351" s="672" t="s">
        <v>128</v>
      </c>
      <c r="E351" s="673">
        <v>43355.782847222225</v>
      </c>
    </row>
    <row r="352" spans="1:5">
      <c r="A352" s="672">
        <v>13096</v>
      </c>
      <c r="B352" s="672" t="s">
        <v>62</v>
      </c>
      <c r="C352" s="672" t="s">
        <v>62</v>
      </c>
      <c r="D352" s="672" t="s">
        <v>127</v>
      </c>
      <c r="E352" s="673">
        <v>43355.798032407409</v>
      </c>
    </row>
    <row r="353" spans="1:5">
      <c r="A353" s="672">
        <v>13097</v>
      </c>
      <c r="B353" s="672" t="s">
        <v>62</v>
      </c>
      <c r="C353" s="672" t="s">
        <v>62</v>
      </c>
      <c r="D353" s="672" t="s">
        <v>128</v>
      </c>
      <c r="E353" s="673">
        <v>43355.853020833332</v>
      </c>
    </row>
    <row r="354" spans="1:5">
      <c r="A354" s="672">
        <v>13106</v>
      </c>
      <c r="B354" s="672" t="s">
        <v>62</v>
      </c>
      <c r="C354" s="672" t="s">
        <v>62</v>
      </c>
      <c r="D354" s="672" t="s">
        <v>125</v>
      </c>
      <c r="E354" s="673">
        <v>43356.370405092595</v>
      </c>
    </row>
    <row r="355" spans="1:5">
      <c r="A355" s="672">
        <v>13115</v>
      </c>
      <c r="B355" s="672" t="s">
        <v>62</v>
      </c>
      <c r="C355" s="672" t="s">
        <v>62</v>
      </c>
      <c r="D355" s="672" t="s">
        <v>126</v>
      </c>
      <c r="E355" s="673">
        <v>43356.770902777775</v>
      </c>
    </row>
    <row r="356" spans="1:5">
      <c r="A356" s="672">
        <v>13116</v>
      </c>
      <c r="B356" s="672" t="s">
        <v>62</v>
      </c>
      <c r="C356" s="672" t="s">
        <v>62</v>
      </c>
      <c r="D356" s="672" t="s">
        <v>127</v>
      </c>
      <c r="E356" s="673">
        <v>43356.770925925928</v>
      </c>
    </row>
    <row r="357" spans="1:5">
      <c r="A357" s="672">
        <v>13132</v>
      </c>
      <c r="B357" s="672" t="s">
        <v>62</v>
      </c>
      <c r="C357" s="672" t="s">
        <v>62</v>
      </c>
      <c r="D357" s="672" t="s">
        <v>128</v>
      </c>
      <c r="E357" s="673">
        <v>43356.882476851853</v>
      </c>
    </row>
    <row r="358" spans="1:5">
      <c r="A358" s="672">
        <v>13142</v>
      </c>
      <c r="B358" s="672" t="s">
        <v>62</v>
      </c>
      <c r="C358" s="672" t="s">
        <v>62</v>
      </c>
      <c r="D358" s="672" t="s">
        <v>125</v>
      </c>
      <c r="E358" s="673">
        <v>43357.395231481481</v>
      </c>
    </row>
    <row r="359" spans="1:5">
      <c r="A359" s="672">
        <v>13151</v>
      </c>
      <c r="B359" s="672" t="s">
        <v>78</v>
      </c>
      <c r="C359" s="672" t="s">
        <v>62</v>
      </c>
      <c r="D359" s="672" t="s">
        <v>126</v>
      </c>
      <c r="E359" s="673">
        <v>43357.772048611114</v>
      </c>
    </row>
    <row r="360" spans="1:5">
      <c r="A360" s="672">
        <v>13157</v>
      </c>
      <c r="B360" s="672" t="s">
        <v>62</v>
      </c>
      <c r="C360" s="672" t="s">
        <v>62</v>
      </c>
      <c r="D360" s="672" t="s">
        <v>127</v>
      </c>
      <c r="E360" s="673">
        <v>43357.793946759259</v>
      </c>
    </row>
    <row r="361" spans="1:5">
      <c r="A361" s="672">
        <v>13161</v>
      </c>
      <c r="B361" s="672" t="s">
        <v>62</v>
      </c>
      <c r="C361" s="672" t="s">
        <v>62</v>
      </c>
      <c r="D361" s="672" t="s">
        <v>128</v>
      </c>
      <c r="E361" s="673">
        <v>43357.838877314818</v>
      </c>
    </row>
    <row r="362" spans="1:5">
      <c r="A362" s="672">
        <v>13169</v>
      </c>
      <c r="B362" s="672" t="s">
        <v>62</v>
      </c>
      <c r="C362" s="672" t="s">
        <v>62</v>
      </c>
      <c r="D362" s="672" t="s">
        <v>126</v>
      </c>
      <c r="E362" s="673">
        <v>43360.771099537036</v>
      </c>
    </row>
    <row r="363" spans="1:5">
      <c r="A363" s="672">
        <v>13170</v>
      </c>
      <c r="B363" s="672" t="s">
        <v>62</v>
      </c>
      <c r="C363" s="672" t="s">
        <v>62</v>
      </c>
      <c r="D363" s="672" t="s">
        <v>127</v>
      </c>
      <c r="E363" s="673">
        <v>43360.771111111113</v>
      </c>
    </row>
    <row r="364" spans="1:5">
      <c r="A364" s="672">
        <v>13187</v>
      </c>
      <c r="B364" s="672" t="s">
        <v>78</v>
      </c>
      <c r="C364" s="672" t="s">
        <v>62</v>
      </c>
      <c r="D364" s="672" t="s">
        <v>128</v>
      </c>
      <c r="E364" s="673">
        <v>43360.857037037036</v>
      </c>
    </row>
    <row r="365" spans="1:5">
      <c r="A365" s="672">
        <v>13194</v>
      </c>
      <c r="B365" s="672" t="s">
        <v>62</v>
      </c>
      <c r="C365" s="672" t="s">
        <v>62</v>
      </c>
      <c r="D365" s="672" t="s">
        <v>125</v>
      </c>
      <c r="E365" s="673">
        <v>43361.367893518516</v>
      </c>
    </row>
    <row r="366" spans="1:5">
      <c r="A366" s="672">
        <v>13205</v>
      </c>
      <c r="B366" s="672" t="s">
        <v>62</v>
      </c>
      <c r="C366" s="672" t="s">
        <v>62</v>
      </c>
      <c r="D366" s="672" t="s">
        <v>126</v>
      </c>
      <c r="E366" s="673">
        <v>43361.77071759259</v>
      </c>
    </row>
    <row r="367" spans="1:5">
      <c r="A367" s="672">
        <v>13207</v>
      </c>
      <c r="B367" s="672" t="s">
        <v>62</v>
      </c>
      <c r="C367" s="672" t="s">
        <v>62</v>
      </c>
      <c r="D367" s="672" t="s">
        <v>127</v>
      </c>
      <c r="E367" s="673">
        <v>43361.770879629628</v>
      </c>
    </row>
    <row r="368" spans="1:5">
      <c r="A368" s="672">
        <v>13224</v>
      </c>
      <c r="B368" s="672" t="s">
        <v>62</v>
      </c>
      <c r="C368" s="672" t="s">
        <v>62</v>
      </c>
      <c r="D368" s="672" t="s">
        <v>128</v>
      </c>
      <c r="E368" s="673">
        <v>43361.838530092595</v>
      </c>
    </row>
    <row r="369" spans="1:5">
      <c r="A369" s="672">
        <v>13237</v>
      </c>
      <c r="B369" s="672" t="s">
        <v>62</v>
      </c>
      <c r="C369" s="672" t="s">
        <v>62</v>
      </c>
      <c r="D369" s="672" t="s">
        <v>125</v>
      </c>
      <c r="E369" s="673">
        <v>43362.42</v>
      </c>
    </row>
    <row r="370" spans="1:5">
      <c r="A370" s="672">
        <v>13249</v>
      </c>
      <c r="B370" s="672" t="s">
        <v>62</v>
      </c>
      <c r="C370" s="672" t="s">
        <v>62</v>
      </c>
      <c r="D370" s="672" t="s">
        <v>126</v>
      </c>
      <c r="E370" s="673">
        <v>43362.771886574075</v>
      </c>
    </row>
    <row r="371" spans="1:5">
      <c r="A371" s="672">
        <v>13255</v>
      </c>
      <c r="B371" s="672" t="s">
        <v>62</v>
      </c>
      <c r="C371" s="672" t="s">
        <v>62</v>
      </c>
      <c r="D371" s="672" t="s">
        <v>127</v>
      </c>
      <c r="E371" s="673">
        <v>43362.791331018518</v>
      </c>
    </row>
    <row r="372" spans="1:5">
      <c r="A372" s="672">
        <v>13265</v>
      </c>
      <c r="B372" s="672" t="s">
        <v>62</v>
      </c>
      <c r="C372" s="672" t="s">
        <v>62</v>
      </c>
      <c r="D372" s="672" t="s">
        <v>128</v>
      </c>
      <c r="E372" s="673">
        <v>43362.858229166668</v>
      </c>
    </row>
    <row r="373" spans="1:5">
      <c r="A373" s="672">
        <v>13274</v>
      </c>
      <c r="B373" s="672" t="s">
        <v>62</v>
      </c>
      <c r="C373" s="672" t="s">
        <v>62</v>
      </c>
      <c r="D373" s="672" t="s">
        <v>125</v>
      </c>
      <c r="E373" s="673">
        <v>43363.387048611112</v>
      </c>
    </row>
    <row r="374" spans="1:5">
      <c r="A374" s="672">
        <v>13285</v>
      </c>
      <c r="B374" s="672" t="s">
        <v>149</v>
      </c>
      <c r="C374" s="672" t="s">
        <v>62</v>
      </c>
      <c r="D374" s="672" t="s">
        <v>126</v>
      </c>
      <c r="E374" s="673">
        <v>43363.77652777778</v>
      </c>
    </row>
    <row r="375" spans="1:5">
      <c r="A375" s="672">
        <v>13289</v>
      </c>
      <c r="B375" s="672" t="s">
        <v>62</v>
      </c>
      <c r="C375" s="672" t="s">
        <v>62</v>
      </c>
      <c r="D375" s="672" t="s">
        <v>127</v>
      </c>
      <c r="E375" s="673">
        <v>43363.804594907408</v>
      </c>
    </row>
    <row r="376" spans="1:5">
      <c r="A376" s="672">
        <v>13290</v>
      </c>
      <c r="B376" s="672" t="s">
        <v>62</v>
      </c>
      <c r="C376" s="672" t="s">
        <v>62</v>
      </c>
      <c r="D376" s="672" t="s">
        <v>128</v>
      </c>
      <c r="E376" s="673">
        <v>43363.874930555554</v>
      </c>
    </row>
    <row r="377" spans="1:5">
      <c r="A377" s="672">
        <v>13301</v>
      </c>
      <c r="B377" s="672" t="s">
        <v>62</v>
      </c>
      <c r="C377" s="672" t="s">
        <v>62</v>
      </c>
      <c r="D377" s="672" t="s">
        <v>125</v>
      </c>
      <c r="E377" s="673">
        <v>43364.379560185182</v>
      </c>
    </row>
    <row r="378" spans="1:5">
      <c r="A378" s="672">
        <v>13314</v>
      </c>
      <c r="B378" s="672" t="s">
        <v>62</v>
      </c>
      <c r="C378" s="672" t="s">
        <v>62</v>
      </c>
      <c r="D378" s="672" t="s">
        <v>128</v>
      </c>
      <c r="E378" s="673">
        <v>43364.842731481483</v>
      </c>
    </row>
    <row r="379" spans="1:5">
      <c r="A379" s="672">
        <v>13326</v>
      </c>
      <c r="B379" s="672" t="s">
        <v>62</v>
      </c>
      <c r="C379" s="672" t="s">
        <v>62</v>
      </c>
      <c r="D379" s="672" t="s">
        <v>125</v>
      </c>
      <c r="E379" s="673">
        <v>43368.383750000001</v>
      </c>
    </row>
    <row r="380" spans="1:5">
      <c r="A380" s="672">
        <v>13336</v>
      </c>
      <c r="B380" s="672" t="s">
        <v>62</v>
      </c>
      <c r="C380" s="672" t="s">
        <v>62</v>
      </c>
      <c r="D380" s="672" t="s">
        <v>126</v>
      </c>
      <c r="E380" s="673">
        <v>43368.771180555559</v>
      </c>
    </row>
    <row r="381" spans="1:5">
      <c r="A381" s="672">
        <v>13337</v>
      </c>
      <c r="B381" s="672" t="s">
        <v>62</v>
      </c>
      <c r="C381" s="672" t="s">
        <v>62</v>
      </c>
      <c r="D381" s="672" t="s">
        <v>127</v>
      </c>
      <c r="E381" s="673">
        <v>43368.771215277775</v>
      </c>
    </row>
    <row r="382" spans="1:5">
      <c r="A382" s="672">
        <v>13343</v>
      </c>
      <c r="B382" s="672" t="s">
        <v>62</v>
      </c>
      <c r="C382" s="672" t="s">
        <v>62</v>
      </c>
      <c r="D382" s="672" t="s">
        <v>128</v>
      </c>
      <c r="E382" s="673">
        <v>43368.778923611113</v>
      </c>
    </row>
    <row r="383" spans="1:5">
      <c r="A383" s="672">
        <v>13348</v>
      </c>
      <c r="B383" s="672" t="s">
        <v>62</v>
      </c>
      <c r="C383" s="672" t="s">
        <v>62</v>
      </c>
      <c r="D383" s="672" t="s">
        <v>127</v>
      </c>
      <c r="E383" s="673">
        <v>43368.791076388887</v>
      </c>
    </row>
    <row r="384" spans="1:5">
      <c r="A384" s="672">
        <v>13355</v>
      </c>
      <c r="B384" s="672" t="s">
        <v>62</v>
      </c>
      <c r="C384" s="672" t="s">
        <v>62</v>
      </c>
      <c r="D384" s="672" t="s">
        <v>128</v>
      </c>
      <c r="E384" s="673">
        <v>43368.871851851851</v>
      </c>
    </row>
    <row r="385" spans="1:5">
      <c r="A385" s="672">
        <v>13365</v>
      </c>
      <c r="B385" s="672" t="s">
        <v>78</v>
      </c>
      <c r="C385" s="672" t="s">
        <v>62</v>
      </c>
      <c r="D385" s="672" t="s">
        <v>125</v>
      </c>
      <c r="E385" s="673">
        <v>43369.373923611114</v>
      </c>
    </row>
    <row r="386" spans="1:5">
      <c r="A386" s="672">
        <v>13373</v>
      </c>
      <c r="B386" s="672" t="s">
        <v>62</v>
      </c>
      <c r="C386" s="672" t="s">
        <v>62</v>
      </c>
      <c r="D386" s="672" t="s">
        <v>126</v>
      </c>
      <c r="E386" s="673">
        <v>43369.771504629629</v>
      </c>
    </row>
    <row r="387" spans="1:5">
      <c r="A387" s="672">
        <v>13374</v>
      </c>
      <c r="B387" s="672" t="s">
        <v>62</v>
      </c>
      <c r="C387" s="672" t="s">
        <v>62</v>
      </c>
      <c r="D387" s="672" t="s">
        <v>127</v>
      </c>
      <c r="E387" s="673">
        <v>43369.771539351852</v>
      </c>
    </row>
    <row r="388" spans="1:5">
      <c r="A388" s="672">
        <v>13384</v>
      </c>
      <c r="B388" s="672" t="s">
        <v>62</v>
      </c>
      <c r="C388" s="672" t="s">
        <v>62</v>
      </c>
      <c r="D388" s="672" t="s">
        <v>128</v>
      </c>
      <c r="E388" s="673">
        <v>43369.775358796294</v>
      </c>
    </row>
    <row r="389" spans="1:5">
      <c r="A389" s="672">
        <v>13387</v>
      </c>
      <c r="B389" s="672" t="s">
        <v>62</v>
      </c>
      <c r="C389" s="672" t="s">
        <v>62</v>
      </c>
      <c r="D389" s="672" t="s">
        <v>127</v>
      </c>
      <c r="E389" s="673">
        <v>43369.791550925926</v>
      </c>
    </row>
    <row r="390" spans="1:5">
      <c r="A390" s="672">
        <v>13391</v>
      </c>
      <c r="B390" s="672" t="s">
        <v>149</v>
      </c>
      <c r="C390" s="672" t="s">
        <v>62</v>
      </c>
      <c r="D390" s="672" t="s">
        <v>128</v>
      </c>
      <c r="E390" s="673">
        <v>43369.856747685182</v>
      </c>
    </row>
    <row r="391" spans="1:5">
      <c r="A391" s="672">
        <v>13400</v>
      </c>
      <c r="B391" s="672" t="s">
        <v>62</v>
      </c>
      <c r="C391" s="672" t="s">
        <v>62</v>
      </c>
      <c r="D391" s="672" t="s">
        <v>125</v>
      </c>
      <c r="E391" s="673">
        <v>43370.372337962966</v>
      </c>
    </row>
    <row r="392" spans="1:5">
      <c r="A392" s="672">
        <v>13418</v>
      </c>
      <c r="B392" s="672" t="s">
        <v>62</v>
      </c>
      <c r="C392" s="672" t="s">
        <v>62</v>
      </c>
      <c r="D392" s="672" t="s">
        <v>126</v>
      </c>
      <c r="E392" s="673">
        <v>43370.780543981484</v>
      </c>
    </row>
    <row r="393" spans="1:5">
      <c r="A393" s="672">
        <v>13419</v>
      </c>
      <c r="B393" s="672" t="s">
        <v>62</v>
      </c>
      <c r="C393" s="672" t="s">
        <v>62</v>
      </c>
      <c r="D393" s="672" t="s">
        <v>127</v>
      </c>
      <c r="E393" s="673">
        <v>43370.78056712963</v>
      </c>
    </row>
    <row r="394" spans="1:5">
      <c r="A394" s="672">
        <v>13425</v>
      </c>
      <c r="B394" s="672" t="s">
        <v>62</v>
      </c>
      <c r="C394" s="672" t="s">
        <v>62</v>
      </c>
      <c r="D394" s="672" t="s">
        <v>128</v>
      </c>
      <c r="E394" s="673">
        <v>43370.850370370368</v>
      </c>
    </row>
    <row r="395" spans="1:5">
      <c r="A395" s="672">
        <v>13437</v>
      </c>
      <c r="B395" s="672" t="s">
        <v>62</v>
      </c>
      <c r="C395" s="672" t="s">
        <v>62</v>
      </c>
      <c r="D395" s="672" t="s">
        <v>125</v>
      </c>
      <c r="E395" s="673">
        <v>43371.407187500001</v>
      </c>
    </row>
    <row r="396" spans="1:5">
      <c r="A396" s="672">
        <v>13450</v>
      </c>
      <c r="B396" s="672" t="s">
        <v>78</v>
      </c>
      <c r="C396" s="672" t="s">
        <v>62</v>
      </c>
      <c r="D396" s="672" t="s">
        <v>126</v>
      </c>
      <c r="E396" s="673">
        <v>43371.775590277779</v>
      </c>
    </row>
    <row r="397" spans="1:5">
      <c r="A397" s="672">
        <v>13451</v>
      </c>
      <c r="B397" s="672" t="s">
        <v>78</v>
      </c>
      <c r="C397" s="672" t="s">
        <v>62</v>
      </c>
      <c r="D397" s="672" t="s">
        <v>127</v>
      </c>
      <c r="E397" s="673">
        <v>43371.775613425925</v>
      </c>
    </row>
    <row r="398" spans="1:5">
      <c r="A398" s="672">
        <v>13455</v>
      </c>
      <c r="B398" s="672" t="s">
        <v>62</v>
      </c>
      <c r="C398" s="672" t="s">
        <v>62</v>
      </c>
      <c r="D398" s="672" t="s">
        <v>128</v>
      </c>
      <c r="E398" s="673">
        <v>43371.908379629633</v>
      </c>
    </row>
    <row r="399" spans="1:5">
      <c r="A399" s="672">
        <v>12847</v>
      </c>
      <c r="B399" s="672" t="s">
        <v>70</v>
      </c>
      <c r="C399" s="672" t="s">
        <v>71</v>
      </c>
      <c r="D399" s="672" t="s">
        <v>125</v>
      </c>
      <c r="E399" s="673">
        <v>43346.368854166663</v>
      </c>
    </row>
    <row r="400" spans="1:5">
      <c r="A400" s="672">
        <v>12864</v>
      </c>
      <c r="B400" s="672" t="s">
        <v>71</v>
      </c>
      <c r="C400" s="672" t="s">
        <v>71</v>
      </c>
      <c r="D400" s="672" t="s">
        <v>126</v>
      </c>
      <c r="E400" s="673">
        <v>43346.772199074076</v>
      </c>
    </row>
    <row r="401" spans="1:5">
      <c r="A401" s="672">
        <v>12865</v>
      </c>
      <c r="B401" s="672" t="s">
        <v>71</v>
      </c>
      <c r="C401" s="672" t="s">
        <v>71</v>
      </c>
      <c r="D401" s="672" t="s">
        <v>127</v>
      </c>
      <c r="E401" s="673">
        <v>43346.772280092591</v>
      </c>
    </row>
    <row r="402" spans="1:5">
      <c r="A402" s="672">
        <v>12870</v>
      </c>
      <c r="B402" s="672" t="s">
        <v>70</v>
      </c>
      <c r="C402" s="672" t="s">
        <v>71</v>
      </c>
      <c r="D402" s="672" t="s">
        <v>128</v>
      </c>
      <c r="E402" s="673">
        <v>43346.807615740741</v>
      </c>
    </row>
    <row r="403" spans="1:5">
      <c r="A403" s="672">
        <v>12879</v>
      </c>
      <c r="B403" s="672" t="s">
        <v>70</v>
      </c>
      <c r="C403" s="672" t="s">
        <v>71</v>
      </c>
      <c r="D403" s="672" t="s">
        <v>125</v>
      </c>
      <c r="E403" s="673">
        <v>43347.367511574077</v>
      </c>
    </row>
    <row r="404" spans="1:5">
      <c r="A404" s="672">
        <v>12892</v>
      </c>
      <c r="B404" s="672" t="s">
        <v>70</v>
      </c>
      <c r="C404" s="672" t="s">
        <v>71</v>
      </c>
      <c r="D404" s="672" t="s">
        <v>126</v>
      </c>
      <c r="E404" s="673">
        <v>43347.770798611113</v>
      </c>
    </row>
    <row r="405" spans="1:5">
      <c r="A405" s="672">
        <v>12893</v>
      </c>
      <c r="B405" s="672" t="s">
        <v>70</v>
      </c>
      <c r="C405" s="672" t="s">
        <v>71</v>
      </c>
      <c r="D405" s="672" t="s">
        <v>127</v>
      </c>
      <c r="E405" s="673">
        <v>43347.770821759259</v>
      </c>
    </row>
    <row r="406" spans="1:5">
      <c r="A406" s="672">
        <v>12909</v>
      </c>
      <c r="B406" s="672" t="s">
        <v>70</v>
      </c>
      <c r="C406" s="672" t="s">
        <v>71</v>
      </c>
      <c r="D406" s="672" t="s">
        <v>128</v>
      </c>
      <c r="E406" s="673">
        <v>43347.837835648148</v>
      </c>
    </row>
    <row r="407" spans="1:5">
      <c r="A407" s="672">
        <v>12916</v>
      </c>
      <c r="B407" s="672" t="s">
        <v>71</v>
      </c>
      <c r="C407" s="672" t="s">
        <v>71</v>
      </c>
      <c r="D407" s="672" t="s">
        <v>125</v>
      </c>
      <c r="E407" s="673">
        <v>43348.36922453704</v>
      </c>
    </row>
    <row r="408" spans="1:5">
      <c r="A408" s="672">
        <v>12950</v>
      </c>
      <c r="B408" s="672" t="s">
        <v>70</v>
      </c>
      <c r="C408" s="672" t="s">
        <v>71</v>
      </c>
      <c r="D408" s="672" t="s">
        <v>125</v>
      </c>
      <c r="E408" s="673">
        <v>43349.368287037039</v>
      </c>
    </row>
    <row r="409" spans="1:5">
      <c r="A409" s="672">
        <v>12967</v>
      </c>
      <c r="B409" s="672" t="s">
        <v>71</v>
      </c>
      <c r="C409" s="672" t="s">
        <v>71</v>
      </c>
      <c r="D409" s="672" t="s">
        <v>126</v>
      </c>
      <c r="E409" s="673">
        <v>43349.771516203706</v>
      </c>
    </row>
    <row r="410" spans="1:5">
      <c r="A410" s="672">
        <v>12969</v>
      </c>
      <c r="B410" s="672" t="s">
        <v>71</v>
      </c>
      <c r="C410" s="672" t="s">
        <v>71</v>
      </c>
      <c r="D410" s="672" t="s">
        <v>127</v>
      </c>
      <c r="E410" s="673">
        <v>43349.771585648145</v>
      </c>
    </row>
    <row r="411" spans="1:5">
      <c r="A411" s="672">
        <v>12975</v>
      </c>
      <c r="B411" s="672" t="s">
        <v>70</v>
      </c>
      <c r="C411" s="672" t="s">
        <v>71</v>
      </c>
      <c r="D411" s="672" t="s">
        <v>128</v>
      </c>
      <c r="E411" s="673">
        <v>43349.85365740741</v>
      </c>
    </row>
    <row r="412" spans="1:5">
      <c r="A412" s="672">
        <v>13008</v>
      </c>
      <c r="B412" s="672" t="s">
        <v>150</v>
      </c>
      <c r="C412" s="672" t="s">
        <v>71</v>
      </c>
      <c r="D412" s="672" t="s">
        <v>125</v>
      </c>
      <c r="E412" s="673">
        <v>43353.366249999999</v>
      </c>
    </row>
    <row r="413" spans="1:5">
      <c r="A413" s="672">
        <v>13031</v>
      </c>
      <c r="B413" s="672" t="s">
        <v>71</v>
      </c>
      <c r="C413" s="672" t="s">
        <v>71</v>
      </c>
      <c r="D413" s="672" t="s">
        <v>125</v>
      </c>
      <c r="E413" s="673">
        <v>43354.36824074074</v>
      </c>
    </row>
    <row r="414" spans="1:5">
      <c r="A414" s="672">
        <v>13043</v>
      </c>
      <c r="B414" s="672" t="s">
        <v>70</v>
      </c>
      <c r="C414" s="672" t="s">
        <v>71</v>
      </c>
      <c r="D414" s="672" t="s">
        <v>126</v>
      </c>
      <c r="E414" s="673">
        <v>43354.768530092595</v>
      </c>
    </row>
    <row r="415" spans="1:5">
      <c r="A415" s="672">
        <v>13068</v>
      </c>
      <c r="B415" s="672" t="s">
        <v>71</v>
      </c>
      <c r="C415" s="672" t="s">
        <v>71</v>
      </c>
      <c r="D415" s="672" t="s">
        <v>125</v>
      </c>
      <c r="E415" s="673">
        <v>43355.36614583333</v>
      </c>
    </row>
    <row r="416" spans="1:5">
      <c r="A416" s="672">
        <v>13086</v>
      </c>
      <c r="B416" s="672" t="s">
        <v>70</v>
      </c>
      <c r="C416" s="672" t="s">
        <v>71</v>
      </c>
      <c r="D416" s="672" t="s">
        <v>126</v>
      </c>
      <c r="E416" s="673">
        <v>43355.771307870367</v>
      </c>
    </row>
    <row r="417" spans="1:5">
      <c r="A417" s="672">
        <v>13088</v>
      </c>
      <c r="B417" s="672" t="s">
        <v>70</v>
      </c>
      <c r="C417" s="672" t="s">
        <v>71</v>
      </c>
      <c r="D417" s="672" t="s">
        <v>127</v>
      </c>
      <c r="E417" s="673">
        <v>43355.77134259259</v>
      </c>
    </row>
    <row r="418" spans="1:5">
      <c r="A418" s="672">
        <v>13095</v>
      </c>
      <c r="B418" s="672" t="s">
        <v>70</v>
      </c>
      <c r="C418" s="672" t="s">
        <v>71</v>
      </c>
      <c r="D418" s="672" t="s">
        <v>128</v>
      </c>
      <c r="E418" s="673">
        <v>43355.783865740741</v>
      </c>
    </row>
    <row r="419" spans="1:5">
      <c r="A419" s="672">
        <v>13105</v>
      </c>
      <c r="B419" s="672" t="s">
        <v>71</v>
      </c>
      <c r="C419" s="672" t="s">
        <v>71</v>
      </c>
      <c r="D419" s="672" t="s">
        <v>125</v>
      </c>
      <c r="E419" s="673">
        <v>43356.368055555555</v>
      </c>
    </row>
    <row r="420" spans="1:5">
      <c r="A420" s="672">
        <v>13117</v>
      </c>
      <c r="B420" s="672" t="s">
        <v>71</v>
      </c>
      <c r="C420" s="672" t="s">
        <v>71</v>
      </c>
      <c r="D420" s="672" t="s">
        <v>126</v>
      </c>
      <c r="E420" s="673">
        <v>43356.770960648151</v>
      </c>
    </row>
    <row r="421" spans="1:5">
      <c r="A421" s="672">
        <v>13119</v>
      </c>
      <c r="B421" s="672" t="s">
        <v>71</v>
      </c>
      <c r="C421" s="672" t="s">
        <v>71</v>
      </c>
      <c r="D421" s="672" t="s">
        <v>127</v>
      </c>
      <c r="E421" s="673">
        <v>43356.771006944444</v>
      </c>
    </row>
    <row r="422" spans="1:5">
      <c r="A422" s="672">
        <v>13125</v>
      </c>
      <c r="B422" s="672" t="s">
        <v>70</v>
      </c>
      <c r="C422" s="672" t="s">
        <v>71</v>
      </c>
      <c r="D422" s="672" t="s">
        <v>128</v>
      </c>
      <c r="E422" s="673">
        <v>43356.793495370373</v>
      </c>
    </row>
    <row r="423" spans="1:5">
      <c r="A423" s="672">
        <v>13135</v>
      </c>
      <c r="B423" s="672" t="s">
        <v>71</v>
      </c>
      <c r="C423" s="672" t="s">
        <v>71</v>
      </c>
      <c r="D423" s="672" t="s">
        <v>125</v>
      </c>
      <c r="E423" s="673">
        <v>43357.369398148148</v>
      </c>
    </row>
    <row r="424" spans="1:5">
      <c r="A424" s="672">
        <v>13154</v>
      </c>
      <c r="B424" s="672" t="s">
        <v>70</v>
      </c>
      <c r="C424" s="672" t="s">
        <v>71</v>
      </c>
      <c r="D424" s="672" t="s">
        <v>126</v>
      </c>
      <c r="E424" s="673">
        <v>43357.77721064815</v>
      </c>
    </row>
    <row r="425" spans="1:5">
      <c r="A425" s="672">
        <v>13171</v>
      </c>
      <c r="B425" s="672" t="s">
        <v>71</v>
      </c>
      <c r="C425" s="672" t="s">
        <v>71</v>
      </c>
      <c r="D425" s="672" t="s">
        <v>126</v>
      </c>
      <c r="E425" s="673">
        <v>43360.771226851852</v>
      </c>
    </row>
    <row r="426" spans="1:5">
      <c r="A426" s="672">
        <v>13172</v>
      </c>
      <c r="B426" s="672" t="s">
        <v>71</v>
      </c>
      <c r="C426" s="672" t="s">
        <v>71</v>
      </c>
      <c r="D426" s="672" t="s">
        <v>127</v>
      </c>
      <c r="E426" s="673">
        <v>43360.771296296298</v>
      </c>
    </row>
    <row r="427" spans="1:5">
      <c r="A427" s="672">
        <v>13185</v>
      </c>
      <c r="B427" s="672" t="s">
        <v>70</v>
      </c>
      <c r="C427" s="672" t="s">
        <v>71</v>
      </c>
      <c r="D427" s="672" t="s">
        <v>128</v>
      </c>
      <c r="E427" s="673">
        <v>43360.84033564815</v>
      </c>
    </row>
    <row r="428" spans="1:5">
      <c r="A428" s="672">
        <v>13191</v>
      </c>
      <c r="B428" s="672" t="s">
        <v>71</v>
      </c>
      <c r="C428" s="672" t="s">
        <v>71</v>
      </c>
      <c r="D428" s="672" t="s">
        <v>125</v>
      </c>
      <c r="E428" s="673">
        <v>43361.367696759262</v>
      </c>
    </row>
    <row r="429" spans="1:5">
      <c r="A429" s="672">
        <v>13214</v>
      </c>
      <c r="B429" s="672" t="s">
        <v>71</v>
      </c>
      <c r="C429" s="672" t="s">
        <v>71</v>
      </c>
      <c r="D429" s="672" t="s">
        <v>126</v>
      </c>
      <c r="E429" s="673">
        <v>43361.771979166668</v>
      </c>
    </row>
    <row r="430" spans="1:5">
      <c r="A430" s="672">
        <v>13216</v>
      </c>
      <c r="B430" s="672" t="s">
        <v>71</v>
      </c>
      <c r="C430" s="672" t="s">
        <v>71</v>
      </c>
      <c r="D430" s="672" t="s">
        <v>127</v>
      </c>
      <c r="E430" s="673">
        <v>43361.772037037037</v>
      </c>
    </row>
    <row r="431" spans="1:5">
      <c r="A431" s="672">
        <v>13219</v>
      </c>
      <c r="B431" s="672" t="s">
        <v>70</v>
      </c>
      <c r="C431" s="672" t="s">
        <v>71</v>
      </c>
      <c r="D431" s="672" t="s">
        <v>128</v>
      </c>
      <c r="E431" s="673">
        <v>43361.785960648151</v>
      </c>
    </row>
    <row r="432" spans="1:5">
      <c r="A432" s="672">
        <v>13232</v>
      </c>
      <c r="B432" s="672" t="s">
        <v>71</v>
      </c>
      <c r="C432" s="672" t="s">
        <v>71</v>
      </c>
      <c r="D432" s="672" t="s">
        <v>125</v>
      </c>
      <c r="E432" s="673">
        <v>43362.368009259262</v>
      </c>
    </row>
    <row r="433" spans="1:5">
      <c r="A433" s="672">
        <v>13240</v>
      </c>
      <c r="B433" s="672" t="s">
        <v>70</v>
      </c>
      <c r="C433" s="672" t="s">
        <v>71</v>
      </c>
      <c r="D433" s="672" t="s">
        <v>126</v>
      </c>
      <c r="E433" s="673">
        <v>43362.770567129628</v>
      </c>
    </row>
    <row r="434" spans="1:5">
      <c r="A434" s="672">
        <v>13241</v>
      </c>
      <c r="B434" s="672" t="s">
        <v>70</v>
      </c>
      <c r="C434" s="672" t="s">
        <v>71</v>
      </c>
      <c r="D434" s="672" t="s">
        <v>127</v>
      </c>
      <c r="E434" s="673">
        <v>43362.770624999997</v>
      </c>
    </row>
    <row r="435" spans="1:5">
      <c r="A435" s="672">
        <v>13264</v>
      </c>
      <c r="B435" s="672" t="s">
        <v>70</v>
      </c>
      <c r="C435" s="672" t="s">
        <v>71</v>
      </c>
      <c r="D435" s="672" t="s">
        <v>128</v>
      </c>
      <c r="E435" s="673">
        <v>43362.821319444447</v>
      </c>
    </row>
    <row r="436" spans="1:5">
      <c r="A436" s="672">
        <v>13280</v>
      </c>
      <c r="B436" s="672" t="s">
        <v>70</v>
      </c>
      <c r="C436" s="672" t="s">
        <v>71</v>
      </c>
      <c r="D436" s="672" t="s">
        <v>126</v>
      </c>
      <c r="E436" s="673">
        <v>43363.772789351853</v>
      </c>
    </row>
    <row r="437" spans="1:5">
      <c r="A437" s="672">
        <v>13281</v>
      </c>
      <c r="B437" s="672" t="s">
        <v>70</v>
      </c>
      <c r="C437" s="672" t="s">
        <v>71</v>
      </c>
      <c r="D437" s="672" t="s">
        <v>127</v>
      </c>
      <c r="E437" s="673">
        <v>43363.772824074076</v>
      </c>
    </row>
    <row r="438" spans="1:5">
      <c r="A438" s="672">
        <v>13286</v>
      </c>
      <c r="B438" s="672" t="s">
        <v>70</v>
      </c>
      <c r="C438" s="672" t="s">
        <v>71</v>
      </c>
      <c r="D438" s="672" t="s">
        <v>128</v>
      </c>
      <c r="E438" s="673">
        <v>43363.79210648148</v>
      </c>
    </row>
    <row r="439" spans="1:5">
      <c r="A439" s="672">
        <v>13298</v>
      </c>
      <c r="B439" s="672" t="s">
        <v>71</v>
      </c>
      <c r="C439" s="672" t="s">
        <v>71</v>
      </c>
      <c r="D439" s="672" t="s">
        <v>125</v>
      </c>
      <c r="E439" s="673">
        <v>43364.369085648148</v>
      </c>
    </row>
    <row r="440" spans="1:5">
      <c r="A440" s="672">
        <v>13307</v>
      </c>
      <c r="B440" s="672" t="s">
        <v>70</v>
      </c>
      <c r="C440" s="672" t="s">
        <v>71</v>
      </c>
      <c r="D440" s="672" t="s">
        <v>126</v>
      </c>
      <c r="E440" s="673">
        <v>43364.766284722224</v>
      </c>
    </row>
    <row r="441" spans="1:5">
      <c r="A441" s="672">
        <v>13320</v>
      </c>
      <c r="B441" s="672" t="s">
        <v>71</v>
      </c>
      <c r="C441" s="672" t="s">
        <v>71</v>
      </c>
      <c r="D441" s="672" t="s">
        <v>125</v>
      </c>
      <c r="E441" s="673">
        <v>43368.367951388886</v>
      </c>
    </row>
    <row r="442" spans="1:5">
      <c r="A442" s="672">
        <v>13340</v>
      </c>
      <c r="B442" s="672" t="s">
        <v>70</v>
      </c>
      <c r="C442" s="672" t="s">
        <v>71</v>
      </c>
      <c r="D442" s="672" t="s">
        <v>126</v>
      </c>
      <c r="E442" s="673">
        <v>43368.773101851853</v>
      </c>
    </row>
    <row r="443" spans="1:5">
      <c r="A443" s="672">
        <v>13341</v>
      </c>
      <c r="B443" s="672" t="s">
        <v>70</v>
      </c>
      <c r="C443" s="672" t="s">
        <v>71</v>
      </c>
      <c r="D443" s="672" t="s">
        <v>127</v>
      </c>
      <c r="E443" s="673">
        <v>43368.773136574076</v>
      </c>
    </row>
    <row r="444" spans="1:5">
      <c r="A444" s="672">
        <v>13351</v>
      </c>
      <c r="B444" s="672" t="s">
        <v>70</v>
      </c>
      <c r="C444" s="672" t="s">
        <v>71</v>
      </c>
      <c r="D444" s="672" t="s">
        <v>128</v>
      </c>
      <c r="E444" s="673">
        <v>43368.835625</v>
      </c>
    </row>
    <row r="445" spans="1:5">
      <c r="A445" s="672">
        <v>13362</v>
      </c>
      <c r="B445" s="672" t="s">
        <v>71</v>
      </c>
      <c r="C445" s="672" t="s">
        <v>71</v>
      </c>
      <c r="D445" s="672" t="s">
        <v>125</v>
      </c>
      <c r="E445" s="673">
        <v>43369.368402777778</v>
      </c>
    </row>
    <row r="446" spans="1:5">
      <c r="A446" s="672">
        <v>13375</v>
      </c>
      <c r="B446" s="672" t="s">
        <v>71</v>
      </c>
      <c r="C446" s="672" t="s">
        <v>71</v>
      </c>
      <c r="D446" s="672" t="s">
        <v>126</v>
      </c>
      <c r="E446" s="673">
        <v>43369.771562499998</v>
      </c>
    </row>
    <row r="447" spans="1:5">
      <c r="A447" s="672">
        <v>13376</v>
      </c>
      <c r="B447" s="672" t="s">
        <v>71</v>
      </c>
      <c r="C447" s="672" t="s">
        <v>71</v>
      </c>
      <c r="D447" s="672" t="s">
        <v>127</v>
      </c>
      <c r="E447" s="673">
        <v>43369.771608796298</v>
      </c>
    </row>
    <row r="448" spans="1:5">
      <c r="A448" s="672">
        <v>13385</v>
      </c>
      <c r="B448" s="672" t="s">
        <v>70</v>
      </c>
      <c r="C448" s="672" t="s">
        <v>71</v>
      </c>
      <c r="D448" s="672" t="s">
        <v>128</v>
      </c>
      <c r="E448" s="673">
        <v>43369.77957175926</v>
      </c>
    </row>
    <row r="449" spans="1:5">
      <c r="A449" s="672">
        <v>13397</v>
      </c>
      <c r="B449" s="672" t="s">
        <v>71</v>
      </c>
      <c r="C449" s="672" t="s">
        <v>71</v>
      </c>
      <c r="D449" s="672" t="s">
        <v>125</v>
      </c>
      <c r="E449" s="673">
        <v>43370.366099537037</v>
      </c>
    </row>
    <row r="450" spans="1:5">
      <c r="A450" s="672">
        <v>13414</v>
      </c>
      <c r="B450" s="672" t="s">
        <v>70</v>
      </c>
      <c r="C450" s="672" t="s">
        <v>71</v>
      </c>
      <c r="D450" s="672" t="s">
        <v>126</v>
      </c>
      <c r="E450" s="673">
        <v>43370.773668981485</v>
      </c>
    </row>
    <row r="451" spans="1:5">
      <c r="A451" s="672">
        <v>13415</v>
      </c>
      <c r="B451" s="672" t="s">
        <v>70</v>
      </c>
      <c r="C451" s="672" t="s">
        <v>71</v>
      </c>
      <c r="D451" s="672" t="s">
        <v>127</v>
      </c>
      <c r="E451" s="673">
        <v>43370.7737037037</v>
      </c>
    </row>
    <row r="452" spans="1:5">
      <c r="A452" s="672">
        <v>13427</v>
      </c>
      <c r="B452" s="672" t="s">
        <v>71</v>
      </c>
      <c r="C452" s="672" t="s">
        <v>71</v>
      </c>
      <c r="D452" s="672" t="s">
        <v>128</v>
      </c>
      <c r="E452" s="673">
        <v>43370.887696759259</v>
      </c>
    </row>
    <row r="453" spans="1:5">
      <c r="A453" s="672">
        <v>13434</v>
      </c>
      <c r="B453" s="672" t="s">
        <v>71</v>
      </c>
      <c r="C453" s="672" t="s">
        <v>71</v>
      </c>
      <c r="D453" s="672" t="s">
        <v>125</v>
      </c>
      <c r="E453" s="673">
        <v>43371.368622685186</v>
      </c>
    </row>
    <row r="454" spans="1:5">
      <c r="A454" s="672">
        <v>13441</v>
      </c>
      <c r="B454" s="672" t="s">
        <v>70</v>
      </c>
      <c r="C454" s="672" t="s">
        <v>71</v>
      </c>
      <c r="D454" s="672" t="s">
        <v>128</v>
      </c>
      <c r="E454" s="673">
        <v>43371.765381944446</v>
      </c>
    </row>
    <row r="455" spans="1:5">
      <c r="A455" s="672">
        <v>13442</v>
      </c>
      <c r="B455" s="672" t="s">
        <v>70</v>
      </c>
      <c r="C455" s="672" t="s">
        <v>71</v>
      </c>
      <c r="D455" s="672" t="s">
        <v>126</v>
      </c>
      <c r="E455" s="673">
        <v>43371.765462962961</v>
      </c>
    </row>
    <row r="456" spans="1:5">
      <c r="A456" s="672">
        <v>12878</v>
      </c>
      <c r="B456" s="672" t="s">
        <v>11</v>
      </c>
      <c r="C456" s="672" t="s">
        <v>11</v>
      </c>
      <c r="D456" s="672" t="s">
        <v>125</v>
      </c>
      <c r="E456" s="673">
        <v>43347.36209490741</v>
      </c>
    </row>
    <row r="457" spans="1:5">
      <c r="A457" s="672">
        <v>12885</v>
      </c>
      <c r="B457" s="672" t="s">
        <v>11</v>
      </c>
      <c r="C457" s="672" t="s">
        <v>11</v>
      </c>
      <c r="D457" s="672" t="s">
        <v>126</v>
      </c>
      <c r="E457" s="673">
        <v>43347.669374999998</v>
      </c>
    </row>
    <row r="458" spans="1:5">
      <c r="A458" s="672">
        <v>12982</v>
      </c>
      <c r="B458" s="672" t="s">
        <v>11</v>
      </c>
      <c r="C458" s="672" t="s">
        <v>11</v>
      </c>
      <c r="D458" s="672" t="s">
        <v>125</v>
      </c>
      <c r="E458" s="673">
        <v>43350.369143518517</v>
      </c>
    </row>
    <row r="459" spans="1:5">
      <c r="A459" s="672">
        <v>12986</v>
      </c>
      <c r="B459" s="672" t="s">
        <v>11</v>
      </c>
      <c r="C459" s="672" t="s">
        <v>11</v>
      </c>
      <c r="D459" s="672" t="s">
        <v>126</v>
      </c>
      <c r="E459" s="673">
        <v>43350.705243055556</v>
      </c>
    </row>
    <row r="460" spans="1:5">
      <c r="A460" s="672">
        <v>13033</v>
      </c>
      <c r="B460" s="672" t="s">
        <v>11</v>
      </c>
      <c r="C460" s="672" t="s">
        <v>11</v>
      </c>
      <c r="D460" s="672" t="s">
        <v>125</v>
      </c>
      <c r="E460" s="673">
        <v>43354.370833333334</v>
      </c>
    </row>
    <row r="461" spans="1:5">
      <c r="A461" s="672">
        <v>13041</v>
      </c>
      <c r="B461" s="672" t="s">
        <v>11</v>
      </c>
      <c r="C461" s="672" t="s">
        <v>11</v>
      </c>
      <c r="D461" s="672" t="s">
        <v>126</v>
      </c>
      <c r="E461" s="673">
        <v>43354.750740740739</v>
      </c>
    </row>
    <row r="462" spans="1:5">
      <c r="A462" s="672">
        <v>13163</v>
      </c>
      <c r="B462" s="672" t="s">
        <v>11</v>
      </c>
      <c r="C462" s="672" t="s">
        <v>11</v>
      </c>
      <c r="D462" s="672" t="s">
        <v>126</v>
      </c>
      <c r="E462" s="673">
        <v>43360.679444444446</v>
      </c>
    </row>
    <row r="463" spans="1:5">
      <c r="A463" s="672">
        <v>13193</v>
      </c>
      <c r="B463" s="672" t="s">
        <v>11</v>
      </c>
      <c r="C463" s="672" t="s">
        <v>11</v>
      </c>
      <c r="D463" s="672" t="s">
        <v>125</v>
      </c>
      <c r="E463" s="673">
        <v>43361.367847222224</v>
      </c>
    </row>
    <row r="464" spans="1:5">
      <c r="A464" s="672">
        <v>13201</v>
      </c>
      <c r="B464" s="672" t="s">
        <v>11</v>
      </c>
      <c r="C464" s="672" t="s">
        <v>11</v>
      </c>
      <c r="D464" s="672" t="s">
        <v>126</v>
      </c>
      <c r="E464" s="673">
        <v>43361.691157407404</v>
      </c>
    </row>
    <row r="465" spans="1:5">
      <c r="A465" s="672">
        <v>13325</v>
      </c>
      <c r="B465" s="672" t="s">
        <v>11</v>
      </c>
      <c r="C465" s="672" t="s">
        <v>11</v>
      </c>
      <c r="D465" s="672" t="s">
        <v>125</v>
      </c>
      <c r="E465" s="673">
        <v>43368.37767361111</v>
      </c>
    </row>
    <row r="466" spans="1:5">
      <c r="A466" s="672">
        <v>13329</v>
      </c>
      <c r="B466" s="672" t="s">
        <v>11</v>
      </c>
      <c r="C466" s="672" t="s">
        <v>11</v>
      </c>
      <c r="D466" s="672" t="s">
        <v>126</v>
      </c>
      <c r="E466" s="673">
        <v>43368.729710648149</v>
      </c>
    </row>
    <row r="467" spans="1:5">
      <c r="A467" s="672">
        <v>12849</v>
      </c>
      <c r="B467" s="672" t="s">
        <v>14</v>
      </c>
      <c r="C467" s="672" t="s">
        <v>14</v>
      </c>
      <c r="D467" s="672" t="s">
        <v>125</v>
      </c>
      <c r="E467" s="673">
        <v>43346.371331018519</v>
      </c>
    </row>
    <row r="468" spans="1:5">
      <c r="A468" s="672">
        <v>12859</v>
      </c>
      <c r="B468" s="672" t="s">
        <v>14</v>
      </c>
      <c r="C468" s="672" t="s">
        <v>14</v>
      </c>
      <c r="D468" s="672" t="s">
        <v>126</v>
      </c>
      <c r="E468" s="673">
        <v>43346.771273148152</v>
      </c>
    </row>
    <row r="469" spans="1:5">
      <c r="A469" s="672">
        <v>12880</v>
      </c>
      <c r="B469" s="672" t="s">
        <v>14</v>
      </c>
      <c r="C469" s="672" t="s">
        <v>14</v>
      </c>
      <c r="D469" s="672" t="s">
        <v>125</v>
      </c>
      <c r="E469" s="673">
        <v>43347.368576388886</v>
      </c>
    </row>
    <row r="470" spans="1:5">
      <c r="A470" s="672">
        <v>12889</v>
      </c>
      <c r="B470" s="672" t="s">
        <v>14</v>
      </c>
      <c r="C470" s="672" t="s">
        <v>14</v>
      </c>
      <c r="D470" s="672" t="s">
        <v>126</v>
      </c>
      <c r="E470" s="673">
        <v>43347.770439814813</v>
      </c>
    </row>
    <row r="471" spans="1:5">
      <c r="A471" s="672">
        <v>12894</v>
      </c>
      <c r="B471" s="672" t="s">
        <v>14</v>
      </c>
      <c r="C471" s="672" t="s">
        <v>14</v>
      </c>
      <c r="D471" s="672" t="s">
        <v>127</v>
      </c>
      <c r="E471" s="673">
        <v>43347.770960648151</v>
      </c>
    </row>
    <row r="472" spans="1:5">
      <c r="A472" s="672">
        <v>12911</v>
      </c>
      <c r="B472" s="672" t="s">
        <v>14</v>
      </c>
      <c r="C472" s="672" t="s">
        <v>14</v>
      </c>
      <c r="D472" s="672" t="s">
        <v>128</v>
      </c>
      <c r="E472" s="673">
        <v>43347.900902777779</v>
      </c>
    </row>
    <row r="473" spans="1:5">
      <c r="A473" s="672">
        <v>12917</v>
      </c>
      <c r="B473" s="672" t="s">
        <v>14</v>
      </c>
      <c r="C473" s="672" t="s">
        <v>14</v>
      </c>
      <c r="D473" s="672" t="s">
        <v>125</v>
      </c>
      <c r="E473" s="673">
        <v>43348.371087962965</v>
      </c>
    </row>
    <row r="474" spans="1:5">
      <c r="A474" s="672">
        <v>12923</v>
      </c>
      <c r="B474" s="672" t="s">
        <v>14</v>
      </c>
      <c r="C474" s="672" t="s">
        <v>14</v>
      </c>
      <c r="D474" s="672" t="s">
        <v>126</v>
      </c>
      <c r="E474" s="673">
        <v>43348.769432870373</v>
      </c>
    </row>
    <row r="475" spans="1:5">
      <c r="A475" s="672">
        <v>12937</v>
      </c>
      <c r="B475" s="672" t="s">
        <v>14</v>
      </c>
      <c r="C475" s="672" t="s">
        <v>14</v>
      </c>
      <c r="D475" s="672" t="s">
        <v>126</v>
      </c>
      <c r="E475" s="673">
        <v>43348.783993055556</v>
      </c>
    </row>
    <row r="476" spans="1:5">
      <c r="A476" s="672">
        <v>12938</v>
      </c>
      <c r="B476" s="672" t="s">
        <v>14</v>
      </c>
      <c r="C476" s="672" t="s">
        <v>14</v>
      </c>
      <c r="D476" s="672" t="s">
        <v>127</v>
      </c>
      <c r="E476" s="673">
        <v>43348.784050925926</v>
      </c>
    </row>
    <row r="477" spans="1:5">
      <c r="A477" s="672">
        <v>12944</v>
      </c>
      <c r="B477" s="672" t="s">
        <v>14</v>
      </c>
      <c r="C477" s="672" t="s">
        <v>14</v>
      </c>
      <c r="D477" s="672" t="s">
        <v>128</v>
      </c>
      <c r="E477" s="673">
        <v>43348.908414351848</v>
      </c>
    </row>
    <row r="478" spans="1:5">
      <c r="A478" s="672">
        <v>12952</v>
      </c>
      <c r="B478" s="672" t="s">
        <v>14</v>
      </c>
      <c r="C478" s="672" t="s">
        <v>14</v>
      </c>
      <c r="D478" s="672" t="s">
        <v>125</v>
      </c>
      <c r="E478" s="673">
        <v>43349.372604166667</v>
      </c>
    </row>
    <row r="479" spans="1:5">
      <c r="A479" s="672">
        <v>12960</v>
      </c>
      <c r="B479" s="672" t="s">
        <v>14</v>
      </c>
      <c r="C479" s="672" t="s">
        <v>14</v>
      </c>
      <c r="D479" s="672" t="s">
        <v>126</v>
      </c>
      <c r="E479" s="673">
        <v>43349.770590277774</v>
      </c>
    </row>
    <row r="480" spans="1:5">
      <c r="A480" s="672">
        <v>12962</v>
      </c>
      <c r="B480" s="672" t="s">
        <v>14</v>
      </c>
      <c r="C480" s="672" t="s">
        <v>14</v>
      </c>
      <c r="D480" s="672" t="s">
        <v>127</v>
      </c>
      <c r="E480" s="673">
        <v>43349.770833333336</v>
      </c>
    </row>
    <row r="481" spans="1:5">
      <c r="A481" s="672">
        <v>12974</v>
      </c>
      <c r="B481" s="672" t="s">
        <v>14</v>
      </c>
      <c r="C481" s="672" t="s">
        <v>14</v>
      </c>
      <c r="D481" s="672" t="s">
        <v>128</v>
      </c>
      <c r="E481" s="673">
        <v>43349.849965277775</v>
      </c>
    </row>
    <row r="482" spans="1:5">
      <c r="A482" s="672">
        <v>12981</v>
      </c>
      <c r="B482" s="672" t="s">
        <v>14</v>
      </c>
      <c r="C482" s="672" t="s">
        <v>14</v>
      </c>
      <c r="D482" s="672" t="s">
        <v>125</v>
      </c>
      <c r="E482" s="673">
        <v>43350.369062500002</v>
      </c>
    </row>
    <row r="483" spans="1:5">
      <c r="A483" s="672">
        <v>12990</v>
      </c>
      <c r="B483" s="672" t="s">
        <v>14</v>
      </c>
      <c r="C483" s="672" t="s">
        <v>14</v>
      </c>
      <c r="D483" s="672" t="s">
        <v>126</v>
      </c>
      <c r="E483" s="673">
        <v>43350.77140046296</v>
      </c>
    </row>
    <row r="484" spans="1:5">
      <c r="A484" s="672">
        <v>13010</v>
      </c>
      <c r="B484" s="672" t="s">
        <v>92</v>
      </c>
      <c r="C484" s="672" t="s">
        <v>14</v>
      </c>
      <c r="D484" s="672" t="s">
        <v>125</v>
      </c>
      <c r="E484" s="673">
        <v>43353.372719907406</v>
      </c>
    </row>
    <row r="485" spans="1:5">
      <c r="A485" s="672">
        <v>13018</v>
      </c>
      <c r="B485" s="672" t="s">
        <v>14</v>
      </c>
      <c r="C485" s="672" t="s">
        <v>14</v>
      </c>
      <c r="D485" s="672" t="s">
        <v>126</v>
      </c>
      <c r="E485" s="673">
        <v>43353.771284722221</v>
      </c>
    </row>
    <row r="486" spans="1:5">
      <c r="A486" s="672">
        <v>13019</v>
      </c>
      <c r="B486" s="672" t="s">
        <v>14</v>
      </c>
      <c r="C486" s="672" t="s">
        <v>14</v>
      </c>
      <c r="D486" s="672" t="s">
        <v>127</v>
      </c>
      <c r="E486" s="673">
        <v>43353.771319444444</v>
      </c>
    </row>
    <row r="487" spans="1:5">
      <c r="A487" s="672">
        <v>13027</v>
      </c>
      <c r="B487" s="672" t="s">
        <v>14</v>
      </c>
      <c r="C487" s="672" t="s">
        <v>14</v>
      </c>
      <c r="D487" s="672" t="s">
        <v>128</v>
      </c>
      <c r="E487" s="673">
        <v>43353.835474537038</v>
      </c>
    </row>
    <row r="488" spans="1:5">
      <c r="A488" s="672">
        <v>13035</v>
      </c>
      <c r="B488" s="672" t="s">
        <v>14</v>
      </c>
      <c r="C488" s="672" t="s">
        <v>14</v>
      </c>
      <c r="D488" s="672" t="s">
        <v>125</v>
      </c>
      <c r="E488" s="673">
        <v>43354.371666666666</v>
      </c>
    </row>
    <row r="489" spans="1:5">
      <c r="A489" s="672">
        <v>13049</v>
      </c>
      <c r="B489" s="672" t="s">
        <v>14</v>
      </c>
      <c r="C489" s="672" t="s">
        <v>14</v>
      </c>
      <c r="D489" s="672" t="s">
        <v>126</v>
      </c>
      <c r="E489" s="673">
        <v>43354.772175925929</v>
      </c>
    </row>
    <row r="490" spans="1:5">
      <c r="A490" s="672">
        <v>13055</v>
      </c>
      <c r="B490" s="672" t="s">
        <v>14</v>
      </c>
      <c r="C490" s="672" t="s">
        <v>14</v>
      </c>
      <c r="D490" s="672" t="s">
        <v>127</v>
      </c>
      <c r="E490" s="673">
        <v>43354.784768518519</v>
      </c>
    </row>
    <row r="491" spans="1:5">
      <c r="A491" s="672">
        <v>13064</v>
      </c>
      <c r="B491" s="672" t="s">
        <v>14</v>
      </c>
      <c r="C491" s="672" t="s">
        <v>14</v>
      </c>
      <c r="D491" s="672" t="s">
        <v>128</v>
      </c>
      <c r="E491" s="673">
        <v>43354.875231481485</v>
      </c>
    </row>
    <row r="492" spans="1:5">
      <c r="A492" s="672">
        <v>13072</v>
      </c>
      <c r="B492" s="672" t="s">
        <v>92</v>
      </c>
      <c r="C492" s="672" t="s">
        <v>14</v>
      </c>
      <c r="D492" s="672" t="s">
        <v>125</v>
      </c>
      <c r="E492" s="673">
        <v>43355.371562499997</v>
      </c>
    </row>
    <row r="493" spans="1:5">
      <c r="A493" s="672">
        <v>13083</v>
      </c>
      <c r="B493" s="672" t="s">
        <v>14</v>
      </c>
      <c r="C493" s="672" t="s">
        <v>14</v>
      </c>
      <c r="D493" s="672" t="s">
        <v>126</v>
      </c>
      <c r="E493" s="673">
        <v>43355.771087962959</v>
      </c>
    </row>
    <row r="494" spans="1:5">
      <c r="A494" s="672">
        <v>13084</v>
      </c>
      <c r="B494" s="672" t="s">
        <v>14</v>
      </c>
      <c r="C494" s="672" t="s">
        <v>14</v>
      </c>
      <c r="D494" s="672" t="s">
        <v>127</v>
      </c>
      <c r="E494" s="673">
        <v>43355.771122685182</v>
      </c>
    </row>
    <row r="495" spans="1:5">
      <c r="A495" s="672">
        <v>13091</v>
      </c>
      <c r="B495" s="672" t="s">
        <v>14</v>
      </c>
      <c r="C495" s="672" t="s">
        <v>14</v>
      </c>
      <c r="D495" s="672" t="s">
        <v>128</v>
      </c>
      <c r="E495" s="673">
        <v>43355.778113425928</v>
      </c>
    </row>
    <row r="496" spans="1:5">
      <c r="A496" s="672">
        <v>13104</v>
      </c>
      <c r="B496" s="672" t="s">
        <v>14</v>
      </c>
      <c r="C496" s="672" t="s">
        <v>14</v>
      </c>
      <c r="D496" s="672" t="s">
        <v>125</v>
      </c>
      <c r="E496" s="673">
        <v>43356.367997685185</v>
      </c>
    </row>
    <row r="497" spans="1:5">
      <c r="A497" s="672">
        <v>13113</v>
      </c>
      <c r="B497" s="672" t="s">
        <v>14</v>
      </c>
      <c r="C497" s="672" t="s">
        <v>14</v>
      </c>
      <c r="D497" s="672" t="s">
        <v>126</v>
      </c>
      <c r="E497" s="673">
        <v>43356.770810185182</v>
      </c>
    </row>
    <row r="498" spans="1:5">
      <c r="A498" s="672">
        <v>13114</v>
      </c>
      <c r="B498" s="672" t="s">
        <v>14</v>
      </c>
      <c r="C498" s="672" t="s">
        <v>14</v>
      </c>
      <c r="D498" s="672" t="s">
        <v>127</v>
      </c>
      <c r="E498" s="673">
        <v>43356.770868055559</v>
      </c>
    </row>
    <row r="499" spans="1:5">
      <c r="A499" s="672">
        <v>13131</v>
      </c>
      <c r="B499" s="672" t="s">
        <v>14</v>
      </c>
      <c r="C499" s="672" t="s">
        <v>14</v>
      </c>
      <c r="D499" s="672" t="s">
        <v>128</v>
      </c>
      <c r="E499" s="673">
        <v>43356.879212962966</v>
      </c>
    </row>
    <row r="500" spans="1:5">
      <c r="A500" s="672">
        <v>13138</v>
      </c>
      <c r="B500" s="672" t="s">
        <v>14</v>
      </c>
      <c r="C500" s="672" t="s">
        <v>14</v>
      </c>
      <c r="D500" s="672" t="s">
        <v>125</v>
      </c>
      <c r="E500" s="673">
        <v>43357.37159722222</v>
      </c>
    </row>
    <row r="501" spans="1:5">
      <c r="A501" s="672">
        <v>13150</v>
      </c>
      <c r="B501" s="672" t="s">
        <v>92</v>
      </c>
      <c r="C501" s="672" t="s">
        <v>14</v>
      </c>
      <c r="D501" s="672" t="s">
        <v>126</v>
      </c>
      <c r="E501" s="673">
        <v>43357.77202546296</v>
      </c>
    </row>
    <row r="502" spans="1:5">
      <c r="A502" s="672">
        <v>13167</v>
      </c>
      <c r="B502" s="672" t="s">
        <v>14</v>
      </c>
      <c r="C502" s="672" t="s">
        <v>14</v>
      </c>
      <c r="D502" s="672" t="s">
        <v>126</v>
      </c>
      <c r="E502" s="673">
        <v>43360.77103009259</v>
      </c>
    </row>
    <row r="503" spans="1:5">
      <c r="A503" s="672">
        <v>13168</v>
      </c>
      <c r="B503" s="672" t="s">
        <v>14</v>
      </c>
      <c r="C503" s="672" t="s">
        <v>14</v>
      </c>
      <c r="D503" s="672" t="s">
        <v>127</v>
      </c>
      <c r="E503" s="673">
        <v>43360.771064814813</v>
      </c>
    </row>
    <row r="504" spans="1:5">
      <c r="A504" s="672">
        <v>13181</v>
      </c>
      <c r="B504" s="672" t="s">
        <v>14</v>
      </c>
      <c r="C504" s="672" t="s">
        <v>14</v>
      </c>
      <c r="D504" s="672" t="s">
        <v>128</v>
      </c>
      <c r="E504" s="673">
        <v>43360.812638888892</v>
      </c>
    </row>
    <row r="505" spans="1:5">
      <c r="A505" s="672">
        <v>13192</v>
      </c>
      <c r="B505" s="672" t="s">
        <v>14</v>
      </c>
      <c r="C505" s="672" t="s">
        <v>14</v>
      </c>
      <c r="D505" s="672" t="s">
        <v>125</v>
      </c>
      <c r="E505" s="673">
        <v>43361.367789351854</v>
      </c>
    </row>
    <row r="506" spans="1:5">
      <c r="A506" s="672">
        <v>13204</v>
      </c>
      <c r="B506" s="672" t="s">
        <v>14</v>
      </c>
      <c r="C506" s="672" t="s">
        <v>14</v>
      </c>
      <c r="D506" s="672" t="s">
        <v>126</v>
      </c>
      <c r="E506" s="673">
        <v>43361.770671296297</v>
      </c>
    </row>
    <row r="507" spans="1:5">
      <c r="A507" s="672">
        <v>13206</v>
      </c>
      <c r="B507" s="672" t="s">
        <v>14</v>
      </c>
      <c r="C507" s="672" t="s">
        <v>14</v>
      </c>
      <c r="D507" s="672" t="s">
        <v>127</v>
      </c>
      <c r="E507" s="673">
        <v>43361.770844907405</v>
      </c>
    </row>
    <row r="508" spans="1:5">
      <c r="A508" s="672">
        <v>13222</v>
      </c>
      <c r="B508" s="672" t="s">
        <v>92</v>
      </c>
      <c r="C508" s="672" t="s">
        <v>14</v>
      </c>
      <c r="D508" s="672" t="s">
        <v>128</v>
      </c>
      <c r="E508" s="673">
        <v>43361.811469907407</v>
      </c>
    </row>
    <row r="509" spans="1:5">
      <c r="A509" s="672">
        <v>13233</v>
      </c>
      <c r="B509" s="672" t="s">
        <v>14</v>
      </c>
      <c r="C509" s="672" t="s">
        <v>14</v>
      </c>
      <c r="D509" s="672" t="s">
        <v>125</v>
      </c>
      <c r="E509" s="673">
        <v>43362.369560185187</v>
      </c>
    </row>
    <row r="510" spans="1:5">
      <c r="A510" s="672">
        <v>13250</v>
      </c>
      <c r="B510" s="672" t="s">
        <v>14</v>
      </c>
      <c r="C510" s="672" t="s">
        <v>14</v>
      </c>
      <c r="D510" s="672" t="s">
        <v>126</v>
      </c>
      <c r="E510" s="673">
        <v>43362.773136574076</v>
      </c>
    </row>
    <row r="511" spans="1:5">
      <c r="A511" s="672">
        <v>13251</v>
      </c>
      <c r="B511" s="672" t="s">
        <v>14</v>
      </c>
      <c r="C511" s="672" t="s">
        <v>14</v>
      </c>
      <c r="D511" s="672" t="s">
        <v>127</v>
      </c>
      <c r="E511" s="673">
        <v>43362.773217592592</v>
      </c>
    </row>
    <row r="512" spans="1:5">
      <c r="A512" s="672">
        <v>13259</v>
      </c>
      <c r="B512" s="672" t="s">
        <v>92</v>
      </c>
      <c r="C512" s="672" t="s">
        <v>14</v>
      </c>
      <c r="D512" s="672" t="s">
        <v>128</v>
      </c>
      <c r="E512" s="673">
        <v>43362.800682870373</v>
      </c>
    </row>
    <row r="513" spans="1:5">
      <c r="A513" s="672">
        <v>13269</v>
      </c>
      <c r="B513" s="672" t="s">
        <v>14</v>
      </c>
      <c r="C513" s="672" t="s">
        <v>14</v>
      </c>
      <c r="D513" s="672" t="s">
        <v>125</v>
      </c>
      <c r="E513" s="673">
        <v>43363.364861111113</v>
      </c>
    </row>
    <row r="514" spans="1:5">
      <c r="A514" s="672">
        <v>13278</v>
      </c>
      <c r="B514" s="672" t="s">
        <v>14</v>
      </c>
      <c r="C514" s="672" t="s">
        <v>14</v>
      </c>
      <c r="D514" s="672" t="s">
        <v>126</v>
      </c>
      <c r="E514" s="673">
        <v>43363.768414351849</v>
      </c>
    </row>
    <row r="515" spans="1:5">
      <c r="A515" s="672">
        <v>13296</v>
      </c>
      <c r="B515" s="672" t="s">
        <v>14</v>
      </c>
      <c r="C515" s="672" t="s">
        <v>14</v>
      </c>
      <c r="D515" s="672" t="s">
        <v>125</v>
      </c>
      <c r="E515" s="673">
        <v>43364.366655092592</v>
      </c>
    </row>
    <row r="516" spans="1:5">
      <c r="A516" s="672">
        <v>13308</v>
      </c>
      <c r="B516" s="672" t="s">
        <v>14</v>
      </c>
      <c r="C516" s="672" t="s">
        <v>14</v>
      </c>
      <c r="D516" s="672" t="s">
        <v>126</v>
      </c>
      <c r="E516" s="673">
        <v>43364.767777777779</v>
      </c>
    </row>
    <row r="517" spans="1:5">
      <c r="A517" s="672">
        <v>13319</v>
      </c>
      <c r="B517" s="672" t="s">
        <v>14</v>
      </c>
      <c r="C517" s="672" t="s">
        <v>14</v>
      </c>
      <c r="D517" s="672" t="s">
        <v>125</v>
      </c>
      <c r="E517" s="673">
        <v>43368.367407407408</v>
      </c>
    </row>
    <row r="518" spans="1:5">
      <c r="A518" s="672">
        <v>13334</v>
      </c>
      <c r="B518" s="672" t="s">
        <v>14</v>
      </c>
      <c r="C518" s="672" t="s">
        <v>14</v>
      </c>
      <c r="D518" s="672" t="s">
        <v>126</v>
      </c>
      <c r="E518" s="673">
        <v>43368.771111111113</v>
      </c>
    </row>
    <row r="519" spans="1:5">
      <c r="A519" s="672">
        <v>13335</v>
      </c>
      <c r="B519" s="672" t="s">
        <v>14</v>
      </c>
      <c r="C519" s="672" t="s">
        <v>14</v>
      </c>
      <c r="D519" s="672" t="s">
        <v>127</v>
      </c>
      <c r="E519" s="673">
        <v>43368.771145833336</v>
      </c>
    </row>
    <row r="520" spans="1:5">
      <c r="A520" s="672">
        <v>13346</v>
      </c>
      <c r="B520" s="672" t="s">
        <v>14</v>
      </c>
      <c r="C520" s="672" t="s">
        <v>14</v>
      </c>
      <c r="D520" s="672" t="s">
        <v>128</v>
      </c>
      <c r="E520" s="673">
        <v>43368.78230324074</v>
      </c>
    </row>
    <row r="521" spans="1:5">
      <c r="A521" s="672">
        <v>13361</v>
      </c>
      <c r="B521" s="672" t="s">
        <v>14</v>
      </c>
      <c r="C521" s="672" t="s">
        <v>14</v>
      </c>
      <c r="D521" s="672" t="s">
        <v>125</v>
      </c>
      <c r="E521" s="673">
        <v>43369.366331018522</v>
      </c>
    </row>
    <row r="522" spans="1:5">
      <c r="A522" s="672">
        <v>13370</v>
      </c>
      <c r="B522" s="672" t="s">
        <v>14</v>
      </c>
      <c r="C522" s="672" t="s">
        <v>14</v>
      </c>
      <c r="D522" s="672" t="s">
        <v>126</v>
      </c>
      <c r="E522" s="673">
        <v>43369.769317129627</v>
      </c>
    </row>
    <row r="523" spans="1:5">
      <c r="A523" s="672">
        <v>13372</v>
      </c>
      <c r="B523" s="672" t="s">
        <v>14</v>
      </c>
      <c r="C523" s="672" t="s">
        <v>14</v>
      </c>
      <c r="D523" s="672" t="s">
        <v>127</v>
      </c>
      <c r="E523" s="673">
        <v>43369.771458333336</v>
      </c>
    </row>
    <row r="524" spans="1:5">
      <c r="A524" s="672">
        <v>13390</v>
      </c>
      <c r="B524" s="672" t="s">
        <v>14</v>
      </c>
      <c r="C524" s="672" t="s">
        <v>14</v>
      </c>
      <c r="D524" s="672" t="s">
        <v>128</v>
      </c>
      <c r="E524" s="673">
        <v>43369.835266203707</v>
      </c>
    </row>
    <row r="525" spans="1:5">
      <c r="A525" s="672">
        <v>13399</v>
      </c>
      <c r="B525" s="672" t="s">
        <v>14</v>
      </c>
      <c r="C525" s="672" t="s">
        <v>14</v>
      </c>
      <c r="D525" s="672" t="s">
        <v>125</v>
      </c>
      <c r="E525" s="673">
        <v>43370.372291666667</v>
      </c>
    </row>
    <row r="526" spans="1:5">
      <c r="A526" s="672">
        <v>13406</v>
      </c>
      <c r="B526" s="672" t="s">
        <v>14</v>
      </c>
      <c r="C526" s="672" t="s">
        <v>14</v>
      </c>
      <c r="D526" s="672" t="s">
        <v>126</v>
      </c>
      <c r="E526" s="673">
        <v>43370.770497685182</v>
      </c>
    </row>
    <row r="527" spans="1:5">
      <c r="A527" s="672">
        <v>13407</v>
      </c>
      <c r="B527" s="672" t="s">
        <v>14</v>
      </c>
      <c r="C527" s="672" t="s">
        <v>14</v>
      </c>
      <c r="D527" s="672" t="s">
        <v>127</v>
      </c>
      <c r="E527" s="673">
        <v>43370.770914351851</v>
      </c>
    </row>
    <row r="528" spans="1:5">
      <c r="A528" s="672">
        <v>13426</v>
      </c>
      <c r="B528" s="672" t="s">
        <v>92</v>
      </c>
      <c r="C528" s="672" t="s">
        <v>14</v>
      </c>
      <c r="D528" s="672" t="s">
        <v>128</v>
      </c>
      <c r="E528" s="673">
        <v>43370.872708333336</v>
      </c>
    </row>
    <row r="529" spans="1:5">
      <c r="A529" s="672">
        <v>13436</v>
      </c>
      <c r="B529" s="672" t="s">
        <v>14</v>
      </c>
      <c r="C529" s="672" t="s">
        <v>14</v>
      </c>
      <c r="D529" s="672" t="s">
        <v>125</v>
      </c>
      <c r="E529" s="673">
        <v>43371.373854166668</v>
      </c>
    </row>
    <row r="530" spans="1:5">
      <c r="A530" s="672">
        <v>13447</v>
      </c>
      <c r="B530" s="672" t="s">
        <v>14</v>
      </c>
      <c r="C530" s="672" t="s">
        <v>14</v>
      </c>
      <c r="D530" s="672" t="s">
        <v>126</v>
      </c>
      <c r="E530" s="673">
        <v>43371.771307870367</v>
      </c>
    </row>
    <row r="531" spans="1:5">
      <c r="A531" s="672">
        <v>13448</v>
      </c>
      <c r="B531" s="672" t="s">
        <v>14</v>
      </c>
      <c r="C531" s="672" t="s">
        <v>14</v>
      </c>
      <c r="D531" s="672" t="s">
        <v>127</v>
      </c>
      <c r="E531" s="673">
        <v>43371.77134259259</v>
      </c>
    </row>
    <row r="532" spans="1:5">
      <c r="A532" s="672">
        <v>13453</v>
      </c>
      <c r="B532" s="672" t="s">
        <v>14</v>
      </c>
      <c r="C532" s="672" t="s">
        <v>14</v>
      </c>
      <c r="D532" s="672" t="s">
        <v>128</v>
      </c>
      <c r="E532" s="673">
        <v>43371.784814814811</v>
      </c>
    </row>
    <row r="533" spans="1:5">
      <c r="A533" s="672">
        <v>13141</v>
      </c>
      <c r="B533" s="672" t="s">
        <v>123</v>
      </c>
      <c r="C533" s="672" t="s">
        <v>123</v>
      </c>
      <c r="D533" s="672" t="s">
        <v>125</v>
      </c>
      <c r="E533" s="673">
        <v>43357.375</v>
      </c>
    </row>
    <row r="534" spans="1:5">
      <c r="A534" s="672">
        <v>13143</v>
      </c>
      <c r="B534" s="672" t="s">
        <v>124</v>
      </c>
      <c r="C534" s="672" t="s">
        <v>123</v>
      </c>
      <c r="D534" s="672" t="s">
        <v>126</v>
      </c>
      <c r="E534" s="673">
        <v>43357.539768518516</v>
      </c>
    </row>
    <row r="535" spans="1:5">
      <c r="A535" s="672">
        <v>13164</v>
      </c>
      <c r="B535" s="672" t="s">
        <v>123</v>
      </c>
      <c r="C535" s="672" t="s">
        <v>123</v>
      </c>
      <c r="D535" s="672" t="s">
        <v>126</v>
      </c>
      <c r="E535" s="673">
        <v>43360.682928240742</v>
      </c>
    </row>
    <row r="536" spans="1:5">
      <c r="A536" s="672">
        <v>12851</v>
      </c>
      <c r="B536" s="672" t="s">
        <v>88</v>
      </c>
      <c r="C536" s="672" t="s">
        <v>88</v>
      </c>
      <c r="D536" s="672" t="s">
        <v>125</v>
      </c>
      <c r="E536" s="673">
        <v>43346.371504629627</v>
      </c>
    </row>
    <row r="537" spans="1:5">
      <c r="A537" s="672">
        <v>12862</v>
      </c>
      <c r="B537" s="672" t="s">
        <v>88</v>
      </c>
      <c r="C537" s="672" t="s">
        <v>88</v>
      </c>
      <c r="D537" s="672" t="s">
        <v>126</v>
      </c>
      <c r="E537" s="673">
        <v>43346.77138888889</v>
      </c>
    </row>
    <row r="538" spans="1:5">
      <c r="A538" s="672">
        <v>12884</v>
      </c>
      <c r="B538" s="672" t="s">
        <v>88</v>
      </c>
      <c r="C538" s="672" t="s">
        <v>88</v>
      </c>
      <c r="D538" s="672" t="s">
        <v>125</v>
      </c>
      <c r="E538" s="673">
        <v>43347.377997685187</v>
      </c>
    </row>
    <row r="539" spans="1:5">
      <c r="A539" s="672">
        <v>12903</v>
      </c>
      <c r="B539" s="672" t="s">
        <v>88</v>
      </c>
      <c r="C539" s="672" t="s">
        <v>88</v>
      </c>
      <c r="D539" s="672" t="s">
        <v>126</v>
      </c>
      <c r="E539" s="673">
        <v>43347.783483796295</v>
      </c>
    </row>
    <row r="540" spans="1:5">
      <c r="A540" s="672">
        <v>12921</v>
      </c>
      <c r="B540" s="672" t="s">
        <v>88</v>
      </c>
      <c r="C540" s="672" t="s">
        <v>88</v>
      </c>
      <c r="D540" s="672" t="s">
        <v>125</v>
      </c>
      <c r="E540" s="673">
        <v>43348.383530092593</v>
      </c>
    </row>
    <row r="541" spans="1:5">
      <c r="A541" s="672">
        <v>12939</v>
      </c>
      <c r="B541" s="672" t="s">
        <v>88</v>
      </c>
      <c r="C541" s="672" t="s">
        <v>88</v>
      </c>
      <c r="D541" s="672" t="s">
        <v>126</v>
      </c>
      <c r="E541" s="673">
        <v>43348.793124999997</v>
      </c>
    </row>
    <row r="542" spans="1:5">
      <c r="A542" s="672">
        <v>12955</v>
      </c>
      <c r="B542" s="672" t="s">
        <v>88</v>
      </c>
      <c r="C542" s="672" t="s">
        <v>88</v>
      </c>
      <c r="D542" s="672" t="s">
        <v>125</v>
      </c>
      <c r="E542" s="673">
        <v>43349.377696759257</v>
      </c>
    </row>
    <row r="543" spans="1:5">
      <c r="A543" s="672">
        <v>12956</v>
      </c>
      <c r="B543" s="672" t="s">
        <v>88</v>
      </c>
      <c r="C543" s="672" t="s">
        <v>88</v>
      </c>
      <c r="D543" s="672" t="s">
        <v>126</v>
      </c>
      <c r="E543" s="673">
        <v>43349.718090277776</v>
      </c>
    </row>
    <row r="544" spans="1:5">
      <c r="A544" s="672">
        <v>12985</v>
      </c>
      <c r="B544" s="672" t="s">
        <v>88</v>
      </c>
      <c r="C544" s="672" t="s">
        <v>88</v>
      </c>
      <c r="D544" s="672" t="s">
        <v>125</v>
      </c>
      <c r="E544" s="673">
        <v>43350.56658564815</v>
      </c>
    </row>
    <row r="545" spans="1:5">
      <c r="A545" s="672">
        <v>12999</v>
      </c>
      <c r="B545" s="672" t="s">
        <v>88</v>
      </c>
      <c r="C545" s="672" t="s">
        <v>88</v>
      </c>
      <c r="D545" s="672" t="s">
        <v>126</v>
      </c>
      <c r="E545" s="673">
        <v>43350.791250000002</v>
      </c>
    </row>
    <row r="546" spans="1:5">
      <c r="A546" s="672">
        <v>13039</v>
      </c>
      <c r="B546" s="672" t="s">
        <v>88</v>
      </c>
      <c r="C546" s="672" t="s">
        <v>88</v>
      </c>
      <c r="D546" s="672" t="s">
        <v>125</v>
      </c>
      <c r="E546" s="673">
        <v>43354.378333333334</v>
      </c>
    </row>
    <row r="547" spans="1:5">
      <c r="A547" s="672">
        <v>13040</v>
      </c>
      <c r="B547" s="672" t="s">
        <v>88</v>
      </c>
      <c r="C547" s="672" t="s">
        <v>88</v>
      </c>
      <c r="D547" s="672" t="s">
        <v>126</v>
      </c>
      <c r="E547" s="673">
        <v>43354.525601851848</v>
      </c>
    </row>
    <row r="548" spans="1:5">
      <c r="A548" s="672">
        <v>13111</v>
      </c>
      <c r="B548" s="672" t="s">
        <v>88</v>
      </c>
      <c r="C548" s="672" t="s">
        <v>88</v>
      </c>
      <c r="D548" s="672" t="s">
        <v>125</v>
      </c>
      <c r="E548" s="673">
        <v>43356.700057870374</v>
      </c>
    </row>
    <row r="549" spans="1:5">
      <c r="A549" s="672">
        <v>13129</v>
      </c>
      <c r="B549" s="672" t="s">
        <v>88</v>
      </c>
      <c r="C549" s="672" t="s">
        <v>88</v>
      </c>
      <c r="D549" s="672" t="s">
        <v>126</v>
      </c>
      <c r="E549" s="673">
        <v>43356.839849537035</v>
      </c>
    </row>
    <row r="550" spans="1:5">
      <c r="A550" s="672">
        <v>13136</v>
      </c>
      <c r="B550" s="672" t="s">
        <v>88</v>
      </c>
      <c r="C550" s="672" t="s">
        <v>88</v>
      </c>
      <c r="D550" s="672" t="s">
        <v>125</v>
      </c>
      <c r="E550" s="673">
        <v>43357.371307870373</v>
      </c>
    </row>
    <row r="551" spans="1:5">
      <c r="A551" s="672">
        <v>13162</v>
      </c>
      <c r="B551" s="672" t="s">
        <v>88</v>
      </c>
      <c r="C551" s="672" t="s">
        <v>88</v>
      </c>
      <c r="D551" s="672" t="s">
        <v>126</v>
      </c>
      <c r="E551" s="673">
        <v>43360.526412037034</v>
      </c>
    </row>
    <row r="552" spans="1:5">
      <c r="A552" s="672">
        <v>13199</v>
      </c>
      <c r="B552" s="672" t="s">
        <v>88</v>
      </c>
      <c r="C552" s="672" t="s">
        <v>88</v>
      </c>
      <c r="D552" s="672" t="s">
        <v>125</v>
      </c>
      <c r="E552" s="673">
        <v>43361.37462962963</v>
      </c>
    </row>
    <row r="553" spans="1:5">
      <c r="A553" s="672">
        <v>13200</v>
      </c>
      <c r="B553" s="672" t="s">
        <v>88</v>
      </c>
      <c r="C553" s="672" t="s">
        <v>88</v>
      </c>
      <c r="D553" s="672" t="s">
        <v>126</v>
      </c>
      <c r="E553" s="673">
        <v>43361.565254629626</v>
      </c>
    </row>
    <row r="554" spans="1:5">
      <c r="A554" s="672">
        <v>13300</v>
      </c>
      <c r="B554" s="672" t="s">
        <v>88</v>
      </c>
      <c r="C554" s="672" t="s">
        <v>88</v>
      </c>
      <c r="D554" s="672" t="s">
        <v>125</v>
      </c>
      <c r="E554" s="673">
        <v>43364.376979166664</v>
      </c>
    </row>
    <row r="555" spans="1:5">
      <c r="A555" s="672">
        <v>13302</v>
      </c>
      <c r="B555" s="672" t="s">
        <v>88</v>
      </c>
      <c r="C555" s="672" t="s">
        <v>88</v>
      </c>
      <c r="D555" s="672" t="s">
        <v>126</v>
      </c>
      <c r="E555" s="673">
        <v>43364.50922453704</v>
      </c>
    </row>
    <row r="556" spans="1:5">
      <c r="A556" s="672">
        <v>13321</v>
      </c>
      <c r="B556" s="672" t="s">
        <v>88</v>
      </c>
      <c r="C556" s="672" t="s">
        <v>88</v>
      </c>
      <c r="D556" s="672" t="s">
        <v>125</v>
      </c>
      <c r="E556" s="673">
        <v>43368.371724537035</v>
      </c>
    </row>
    <row r="557" spans="1:5">
      <c r="A557" s="672">
        <v>13327</v>
      </c>
      <c r="B557" s="672" t="s">
        <v>88</v>
      </c>
      <c r="C557" s="672" t="s">
        <v>88</v>
      </c>
      <c r="D557" s="672" t="s">
        <v>126</v>
      </c>
      <c r="E557" s="673">
        <v>43368.503425925926</v>
      </c>
    </row>
    <row r="558" spans="1:5">
      <c r="A558" s="672">
        <v>13433</v>
      </c>
      <c r="B558" s="672" t="s">
        <v>88</v>
      </c>
      <c r="C558" s="672" t="s">
        <v>88</v>
      </c>
      <c r="D558" s="672" t="s">
        <v>125</v>
      </c>
      <c r="E558" s="673">
        <v>43371.365995370368</v>
      </c>
    </row>
    <row r="559" spans="1:5">
      <c r="A559" s="672">
        <v>13439</v>
      </c>
      <c r="B559" s="672" t="s">
        <v>88</v>
      </c>
      <c r="C559" s="672" t="s">
        <v>88</v>
      </c>
      <c r="D559" s="672" t="s">
        <v>126</v>
      </c>
      <c r="E559" s="673">
        <v>43371.538622685184</v>
      </c>
    </row>
    <row r="560" spans="1:5">
      <c r="A560" s="672">
        <v>12845</v>
      </c>
      <c r="B560" s="672" t="s">
        <v>120</v>
      </c>
      <c r="C560" s="672" t="s">
        <v>120</v>
      </c>
      <c r="D560" s="672" t="s">
        <v>125</v>
      </c>
      <c r="E560" s="673">
        <v>43346.351168981484</v>
      </c>
    </row>
    <row r="561" spans="1:5">
      <c r="A561" s="672">
        <v>12857</v>
      </c>
      <c r="B561" s="672" t="s">
        <v>121</v>
      </c>
      <c r="C561" s="672" t="s">
        <v>120</v>
      </c>
      <c r="D561" s="672" t="s">
        <v>126</v>
      </c>
      <c r="E561" s="673">
        <v>43346.77103009259</v>
      </c>
    </row>
    <row r="562" spans="1:5">
      <c r="A562" s="672">
        <v>12858</v>
      </c>
      <c r="B562" s="672" t="s">
        <v>121</v>
      </c>
      <c r="C562" s="672" t="s">
        <v>120</v>
      </c>
      <c r="D562" s="672" t="s">
        <v>127</v>
      </c>
      <c r="E562" s="673">
        <v>43346.77107638889</v>
      </c>
    </row>
    <row r="563" spans="1:5">
      <c r="A563" s="672">
        <v>12873</v>
      </c>
      <c r="B563" s="672" t="s">
        <v>121</v>
      </c>
      <c r="C563" s="672" t="s">
        <v>120</v>
      </c>
      <c r="D563" s="672" t="s">
        <v>128</v>
      </c>
      <c r="E563" s="673">
        <v>43346.820925925924</v>
      </c>
    </row>
    <row r="564" spans="1:5">
      <c r="A564" s="672">
        <v>12876</v>
      </c>
      <c r="B564" s="672" t="s">
        <v>120</v>
      </c>
      <c r="C564" s="672" t="s">
        <v>120</v>
      </c>
      <c r="D564" s="672" t="s">
        <v>125</v>
      </c>
      <c r="E564" s="673">
        <v>43347.34884259259</v>
      </c>
    </row>
    <row r="565" spans="1:5">
      <c r="A565" s="672">
        <v>12897</v>
      </c>
      <c r="B565" s="672" t="s">
        <v>120</v>
      </c>
      <c r="C565" s="672" t="s">
        <v>120</v>
      </c>
      <c r="D565" s="672" t="s">
        <v>126</v>
      </c>
      <c r="E565" s="673">
        <v>43347.77134259259</v>
      </c>
    </row>
    <row r="566" spans="1:5">
      <c r="A566" s="672">
        <v>12898</v>
      </c>
      <c r="B566" s="672" t="s">
        <v>120</v>
      </c>
      <c r="C566" s="672" t="s">
        <v>120</v>
      </c>
      <c r="D566" s="672" t="s">
        <v>127</v>
      </c>
      <c r="E566" s="673">
        <v>43347.771377314813</v>
      </c>
    </row>
    <row r="567" spans="1:5">
      <c r="A567" s="672">
        <v>12904</v>
      </c>
      <c r="B567" s="672" t="s">
        <v>120</v>
      </c>
      <c r="C567" s="672" t="s">
        <v>120</v>
      </c>
      <c r="D567" s="672" t="s">
        <v>128</v>
      </c>
      <c r="E567" s="673">
        <v>43347.79184027778</v>
      </c>
    </row>
    <row r="568" spans="1:5">
      <c r="A568" s="672">
        <v>12912</v>
      </c>
      <c r="B568" s="672" t="s">
        <v>120</v>
      </c>
      <c r="C568" s="672" t="s">
        <v>120</v>
      </c>
      <c r="D568" s="672" t="s">
        <v>125</v>
      </c>
      <c r="E568" s="673">
        <v>43348.346817129626</v>
      </c>
    </row>
    <row r="569" spans="1:5">
      <c r="A569" s="672">
        <v>12924</v>
      </c>
      <c r="B569" s="672" t="s">
        <v>121</v>
      </c>
      <c r="C569" s="672" t="s">
        <v>120</v>
      </c>
      <c r="D569" s="672" t="s">
        <v>126</v>
      </c>
      <c r="E569" s="673">
        <v>43348.770914351851</v>
      </c>
    </row>
    <row r="570" spans="1:5">
      <c r="A570" s="672">
        <v>12926</v>
      </c>
      <c r="B570" s="672" t="s">
        <v>121</v>
      </c>
      <c r="C570" s="672" t="s">
        <v>120</v>
      </c>
      <c r="D570" s="672" t="s">
        <v>127</v>
      </c>
      <c r="E570" s="673">
        <v>43348.770949074074</v>
      </c>
    </row>
    <row r="571" spans="1:5">
      <c r="A571" s="672">
        <v>12941</v>
      </c>
      <c r="B571" s="672" t="s">
        <v>121</v>
      </c>
      <c r="C571" s="672" t="s">
        <v>120</v>
      </c>
      <c r="D571" s="672" t="s">
        <v>128</v>
      </c>
      <c r="E571" s="673">
        <v>43348.81354166667</v>
      </c>
    </row>
    <row r="572" spans="1:5">
      <c r="A572" s="672">
        <v>12946</v>
      </c>
      <c r="B572" s="672" t="s">
        <v>120</v>
      </c>
      <c r="C572" s="672" t="s">
        <v>120</v>
      </c>
      <c r="D572" s="672" t="s">
        <v>125</v>
      </c>
      <c r="E572" s="673">
        <v>43349.3515162037</v>
      </c>
    </row>
    <row r="573" spans="1:5">
      <c r="A573" s="672">
        <v>12964</v>
      </c>
      <c r="B573" s="672" t="s">
        <v>120</v>
      </c>
      <c r="C573" s="672" t="s">
        <v>120</v>
      </c>
      <c r="D573" s="672" t="s">
        <v>126</v>
      </c>
      <c r="E573" s="673">
        <v>43349.771377314813</v>
      </c>
    </row>
    <row r="574" spans="1:5">
      <c r="A574" s="672">
        <v>12965</v>
      </c>
      <c r="B574" s="672" t="s">
        <v>120</v>
      </c>
      <c r="C574" s="672" t="s">
        <v>120</v>
      </c>
      <c r="D574" s="672" t="s">
        <v>127</v>
      </c>
      <c r="E574" s="673">
        <v>43349.771412037036</v>
      </c>
    </row>
    <row r="575" spans="1:5">
      <c r="A575" s="672">
        <v>12972</v>
      </c>
      <c r="B575" s="672" t="s">
        <v>120</v>
      </c>
      <c r="C575" s="672" t="s">
        <v>120</v>
      </c>
      <c r="D575" s="672" t="s">
        <v>128</v>
      </c>
      <c r="E575" s="673">
        <v>43349.793391203704</v>
      </c>
    </row>
    <row r="576" spans="1:5">
      <c r="A576" s="672">
        <v>12978</v>
      </c>
      <c r="B576" s="672" t="s">
        <v>120</v>
      </c>
      <c r="C576" s="672" t="s">
        <v>120</v>
      </c>
      <c r="D576" s="672" t="s">
        <v>125</v>
      </c>
      <c r="E576" s="673">
        <v>43350.348807870374</v>
      </c>
    </row>
    <row r="577" spans="1:5">
      <c r="A577" s="672">
        <v>12989</v>
      </c>
      <c r="B577" s="672" t="s">
        <v>121</v>
      </c>
      <c r="C577" s="672" t="s">
        <v>120</v>
      </c>
      <c r="D577" s="672" t="s">
        <v>126</v>
      </c>
      <c r="E577" s="673">
        <v>43350.770833333336</v>
      </c>
    </row>
    <row r="578" spans="1:5">
      <c r="A578" s="672">
        <v>13005</v>
      </c>
      <c r="B578" s="672" t="s">
        <v>120</v>
      </c>
      <c r="C578" s="672" t="s">
        <v>120</v>
      </c>
      <c r="D578" s="672" t="s">
        <v>125</v>
      </c>
      <c r="E578" s="673">
        <v>43353.347222222219</v>
      </c>
    </row>
    <row r="579" spans="1:5">
      <c r="A579" s="672">
        <v>13015</v>
      </c>
      <c r="B579" s="672" t="s">
        <v>121</v>
      </c>
      <c r="C579" s="672" t="s">
        <v>120</v>
      </c>
      <c r="D579" s="672" t="s">
        <v>126</v>
      </c>
      <c r="E579" s="673">
        <v>43353.756076388891</v>
      </c>
    </row>
    <row r="580" spans="1:5">
      <c r="A580" s="672">
        <v>13028</v>
      </c>
      <c r="B580" s="672" t="s">
        <v>120</v>
      </c>
      <c r="C580" s="672" t="s">
        <v>120</v>
      </c>
      <c r="D580" s="672" t="s">
        <v>125</v>
      </c>
      <c r="E580" s="673">
        <v>43354.349374999998</v>
      </c>
    </row>
    <row r="581" spans="1:5">
      <c r="A581" s="672">
        <v>13051</v>
      </c>
      <c r="B581" s="672" t="s">
        <v>121</v>
      </c>
      <c r="C581" s="672" t="s">
        <v>120</v>
      </c>
      <c r="D581" s="672" t="s">
        <v>126</v>
      </c>
      <c r="E581" s="673">
        <v>43354.772812499999</v>
      </c>
    </row>
    <row r="582" spans="1:5">
      <c r="A582" s="672">
        <v>13053</v>
      </c>
      <c r="B582" s="672" t="s">
        <v>121</v>
      </c>
      <c r="C582" s="672" t="s">
        <v>120</v>
      </c>
      <c r="D582" s="672" t="s">
        <v>127</v>
      </c>
      <c r="E582" s="673">
        <v>43354.772847222222</v>
      </c>
    </row>
    <row r="583" spans="1:5">
      <c r="A583" s="672">
        <v>13062</v>
      </c>
      <c r="B583" s="672" t="s">
        <v>121</v>
      </c>
      <c r="C583" s="672" t="s">
        <v>120</v>
      </c>
      <c r="D583" s="672" t="s">
        <v>128</v>
      </c>
      <c r="E583" s="673">
        <v>43354.854409722226</v>
      </c>
    </row>
    <row r="584" spans="1:5">
      <c r="A584" s="672">
        <v>13065</v>
      </c>
      <c r="B584" s="672" t="s">
        <v>120</v>
      </c>
      <c r="C584" s="672" t="s">
        <v>120</v>
      </c>
      <c r="D584" s="672" t="s">
        <v>125</v>
      </c>
      <c r="E584" s="673">
        <v>43355.350590277776</v>
      </c>
    </row>
    <row r="585" spans="1:5">
      <c r="A585" s="672">
        <v>13079</v>
      </c>
      <c r="B585" s="672" t="s">
        <v>120</v>
      </c>
      <c r="C585" s="672" t="s">
        <v>120</v>
      </c>
      <c r="D585" s="672" t="s">
        <v>126</v>
      </c>
      <c r="E585" s="673">
        <v>43355.770636574074</v>
      </c>
    </row>
    <row r="586" spans="1:5">
      <c r="A586" s="672">
        <v>13080</v>
      </c>
      <c r="B586" s="672" t="s">
        <v>120</v>
      </c>
      <c r="C586" s="672" t="s">
        <v>120</v>
      </c>
      <c r="D586" s="672" t="s">
        <v>127</v>
      </c>
      <c r="E586" s="673">
        <v>43355.770682870374</v>
      </c>
    </row>
    <row r="587" spans="1:5">
      <c r="A587" s="672">
        <v>13098</v>
      </c>
      <c r="B587" s="672" t="s">
        <v>120</v>
      </c>
      <c r="C587" s="672" t="s">
        <v>120</v>
      </c>
      <c r="D587" s="672" t="s">
        <v>128</v>
      </c>
      <c r="E587" s="673">
        <v>43355.855324074073</v>
      </c>
    </row>
    <row r="588" spans="1:5">
      <c r="A588" s="672">
        <v>13101</v>
      </c>
      <c r="B588" s="672" t="s">
        <v>120</v>
      </c>
      <c r="C588" s="672" t="s">
        <v>120</v>
      </c>
      <c r="D588" s="672" t="s">
        <v>125</v>
      </c>
      <c r="E588" s="673">
        <v>43356.347858796296</v>
      </c>
    </row>
    <row r="589" spans="1:5">
      <c r="A589" s="672">
        <v>13110</v>
      </c>
      <c r="B589" s="672" t="s">
        <v>121</v>
      </c>
      <c r="C589" s="672" t="s">
        <v>120</v>
      </c>
      <c r="D589" s="672" t="s">
        <v>126</v>
      </c>
      <c r="E589" s="673">
        <v>43356.569444444445</v>
      </c>
    </row>
    <row r="590" spans="1:5">
      <c r="A590" s="672">
        <v>13177</v>
      </c>
      <c r="B590" s="672" t="s">
        <v>121</v>
      </c>
      <c r="C590" s="672" t="s">
        <v>120</v>
      </c>
      <c r="D590" s="672" t="s">
        <v>126</v>
      </c>
      <c r="E590" s="673">
        <v>43360.774247685185</v>
      </c>
    </row>
    <row r="591" spans="1:5">
      <c r="A591" s="672">
        <v>13178</v>
      </c>
      <c r="B591" s="672" t="s">
        <v>121</v>
      </c>
      <c r="C591" s="672" t="s">
        <v>120</v>
      </c>
      <c r="D591" s="672" t="s">
        <v>127</v>
      </c>
      <c r="E591" s="673">
        <v>43360.774293981478</v>
      </c>
    </row>
    <row r="592" spans="1:5">
      <c r="A592" s="672">
        <v>13180</v>
      </c>
      <c r="B592" s="672" t="s">
        <v>121</v>
      </c>
      <c r="C592" s="672" t="s">
        <v>120</v>
      </c>
      <c r="D592" s="672" t="s">
        <v>128</v>
      </c>
      <c r="E592" s="673">
        <v>43360.795254629629</v>
      </c>
    </row>
    <row r="593" spans="1:5">
      <c r="A593" s="672">
        <v>13188</v>
      </c>
      <c r="B593" s="672" t="s">
        <v>120</v>
      </c>
      <c r="C593" s="672" t="s">
        <v>120</v>
      </c>
      <c r="D593" s="672" t="s">
        <v>125</v>
      </c>
      <c r="E593" s="673">
        <v>43361.345312500001</v>
      </c>
    </row>
    <row r="594" spans="1:5">
      <c r="A594" s="672">
        <v>13208</v>
      </c>
      <c r="B594" s="672" t="s">
        <v>120</v>
      </c>
      <c r="C594" s="672" t="s">
        <v>120</v>
      </c>
      <c r="D594" s="672" t="s">
        <v>126</v>
      </c>
      <c r="E594" s="673">
        <v>43361.770960648151</v>
      </c>
    </row>
    <row r="595" spans="1:5">
      <c r="A595" s="672">
        <v>13209</v>
      </c>
      <c r="B595" s="672" t="s">
        <v>120</v>
      </c>
      <c r="C595" s="672" t="s">
        <v>120</v>
      </c>
      <c r="D595" s="672" t="s">
        <v>127</v>
      </c>
      <c r="E595" s="673">
        <v>43361.770995370367</v>
      </c>
    </row>
    <row r="596" spans="1:5">
      <c r="A596" s="672">
        <v>13223</v>
      </c>
      <c r="B596" s="672" t="s">
        <v>120</v>
      </c>
      <c r="C596" s="672" t="s">
        <v>120</v>
      </c>
      <c r="D596" s="672" t="s">
        <v>128</v>
      </c>
      <c r="E596" s="673">
        <v>43361.812627314815</v>
      </c>
    </row>
    <row r="597" spans="1:5">
      <c r="A597" s="672">
        <v>13228</v>
      </c>
      <c r="B597" s="672" t="s">
        <v>120</v>
      </c>
      <c r="C597" s="672" t="s">
        <v>120</v>
      </c>
      <c r="D597" s="672" t="s">
        <v>125</v>
      </c>
      <c r="E597" s="673">
        <v>43362.347025462965</v>
      </c>
    </row>
    <row r="598" spans="1:5">
      <c r="A598" s="672">
        <v>13244</v>
      </c>
      <c r="B598" s="672" t="s">
        <v>121</v>
      </c>
      <c r="C598" s="672" t="s">
        <v>120</v>
      </c>
      <c r="D598" s="672" t="s">
        <v>126</v>
      </c>
      <c r="E598" s="673">
        <v>43362.771041666667</v>
      </c>
    </row>
    <row r="599" spans="1:5">
      <c r="A599" s="672">
        <v>13246</v>
      </c>
      <c r="B599" s="672" t="s">
        <v>121</v>
      </c>
      <c r="C599" s="672" t="s">
        <v>120</v>
      </c>
      <c r="D599" s="672" t="s">
        <v>127</v>
      </c>
      <c r="E599" s="673">
        <v>43362.771064814813</v>
      </c>
    </row>
    <row r="600" spans="1:5">
      <c r="A600" s="672">
        <v>13257</v>
      </c>
      <c r="B600" s="672" t="s">
        <v>120</v>
      </c>
      <c r="C600" s="672" t="s">
        <v>120</v>
      </c>
      <c r="D600" s="672" t="s">
        <v>128</v>
      </c>
      <c r="E600" s="673">
        <v>43362.795092592591</v>
      </c>
    </row>
    <row r="601" spans="1:5">
      <c r="A601" s="672">
        <v>13266</v>
      </c>
      <c r="B601" s="672" t="s">
        <v>120</v>
      </c>
      <c r="C601" s="672" t="s">
        <v>120</v>
      </c>
      <c r="D601" s="672" t="s">
        <v>125</v>
      </c>
      <c r="E601" s="673">
        <v>43363.349537037036</v>
      </c>
    </row>
    <row r="602" spans="1:5">
      <c r="A602" s="672">
        <v>13276</v>
      </c>
      <c r="B602" s="672" t="s">
        <v>121</v>
      </c>
      <c r="C602" s="672" t="s">
        <v>120</v>
      </c>
      <c r="D602" s="672" t="s">
        <v>126</v>
      </c>
      <c r="E602" s="673">
        <v>43363.761874999997</v>
      </c>
    </row>
    <row r="603" spans="1:5">
      <c r="A603" s="672">
        <v>13291</v>
      </c>
      <c r="B603" s="672" t="s">
        <v>120</v>
      </c>
      <c r="C603" s="672" t="s">
        <v>120</v>
      </c>
      <c r="D603" s="672" t="s">
        <v>125</v>
      </c>
      <c r="E603" s="673">
        <v>43364.347303240742</v>
      </c>
    </row>
    <row r="604" spans="1:5">
      <c r="A604" s="672">
        <v>13303</v>
      </c>
      <c r="B604" s="672" t="s">
        <v>121</v>
      </c>
      <c r="C604" s="672" t="s">
        <v>120</v>
      </c>
      <c r="D604" s="672" t="s">
        <v>126</v>
      </c>
      <c r="E604" s="673">
        <v>43364.75677083333</v>
      </c>
    </row>
    <row r="605" spans="1:5">
      <c r="A605" s="672">
        <v>13315</v>
      </c>
      <c r="B605" s="672" t="s">
        <v>120</v>
      </c>
      <c r="C605" s="672" t="s">
        <v>120</v>
      </c>
      <c r="D605" s="672" t="s">
        <v>125</v>
      </c>
      <c r="E605" s="673">
        <v>43368.347731481481</v>
      </c>
    </row>
    <row r="606" spans="1:5">
      <c r="A606" s="672">
        <v>13328</v>
      </c>
      <c r="B606" s="672" t="s">
        <v>121</v>
      </c>
      <c r="C606" s="672" t="s">
        <v>120</v>
      </c>
      <c r="D606" s="672" t="s">
        <v>126</v>
      </c>
      <c r="E606" s="673">
        <v>43368.625138888892</v>
      </c>
    </row>
    <row r="607" spans="1:5">
      <c r="A607" s="672">
        <v>13357</v>
      </c>
      <c r="B607" s="672" t="s">
        <v>120</v>
      </c>
      <c r="C607" s="672" t="s">
        <v>120</v>
      </c>
      <c r="D607" s="672" t="s">
        <v>125</v>
      </c>
      <c r="E607" s="673">
        <v>43369.351087962961</v>
      </c>
    </row>
    <row r="608" spans="1:5">
      <c r="A608" s="672">
        <v>13368</v>
      </c>
      <c r="B608" s="672" t="s">
        <v>121</v>
      </c>
      <c r="C608" s="672" t="s">
        <v>120</v>
      </c>
      <c r="D608" s="672" t="s">
        <v>126</v>
      </c>
      <c r="E608" s="673">
        <v>43369.767141203702</v>
      </c>
    </row>
    <row r="609" spans="1:5">
      <c r="A609" s="672">
        <v>13393</v>
      </c>
      <c r="B609" s="672" t="s">
        <v>120</v>
      </c>
      <c r="C609" s="672" t="s">
        <v>120</v>
      </c>
      <c r="D609" s="672" t="s">
        <v>125</v>
      </c>
      <c r="E609" s="673">
        <v>43370.350451388891</v>
      </c>
    </row>
    <row r="610" spans="1:5">
      <c r="A610" s="672">
        <v>13405</v>
      </c>
      <c r="B610" s="672" t="s">
        <v>121</v>
      </c>
      <c r="C610" s="672" t="s">
        <v>120</v>
      </c>
      <c r="D610" s="672" t="s">
        <v>126</v>
      </c>
      <c r="E610" s="673">
        <v>43370.764050925929</v>
      </c>
    </row>
    <row r="611" spans="1:5">
      <c r="A611" s="672">
        <v>13429</v>
      </c>
      <c r="B611" s="672" t="s">
        <v>120</v>
      </c>
      <c r="C611" s="672" t="s">
        <v>120</v>
      </c>
      <c r="D611" s="672" t="s">
        <v>125</v>
      </c>
      <c r="E611" s="673">
        <v>43371.346759259257</v>
      </c>
    </row>
    <row r="612" spans="1:5">
      <c r="A612" s="672">
        <v>13444</v>
      </c>
      <c r="B612" s="672" t="s">
        <v>121</v>
      </c>
      <c r="C612" s="672" t="s">
        <v>120</v>
      </c>
      <c r="D612" s="672" t="s">
        <v>126</v>
      </c>
      <c r="E612" s="673">
        <v>43371.768634259257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M815"/>
  <sheetViews>
    <sheetView workbookViewId="0">
      <selection activeCell="F8" sqref="F8"/>
    </sheetView>
  </sheetViews>
  <sheetFormatPr defaultRowHeight="15.75"/>
  <cols>
    <col min="1" max="1" width="6.5" style="672" bestFit="1" customWidth="1"/>
    <col min="2" max="2" width="7.5" style="672" bestFit="1" customWidth="1"/>
    <col min="3" max="3" width="7.25" style="672" bestFit="1" customWidth="1"/>
    <col min="4" max="4" width="9.5" style="672" bestFit="1" customWidth="1"/>
    <col min="5" max="5" width="16.625" style="672" bestFit="1" customWidth="1"/>
    <col min="6" max="16384" width="9" style="672"/>
  </cols>
  <sheetData>
    <row r="1" spans="1:5">
      <c r="A1" s="672" t="s">
        <v>0</v>
      </c>
      <c r="B1" s="672" t="s">
        <v>1</v>
      </c>
      <c r="C1" s="672" t="s">
        <v>2</v>
      </c>
      <c r="D1" s="672" t="s">
        <v>3</v>
      </c>
      <c r="E1" s="672" t="s">
        <v>4</v>
      </c>
    </row>
    <row r="2" spans="1:5">
      <c r="A2" s="672">
        <v>14060</v>
      </c>
      <c r="B2" s="672" t="s">
        <v>72</v>
      </c>
      <c r="C2" s="672" t="s">
        <v>72</v>
      </c>
      <c r="D2" s="672" t="s">
        <v>125</v>
      </c>
      <c r="E2" s="673">
        <v>43405.362280092595</v>
      </c>
    </row>
    <row r="3" spans="1:5">
      <c r="A3" s="672">
        <v>14061</v>
      </c>
      <c r="B3" s="672" t="s">
        <v>72</v>
      </c>
      <c r="C3" s="672" t="s">
        <v>72</v>
      </c>
      <c r="D3" s="672" t="s">
        <v>126</v>
      </c>
      <c r="E3" s="673">
        <v>43405.761087962965</v>
      </c>
    </row>
    <row r="4" spans="1:5">
      <c r="A4" s="672">
        <v>14076</v>
      </c>
      <c r="B4" s="672" t="s">
        <v>72</v>
      </c>
      <c r="C4" s="672" t="s">
        <v>72</v>
      </c>
      <c r="D4" s="672" t="s">
        <v>125</v>
      </c>
      <c r="E4" s="673">
        <v>43406.360833333332</v>
      </c>
    </row>
    <row r="5" spans="1:5" s="674" customFormat="1">
      <c r="A5" s="672">
        <v>14085</v>
      </c>
      <c r="B5" s="672" t="s">
        <v>72</v>
      </c>
      <c r="C5" s="672" t="s">
        <v>72</v>
      </c>
      <c r="D5" s="672" t="s">
        <v>126</v>
      </c>
      <c r="E5" s="673">
        <v>43406.769293981481</v>
      </c>
    </row>
    <row r="6" spans="1:5">
      <c r="A6" s="672">
        <v>14105</v>
      </c>
      <c r="B6" s="672" t="s">
        <v>72</v>
      </c>
      <c r="C6" s="672" t="s">
        <v>72</v>
      </c>
      <c r="D6" s="672" t="s">
        <v>125</v>
      </c>
      <c r="E6" s="673">
        <v>43409.364837962959</v>
      </c>
    </row>
    <row r="7" spans="1:5">
      <c r="A7" s="672">
        <v>14113</v>
      </c>
      <c r="B7" s="672" t="s">
        <v>72</v>
      </c>
      <c r="C7" s="672" t="s">
        <v>72</v>
      </c>
      <c r="D7" s="672" t="s">
        <v>126</v>
      </c>
      <c r="E7" s="673">
        <v>43409.768275462964</v>
      </c>
    </row>
    <row r="8" spans="1:5">
      <c r="A8" s="672">
        <v>14129</v>
      </c>
      <c r="B8" s="672" t="s">
        <v>72</v>
      </c>
      <c r="C8" s="672" t="s">
        <v>72</v>
      </c>
      <c r="D8" s="672" t="s">
        <v>125</v>
      </c>
      <c r="E8" s="673">
        <v>43410.363738425927</v>
      </c>
    </row>
    <row r="9" spans="1:5">
      <c r="A9" s="672">
        <v>14140</v>
      </c>
      <c r="B9" s="672" t="s">
        <v>72</v>
      </c>
      <c r="C9" s="672" t="s">
        <v>72</v>
      </c>
      <c r="D9" s="672" t="s">
        <v>126</v>
      </c>
      <c r="E9" s="673">
        <v>43410.77685185185</v>
      </c>
    </row>
    <row r="10" spans="1:5">
      <c r="A10" s="672">
        <v>14151</v>
      </c>
      <c r="B10" s="672" t="s">
        <v>86</v>
      </c>
      <c r="C10" s="672" t="s">
        <v>72</v>
      </c>
      <c r="D10" s="672" t="s">
        <v>125</v>
      </c>
      <c r="E10" s="673">
        <v>43411.362187500003</v>
      </c>
    </row>
    <row r="11" spans="1:5">
      <c r="A11" s="672">
        <v>14159</v>
      </c>
      <c r="B11" s="672" t="s">
        <v>72</v>
      </c>
      <c r="C11" s="672" t="s">
        <v>72</v>
      </c>
      <c r="D11" s="672" t="s">
        <v>126</v>
      </c>
      <c r="E11" s="673">
        <v>43411.770405092589</v>
      </c>
    </row>
    <row r="12" spans="1:5">
      <c r="A12" s="672">
        <v>14170</v>
      </c>
      <c r="B12" s="672" t="s">
        <v>86</v>
      </c>
      <c r="C12" s="672" t="s">
        <v>72</v>
      </c>
      <c r="D12" s="672" t="s">
        <v>125</v>
      </c>
      <c r="E12" s="673">
        <v>43412.363576388889</v>
      </c>
    </row>
    <row r="13" spans="1:5">
      <c r="A13" s="672">
        <v>14174</v>
      </c>
      <c r="B13" s="672" t="s">
        <v>72</v>
      </c>
      <c r="C13" s="672" t="s">
        <v>72</v>
      </c>
      <c r="D13" s="672" t="s">
        <v>126</v>
      </c>
      <c r="E13" s="673">
        <v>43412.765185185184</v>
      </c>
    </row>
    <row r="14" spans="1:5">
      <c r="A14" s="672">
        <v>14181</v>
      </c>
      <c r="B14" s="672" t="s">
        <v>72</v>
      </c>
      <c r="C14" s="672" t="s">
        <v>72</v>
      </c>
      <c r="D14" s="672" t="s">
        <v>127</v>
      </c>
      <c r="E14" s="673">
        <v>43412.771053240744</v>
      </c>
    </row>
    <row r="15" spans="1:5">
      <c r="A15" s="672">
        <v>14187</v>
      </c>
      <c r="B15" s="672" t="s">
        <v>72</v>
      </c>
      <c r="C15" s="672" t="s">
        <v>72</v>
      </c>
      <c r="D15" s="672" t="s">
        <v>128</v>
      </c>
      <c r="E15" s="673">
        <v>43412.819618055553</v>
      </c>
    </row>
    <row r="16" spans="1:5">
      <c r="A16" s="672">
        <v>14194</v>
      </c>
      <c r="B16" s="672" t="s">
        <v>86</v>
      </c>
      <c r="C16" s="672" t="s">
        <v>72</v>
      </c>
      <c r="D16" s="672" t="s">
        <v>125</v>
      </c>
      <c r="E16" s="673">
        <v>43413.361250000002</v>
      </c>
    </row>
    <row r="17" spans="1:5">
      <c r="A17" s="672">
        <v>14208</v>
      </c>
      <c r="B17" s="672" t="s">
        <v>86</v>
      </c>
      <c r="C17" s="672" t="s">
        <v>72</v>
      </c>
      <c r="D17" s="672" t="s">
        <v>126</v>
      </c>
      <c r="E17" s="673">
        <v>43413.780439814815</v>
      </c>
    </row>
    <row r="18" spans="1:5">
      <c r="A18" s="672">
        <v>14218</v>
      </c>
      <c r="B18" s="672" t="s">
        <v>72</v>
      </c>
      <c r="C18" s="672" t="s">
        <v>72</v>
      </c>
      <c r="D18" s="672" t="s">
        <v>125</v>
      </c>
      <c r="E18" s="673">
        <v>43416.363668981481</v>
      </c>
    </row>
    <row r="19" spans="1:5">
      <c r="A19" s="672">
        <v>14221</v>
      </c>
      <c r="B19" s="672" t="s">
        <v>72</v>
      </c>
      <c r="C19" s="672" t="s">
        <v>72</v>
      </c>
      <c r="D19" s="672" t="s">
        <v>126</v>
      </c>
      <c r="E19" s="673">
        <v>43416.762430555558</v>
      </c>
    </row>
    <row r="20" spans="1:5">
      <c r="A20" s="672">
        <v>14238</v>
      </c>
      <c r="B20" s="672" t="s">
        <v>72</v>
      </c>
      <c r="C20" s="672" t="s">
        <v>72</v>
      </c>
      <c r="D20" s="672" t="s">
        <v>125</v>
      </c>
      <c r="E20" s="673">
        <v>43417.360509259262</v>
      </c>
    </row>
    <row r="21" spans="1:5">
      <c r="A21" s="672">
        <v>14250</v>
      </c>
      <c r="B21" s="672" t="s">
        <v>86</v>
      </c>
      <c r="C21" s="672" t="s">
        <v>72</v>
      </c>
      <c r="D21" s="672" t="s">
        <v>126</v>
      </c>
      <c r="E21" s="673">
        <v>43417.765787037039</v>
      </c>
    </row>
    <row r="22" spans="1:5">
      <c r="A22" s="672">
        <v>14258</v>
      </c>
      <c r="B22" s="672" t="s">
        <v>86</v>
      </c>
      <c r="C22" s="672" t="s">
        <v>72</v>
      </c>
      <c r="D22" s="672" t="s">
        <v>127</v>
      </c>
      <c r="E22" s="673">
        <v>43417.788171296299</v>
      </c>
    </row>
    <row r="23" spans="1:5">
      <c r="A23" s="672">
        <v>14261</v>
      </c>
      <c r="B23" s="672" t="s">
        <v>86</v>
      </c>
      <c r="C23" s="672" t="s">
        <v>72</v>
      </c>
      <c r="D23" s="672" t="s">
        <v>128</v>
      </c>
      <c r="E23" s="673">
        <v>43417.805011574077</v>
      </c>
    </row>
    <row r="24" spans="1:5">
      <c r="A24" s="672">
        <v>14271</v>
      </c>
      <c r="B24" s="672" t="s">
        <v>72</v>
      </c>
      <c r="C24" s="672" t="s">
        <v>72</v>
      </c>
      <c r="D24" s="672" t="s">
        <v>125</v>
      </c>
      <c r="E24" s="673">
        <v>43418.362291666665</v>
      </c>
    </row>
    <row r="25" spans="1:5">
      <c r="A25" s="672">
        <v>14275</v>
      </c>
      <c r="B25" s="672" t="s">
        <v>72</v>
      </c>
      <c r="C25" s="672" t="s">
        <v>72</v>
      </c>
      <c r="D25" s="672" t="s">
        <v>126</v>
      </c>
      <c r="E25" s="673">
        <v>43418.764039351852</v>
      </c>
    </row>
    <row r="26" spans="1:5">
      <c r="A26" s="672">
        <v>14286</v>
      </c>
      <c r="B26" s="672" t="s">
        <v>72</v>
      </c>
      <c r="C26" s="672" t="s">
        <v>72</v>
      </c>
      <c r="D26" s="672" t="s">
        <v>125</v>
      </c>
      <c r="E26" s="673">
        <v>43419.361296296294</v>
      </c>
    </row>
    <row r="27" spans="1:5">
      <c r="A27" s="672">
        <v>14303</v>
      </c>
      <c r="B27" s="672" t="s">
        <v>72</v>
      </c>
      <c r="C27" s="672" t="s">
        <v>72</v>
      </c>
      <c r="D27" s="672" t="s">
        <v>126</v>
      </c>
      <c r="E27" s="673">
        <v>43419.780358796299</v>
      </c>
    </row>
    <row r="28" spans="1:5">
      <c r="A28" s="672">
        <v>14304</v>
      </c>
      <c r="B28" s="672" t="s">
        <v>72</v>
      </c>
      <c r="C28" s="672" t="s">
        <v>72</v>
      </c>
      <c r="D28" s="672" t="s">
        <v>127</v>
      </c>
      <c r="E28" s="673">
        <v>43419.780381944445</v>
      </c>
    </row>
    <row r="29" spans="1:5">
      <c r="A29" s="672">
        <v>14308</v>
      </c>
      <c r="B29" s="672" t="s">
        <v>86</v>
      </c>
      <c r="C29" s="672" t="s">
        <v>72</v>
      </c>
      <c r="D29" s="672" t="s">
        <v>128</v>
      </c>
      <c r="E29" s="673">
        <v>43419.831307870372</v>
      </c>
    </row>
    <row r="30" spans="1:5">
      <c r="A30" s="672">
        <v>14319</v>
      </c>
      <c r="B30" s="672" t="s">
        <v>72</v>
      </c>
      <c r="C30" s="672" t="s">
        <v>72</v>
      </c>
      <c r="D30" s="672" t="s">
        <v>125</v>
      </c>
      <c r="E30" s="673">
        <v>43420.361157407409</v>
      </c>
    </row>
    <row r="31" spans="1:5">
      <c r="A31" s="675"/>
      <c r="B31" s="675" t="s">
        <v>86</v>
      </c>
      <c r="C31" s="675" t="s">
        <v>72</v>
      </c>
      <c r="D31" s="675" t="s">
        <v>176</v>
      </c>
      <c r="E31" s="676">
        <v>43420.763888888891</v>
      </c>
    </row>
    <row r="32" spans="1:5">
      <c r="A32" s="672">
        <v>14334</v>
      </c>
      <c r="B32" s="672" t="s">
        <v>86</v>
      </c>
      <c r="C32" s="672" t="s">
        <v>72</v>
      </c>
      <c r="D32" s="672" t="s">
        <v>127</v>
      </c>
      <c r="E32" s="673">
        <v>43420.763888888891</v>
      </c>
    </row>
    <row r="33" spans="1:5">
      <c r="A33" s="672">
        <v>14339</v>
      </c>
      <c r="B33" s="672" t="s">
        <v>86</v>
      </c>
      <c r="C33" s="672" t="s">
        <v>72</v>
      </c>
      <c r="D33" s="672" t="s">
        <v>128</v>
      </c>
      <c r="E33" s="673">
        <v>43420.79614583333</v>
      </c>
    </row>
    <row r="34" spans="1:5">
      <c r="A34" s="672">
        <v>14346</v>
      </c>
      <c r="B34" s="672" t="s">
        <v>72</v>
      </c>
      <c r="C34" s="672" t="s">
        <v>72</v>
      </c>
      <c r="D34" s="672" t="s">
        <v>125</v>
      </c>
      <c r="E34" s="673">
        <v>43423.370011574072</v>
      </c>
    </row>
    <row r="35" spans="1:5">
      <c r="A35" s="672">
        <v>14349</v>
      </c>
      <c r="B35" s="672" t="s">
        <v>72</v>
      </c>
      <c r="C35" s="672" t="s">
        <v>72</v>
      </c>
      <c r="D35" s="672" t="s">
        <v>126</v>
      </c>
      <c r="E35" s="673">
        <v>43423.751817129632</v>
      </c>
    </row>
    <row r="36" spans="1:5">
      <c r="A36" s="672">
        <v>14356</v>
      </c>
      <c r="B36" s="672" t="s">
        <v>72</v>
      </c>
      <c r="C36" s="672" t="s">
        <v>72</v>
      </c>
      <c r="D36" s="672" t="s">
        <v>127</v>
      </c>
      <c r="E36" s="673">
        <v>43423.774895833332</v>
      </c>
    </row>
    <row r="37" spans="1:5">
      <c r="A37" s="672">
        <v>14360</v>
      </c>
      <c r="B37" s="672" t="s">
        <v>72</v>
      </c>
      <c r="C37" s="672" t="s">
        <v>72</v>
      </c>
      <c r="D37" s="672" t="s">
        <v>128</v>
      </c>
      <c r="E37" s="673">
        <v>43423.798692129632</v>
      </c>
    </row>
    <row r="38" spans="1:5">
      <c r="A38" s="672">
        <v>14374</v>
      </c>
      <c r="B38" s="672" t="s">
        <v>72</v>
      </c>
      <c r="C38" s="672" t="s">
        <v>72</v>
      </c>
      <c r="D38" s="672" t="s">
        <v>125</v>
      </c>
      <c r="E38" s="673">
        <v>43424.580462962964</v>
      </c>
    </row>
    <row r="39" spans="1:5">
      <c r="A39" s="672">
        <v>14379</v>
      </c>
      <c r="B39" s="672" t="s">
        <v>72</v>
      </c>
      <c r="C39" s="672" t="s">
        <v>72</v>
      </c>
      <c r="D39" s="672" t="s">
        <v>126</v>
      </c>
      <c r="E39" s="673">
        <v>43424.763715277775</v>
      </c>
    </row>
    <row r="40" spans="1:5">
      <c r="A40" s="672">
        <v>14386</v>
      </c>
      <c r="B40" s="672" t="s">
        <v>72</v>
      </c>
      <c r="C40" s="672" t="s">
        <v>72</v>
      </c>
      <c r="D40" s="672" t="s">
        <v>127</v>
      </c>
      <c r="E40" s="673">
        <v>43424.776516203703</v>
      </c>
    </row>
    <row r="41" spans="1:5">
      <c r="A41" s="672">
        <v>14387</v>
      </c>
      <c r="B41" s="672" t="s">
        <v>72</v>
      </c>
      <c r="C41" s="672" t="s">
        <v>72</v>
      </c>
      <c r="D41" s="672" t="s">
        <v>128</v>
      </c>
      <c r="E41" s="673">
        <v>43424.80773148148</v>
      </c>
    </row>
    <row r="42" spans="1:5">
      <c r="A42" s="672">
        <v>14395</v>
      </c>
      <c r="B42" s="672" t="s">
        <v>72</v>
      </c>
      <c r="C42" s="672" t="s">
        <v>72</v>
      </c>
      <c r="D42" s="672" t="s">
        <v>125</v>
      </c>
      <c r="E42" s="673">
        <v>43425.357777777775</v>
      </c>
    </row>
    <row r="43" spans="1:5">
      <c r="A43" s="672">
        <v>14407</v>
      </c>
      <c r="B43" s="672" t="s">
        <v>72</v>
      </c>
      <c r="C43" s="672" t="s">
        <v>72</v>
      </c>
      <c r="D43" s="672" t="s">
        <v>126</v>
      </c>
      <c r="E43" s="673">
        <v>43425.769178240742</v>
      </c>
    </row>
    <row r="44" spans="1:5">
      <c r="A44" s="672">
        <v>14408</v>
      </c>
      <c r="B44" s="672" t="s">
        <v>72</v>
      </c>
      <c r="C44" s="672" t="s">
        <v>72</v>
      </c>
      <c r="D44" s="672" t="s">
        <v>127</v>
      </c>
      <c r="E44" s="673">
        <v>43425.769201388888</v>
      </c>
    </row>
    <row r="45" spans="1:5">
      <c r="A45" s="672">
        <v>14415</v>
      </c>
      <c r="B45" s="672" t="s">
        <v>72</v>
      </c>
      <c r="C45" s="672" t="s">
        <v>72</v>
      </c>
      <c r="D45" s="672" t="s">
        <v>128</v>
      </c>
      <c r="E45" s="673">
        <v>43425.814398148148</v>
      </c>
    </row>
    <row r="46" spans="1:5">
      <c r="A46" s="672">
        <v>14426</v>
      </c>
      <c r="B46" s="672" t="s">
        <v>86</v>
      </c>
      <c r="C46" s="672" t="s">
        <v>72</v>
      </c>
      <c r="D46" s="672" t="s">
        <v>125</v>
      </c>
      <c r="E46" s="673">
        <v>43426.362719907411</v>
      </c>
    </row>
    <row r="47" spans="1:5">
      <c r="A47" s="672">
        <v>14433</v>
      </c>
      <c r="B47" s="672" t="s">
        <v>72</v>
      </c>
      <c r="C47" s="672" t="s">
        <v>72</v>
      </c>
      <c r="D47" s="672" t="s">
        <v>126</v>
      </c>
      <c r="E47" s="673">
        <v>43426.768680555557</v>
      </c>
    </row>
    <row r="48" spans="1:5">
      <c r="A48" s="672">
        <v>14439</v>
      </c>
      <c r="B48" s="672" t="s">
        <v>72</v>
      </c>
      <c r="C48" s="672" t="s">
        <v>72</v>
      </c>
      <c r="D48" s="672" t="s">
        <v>127</v>
      </c>
      <c r="E48" s="673">
        <v>43426.777766203704</v>
      </c>
    </row>
    <row r="49" spans="1:5">
      <c r="A49" s="672">
        <v>14446</v>
      </c>
      <c r="B49" s="672" t="s">
        <v>72</v>
      </c>
      <c r="C49" s="672" t="s">
        <v>72</v>
      </c>
      <c r="D49" s="672" t="s">
        <v>128</v>
      </c>
      <c r="E49" s="673">
        <v>43426.81591435185</v>
      </c>
    </row>
    <row r="50" spans="1:5">
      <c r="A50" s="672">
        <v>14486</v>
      </c>
      <c r="B50" s="672" t="s">
        <v>72</v>
      </c>
      <c r="C50" s="672" t="s">
        <v>72</v>
      </c>
      <c r="D50" s="672" t="s">
        <v>125</v>
      </c>
      <c r="E50" s="673">
        <v>43430.369803240741</v>
      </c>
    </row>
    <row r="51" spans="1:5">
      <c r="A51" s="672">
        <v>14494</v>
      </c>
      <c r="B51" s="672" t="s">
        <v>72</v>
      </c>
      <c r="C51" s="672" t="s">
        <v>72</v>
      </c>
      <c r="D51" s="672" t="s">
        <v>126</v>
      </c>
      <c r="E51" s="673">
        <v>43430.766076388885</v>
      </c>
    </row>
    <row r="52" spans="1:5">
      <c r="A52" s="672">
        <v>14499</v>
      </c>
      <c r="B52" s="672" t="s">
        <v>72</v>
      </c>
      <c r="C52" s="672" t="s">
        <v>72</v>
      </c>
      <c r="D52" s="672" t="s">
        <v>127</v>
      </c>
      <c r="E52" s="673">
        <v>43430.773333333331</v>
      </c>
    </row>
    <row r="53" spans="1:5">
      <c r="A53" s="672">
        <v>14502</v>
      </c>
      <c r="B53" s="672" t="s">
        <v>72</v>
      </c>
      <c r="C53" s="672" t="s">
        <v>72</v>
      </c>
      <c r="D53" s="672" t="s">
        <v>128</v>
      </c>
      <c r="E53" s="673">
        <v>43430.819340277776</v>
      </c>
    </row>
    <row r="54" spans="1:5">
      <c r="A54" s="672">
        <v>14508</v>
      </c>
      <c r="B54" s="672" t="s">
        <v>72</v>
      </c>
      <c r="C54" s="672" t="s">
        <v>72</v>
      </c>
      <c r="D54" s="672" t="s">
        <v>125</v>
      </c>
      <c r="E54" s="673">
        <v>43431.359027777777</v>
      </c>
    </row>
    <row r="55" spans="1:5">
      <c r="A55" s="672">
        <v>14520</v>
      </c>
      <c r="B55" s="672" t="s">
        <v>72</v>
      </c>
      <c r="C55" s="672" t="s">
        <v>72</v>
      </c>
      <c r="D55" s="672" t="s">
        <v>126</v>
      </c>
      <c r="E55" s="673">
        <v>43431.765057870369</v>
      </c>
    </row>
    <row r="56" spans="1:5">
      <c r="A56" s="672">
        <v>14524</v>
      </c>
      <c r="B56" s="672" t="s">
        <v>72</v>
      </c>
      <c r="C56" s="672" t="s">
        <v>72</v>
      </c>
      <c r="D56" s="672" t="s">
        <v>127</v>
      </c>
      <c r="E56" s="673">
        <v>43431.770057870373</v>
      </c>
    </row>
    <row r="57" spans="1:5">
      <c r="A57" s="672">
        <v>14531</v>
      </c>
      <c r="B57" s="672" t="s">
        <v>86</v>
      </c>
      <c r="C57" s="672" t="s">
        <v>72</v>
      </c>
      <c r="D57" s="672" t="s">
        <v>128</v>
      </c>
      <c r="E57" s="673">
        <v>43431.829317129632</v>
      </c>
    </row>
    <row r="58" spans="1:5">
      <c r="A58" s="672">
        <v>14539</v>
      </c>
      <c r="B58" s="672" t="s">
        <v>86</v>
      </c>
      <c r="C58" s="672" t="s">
        <v>72</v>
      </c>
      <c r="D58" s="672" t="s">
        <v>125</v>
      </c>
      <c r="E58" s="673">
        <v>43432.3593287037</v>
      </c>
    </row>
    <row r="59" spans="1:5">
      <c r="A59" s="672">
        <v>14545</v>
      </c>
      <c r="B59" s="672" t="s">
        <v>72</v>
      </c>
      <c r="C59" s="672" t="s">
        <v>72</v>
      </c>
      <c r="D59" s="672" t="s">
        <v>126</v>
      </c>
      <c r="E59" s="673">
        <v>43432.76090277778</v>
      </c>
    </row>
    <row r="60" spans="1:5">
      <c r="A60" s="672">
        <v>14558</v>
      </c>
      <c r="B60" s="672" t="s">
        <v>72</v>
      </c>
      <c r="C60" s="672" t="s">
        <v>72</v>
      </c>
      <c r="D60" s="672" t="s">
        <v>127</v>
      </c>
      <c r="E60" s="673">
        <v>43432.774814814817</v>
      </c>
    </row>
    <row r="61" spans="1:5">
      <c r="A61" s="672">
        <v>14564</v>
      </c>
      <c r="B61" s="672" t="s">
        <v>72</v>
      </c>
      <c r="C61" s="672" t="s">
        <v>72</v>
      </c>
      <c r="D61" s="672" t="s">
        <v>128</v>
      </c>
      <c r="E61" s="673">
        <v>43432.823645833334</v>
      </c>
    </row>
    <row r="62" spans="1:5">
      <c r="A62" s="672">
        <v>14569</v>
      </c>
      <c r="B62" s="672" t="s">
        <v>72</v>
      </c>
      <c r="C62" s="672" t="s">
        <v>72</v>
      </c>
      <c r="D62" s="672" t="s">
        <v>125</v>
      </c>
      <c r="E62" s="673">
        <v>43433.359895833331</v>
      </c>
    </row>
    <row r="63" spans="1:5">
      <c r="A63" s="672">
        <v>14581</v>
      </c>
      <c r="B63" s="672" t="s">
        <v>72</v>
      </c>
      <c r="C63" s="672" t="s">
        <v>72</v>
      </c>
      <c r="D63" s="672" t="s">
        <v>126</v>
      </c>
      <c r="E63" s="673">
        <v>43433.766018518516</v>
      </c>
    </row>
    <row r="64" spans="1:5">
      <c r="A64" s="672">
        <v>14603</v>
      </c>
      <c r="B64" s="672" t="s">
        <v>72</v>
      </c>
      <c r="C64" s="672" t="s">
        <v>72</v>
      </c>
      <c r="D64" s="672" t="s">
        <v>125</v>
      </c>
      <c r="E64" s="673">
        <v>43434.362071759257</v>
      </c>
    </row>
    <row r="65" spans="1:5">
      <c r="A65" s="672">
        <v>14610</v>
      </c>
      <c r="B65" s="672" t="s">
        <v>72</v>
      </c>
      <c r="C65" s="672" t="s">
        <v>72</v>
      </c>
      <c r="D65" s="672" t="s">
        <v>126</v>
      </c>
      <c r="E65" s="673">
        <v>43434.768043981479</v>
      </c>
    </row>
    <row r="66" spans="1:5">
      <c r="A66" s="672">
        <v>14611</v>
      </c>
      <c r="B66" s="672" t="s">
        <v>72</v>
      </c>
      <c r="C66" s="672" t="s">
        <v>72</v>
      </c>
      <c r="D66" s="672" t="s">
        <v>127</v>
      </c>
      <c r="E66" s="673">
        <v>43434.768090277779</v>
      </c>
    </row>
    <row r="67" spans="1:5">
      <c r="A67" s="672">
        <v>14624</v>
      </c>
      <c r="B67" s="672" t="s">
        <v>72</v>
      </c>
      <c r="C67" s="672" t="s">
        <v>72</v>
      </c>
      <c r="D67" s="672" t="s">
        <v>128</v>
      </c>
      <c r="E67" s="673">
        <v>43434.830150462964</v>
      </c>
    </row>
    <row r="68" spans="1:5">
      <c r="A68" s="672">
        <v>14054</v>
      </c>
      <c r="B68" s="672" t="s">
        <v>113</v>
      </c>
      <c r="C68" s="672" t="s">
        <v>113</v>
      </c>
      <c r="D68" s="672" t="s">
        <v>125</v>
      </c>
      <c r="E68" s="673">
        <v>43405.353159722225</v>
      </c>
    </row>
    <row r="69" spans="1:5">
      <c r="A69" s="672">
        <v>14062</v>
      </c>
      <c r="B69" s="672" t="s">
        <v>113</v>
      </c>
      <c r="C69" s="672" t="s">
        <v>113</v>
      </c>
      <c r="D69" s="672" t="s">
        <v>126</v>
      </c>
      <c r="E69" s="673">
        <v>43405.761122685188</v>
      </c>
    </row>
    <row r="70" spans="1:5">
      <c r="A70" s="672">
        <v>14073</v>
      </c>
      <c r="B70" s="672" t="s">
        <v>113</v>
      </c>
      <c r="C70" s="672" t="s">
        <v>113</v>
      </c>
      <c r="D70" s="672" t="s">
        <v>125</v>
      </c>
      <c r="E70" s="673">
        <v>43406.354178240741</v>
      </c>
    </row>
    <row r="71" spans="1:5">
      <c r="A71" s="672">
        <v>14084</v>
      </c>
      <c r="B71" s="672" t="s">
        <v>113</v>
      </c>
      <c r="C71" s="672" t="s">
        <v>113</v>
      </c>
      <c r="D71" s="672" t="s">
        <v>126</v>
      </c>
      <c r="E71" s="673">
        <v>43406.763356481482</v>
      </c>
    </row>
    <row r="72" spans="1:5">
      <c r="A72" s="672">
        <v>14099</v>
      </c>
      <c r="B72" s="672" t="s">
        <v>113</v>
      </c>
      <c r="C72" s="672" t="s">
        <v>113</v>
      </c>
      <c r="D72" s="672" t="s">
        <v>125</v>
      </c>
      <c r="E72" s="673">
        <v>43409.351006944446</v>
      </c>
    </row>
    <row r="73" spans="1:5">
      <c r="A73" s="672">
        <v>14116</v>
      </c>
      <c r="B73" s="672" t="s">
        <v>113</v>
      </c>
      <c r="C73" s="672" t="s">
        <v>113</v>
      </c>
      <c r="D73" s="672" t="s">
        <v>126</v>
      </c>
      <c r="E73" s="673">
        <v>43409.772094907406</v>
      </c>
    </row>
    <row r="74" spans="1:5">
      <c r="A74" s="672">
        <v>14123</v>
      </c>
      <c r="B74" s="672" t="s">
        <v>113</v>
      </c>
      <c r="C74" s="672" t="s">
        <v>113</v>
      </c>
      <c r="D74" s="672" t="s">
        <v>125</v>
      </c>
      <c r="E74" s="673">
        <v>43410.353368055556</v>
      </c>
    </row>
    <row r="75" spans="1:5">
      <c r="A75" s="672">
        <v>14139</v>
      </c>
      <c r="B75" s="672" t="s">
        <v>113</v>
      </c>
      <c r="C75" s="672" t="s">
        <v>113</v>
      </c>
      <c r="D75" s="672" t="s">
        <v>126</v>
      </c>
      <c r="E75" s="673">
        <v>43410.776446759257</v>
      </c>
    </row>
    <row r="76" spans="1:5">
      <c r="A76" s="672">
        <v>14163</v>
      </c>
      <c r="B76" s="672" t="s">
        <v>113</v>
      </c>
      <c r="C76" s="672" t="s">
        <v>113</v>
      </c>
      <c r="D76" s="672" t="s">
        <v>125</v>
      </c>
      <c r="E76" s="673">
        <v>43412.350092592591</v>
      </c>
    </row>
    <row r="77" spans="1:5">
      <c r="A77" s="672">
        <v>14171</v>
      </c>
      <c r="B77" s="672" t="s">
        <v>153</v>
      </c>
      <c r="C77" s="672" t="s">
        <v>113</v>
      </c>
      <c r="D77" s="672" t="s">
        <v>126</v>
      </c>
      <c r="E77" s="673">
        <v>43412.760659722226</v>
      </c>
    </row>
    <row r="78" spans="1:5">
      <c r="A78" s="672">
        <v>14172</v>
      </c>
      <c r="B78" s="672" t="s">
        <v>153</v>
      </c>
      <c r="C78" s="672" t="s">
        <v>113</v>
      </c>
      <c r="D78" s="672" t="s">
        <v>127</v>
      </c>
      <c r="E78" s="673">
        <v>43412.760729166665</v>
      </c>
    </row>
    <row r="79" spans="1:5">
      <c r="A79" s="672">
        <v>14186</v>
      </c>
      <c r="B79" s="672" t="s">
        <v>153</v>
      </c>
      <c r="C79" s="672" t="s">
        <v>113</v>
      </c>
      <c r="D79" s="672" t="s">
        <v>128</v>
      </c>
      <c r="E79" s="673">
        <v>43412.814965277779</v>
      </c>
    </row>
    <row r="80" spans="1:5">
      <c r="A80" s="672">
        <v>14189</v>
      </c>
      <c r="B80" s="672" t="s">
        <v>113</v>
      </c>
      <c r="C80" s="672" t="s">
        <v>113</v>
      </c>
      <c r="D80" s="672" t="s">
        <v>125</v>
      </c>
      <c r="E80" s="673">
        <v>43413.351238425923</v>
      </c>
    </row>
    <row r="81" spans="1:5">
      <c r="A81" s="672">
        <v>14207</v>
      </c>
      <c r="B81" s="672" t="s">
        <v>153</v>
      </c>
      <c r="C81" s="672" t="s">
        <v>113</v>
      </c>
      <c r="D81" s="672" t="s">
        <v>126</v>
      </c>
      <c r="E81" s="673">
        <v>43413.780023148145</v>
      </c>
    </row>
    <row r="82" spans="1:5">
      <c r="A82" s="672">
        <v>14233</v>
      </c>
      <c r="B82" s="672" t="s">
        <v>113</v>
      </c>
      <c r="C82" s="672" t="s">
        <v>113</v>
      </c>
      <c r="D82" s="672" t="s">
        <v>125</v>
      </c>
      <c r="E82" s="673">
        <v>43417.352141203701</v>
      </c>
    </row>
    <row r="83" spans="1:5">
      <c r="A83" s="672">
        <v>14246</v>
      </c>
      <c r="B83" s="672" t="s">
        <v>113</v>
      </c>
      <c r="C83" s="672" t="s">
        <v>113</v>
      </c>
      <c r="D83" s="672" t="s">
        <v>126</v>
      </c>
      <c r="E83" s="673">
        <v>43417.763738425929</v>
      </c>
    </row>
    <row r="84" spans="1:5">
      <c r="A84" s="672">
        <v>14247</v>
      </c>
      <c r="B84" s="672" t="s">
        <v>113</v>
      </c>
      <c r="C84" s="672" t="s">
        <v>113</v>
      </c>
      <c r="D84" s="672" t="s">
        <v>127</v>
      </c>
      <c r="E84" s="673">
        <v>43417.763807870368</v>
      </c>
    </row>
    <row r="85" spans="1:5">
      <c r="A85" s="672">
        <v>14259</v>
      </c>
      <c r="B85" s="672" t="s">
        <v>153</v>
      </c>
      <c r="C85" s="672" t="s">
        <v>113</v>
      </c>
      <c r="D85" s="672" t="s">
        <v>128</v>
      </c>
      <c r="E85" s="673">
        <v>43417.793773148151</v>
      </c>
    </row>
    <row r="86" spans="1:5">
      <c r="A86" s="672">
        <v>14283</v>
      </c>
      <c r="B86" s="672" t="s">
        <v>153</v>
      </c>
      <c r="C86" s="672" t="s">
        <v>113</v>
      </c>
      <c r="D86" s="672" t="s">
        <v>125</v>
      </c>
      <c r="E86" s="673">
        <v>43419.351064814815</v>
      </c>
    </row>
    <row r="87" spans="1:5">
      <c r="A87" s="672">
        <v>14297</v>
      </c>
      <c r="B87" s="672" t="s">
        <v>153</v>
      </c>
      <c r="C87" s="672" t="s">
        <v>113</v>
      </c>
      <c r="D87" s="672" t="s">
        <v>126</v>
      </c>
      <c r="E87" s="673">
        <v>43419.768101851849</v>
      </c>
    </row>
    <row r="88" spans="1:5">
      <c r="A88" s="672">
        <v>14314</v>
      </c>
      <c r="B88" s="672" t="s">
        <v>113</v>
      </c>
      <c r="C88" s="672" t="s">
        <v>113</v>
      </c>
      <c r="D88" s="672" t="s">
        <v>125</v>
      </c>
      <c r="E88" s="673">
        <v>43420.351365740738</v>
      </c>
    </row>
    <row r="89" spans="1:5">
      <c r="A89" s="672">
        <v>14332</v>
      </c>
      <c r="B89" s="672" t="s">
        <v>153</v>
      </c>
      <c r="C89" s="672" t="s">
        <v>113</v>
      </c>
      <c r="D89" s="672" t="s">
        <v>126</v>
      </c>
      <c r="E89" s="673">
        <v>43420.763784722221</v>
      </c>
    </row>
    <row r="90" spans="1:5">
      <c r="A90" s="672">
        <v>14333</v>
      </c>
      <c r="B90" s="672" t="s">
        <v>153</v>
      </c>
      <c r="C90" s="672" t="s">
        <v>113</v>
      </c>
      <c r="D90" s="672" t="s">
        <v>127</v>
      </c>
      <c r="E90" s="673">
        <v>43420.763819444444</v>
      </c>
    </row>
    <row r="91" spans="1:5">
      <c r="A91" s="672">
        <v>14338</v>
      </c>
      <c r="B91" s="672" t="s">
        <v>153</v>
      </c>
      <c r="C91" s="672" t="s">
        <v>113</v>
      </c>
      <c r="D91" s="672" t="s">
        <v>128</v>
      </c>
      <c r="E91" s="673">
        <v>43420.796064814815</v>
      </c>
    </row>
    <row r="92" spans="1:5">
      <c r="A92" s="672">
        <v>14342</v>
      </c>
      <c r="B92" s="672" t="s">
        <v>113</v>
      </c>
      <c r="C92" s="672" t="s">
        <v>113</v>
      </c>
      <c r="D92" s="672" t="s">
        <v>125</v>
      </c>
      <c r="E92" s="673">
        <v>43423.352743055555</v>
      </c>
    </row>
    <row r="93" spans="1:5">
      <c r="A93" s="672">
        <v>14350</v>
      </c>
      <c r="B93" s="672" t="s">
        <v>113</v>
      </c>
      <c r="C93" s="672" t="s">
        <v>113</v>
      </c>
      <c r="D93" s="672" t="s">
        <v>126</v>
      </c>
      <c r="E93" s="673">
        <v>43423.754363425927</v>
      </c>
    </row>
    <row r="94" spans="1:5">
      <c r="A94" s="672">
        <v>14351</v>
      </c>
      <c r="B94" s="672" t="s">
        <v>113</v>
      </c>
      <c r="C94" s="672" t="s">
        <v>113</v>
      </c>
      <c r="D94" s="672" t="s">
        <v>127</v>
      </c>
      <c r="E94" s="673">
        <v>43423.754444444443</v>
      </c>
    </row>
    <row r="95" spans="1:5">
      <c r="A95" s="672">
        <v>14362</v>
      </c>
      <c r="B95" s="672" t="s">
        <v>153</v>
      </c>
      <c r="C95" s="672" t="s">
        <v>113</v>
      </c>
      <c r="D95" s="672" t="s">
        <v>128</v>
      </c>
      <c r="E95" s="673">
        <v>43423.808599537035</v>
      </c>
    </row>
    <row r="96" spans="1:5">
      <c r="A96" s="672">
        <v>14365</v>
      </c>
      <c r="B96" s="672" t="s">
        <v>113</v>
      </c>
      <c r="C96" s="672" t="s">
        <v>113</v>
      </c>
      <c r="D96" s="672" t="s">
        <v>125</v>
      </c>
      <c r="E96" s="673">
        <v>43424.353483796294</v>
      </c>
    </row>
    <row r="97" spans="1:5">
      <c r="A97" s="672">
        <v>14375</v>
      </c>
      <c r="B97" s="672" t="s">
        <v>113</v>
      </c>
      <c r="C97" s="672" t="s">
        <v>113</v>
      </c>
      <c r="D97" s="672" t="s">
        <v>126</v>
      </c>
      <c r="E97" s="673">
        <v>43424.759108796294</v>
      </c>
    </row>
    <row r="98" spans="1:5">
      <c r="A98" s="672">
        <v>14376</v>
      </c>
      <c r="B98" s="672" t="s">
        <v>113</v>
      </c>
      <c r="C98" s="672" t="s">
        <v>113</v>
      </c>
      <c r="D98" s="672" t="s">
        <v>127</v>
      </c>
      <c r="E98" s="673">
        <v>43424.759259259263</v>
      </c>
    </row>
    <row r="99" spans="1:5">
      <c r="A99" s="672">
        <v>14388</v>
      </c>
      <c r="B99" s="672" t="s">
        <v>113</v>
      </c>
      <c r="C99" s="672" t="s">
        <v>113</v>
      </c>
      <c r="D99" s="672" t="s">
        <v>128</v>
      </c>
      <c r="E99" s="673">
        <v>43424.811898148146</v>
      </c>
    </row>
    <row r="100" spans="1:5">
      <c r="A100" s="672">
        <v>14393</v>
      </c>
      <c r="B100" s="672" t="s">
        <v>113</v>
      </c>
      <c r="C100" s="672" t="s">
        <v>113</v>
      </c>
      <c r="D100" s="672" t="s">
        <v>125</v>
      </c>
      <c r="E100" s="673">
        <v>43425.353055555555</v>
      </c>
    </row>
    <row r="101" spans="1:5">
      <c r="A101" s="672">
        <v>14400</v>
      </c>
      <c r="B101" s="672" t="s">
        <v>113</v>
      </c>
      <c r="C101" s="672" t="s">
        <v>113</v>
      </c>
      <c r="D101" s="672" t="s">
        <v>126</v>
      </c>
      <c r="E101" s="673">
        <v>43425.752152777779</v>
      </c>
    </row>
    <row r="102" spans="1:5">
      <c r="A102" s="672">
        <v>14401</v>
      </c>
      <c r="B102" s="672" t="s">
        <v>113</v>
      </c>
      <c r="C102" s="672" t="s">
        <v>113</v>
      </c>
      <c r="D102" s="672" t="s">
        <v>127</v>
      </c>
      <c r="E102" s="673">
        <v>43425.758692129632</v>
      </c>
    </row>
    <row r="103" spans="1:5">
      <c r="A103" s="672">
        <v>14414</v>
      </c>
      <c r="B103" s="672" t="s">
        <v>113</v>
      </c>
      <c r="C103" s="672" t="s">
        <v>113</v>
      </c>
      <c r="D103" s="672" t="s">
        <v>128</v>
      </c>
      <c r="E103" s="673">
        <v>43425.80809027778</v>
      </c>
    </row>
    <row r="104" spans="1:5">
      <c r="A104" s="672">
        <v>14422</v>
      </c>
      <c r="B104" s="672" t="s">
        <v>113</v>
      </c>
      <c r="C104" s="672" t="s">
        <v>113</v>
      </c>
      <c r="D104" s="672" t="s">
        <v>125</v>
      </c>
      <c r="E104" s="673">
        <v>43426.356030092589</v>
      </c>
    </row>
    <row r="105" spans="1:5">
      <c r="A105" s="672">
        <v>14434</v>
      </c>
      <c r="B105" s="672" t="s">
        <v>113</v>
      </c>
      <c r="C105" s="672" t="s">
        <v>113</v>
      </c>
      <c r="D105" s="672" t="s">
        <v>126</v>
      </c>
      <c r="E105" s="673">
        <v>43426.768726851849</v>
      </c>
    </row>
    <row r="106" spans="1:5">
      <c r="A106" s="672">
        <v>14450</v>
      </c>
      <c r="B106" s="672" t="s">
        <v>113</v>
      </c>
      <c r="C106" s="672" t="s">
        <v>113</v>
      </c>
      <c r="D106" s="672" t="s">
        <v>125</v>
      </c>
      <c r="E106" s="673">
        <v>43427.355127314811</v>
      </c>
    </row>
    <row r="107" spans="1:5">
      <c r="A107" s="672">
        <v>14472</v>
      </c>
      <c r="B107" s="672" t="s">
        <v>153</v>
      </c>
      <c r="C107" s="672" t="s">
        <v>113</v>
      </c>
      <c r="D107" s="672" t="s">
        <v>126</v>
      </c>
      <c r="E107" s="673">
        <v>43427.771585648145</v>
      </c>
    </row>
    <row r="108" spans="1:5">
      <c r="A108" s="672">
        <v>14479</v>
      </c>
      <c r="B108" s="672" t="s">
        <v>113</v>
      </c>
      <c r="C108" s="672" t="s">
        <v>113</v>
      </c>
      <c r="D108" s="672" t="s">
        <v>125</v>
      </c>
      <c r="E108" s="673">
        <v>43430.354120370372</v>
      </c>
    </row>
    <row r="109" spans="1:5">
      <c r="A109" s="672">
        <v>14490</v>
      </c>
      <c r="B109" s="672" t="s">
        <v>113</v>
      </c>
      <c r="C109" s="672" t="s">
        <v>113</v>
      </c>
      <c r="D109" s="672" t="s">
        <v>177</v>
      </c>
      <c r="E109" s="673">
        <v>43430.638333333336</v>
      </c>
    </row>
    <row r="110" spans="1:5">
      <c r="A110" s="672">
        <v>14491</v>
      </c>
      <c r="B110" s="672" t="s">
        <v>113</v>
      </c>
      <c r="C110" s="672" t="s">
        <v>113</v>
      </c>
      <c r="D110" s="672" t="s">
        <v>155</v>
      </c>
      <c r="E110" s="673">
        <v>43430.655289351853</v>
      </c>
    </row>
    <row r="111" spans="1:5">
      <c r="A111" s="672">
        <v>14493</v>
      </c>
      <c r="B111" s="672" t="s">
        <v>113</v>
      </c>
      <c r="C111" s="672" t="s">
        <v>113</v>
      </c>
      <c r="D111" s="672" t="s">
        <v>126</v>
      </c>
      <c r="E111" s="673">
        <v>43430.76458333333</v>
      </c>
    </row>
    <row r="112" spans="1:5">
      <c r="A112" s="672">
        <v>14505</v>
      </c>
      <c r="B112" s="672" t="s">
        <v>113</v>
      </c>
      <c r="C112" s="672" t="s">
        <v>113</v>
      </c>
      <c r="D112" s="672" t="s">
        <v>125</v>
      </c>
      <c r="E112" s="673">
        <v>43431.349004629628</v>
      </c>
    </row>
    <row r="113" spans="1:5">
      <c r="A113" s="672">
        <v>14527</v>
      </c>
      <c r="B113" s="672" t="s">
        <v>113</v>
      </c>
      <c r="C113" s="672" t="s">
        <v>113</v>
      </c>
      <c r="D113" s="672" t="s">
        <v>126</v>
      </c>
      <c r="E113" s="673">
        <v>43431.77034722222</v>
      </c>
    </row>
    <row r="114" spans="1:5">
      <c r="A114" s="672">
        <v>14537</v>
      </c>
      <c r="B114" s="672" t="s">
        <v>113</v>
      </c>
      <c r="C114" s="672" t="s">
        <v>113</v>
      </c>
      <c r="D114" s="672" t="s">
        <v>125</v>
      </c>
      <c r="E114" s="673">
        <v>43432.349340277775</v>
      </c>
    </row>
    <row r="115" spans="1:5">
      <c r="A115" s="672">
        <v>14546</v>
      </c>
      <c r="B115" s="672" t="s">
        <v>113</v>
      </c>
      <c r="C115" s="672" t="s">
        <v>113</v>
      </c>
      <c r="D115" s="672" t="s">
        <v>126</v>
      </c>
      <c r="E115" s="673">
        <v>43432.761516203704</v>
      </c>
    </row>
    <row r="116" spans="1:5">
      <c r="A116" s="672">
        <v>14547</v>
      </c>
      <c r="B116" s="672" t="s">
        <v>113</v>
      </c>
      <c r="C116" s="672" t="s">
        <v>113</v>
      </c>
      <c r="D116" s="672" t="s">
        <v>127</v>
      </c>
      <c r="E116" s="673">
        <v>43432.76158564815</v>
      </c>
    </row>
    <row r="117" spans="1:5">
      <c r="A117" s="672">
        <v>14562</v>
      </c>
      <c r="B117" s="672" t="s">
        <v>113</v>
      </c>
      <c r="C117" s="672" t="s">
        <v>113</v>
      </c>
      <c r="D117" s="672" t="s">
        <v>128</v>
      </c>
      <c r="E117" s="673">
        <v>43432.818773148145</v>
      </c>
    </row>
    <row r="118" spans="1:5">
      <c r="A118" s="672">
        <v>14568</v>
      </c>
      <c r="B118" s="672" t="s">
        <v>113</v>
      </c>
      <c r="C118" s="672" t="s">
        <v>113</v>
      </c>
      <c r="D118" s="672" t="s">
        <v>125</v>
      </c>
      <c r="E118" s="673">
        <v>43433.35083333333</v>
      </c>
    </row>
    <row r="119" spans="1:5">
      <c r="A119" s="672">
        <v>14584</v>
      </c>
      <c r="B119" s="672" t="s">
        <v>153</v>
      </c>
      <c r="C119" s="672" t="s">
        <v>113</v>
      </c>
      <c r="D119" s="672" t="s">
        <v>126</v>
      </c>
      <c r="E119" s="673">
        <v>43433.76898148148</v>
      </c>
    </row>
    <row r="120" spans="1:5">
      <c r="A120" s="672">
        <v>14585</v>
      </c>
      <c r="B120" s="672" t="s">
        <v>153</v>
      </c>
      <c r="C120" s="672" t="s">
        <v>113</v>
      </c>
      <c r="D120" s="672" t="s">
        <v>127</v>
      </c>
      <c r="E120" s="673">
        <v>43433.76902777778</v>
      </c>
    </row>
    <row r="121" spans="1:5">
      <c r="A121" s="672">
        <v>14592</v>
      </c>
      <c r="B121" s="672" t="s">
        <v>153</v>
      </c>
      <c r="C121" s="672" t="s">
        <v>113</v>
      </c>
      <c r="D121" s="672" t="s">
        <v>128</v>
      </c>
      <c r="E121" s="673">
        <v>43433.810983796298</v>
      </c>
    </row>
    <row r="122" spans="1:5">
      <c r="A122" s="672">
        <v>14597</v>
      </c>
      <c r="B122" s="672" t="s">
        <v>113</v>
      </c>
      <c r="C122" s="672" t="s">
        <v>113</v>
      </c>
      <c r="D122" s="672" t="s">
        <v>125</v>
      </c>
      <c r="E122" s="673">
        <v>43434.354618055557</v>
      </c>
    </row>
    <row r="123" spans="1:5">
      <c r="A123" s="672">
        <v>14607</v>
      </c>
      <c r="B123" s="672" t="s">
        <v>153</v>
      </c>
      <c r="C123" s="672" t="s">
        <v>113</v>
      </c>
      <c r="D123" s="672" t="s">
        <v>126</v>
      </c>
      <c r="E123" s="673">
        <v>43434.755682870367</v>
      </c>
    </row>
    <row r="124" spans="1:5">
      <c r="A124" s="672">
        <v>14056</v>
      </c>
      <c r="B124" s="672" t="s">
        <v>10</v>
      </c>
      <c r="C124" s="672" t="s">
        <v>10</v>
      </c>
      <c r="D124" s="672" t="s">
        <v>125</v>
      </c>
      <c r="E124" s="673">
        <v>43405.360393518517</v>
      </c>
    </row>
    <row r="125" spans="1:5">
      <c r="A125" s="672">
        <v>14069</v>
      </c>
      <c r="B125" s="672" t="s">
        <v>10</v>
      </c>
      <c r="C125" s="672" t="s">
        <v>10</v>
      </c>
      <c r="D125" s="672" t="s">
        <v>126</v>
      </c>
      <c r="E125" s="673">
        <v>43405.777187500003</v>
      </c>
    </row>
    <row r="126" spans="1:5">
      <c r="A126" s="672">
        <v>14080</v>
      </c>
      <c r="B126" s="672" t="s">
        <v>77</v>
      </c>
      <c r="C126" s="672" t="s">
        <v>10</v>
      </c>
      <c r="D126" s="672" t="s">
        <v>125</v>
      </c>
      <c r="E126" s="673">
        <v>43406.372824074075</v>
      </c>
    </row>
    <row r="127" spans="1:5">
      <c r="A127" s="672">
        <v>14093</v>
      </c>
      <c r="B127" s="672" t="s">
        <v>10</v>
      </c>
      <c r="C127" s="672" t="s">
        <v>10</v>
      </c>
      <c r="D127" s="672" t="s">
        <v>126</v>
      </c>
      <c r="E127" s="673">
        <v>43406.775358796294</v>
      </c>
    </row>
    <row r="128" spans="1:5">
      <c r="A128" s="672">
        <v>14103</v>
      </c>
      <c r="B128" s="672" t="s">
        <v>10</v>
      </c>
      <c r="C128" s="672" t="s">
        <v>10</v>
      </c>
      <c r="D128" s="672" t="s">
        <v>125</v>
      </c>
      <c r="E128" s="673">
        <v>43409.359513888892</v>
      </c>
    </row>
    <row r="129" spans="1:5">
      <c r="A129" s="672">
        <v>14120</v>
      </c>
      <c r="B129" s="672" t="s">
        <v>10</v>
      </c>
      <c r="C129" s="672" t="s">
        <v>10</v>
      </c>
      <c r="D129" s="672" t="s">
        <v>126</v>
      </c>
      <c r="E129" s="673">
        <v>43409.786817129629</v>
      </c>
    </row>
    <row r="130" spans="1:5">
      <c r="A130" s="672">
        <v>14126</v>
      </c>
      <c r="B130" s="672" t="s">
        <v>10</v>
      </c>
      <c r="C130" s="672" t="s">
        <v>10</v>
      </c>
      <c r="D130" s="672" t="s">
        <v>125</v>
      </c>
      <c r="E130" s="673">
        <v>43410.358680555553</v>
      </c>
    </row>
    <row r="131" spans="1:5">
      <c r="A131" s="672">
        <v>14143</v>
      </c>
      <c r="B131" s="672" t="s">
        <v>10</v>
      </c>
      <c r="C131" s="672" t="s">
        <v>10</v>
      </c>
      <c r="D131" s="672" t="s">
        <v>126</v>
      </c>
      <c r="E131" s="673">
        <v>43410.808622685188</v>
      </c>
    </row>
    <row r="132" spans="1:5">
      <c r="A132" s="672">
        <v>14147</v>
      </c>
      <c r="B132" s="672" t="s">
        <v>10</v>
      </c>
      <c r="C132" s="672" t="s">
        <v>10</v>
      </c>
      <c r="D132" s="672" t="s">
        <v>125</v>
      </c>
      <c r="E132" s="673">
        <v>43411.356493055559</v>
      </c>
    </row>
    <row r="133" spans="1:5">
      <c r="A133" s="672">
        <v>14155</v>
      </c>
      <c r="B133" s="672" t="s">
        <v>10</v>
      </c>
      <c r="C133" s="672" t="s">
        <v>10</v>
      </c>
      <c r="D133" s="672" t="s">
        <v>126</v>
      </c>
      <c r="E133" s="673">
        <v>43411.769062500003</v>
      </c>
    </row>
    <row r="134" spans="1:5">
      <c r="A134" s="672">
        <v>14169</v>
      </c>
      <c r="B134" s="672" t="s">
        <v>77</v>
      </c>
      <c r="C134" s="672" t="s">
        <v>10</v>
      </c>
      <c r="D134" s="672" t="s">
        <v>125</v>
      </c>
      <c r="E134" s="673">
        <v>43412.363541666666</v>
      </c>
    </row>
    <row r="135" spans="1:5">
      <c r="A135" s="672">
        <v>14185</v>
      </c>
      <c r="B135" s="672" t="s">
        <v>10</v>
      </c>
      <c r="C135" s="672" t="s">
        <v>10</v>
      </c>
      <c r="D135" s="672" t="s">
        <v>126</v>
      </c>
      <c r="E135" s="673">
        <v>43412.793865740743</v>
      </c>
    </row>
    <row r="136" spans="1:5">
      <c r="A136" s="672">
        <v>14192</v>
      </c>
      <c r="B136" s="672" t="s">
        <v>77</v>
      </c>
      <c r="C136" s="672" t="s">
        <v>10</v>
      </c>
      <c r="D136" s="672" t="s">
        <v>125</v>
      </c>
      <c r="E136" s="673">
        <v>43413.357754629629</v>
      </c>
    </row>
    <row r="137" spans="1:5" s="674" customFormat="1">
      <c r="A137" s="672">
        <v>14209</v>
      </c>
      <c r="B137" s="672" t="s">
        <v>10</v>
      </c>
      <c r="C137" s="672" t="s">
        <v>10</v>
      </c>
      <c r="D137" s="672" t="s">
        <v>126</v>
      </c>
      <c r="E137" s="673">
        <v>43413.784097222226</v>
      </c>
    </row>
    <row r="138" spans="1:5" s="674" customFormat="1">
      <c r="A138" s="672">
        <v>14219</v>
      </c>
      <c r="B138" s="672" t="s">
        <v>10</v>
      </c>
      <c r="C138" s="672" t="s">
        <v>10</v>
      </c>
      <c r="D138" s="672" t="s">
        <v>125</v>
      </c>
      <c r="E138" s="673">
        <v>43416.364374999997</v>
      </c>
    </row>
    <row r="139" spans="1:5">
      <c r="A139" s="672">
        <v>14230</v>
      </c>
      <c r="B139" s="672" t="s">
        <v>10</v>
      </c>
      <c r="C139" s="672" t="s">
        <v>10</v>
      </c>
      <c r="D139" s="672" t="s">
        <v>126</v>
      </c>
      <c r="E139" s="673">
        <v>43416.83421296296</v>
      </c>
    </row>
    <row r="140" spans="1:5">
      <c r="A140" s="672">
        <v>14237</v>
      </c>
      <c r="B140" s="672" t="s">
        <v>10</v>
      </c>
      <c r="C140" s="672" t="s">
        <v>10</v>
      </c>
      <c r="D140" s="672" t="s">
        <v>125</v>
      </c>
      <c r="E140" s="673">
        <v>43417.360312500001</v>
      </c>
    </row>
    <row r="141" spans="1:5">
      <c r="A141" s="672">
        <v>14262</v>
      </c>
      <c r="B141" s="672" t="s">
        <v>10</v>
      </c>
      <c r="C141" s="672" t="s">
        <v>10</v>
      </c>
      <c r="D141" s="672" t="s">
        <v>126</v>
      </c>
      <c r="E141" s="673">
        <v>43417.818182870367</v>
      </c>
    </row>
    <row r="142" spans="1:5">
      <c r="A142" s="672">
        <v>14267</v>
      </c>
      <c r="B142" s="672" t="s">
        <v>10</v>
      </c>
      <c r="C142" s="672" t="s">
        <v>10</v>
      </c>
      <c r="D142" s="672" t="s">
        <v>125</v>
      </c>
      <c r="E142" s="673">
        <v>43418.357916666668</v>
      </c>
    </row>
    <row r="143" spans="1:5">
      <c r="A143" s="672">
        <v>14277</v>
      </c>
      <c r="B143" s="672" t="s">
        <v>10</v>
      </c>
      <c r="C143" s="672" t="s">
        <v>10</v>
      </c>
      <c r="D143" s="672" t="s">
        <v>126</v>
      </c>
      <c r="E143" s="673">
        <v>43418.764618055553</v>
      </c>
    </row>
    <row r="144" spans="1:5">
      <c r="A144" s="672">
        <v>14289</v>
      </c>
      <c r="B144" s="672" t="s">
        <v>10</v>
      </c>
      <c r="C144" s="672" t="s">
        <v>10</v>
      </c>
      <c r="D144" s="672" t="s">
        <v>125</v>
      </c>
      <c r="E144" s="673">
        <v>43419.365173611113</v>
      </c>
    </row>
    <row r="145" spans="1:5">
      <c r="A145" s="672">
        <v>14311</v>
      </c>
      <c r="B145" s="672" t="s">
        <v>10</v>
      </c>
      <c r="C145" s="672" t="s">
        <v>10</v>
      </c>
      <c r="D145" s="672" t="s">
        <v>126</v>
      </c>
      <c r="E145" s="673">
        <v>43419.849629629629</v>
      </c>
    </row>
    <row r="146" spans="1:5">
      <c r="A146" s="672">
        <v>14317</v>
      </c>
      <c r="B146" s="672" t="s">
        <v>10</v>
      </c>
      <c r="C146" s="672" t="s">
        <v>10</v>
      </c>
      <c r="D146" s="672" t="s">
        <v>125</v>
      </c>
      <c r="E146" s="673">
        <v>43420.354363425926</v>
      </c>
    </row>
    <row r="147" spans="1:5">
      <c r="A147" s="672">
        <v>14325</v>
      </c>
      <c r="B147" s="672" t="s">
        <v>10</v>
      </c>
      <c r="C147" s="672" t="s">
        <v>10</v>
      </c>
      <c r="D147" s="672" t="s">
        <v>126</v>
      </c>
      <c r="E147" s="673">
        <v>43420.538900462961</v>
      </c>
    </row>
    <row r="148" spans="1:5">
      <c r="A148" s="672">
        <v>14345</v>
      </c>
      <c r="B148" s="672" t="s">
        <v>77</v>
      </c>
      <c r="C148" s="672" t="s">
        <v>10</v>
      </c>
      <c r="D148" s="672" t="s">
        <v>125</v>
      </c>
      <c r="E148" s="673">
        <v>43423.363969907405</v>
      </c>
    </row>
    <row r="149" spans="1:5">
      <c r="A149" s="672">
        <v>14363</v>
      </c>
      <c r="B149" s="672" t="s">
        <v>10</v>
      </c>
      <c r="C149" s="672" t="s">
        <v>10</v>
      </c>
      <c r="D149" s="672" t="s">
        <v>126</v>
      </c>
      <c r="E149" s="673">
        <v>43423.843136574076</v>
      </c>
    </row>
    <row r="150" spans="1:5">
      <c r="A150" s="672">
        <v>14366</v>
      </c>
      <c r="B150" s="672" t="s">
        <v>10</v>
      </c>
      <c r="C150" s="672" t="s">
        <v>10</v>
      </c>
      <c r="D150" s="672" t="s">
        <v>125</v>
      </c>
      <c r="E150" s="673">
        <v>43424.357222222221</v>
      </c>
    </row>
    <row r="151" spans="1:5">
      <c r="A151" s="672">
        <v>14390</v>
      </c>
      <c r="B151" s="672" t="s">
        <v>10</v>
      </c>
      <c r="C151" s="672" t="s">
        <v>10</v>
      </c>
      <c r="D151" s="672" t="s">
        <v>126</v>
      </c>
      <c r="E151" s="673">
        <v>43424.843761574077</v>
      </c>
    </row>
    <row r="152" spans="1:5">
      <c r="A152" s="672">
        <v>14424</v>
      </c>
      <c r="B152" s="672" t="s">
        <v>10</v>
      </c>
      <c r="C152" s="672" t="s">
        <v>10</v>
      </c>
      <c r="D152" s="672" t="s">
        <v>125</v>
      </c>
      <c r="E152" s="673">
        <v>43426.359502314815</v>
      </c>
    </row>
    <row r="153" spans="1:5">
      <c r="A153" s="672">
        <v>14445</v>
      </c>
      <c r="B153" s="672" t="s">
        <v>10</v>
      </c>
      <c r="C153" s="672" t="s">
        <v>10</v>
      </c>
      <c r="D153" s="672" t="s">
        <v>126</v>
      </c>
      <c r="E153" s="673">
        <v>43426.815625000003</v>
      </c>
    </row>
    <row r="154" spans="1:5">
      <c r="A154" s="672">
        <v>14449</v>
      </c>
      <c r="B154" s="672" t="s">
        <v>10</v>
      </c>
      <c r="C154" s="672" t="s">
        <v>10</v>
      </c>
      <c r="D154" s="672" t="s">
        <v>125</v>
      </c>
      <c r="E154" s="673">
        <v>43427.35359953704</v>
      </c>
    </row>
    <row r="155" spans="1:5">
      <c r="A155" s="672">
        <v>14476</v>
      </c>
      <c r="B155" s="672" t="s">
        <v>10</v>
      </c>
      <c r="C155" s="672" t="s">
        <v>10</v>
      </c>
      <c r="D155" s="672" t="s">
        <v>126</v>
      </c>
      <c r="E155" s="673">
        <v>43427.781354166669</v>
      </c>
    </row>
    <row r="156" spans="1:5">
      <c r="A156" s="672">
        <v>14484</v>
      </c>
      <c r="B156" s="672" t="s">
        <v>10</v>
      </c>
      <c r="C156" s="672" t="s">
        <v>10</v>
      </c>
      <c r="D156" s="672" t="s">
        <v>125</v>
      </c>
      <c r="E156" s="673">
        <v>43430.362233796295</v>
      </c>
    </row>
    <row r="157" spans="1:5">
      <c r="A157" s="672">
        <v>14503</v>
      </c>
      <c r="B157" s="672" t="s">
        <v>10</v>
      </c>
      <c r="C157" s="672" t="s">
        <v>10</v>
      </c>
      <c r="D157" s="672" t="s">
        <v>126</v>
      </c>
      <c r="E157" s="673">
        <v>43430.82303240741</v>
      </c>
    </row>
    <row r="158" spans="1:5">
      <c r="A158" s="672">
        <v>14507</v>
      </c>
      <c r="B158" s="672" t="s">
        <v>10</v>
      </c>
      <c r="C158" s="672" t="s">
        <v>10</v>
      </c>
      <c r="D158" s="672" t="s">
        <v>125</v>
      </c>
      <c r="E158" s="673">
        <v>43431.35765046296</v>
      </c>
    </row>
    <row r="159" spans="1:5">
      <c r="A159" s="672">
        <v>14530</v>
      </c>
      <c r="B159" s="672" t="s">
        <v>10</v>
      </c>
      <c r="C159" s="672" t="s">
        <v>10</v>
      </c>
      <c r="D159" s="672" t="s">
        <v>126</v>
      </c>
      <c r="E159" s="673">
        <v>43431.796724537038</v>
      </c>
    </row>
    <row r="160" spans="1:5">
      <c r="A160" s="672">
        <v>14536</v>
      </c>
      <c r="B160" s="672" t="s">
        <v>10</v>
      </c>
      <c r="C160" s="672" t="s">
        <v>10</v>
      </c>
      <c r="D160" s="672" t="s">
        <v>125</v>
      </c>
      <c r="E160" s="673">
        <v>43432.348460648151</v>
      </c>
    </row>
    <row r="161" spans="1:5">
      <c r="A161" s="672">
        <v>14544</v>
      </c>
      <c r="B161" s="672" t="s">
        <v>10</v>
      </c>
      <c r="C161" s="672" t="s">
        <v>10</v>
      </c>
      <c r="D161" s="672" t="s">
        <v>126</v>
      </c>
      <c r="E161" s="673">
        <v>43432.511192129627</v>
      </c>
    </row>
    <row r="162" spans="1:5">
      <c r="A162" s="672">
        <v>14571</v>
      </c>
      <c r="B162" s="672" t="s">
        <v>10</v>
      </c>
      <c r="C162" s="672" t="s">
        <v>10</v>
      </c>
      <c r="D162" s="672" t="s">
        <v>125</v>
      </c>
      <c r="E162" s="673">
        <v>43433.360150462962</v>
      </c>
    </row>
    <row r="163" spans="1:5">
      <c r="A163" s="672">
        <v>14593</v>
      </c>
      <c r="B163" s="672" t="s">
        <v>10</v>
      </c>
      <c r="C163" s="672" t="s">
        <v>10</v>
      </c>
      <c r="D163" s="672" t="s">
        <v>126</v>
      </c>
      <c r="E163" s="673">
        <v>43433.818969907406</v>
      </c>
    </row>
    <row r="164" spans="1:5">
      <c r="A164" s="672">
        <v>14598</v>
      </c>
      <c r="B164" s="672" t="s">
        <v>10</v>
      </c>
      <c r="C164" s="672" t="s">
        <v>10</v>
      </c>
      <c r="D164" s="672" t="s">
        <v>125</v>
      </c>
      <c r="E164" s="673">
        <v>43434.355381944442</v>
      </c>
    </row>
    <row r="165" spans="1:5">
      <c r="A165" s="672">
        <v>14622</v>
      </c>
      <c r="B165" s="672" t="s">
        <v>10</v>
      </c>
      <c r="C165" s="672" t="s">
        <v>10</v>
      </c>
      <c r="D165" s="672" t="s">
        <v>126</v>
      </c>
      <c r="E165" s="673">
        <v>43434.793356481481</v>
      </c>
    </row>
    <row r="166" spans="1:5">
      <c r="A166" s="672">
        <v>14059</v>
      </c>
      <c r="B166" s="672" t="s">
        <v>108</v>
      </c>
      <c r="C166" s="672" t="s">
        <v>108</v>
      </c>
      <c r="D166" s="672" t="s">
        <v>125</v>
      </c>
      <c r="E166" s="673">
        <v>43405.361898148149</v>
      </c>
    </row>
    <row r="167" spans="1:5">
      <c r="A167" s="672">
        <v>14068</v>
      </c>
      <c r="B167" s="672" t="s">
        <v>109</v>
      </c>
      <c r="C167" s="672" t="s">
        <v>108</v>
      </c>
      <c r="D167" s="672" t="s">
        <v>126</v>
      </c>
      <c r="E167" s="673">
        <v>43405.770543981482</v>
      </c>
    </row>
    <row r="168" spans="1:5">
      <c r="A168" s="672">
        <v>14077</v>
      </c>
      <c r="B168" s="672" t="s">
        <v>108</v>
      </c>
      <c r="C168" s="672" t="s">
        <v>108</v>
      </c>
      <c r="D168" s="672" t="s">
        <v>125</v>
      </c>
      <c r="E168" s="673">
        <v>43406.36341435185</v>
      </c>
    </row>
    <row r="169" spans="1:5">
      <c r="A169" s="672">
        <v>14087</v>
      </c>
      <c r="B169" s="672" t="s">
        <v>109</v>
      </c>
      <c r="C169" s="672" t="s">
        <v>108</v>
      </c>
      <c r="D169" s="672" t="s">
        <v>126</v>
      </c>
      <c r="E169" s="673">
        <v>43406.770636574074</v>
      </c>
    </row>
    <row r="170" spans="1:5">
      <c r="A170" s="672">
        <v>14088</v>
      </c>
      <c r="B170" s="672" t="s">
        <v>109</v>
      </c>
      <c r="C170" s="672" t="s">
        <v>108</v>
      </c>
      <c r="D170" s="672" t="s">
        <v>127</v>
      </c>
      <c r="E170" s="673">
        <v>43406.77065972222</v>
      </c>
    </row>
    <row r="171" spans="1:5">
      <c r="A171" s="672">
        <v>14095</v>
      </c>
      <c r="B171" s="672" t="s">
        <v>109</v>
      </c>
      <c r="C171" s="672" t="s">
        <v>108</v>
      </c>
      <c r="D171" s="672" t="s">
        <v>128</v>
      </c>
      <c r="E171" s="673">
        <v>43406.780092592591</v>
      </c>
    </row>
    <row r="172" spans="1:5">
      <c r="A172" s="672">
        <v>14102</v>
      </c>
      <c r="B172" s="672" t="s">
        <v>108</v>
      </c>
      <c r="C172" s="672" t="s">
        <v>108</v>
      </c>
      <c r="D172" s="672" t="s">
        <v>125</v>
      </c>
      <c r="E172" s="673">
        <v>43409.359456018516</v>
      </c>
    </row>
    <row r="173" spans="1:5">
      <c r="A173" s="672">
        <v>14109</v>
      </c>
      <c r="B173" s="672" t="s">
        <v>108</v>
      </c>
      <c r="C173" s="672" t="s">
        <v>108</v>
      </c>
      <c r="D173" s="672" t="s">
        <v>126</v>
      </c>
      <c r="E173" s="673">
        <v>43409.759247685186</v>
      </c>
    </row>
    <row r="174" spans="1:5">
      <c r="A174" s="672">
        <v>14131</v>
      </c>
      <c r="B174" s="672" t="s">
        <v>108</v>
      </c>
      <c r="C174" s="672" t="s">
        <v>108</v>
      </c>
      <c r="D174" s="672" t="s">
        <v>125</v>
      </c>
      <c r="E174" s="673">
        <v>43410.364259259259</v>
      </c>
    </row>
    <row r="175" spans="1:5">
      <c r="A175" s="672">
        <v>14134</v>
      </c>
      <c r="B175" s="672" t="s">
        <v>109</v>
      </c>
      <c r="C175" s="672" t="s">
        <v>108</v>
      </c>
      <c r="D175" s="672" t="s">
        <v>126</v>
      </c>
      <c r="E175" s="673">
        <v>43410.767442129632</v>
      </c>
    </row>
    <row r="176" spans="1:5">
      <c r="A176" s="672">
        <v>14135</v>
      </c>
      <c r="B176" s="672" t="s">
        <v>109</v>
      </c>
      <c r="C176" s="672" t="s">
        <v>108</v>
      </c>
      <c r="D176" s="672" t="s">
        <v>127</v>
      </c>
      <c r="E176" s="673">
        <v>43410.768969907411</v>
      </c>
    </row>
    <row r="177" spans="1:5">
      <c r="A177" s="672">
        <v>14144</v>
      </c>
      <c r="B177" s="672" t="s">
        <v>109</v>
      </c>
      <c r="C177" s="672" t="s">
        <v>108</v>
      </c>
      <c r="D177" s="672" t="s">
        <v>128</v>
      </c>
      <c r="E177" s="673">
        <v>43410.814421296294</v>
      </c>
    </row>
    <row r="178" spans="1:5">
      <c r="A178" s="672">
        <v>14150</v>
      </c>
      <c r="B178" s="672" t="s">
        <v>109</v>
      </c>
      <c r="C178" s="672" t="s">
        <v>108</v>
      </c>
      <c r="D178" s="672" t="s">
        <v>125</v>
      </c>
      <c r="E178" s="673">
        <v>43411.362141203703</v>
      </c>
    </row>
    <row r="179" spans="1:5">
      <c r="A179" s="672">
        <v>14153</v>
      </c>
      <c r="B179" s="672" t="s">
        <v>108</v>
      </c>
      <c r="C179" s="672" t="s">
        <v>108</v>
      </c>
      <c r="D179" s="672" t="s">
        <v>126</v>
      </c>
      <c r="E179" s="673">
        <v>43411.759652777779</v>
      </c>
    </row>
    <row r="180" spans="1:5">
      <c r="A180" s="672">
        <v>14168</v>
      </c>
      <c r="B180" s="672" t="s">
        <v>145</v>
      </c>
      <c r="C180" s="672" t="s">
        <v>108</v>
      </c>
      <c r="D180" s="672" t="s">
        <v>125</v>
      </c>
      <c r="E180" s="673">
        <v>43412.362361111111</v>
      </c>
    </row>
    <row r="181" spans="1:5">
      <c r="A181" s="672">
        <v>14175</v>
      </c>
      <c r="B181" s="672" t="s">
        <v>108</v>
      </c>
      <c r="C181" s="672" t="s">
        <v>108</v>
      </c>
      <c r="D181" s="672" t="s">
        <v>126</v>
      </c>
      <c r="E181" s="673">
        <v>43412.767777777779</v>
      </c>
    </row>
    <row r="182" spans="1:5">
      <c r="A182" s="672">
        <v>14195</v>
      </c>
      <c r="B182" s="672" t="s">
        <v>109</v>
      </c>
      <c r="C182" s="672" t="s">
        <v>108</v>
      </c>
      <c r="D182" s="672" t="s">
        <v>125</v>
      </c>
      <c r="E182" s="673">
        <v>43413.363564814812</v>
      </c>
    </row>
    <row r="183" spans="1:5">
      <c r="A183" s="672">
        <v>14206</v>
      </c>
      <c r="B183" s="672" t="s">
        <v>109</v>
      </c>
      <c r="C183" s="672" t="s">
        <v>108</v>
      </c>
      <c r="D183" s="672" t="s">
        <v>126</v>
      </c>
      <c r="E183" s="673">
        <v>43413.773541666669</v>
      </c>
    </row>
    <row r="184" spans="1:5">
      <c r="A184" s="672">
        <v>14216</v>
      </c>
      <c r="B184" s="672" t="s">
        <v>108</v>
      </c>
      <c r="C184" s="672" t="s">
        <v>108</v>
      </c>
      <c r="D184" s="672" t="s">
        <v>125</v>
      </c>
      <c r="E184" s="673">
        <v>43416.361504629633</v>
      </c>
    </row>
    <row r="185" spans="1:5">
      <c r="A185" s="672">
        <v>14222</v>
      </c>
      <c r="B185" s="672" t="s">
        <v>108</v>
      </c>
      <c r="C185" s="672" t="s">
        <v>108</v>
      </c>
      <c r="D185" s="672" t="s">
        <v>126</v>
      </c>
      <c r="E185" s="673">
        <v>43416.765127314815</v>
      </c>
    </row>
    <row r="186" spans="1:5" s="677" customFormat="1">
      <c r="A186" s="672">
        <v>14239</v>
      </c>
      <c r="B186" s="672" t="s">
        <v>108</v>
      </c>
      <c r="C186" s="672" t="s">
        <v>108</v>
      </c>
      <c r="D186" s="672" t="s">
        <v>125</v>
      </c>
      <c r="E186" s="673">
        <v>43417.361944444441</v>
      </c>
    </row>
    <row r="187" spans="1:5">
      <c r="A187" s="672">
        <v>14245</v>
      </c>
      <c r="B187" s="672" t="s">
        <v>108</v>
      </c>
      <c r="C187" s="672" t="s">
        <v>108</v>
      </c>
      <c r="D187" s="672" t="s">
        <v>126</v>
      </c>
      <c r="E187" s="673">
        <v>43417.762743055559</v>
      </c>
    </row>
    <row r="188" spans="1:5">
      <c r="A188" s="672">
        <v>14270</v>
      </c>
      <c r="B188" s="672" t="s">
        <v>108</v>
      </c>
      <c r="C188" s="672" t="s">
        <v>108</v>
      </c>
      <c r="D188" s="672" t="s">
        <v>125</v>
      </c>
      <c r="E188" s="673">
        <v>43418.362245370372</v>
      </c>
    </row>
    <row r="189" spans="1:5">
      <c r="A189" s="672">
        <v>14276</v>
      </c>
      <c r="B189" s="672" t="s">
        <v>109</v>
      </c>
      <c r="C189" s="672" t="s">
        <v>108</v>
      </c>
      <c r="D189" s="672" t="s">
        <v>126</v>
      </c>
      <c r="E189" s="673">
        <v>43418.764513888891</v>
      </c>
    </row>
    <row r="190" spans="1:5">
      <c r="A190" s="672">
        <v>14287</v>
      </c>
      <c r="B190" s="672" t="s">
        <v>108</v>
      </c>
      <c r="C190" s="672" t="s">
        <v>108</v>
      </c>
      <c r="D190" s="672" t="s">
        <v>125</v>
      </c>
      <c r="E190" s="673">
        <v>43419.361944444441</v>
      </c>
    </row>
    <row r="191" spans="1:5">
      <c r="A191" s="672">
        <v>14294</v>
      </c>
      <c r="B191" s="672" t="s">
        <v>109</v>
      </c>
      <c r="C191" s="672" t="s">
        <v>108</v>
      </c>
      <c r="D191" s="672" t="s">
        <v>126</v>
      </c>
      <c r="E191" s="673">
        <v>43419.766597222224</v>
      </c>
    </row>
    <row r="192" spans="1:5">
      <c r="A192" s="672">
        <v>14295</v>
      </c>
      <c r="B192" s="672" t="s">
        <v>109</v>
      </c>
      <c r="C192" s="672" t="s">
        <v>108</v>
      </c>
      <c r="D192" s="672" t="s">
        <v>127</v>
      </c>
      <c r="E192" s="673">
        <v>43419.76666666667</v>
      </c>
    </row>
    <row r="193" spans="1:5">
      <c r="A193" s="672">
        <v>14306</v>
      </c>
      <c r="B193" s="672" t="s">
        <v>109</v>
      </c>
      <c r="C193" s="672" t="s">
        <v>108</v>
      </c>
      <c r="D193" s="672" t="s">
        <v>128</v>
      </c>
      <c r="E193" s="673">
        <v>43419.812650462962</v>
      </c>
    </row>
    <row r="194" spans="1:5">
      <c r="A194" s="672">
        <v>14316</v>
      </c>
      <c r="B194" s="672" t="s">
        <v>108</v>
      </c>
      <c r="C194" s="672" t="s">
        <v>108</v>
      </c>
      <c r="D194" s="672" t="s">
        <v>125</v>
      </c>
      <c r="E194" s="673">
        <v>43420.353229166663</v>
      </c>
    </row>
    <row r="195" spans="1:5">
      <c r="A195" s="672">
        <v>14324</v>
      </c>
      <c r="B195" s="672" t="s">
        <v>109</v>
      </c>
      <c r="C195" s="672" t="s">
        <v>108</v>
      </c>
      <c r="D195" s="672" t="s">
        <v>126</v>
      </c>
      <c r="E195" s="673">
        <v>43420.518182870372</v>
      </c>
    </row>
    <row r="196" spans="1:5">
      <c r="A196" s="672">
        <v>14344</v>
      </c>
      <c r="B196" s="672" t="s">
        <v>109</v>
      </c>
      <c r="C196" s="672" t="s">
        <v>108</v>
      </c>
      <c r="D196" s="672" t="s">
        <v>125</v>
      </c>
      <c r="E196" s="673">
        <v>43423.363912037035</v>
      </c>
    </row>
    <row r="197" spans="1:5">
      <c r="A197" s="672">
        <v>14352</v>
      </c>
      <c r="B197" s="672" t="s">
        <v>109</v>
      </c>
      <c r="C197" s="672" t="s">
        <v>108</v>
      </c>
      <c r="D197" s="672" t="s">
        <v>126</v>
      </c>
      <c r="E197" s="673">
        <v>43423.763935185183</v>
      </c>
    </row>
    <row r="198" spans="1:5">
      <c r="A198" s="672">
        <v>14368</v>
      </c>
      <c r="B198" s="672" t="s">
        <v>108</v>
      </c>
      <c r="C198" s="672" t="s">
        <v>108</v>
      </c>
      <c r="D198" s="672" t="s">
        <v>125</v>
      </c>
      <c r="E198" s="673">
        <v>43424.36215277778</v>
      </c>
    </row>
    <row r="199" spans="1:5">
      <c r="A199" s="672">
        <v>14377</v>
      </c>
      <c r="B199" s="672" t="s">
        <v>108</v>
      </c>
      <c r="C199" s="672" t="s">
        <v>108</v>
      </c>
      <c r="D199" s="672" t="s">
        <v>126</v>
      </c>
      <c r="E199" s="673">
        <v>43424.760243055556</v>
      </c>
    </row>
    <row r="200" spans="1:5">
      <c r="A200" s="672">
        <v>14398</v>
      </c>
      <c r="B200" s="672" t="s">
        <v>108</v>
      </c>
      <c r="C200" s="672" t="s">
        <v>108</v>
      </c>
      <c r="D200" s="672" t="s">
        <v>125</v>
      </c>
      <c r="E200" s="673">
        <v>43425.36109953704</v>
      </c>
    </row>
    <row r="201" spans="1:5">
      <c r="A201" s="672">
        <v>14403</v>
      </c>
      <c r="B201" s="672" t="s">
        <v>109</v>
      </c>
      <c r="C201" s="672" t="s">
        <v>108</v>
      </c>
      <c r="D201" s="672" t="s">
        <v>126</v>
      </c>
      <c r="E201" s="673">
        <v>43425.767361111109</v>
      </c>
    </row>
    <row r="202" spans="1:5">
      <c r="A202" s="672">
        <v>14404</v>
      </c>
      <c r="B202" s="672" t="s">
        <v>109</v>
      </c>
      <c r="C202" s="672" t="s">
        <v>108</v>
      </c>
      <c r="D202" s="672" t="s">
        <v>127</v>
      </c>
      <c r="E202" s="673">
        <v>43425.767372685186</v>
      </c>
    </row>
    <row r="203" spans="1:5">
      <c r="A203" s="672">
        <v>14412</v>
      </c>
      <c r="B203" s="672" t="s">
        <v>109</v>
      </c>
      <c r="C203" s="672" t="s">
        <v>108</v>
      </c>
      <c r="D203" s="672" t="s">
        <v>128</v>
      </c>
      <c r="E203" s="673">
        <v>43425.790995370371</v>
      </c>
    </row>
    <row r="204" spans="1:5">
      <c r="A204" s="672">
        <v>14417</v>
      </c>
      <c r="B204" s="672" t="s">
        <v>109</v>
      </c>
      <c r="C204" s="672" t="s">
        <v>108</v>
      </c>
      <c r="D204" s="672" t="s">
        <v>127</v>
      </c>
      <c r="E204" s="673">
        <v>43425.831909722219</v>
      </c>
    </row>
    <row r="205" spans="1:5">
      <c r="A205" s="672">
        <v>14418</v>
      </c>
      <c r="B205" s="672" t="s">
        <v>108</v>
      </c>
      <c r="C205" s="672" t="s">
        <v>108</v>
      </c>
      <c r="D205" s="672" t="s">
        <v>128</v>
      </c>
      <c r="E205" s="673">
        <v>43425.889560185184</v>
      </c>
    </row>
    <row r="206" spans="1:5">
      <c r="A206" s="672">
        <v>14427</v>
      </c>
      <c r="B206" s="672" t="s">
        <v>109</v>
      </c>
      <c r="C206" s="672" t="s">
        <v>108</v>
      </c>
      <c r="D206" s="672" t="s">
        <v>125</v>
      </c>
      <c r="E206" s="673">
        <v>43426.364629629628</v>
      </c>
    </row>
    <row r="207" spans="1:5">
      <c r="A207" s="672">
        <v>14430</v>
      </c>
      <c r="B207" s="672" t="s">
        <v>108</v>
      </c>
      <c r="C207" s="672" t="s">
        <v>108</v>
      </c>
      <c r="D207" s="672" t="s">
        <v>126</v>
      </c>
      <c r="E207" s="673">
        <v>43426.76189814815</v>
      </c>
    </row>
    <row r="208" spans="1:5">
      <c r="A208" s="672">
        <v>14435</v>
      </c>
      <c r="B208" s="672" t="s">
        <v>108</v>
      </c>
      <c r="C208" s="672" t="s">
        <v>108</v>
      </c>
      <c r="D208" s="672" t="s">
        <v>127</v>
      </c>
      <c r="E208" s="673">
        <v>43426.769120370373</v>
      </c>
    </row>
    <row r="209" spans="1:13">
      <c r="A209" s="672">
        <v>14442</v>
      </c>
      <c r="B209" s="672" t="s">
        <v>108</v>
      </c>
      <c r="C209" s="672" t="s">
        <v>108</v>
      </c>
      <c r="D209" s="672" t="s">
        <v>128</v>
      </c>
      <c r="E209" s="673">
        <v>43426.780312499999</v>
      </c>
    </row>
    <row r="210" spans="1:13">
      <c r="A210" s="672">
        <v>14459</v>
      </c>
      <c r="B210" s="672" t="s">
        <v>109</v>
      </c>
      <c r="C210" s="672" t="s">
        <v>108</v>
      </c>
      <c r="D210" s="672" t="s">
        <v>125</v>
      </c>
      <c r="E210" s="673">
        <v>43427.368263888886</v>
      </c>
    </row>
    <row r="211" spans="1:13">
      <c r="A211" s="672">
        <v>14473</v>
      </c>
      <c r="B211" s="672" t="s">
        <v>109</v>
      </c>
      <c r="C211" s="672" t="s">
        <v>108</v>
      </c>
      <c r="D211" s="672" t="s">
        <v>126</v>
      </c>
      <c r="E211" s="673">
        <v>43427.773923611108</v>
      </c>
    </row>
    <row r="212" spans="1:13">
      <c r="A212" s="672">
        <v>14483</v>
      </c>
      <c r="B212" s="672" t="s">
        <v>108</v>
      </c>
      <c r="C212" s="672" t="s">
        <v>108</v>
      </c>
      <c r="D212" s="672" t="s">
        <v>125</v>
      </c>
      <c r="E212" s="673">
        <v>43430.361261574071</v>
      </c>
    </row>
    <row r="213" spans="1:13">
      <c r="A213" s="672">
        <v>14492</v>
      </c>
      <c r="B213" s="672" t="s">
        <v>109</v>
      </c>
      <c r="C213" s="672" t="s">
        <v>108</v>
      </c>
      <c r="D213" s="672" t="s">
        <v>126</v>
      </c>
      <c r="E213" s="673">
        <v>43430.761238425926</v>
      </c>
    </row>
    <row r="214" spans="1:13">
      <c r="A214" s="672">
        <v>14511</v>
      </c>
      <c r="B214" s="672" t="s">
        <v>108</v>
      </c>
      <c r="C214" s="672" t="s">
        <v>108</v>
      </c>
      <c r="D214" s="672" t="s">
        <v>125</v>
      </c>
      <c r="E214" s="673">
        <v>43431.363240740742</v>
      </c>
    </row>
    <row r="215" spans="1:13">
      <c r="A215" s="672">
        <v>14517</v>
      </c>
      <c r="B215" s="672" t="s">
        <v>108</v>
      </c>
      <c r="C215" s="672" t="s">
        <v>108</v>
      </c>
      <c r="D215" s="672" t="s">
        <v>126</v>
      </c>
      <c r="E215" s="673">
        <v>43431.763506944444</v>
      </c>
    </row>
    <row r="216" spans="1:13">
      <c r="A216" s="672">
        <v>14518</v>
      </c>
      <c r="B216" s="672" t="s">
        <v>108</v>
      </c>
      <c r="C216" s="672" t="s">
        <v>108</v>
      </c>
      <c r="D216" s="672" t="s">
        <v>127</v>
      </c>
      <c r="E216" s="673">
        <v>43431.763518518521</v>
      </c>
    </row>
    <row r="217" spans="1:13">
      <c r="A217" s="672">
        <v>14533</v>
      </c>
      <c r="B217" s="672" t="s">
        <v>109</v>
      </c>
      <c r="C217" s="672" t="s">
        <v>108</v>
      </c>
      <c r="D217" s="672" t="s">
        <v>128</v>
      </c>
      <c r="E217" s="673">
        <v>43431.842268518521</v>
      </c>
    </row>
    <row r="218" spans="1:13">
      <c r="A218" s="672">
        <v>14541</v>
      </c>
      <c r="B218" s="672" t="s">
        <v>108</v>
      </c>
      <c r="C218" s="672" t="s">
        <v>108</v>
      </c>
      <c r="D218" s="672" t="s">
        <v>125</v>
      </c>
      <c r="E218" s="673">
        <v>43432.359699074077</v>
      </c>
    </row>
    <row r="219" spans="1:13">
      <c r="A219" s="672">
        <v>14550</v>
      </c>
      <c r="B219" s="672" t="s">
        <v>108</v>
      </c>
      <c r="C219" s="672" t="s">
        <v>108</v>
      </c>
      <c r="D219" s="672" t="s">
        <v>126</v>
      </c>
      <c r="E219" s="673">
        <v>43432.764479166668</v>
      </c>
    </row>
    <row r="220" spans="1:13">
      <c r="A220" s="672">
        <v>14553</v>
      </c>
      <c r="B220" s="672" t="s">
        <v>109</v>
      </c>
      <c r="C220" s="672" t="s">
        <v>108</v>
      </c>
      <c r="D220" s="672" t="s">
        <v>127</v>
      </c>
      <c r="E220" s="673">
        <v>43432.768726851849</v>
      </c>
    </row>
    <row r="221" spans="1:13">
      <c r="A221" s="672">
        <v>14565</v>
      </c>
      <c r="B221" s="672" t="s">
        <v>109</v>
      </c>
      <c r="C221" s="672" t="s">
        <v>108</v>
      </c>
      <c r="D221" s="672" t="s">
        <v>128</v>
      </c>
      <c r="E221" s="673">
        <v>43432.872997685183</v>
      </c>
    </row>
    <row r="222" spans="1:13">
      <c r="A222" s="672">
        <v>14572</v>
      </c>
      <c r="B222" s="672" t="s">
        <v>108</v>
      </c>
      <c r="C222" s="672" t="s">
        <v>108</v>
      </c>
      <c r="D222" s="672" t="s">
        <v>125</v>
      </c>
      <c r="E222" s="673">
        <v>43433.360208333332</v>
      </c>
    </row>
    <row r="223" spans="1:13">
      <c r="A223" s="672">
        <v>14580</v>
      </c>
      <c r="B223" s="672" t="s">
        <v>109</v>
      </c>
      <c r="C223" s="672" t="s">
        <v>108</v>
      </c>
      <c r="D223" s="672" t="s">
        <v>126</v>
      </c>
      <c r="E223" s="673">
        <v>43433.766006944446</v>
      </c>
    </row>
    <row r="224" spans="1:13">
      <c r="A224" s="672">
        <v>14602</v>
      </c>
      <c r="B224" s="672" t="s">
        <v>108</v>
      </c>
      <c r="C224" s="672" t="s">
        <v>108</v>
      </c>
      <c r="D224" s="672" t="s">
        <v>125</v>
      </c>
      <c r="E224" s="673">
        <v>43434.361979166664</v>
      </c>
      <c r="I224" s="678"/>
      <c r="J224" s="678"/>
      <c r="K224" s="678"/>
      <c r="L224" s="678"/>
      <c r="M224" s="679"/>
    </row>
    <row r="225" spans="1:13">
      <c r="A225" s="672">
        <v>14608</v>
      </c>
      <c r="B225" s="672" t="s">
        <v>109</v>
      </c>
      <c r="C225" s="672" t="s">
        <v>108</v>
      </c>
      <c r="D225" s="672" t="s">
        <v>126</v>
      </c>
      <c r="E225" s="673">
        <v>43434.760821759257</v>
      </c>
      <c r="I225" s="678"/>
      <c r="J225" s="678"/>
      <c r="K225" s="678"/>
      <c r="L225" s="678"/>
      <c r="M225" s="679"/>
    </row>
    <row r="226" spans="1:13">
      <c r="A226" s="672">
        <v>14609</v>
      </c>
      <c r="B226" s="672" t="s">
        <v>109</v>
      </c>
      <c r="C226" s="672" t="s">
        <v>108</v>
      </c>
      <c r="D226" s="672" t="s">
        <v>127</v>
      </c>
      <c r="E226" s="673">
        <v>43434.760844907411</v>
      </c>
      <c r="I226" s="678"/>
      <c r="J226" s="678"/>
      <c r="K226" s="678"/>
      <c r="L226" s="678"/>
      <c r="M226" s="679"/>
    </row>
    <row r="227" spans="1:13">
      <c r="A227" s="672">
        <v>14628</v>
      </c>
      <c r="B227" s="672" t="s">
        <v>109</v>
      </c>
      <c r="C227" s="672" t="s">
        <v>108</v>
      </c>
      <c r="D227" s="672" t="s">
        <v>128</v>
      </c>
      <c r="E227" s="673">
        <v>43434.865034722221</v>
      </c>
      <c r="I227" s="678"/>
      <c r="J227" s="678"/>
      <c r="K227" s="678"/>
      <c r="L227" s="678"/>
      <c r="M227" s="679"/>
    </row>
    <row r="228" spans="1:13">
      <c r="A228" s="672">
        <v>14072</v>
      </c>
      <c r="B228" s="672" t="s">
        <v>147</v>
      </c>
      <c r="C228" s="672" t="s">
        <v>147</v>
      </c>
      <c r="D228" s="672" t="s">
        <v>125</v>
      </c>
      <c r="E228" s="673">
        <v>43406.350138888891</v>
      </c>
    </row>
    <row r="229" spans="1:13">
      <c r="A229" s="672">
        <v>14094</v>
      </c>
      <c r="B229" s="672" t="s">
        <v>147</v>
      </c>
      <c r="C229" s="672" t="s">
        <v>147</v>
      </c>
      <c r="D229" s="672" t="s">
        <v>126</v>
      </c>
      <c r="E229" s="673">
        <v>43406.778611111113</v>
      </c>
    </row>
    <row r="230" spans="1:13">
      <c r="A230" s="672">
        <v>14098</v>
      </c>
      <c r="B230" s="672" t="s">
        <v>147</v>
      </c>
      <c r="C230" s="672" t="s">
        <v>147</v>
      </c>
      <c r="D230" s="672" t="s">
        <v>125</v>
      </c>
      <c r="E230" s="673">
        <v>43409.348958333336</v>
      </c>
    </row>
    <row r="231" spans="1:13">
      <c r="A231" s="672">
        <v>14111</v>
      </c>
      <c r="B231" s="672" t="s">
        <v>147</v>
      </c>
      <c r="C231" s="672" t="s">
        <v>147</v>
      </c>
      <c r="D231" s="672" t="s">
        <v>126</v>
      </c>
      <c r="E231" s="673">
        <v>43409.764085648145</v>
      </c>
    </row>
    <row r="232" spans="1:13">
      <c r="A232" s="672">
        <v>14127</v>
      </c>
      <c r="B232" s="672" t="s">
        <v>147</v>
      </c>
      <c r="C232" s="672" t="s">
        <v>147</v>
      </c>
      <c r="D232" s="672" t="s">
        <v>125</v>
      </c>
      <c r="E232" s="673">
        <v>43410.358796296299</v>
      </c>
    </row>
    <row r="233" spans="1:13">
      <c r="A233" s="672">
        <v>14138</v>
      </c>
      <c r="B233" s="672" t="s">
        <v>147</v>
      </c>
      <c r="C233" s="672" t="s">
        <v>147</v>
      </c>
      <c r="D233" s="672" t="s">
        <v>126</v>
      </c>
      <c r="E233" s="673">
        <v>43410.776238425926</v>
      </c>
    </row>
    <row r="234" spans="1:13">
      <c r="A234" s="672">
        <v>14164</v>
      </c>
      <c r="B234" s="672" t="s">
        <v>147</v>
      </c>
      <c r="C234" s="672" t="s">
        <v>147</v>
      </c>
      <c r="D234" s="672" t="s">
        <v>125</v>
      </c>
      <c r="E234" s="673">
        <v>43412.353842592594</v>
      </c>
    </row>
    <row r="235" spans="1:13">
      <c r="A235" s="672">
        <v>14179</v>
      </c>
      <c r="B235" s="672" t="s">
        <v>147</v>
      </c>
      <c r="C235" s="672" t="s">
        <v>147</v>
      </c>
      <c r="D235" s="672" t="s">
        <v>126</v>
      </c>
      <c r="E235" s="673">
        <v>43412.770972222221</v>
      </c>
    </row>
    <row r="236" spans="1:13">
      <c r="A236" s="672">
        <v>14191</v>
      </c>
      <c r="B236" s="672" t="s">
        <v>147</v>
      </c>
      <c r="C236" s="672" t="s">
        <v>147</v>
      </c>
      <c r="D236" s="672" t="s">
        <v>125</v>
      </c>
      <c r="E236" s="673">
        <v>43413.356087962966</v>
      </c>
    </row>
    <row r="237" spans="1:13">
      <c r="A237" s="672">
        <v>14200</v>
      </c>
      <c r="B237" s="672" t="s">
        <v>147</v>
      </c>
      <c r="C237" s="672" t="s">
        <v>147</v>
      </c>
      <c r="D237" s="672" t="s">
        <v>126</v>
      </c>
      <c r="E237" s="673">
        <v>43413.75980324074</v>
      </c>
    </row>
    <row r="238" spans="1:13">
      <c r="A238" s="672">
        <v>14234</v>
      </c>
      <c r="B238" s="672" t="s">
        <v>147</v>
      </c>
      <c r="C238" s="672" t="s">
        <v>147</v>
      </c>
      <c r="D238" s="672" t="s">
        <v>125</v>
      </c>
      <c r="E238" s="673">
        <v>43417.356608796297</v>
      </c>
    </row>
    <row r="239" spans="1:13">
      <c r="A239" s="672">
        <v>14248</v>
      </c>
      <c r="B239" s="672" t="s">
        <v>147</v>
      </c>
      <c r="C239" s="672" t="s">
        <v>147</v>
      </c>
      <c r="D239" s="672" t="s">
        <v>126</v>
      </c>
      <c r="E239" s="673">
        <v>43417.764409722222</v>
      </c>
    </row>
    <row r="240" spans="1:13">
      <c r="A240" s="672">
        <v>14257</v>
      </c>
      <c r="B240" s="672" t="s">
        <v>147</v>
      </c>
      <c r="C240" s="672" t="s">
        <v>147</v>
      </c>
      <c r="D240" s="672" t="s">
        <v>127</v>
      </c>
      <c r="E240" s="673">
        <v>43417.778564814813</v>
      </c>
    </row>
    <row r="241" spans="1:5">
      <c r="A241" s="672">
        <v>14265</v>
      </c>
      <c r="B241" s="672" t="s">
        <v>147</v>
      </c>
      <c r="C241" s="672" t="s">
        <v>147</v>
      </c>
      <c r="D241" s="672" t="s">
        <v>128</v>
      </c>
      <c r="E241" s="673">
        <v>43417.828159722223</v>
      </c>
    </row>
    <row r="242" spans="1:5">
      <c r="A242" s="672">
        <v>14284</v>
      </c>
      <c r="B242" s="672" t="s">
        <v>148</v>
      </c>
      <c r="C242" s="672" t="s">
        <v>147</v>
      </c>
      <c r="D242" s="672" t="s">
        <v>125</v>
      </c>
      <c r="E242" s="673">
        <v>43419.353368055556</v>
      </c>
    </row>
    <row r="243" spans="1:5">
      <c r="A243" s="672">
        <v>14291</v>
      </c>
      <c r="B243" s="672" t="s">
        <v>147</v>
      </c>
      <c r="C243" s="672" t="s">
        <v>147</v>
      </c>
      <c r="D243" s="672" t="s">
        <v>126</v>
      </c>
      <c r="E243" s="673">
        <v>43419.764837962961</v>
      </c>
    </row>
    <row r="244" spans="1:5">
      <c r="A244" s="672">
        <v>14302</v>
      </c>
      <c r="B244" s="672" t="s">
        <v>147</v>
      </c>
      <c r="C244" s="672" t="s">
        <v>147</v>
      </c>
      <c r="D244" s="672" t="s">
        <v>127</v>
      </c>
      <c r="E244" s="673">
        <v>43419.780300925922</v>
      </c>
    </row>
    <row r="245" spans="1:5">
      <c r="A245" s="672">
        <v>14310</v>
      </c>
      <c r="B245" s="672" t="s">
        <v>147</v>
      </c>
      <c r="C245" s="672" t="s">
        <v>147</v>
      </c>
      <c r="D245" s="672" t="s">
        <v>128</v>
      </c>
      <c r="E245" s="673">
        <v>43419.834097222221</v>
      </c>
    </row>
    <row r="246" spans="1:5">
      <c r="A246" s="672">
        <v>14315</v>
      </c>
      <c r="B246" s="672" t="s">
        <v>147</v>
      </c>
      <c r="C246" s="672" t="s">
        <v>147</v>
      </c>
      <c r="D246" s="672" t="s">
        <v>125</v>
      </c>
      <c r="E246" s="673">
        <v>43420.352962962963</v>
      </c>
    </row>
    <row r="247" spans="1:5">
      <c r="A247" s="672">
        <v>14335</v>
      </c>
      <c r="B247" s="672" t="s">
        <v>147</v>
      </c>
      <c r="C247" s="672" t="s">
        <v>147</v>
      </c>
      <c r="D247" s="672" t="s">
        <v>126</v>
      </c>
      <c r="E247" s="673">
        <v>43420.765451388892</v>
      </c>
    </row>
    <row r="248" spans="1:5">
      <c r="A248" s="672">
        <v>14371</v>
      </c>
      <c r="B248" s="672" t="s">
        <v>147</v>
      </c>
      <c r="C248" s="672" t="s">
        <v>147</v>
      </c>
      <c r="D248" s="672" t="s">
        <v>125</v>
      </c>
      <c r="E248" s="673">
        <v>43424.363541666666</v>
      </c>
    </row>
    <row r="249" spans="1:5">
      <c r="A249" s="672">
        <v>14378</v>
      </c>
      <c r="B249" s="672" t="s">
        <v>147</v>
      </c>
      <c r="C249" s="672" t="s">
        <v>147</v>
      </c>
      <c r="D249" s="672" t="s">
        <v>126</v>
      </c>
      <c r="E249" s="673">
        <v>43424.763287037036</v>
      </c>
    </row>
    <row r="250" spans="1:5">
      <c r="A250" s="672">
        <v>14392</v>
      </c>
      <c r="B250" s="672" t="s">
        <v>147</v>
      </c>
      <c r="C250" s="672" t="s">
        <v>147</v>
      </c>
      <c r="D250" s="672" t="s">
        <v>125</v>
      </c>
      <c r="E250" s="673">
        <v>43425.349594907406</v>
      </c>
    </row>
    <row r="251" spans="1:5">
      <c r="A251" s="672">
        <v>14406</v>
      </c>
      <c r="B251" s="672" t="s">
        <v>147</v>
      </c>
      <c r="C251" s="672" t="s">
        <v>147</v>
      </c>
      <c r="D251" s="672" t="s">
        <v>126</v>
      </c>
      <c r="E251" s="673">
        <v>43425.768865740742</v>
      </c>
    </row>
    <row r="252" spans="1:5">
      <c r="A252" s="672">
        <v>14425</v>
      </c>
      <c r="B252" s="672" t="s">
        <v>147</v>
      </c>
      <c r="C252" s="672" t="s">
        <v>147</v>
      </c>
      <c r="D252" s="672" t="s">
        <v>125</v>
      </c>
      <c r="E252" s="673">
        <v>43426.360555555555</v>
      </c>
    </row>
    <row r="253" spans="1:5">
      <c r="A253" s="672">
        <v>14436</v>
      </c>
      <c r="B253" s="672" t="s">
        <v>147</v>
      </c>
      <c r="C253" s="672" t="s">
        <v>147</v>
      </c>
      <c r="D253" s="672" t="s">
        <v>126</v>
      </c>
      <c r="E253" s="673">
        <v>43426.769930555558</v>
      </c>
    </row>
    <row r="254" spans="1:5">
      <c r="A254" s="672">
        <v>14438</v>
      </c>
      <c r="B254" s="672" t="s">
        <v>147</v>
      </c>
      <c r="C254" s="672" t="s">
        <v>147</v>
      </c>
      <c r="D254" s="672" t="s">
        <v>127</v>
      </c>
      <c r="E254" s="673">
        <v>43426.771747685183</v>
      </c>
    </row>
    <row r="255" spans="1:5">
      <c r="A255" s="672">
        <v>14444</v>
      </c>
      <c r="B255" s="672" t="s">
        <v>147</v>
      </c>
      <c r="C255" s="672" t="s">
        <v>147</v>
      </c>
      <c r="D255" s="672" t="s">
        <v>128</v>
      </c>
      <c r="E255" s="673">
        <v>43426.803622685184</v>
      </c>
    </row>
    <row r="256" spans="1:5">
      <c r="A256" s="672">
        <v>14453</v>
      </c>
      <c r="B256" s="672" t="s">
        <v>147</v>
      </c>
      <c r="C256" s="672" t="s">
        <v>147</v>
      </c>
      <c r="D256" s="672" t="s">
        <v>125</v>
      </c>
      <c r="E256" s="673">
        <v>43427.358298611114</v>
      </c>
    </row>
    <row r="257" spans="1:5">
      <c r="A257" s="672">
        <v>14462</v>
      </c>
      <c r="B257" s="672" t="s">
        <v>147</v>
      </c>
      <c r="C257" s="672" t="s">
        <v>147</v>
      </c>
      <c r="D257" s="672" t="s">
        <v>177</v>
      </c>
      <c r="E257" s="673">
        <v>43427.676354166666</v>
      </c>
    </row>
    <row r="258" spans="1:5">
      <c r="A258" s="672">
        <v>14463</v>
      </c>
      <c r="B258" s="672" t="s">
        <v>147</v>
      </c>
      <c r="C258" s="672" t="s">
        <v>147</v>
      </c>
      <c r="D258" s="672" t="s">
        <v>155</v>
      </c>
      <c r="E258" s="673">
        <v>43427.695914351854</v>
      </c>
    </row>
    <row r="259" spans="1:5">
      <c r="A259" s="672">
        <v>14466</v>
      </c>
      <c r="B259" s="672" t="s">
        <v>147</v>
      </c>
      <c r="C259" s="672" t="s">
        <v>147</v>
      </c>
      <c r="D259" s="672" t="s">
        <v>126</v>
      </c>
      <c r="E259" s="673">
        <v>43427.761203703703</v>
      </c>
    </row>
    <row r="260" spans="1:5">
      <c r="A260" s="672">
        <v>14482</v>
      </c>
      <c r="B260" s="672" t="s">
        <v>147</v>
      </c>
      <c r="C260" s="672" t="s">
        <v>147</v>
      </c>
      <c r="D260" s="672" t="s">
        <v>125</v>
      </c>
      <c r="E260" s="673">
        <v>43430.360439814816</v>
      </c>
    </row>
    <row r="261" spans="1:5">
      <c r="A261" s="672">
        <v>14489</v>
      </c>
      <c r="B261" s="672" t="s">
        <v>148</v>
      </c>
      <c r="C261" s="672" t="s">
        <v>147</v>
      </c>
      <c r="D261" s="672" t="s">
        <v>126</v>
      </c>
      <c r="E261" s="673">
        <v>43430.508344907408</v>
      </c>
    </row>
    <row r="262" spans="1:5">
      <c r="A262" s="672">
        <v>14506</v>
      </c>
      <c r="B262" s="672" t="s">
        <v>147</v>
      </c>
      <c r="C262" s="672" t="s">
        <v>147</v>
      </c>
      <c r="D262" s="672" t="s">
        <v>125</v>
      </c>
      <c r="E262" s="673">
        <v>43431.356273148151</v>
      </c>
    </row>
    <row r="263" spans="1:5">
      <c r="A263" s="672">
        <v>14522</v>
      </c>
      <c r="B263" s="672" t="s">
        <v>148</v>
      </c>
      <c r="C263" s="672" t="s">
        <v>147</v>
      </c>
      <c r="D263" s="672" t="s">
        <v>126</v>
      </c>
      <c r="E263" s="673">
        <v>43431.768576388888</v>
      </c>
    </row>
    <row r="264" spans="1:5">
      <c r="A264" s="672">
        <v>14529</v>
      </c>
      <c r="B264" s="672" t="s">
        <v>148</v>
      </c>
      <c r="C264" s="672" t="s">
        <v>147</v>
      </c>
      <c r="D264" s="672" t="s">
        <v>127</v>
      </c>
      <c r="E264" s="673">
        <v>43431.788148148145</v>
      </c>
    </row>
    <row r="265" spans="1:5">
      <c r="A265" s="672">
        <v>14534</v>
      </c>
      <c r="B265" s="672" t="s">
        <v>148</v>
      </c>
      <c r="C265" s="672" t="s">
        <v>147</v>
      </c>
      <c r="D265" s="672" t="s">
        <v>128</v>
      </c>
      <c r="E265" s="673">
        <v>43431.874050925922</v>
      </c>
    </row>
    <row r="266" spans="1:5">
      <c r="A266" s="672">
        <v>14538</v>
      </c>
      <c r="B266" s="672" t="s">
        <v>147</v>
      </c>
      <c r="C266" s="672" t="s">
        <v>147</v>
      </c>
      <c r="D266" s="672" t="s">
        <v>125</v>
      </c>
      <c r="E266" s="673">
        <v>43432.35428240741</v>
      </c>
    </row>
    <row r="267" spans="1:5">
      <c r="A267" s="672">
        <v>14554</v>
      </c>
      <c r="B267" s="672" t="s">
        <v>147</v>
      </c>
      <c r="C267" s="672" t="s">
        <v>147</v>
      </c>
      <c r="D267" s="672" t="s">
        <v>126</v>
      </c>
      <c r="E267" s="673">
        <v>43432.771157407406</v>
      </c>
    </row>
    <row r="268" spans="1:5">
      <c r="A268" s="672">
        <v>14555</v>
      </c>
      <c r="B268" s="672" t="s">
        <v>147</v>
      </c>
      <c r="C268" s="672" t="s">
        <v>147</v>
      </c>
      <c r="D268" s="672" t="s">
        <v>127</v>
      </c>
      <c r="E268" s="673">
        <v>43432.771203703705</v>
      </c>
    </row>
    <row r="269" spans="1:5">
      <c r="A269" s="672">
        <v>14563</v>
      </c>
      <c r="B269" s="672" t="s">
        <v>147</v>
      </c>
      <c r="C269" s="672" t="s">
        <v>147</v>
      </c>
      <c r="D269" s="672" t="s">
        <v>128</v>
      </c>
      <c r="E269" s="673">
        <v>43432.819085648145</v>
      </c>
    </row>
    <row r="270" spans="1:5">
      <c r="A270" s="672">
        <v>14574</v>
      </c>
      <c r="B270" s="672" t="s">
        <v>147</v>
      </c>
      <c r="C270" s="672" t="s">
        <v>147</v>
      </c>
      <c r="D270" s="672" t="s">
        <v>125</v>
      </c>
      <c r="E270" s="673">
        <v>43433.362291666665</v>
      </c>
    </row>
    <row r="271" spans="1:5">
      <c r="A271" s="672">
        <v>14586</v>
      </c>
      <c r="B271" s="672" t="s">
        <v>147</v>
      </c>
      <c r="C271" s="672" t="s">
        <v>147</v>
      </c>
      <c r="D271" s="672" t="s">
        <v>126</v>
      </c>
      <c r="E271" s="673">
        <v>43433.771909722222</v>
      </c>
    </row>
    <row r="272" spans="1:5">
      <c r="A272" s="672">
        <v>14587</v>
      </c>
      <c r="B272" s="672" t="s">
        <v>147</v>
      </c>
      <c r="C272" s="672" t="s">
        <v>147</v>
      </c>
      <c r="D272" s="672" t="s">
        <v>127</v>
      </c>
      <c r="E272" s="673">
        <v>43433.771956018521</v>
      </c>
    </row>
    <row r="273" spans="1:5">
      <c r="A273" s="672">
        <v>14590</v>
      </c>
      <c r="B273" s="672" t="s">
        <v>147</v>
      </c>
      <c r="C273" s="672" t="s">
        <v>147</v>
      </c>
      <c r="D273" s="672" t="s">
        <v>128</v>
      </c>
      <c r="E273" s="673">
        <v>43433.785416666666</v>
      </c>
    </row>
    <row r="274" spans="1:5">
      <c r="A274" s="672">
        <v>14599</v>
      </c>
      <c r="B274" s="672" t="s">
        <v>147</v>
      </c>
      <c r="C274" s="672" t="s">
        <v>147</v>
      </c>
      <c r="D274" s="672" t="s">
        <v>125</v>
      </c>
      <c r="E274" s="673">
        <v>43434.357951388891</v>
      </c>
    </row>
    <row r="275" spans="1:5">
      <c r="A275" s="672">
        <v>14620</v>
      </c>
      <c r="B275" s="672" t="s">
        <v>148</v>
      </c>
      <c r="C275" s="672" t="s">
        <v>147</v>
      </c>
      <c r="D275" s="672" t="s">
        <v>126</v>
      </c>
      <c r="E275" s="673">
        <v>43434.772222222222</v>
      </c>
    </row>
    <row r="276" spans="1:5">
      <c r="A276" s="672">
        <v>14058</v>
      </c>
      <c r="B276" s="672" t="s">
        <v>62</v>
      </c>
      <c r="C276" s="672" t="s">
        <v>62</v>
      </c>
      <c r="D276" s="672" t="s">
        <v>125</v>
      </c>
      <c r="E276" s="673">
        <v>43405.360856481479</v>
      </c>
    </row>
    <row r="277" spans="1:5">
      <c r="A277" s="672">
        <v>14063</v>
      </c>
      <c r="B277" s="672" t="s">
        <v>62</v>
      </c>
      <c r="C277" s="672" t="s">
        <v>62</v>
      </c>
      <c r="D277" s="672" t="s">
        <v>126</v>
      </c>
      <c r="E277" s="673">
        <v>43405.761331018519</v>
      </c>
    </row>
    <row r="278" spans="1:5">
      <c r="A278" s="672">
        <v>14064</v>
      </c>
      <c r="B278" s="672" t="s">
        <v>62</v>
      </c>
      <c r="C278" s="672" t="s">
        <v>62</v>
      </c>
      <c r="D278" s="672" t="s">
        <v>127</v>
      </c>
      <c r="E278" s="673">
        <v>43405.761354166665</v>
      </c>
    </row>
    <row r="279" spans="1:5">
      <c r="A279" s="672">
        <v>14070</v>
      </c>
      <c r="B279" s="672" t="s">
        <v>62</v>
      </c>
      <c r="C279" s="672" t="s">
        <v>62</v>
      </c>
      <c r="D279" s="672" t="s">
        <v>128</v>
      </c>
      <c r="E279" s="673">
        <v>43405.778020833335</v>
      </c>
    </row>
    <row r="280" spans="1:5">
      <c r="A280" s="672">
        <v>14079</v>
      </c>
      <c r="B280" s="672" t="s">
        <v>78</v>
      </c>
      <c r="C280" s="672" t="s">
        <v>62</v>
      </c>
      <c r="D280" s="672" t="s">
        <v>125</v>
      </c>
      <c r="E280" s="673">
        <v>43406.370775462965</v>
      </c>
    </row>
    <row r="281" spans="1:5">
      <c r="A281" s="672">
        <v>14082</v>
      </c>
      <c r="B281" s="672" t="s">
        <v>62</v>
      </c>
      <c r="C281" s="672" t="s">
        <v>62</v>
      </c>
      <c r="D281" s="672" t="s">
        <v>126</v>
      </c>
      <c r="E281" s="673">
        <v>43406.757916666669</v>
      </c>
    </row>
    <row r="282" spans="1:5">
      <c r="A282" s="672">
        <v>14083</v>
      </c>
      <c r="B282" s="672" t="s">
        <v>62</v>
      </c>
      <c r="C282" s="672" t="s">
        <v>62</v>
      </c>
      <c r="D282" s="672" t="s">
        <v>127</v>
      </c>
      <c r="E282" s="673">
        <v>43406.757928240739</v>
      </c>
    </row>
    <row r="283" spans="1:5">
      <c r="A283" s="672">
        <v>14086</v>
      </c>
      <c r="B283" s="672" t="s">
        <v>62</v>
      </c>
      <c r="C283" s="672" t="s">
        <v>62</v>
      </c>
      <c r="D283" s="672" t="s">
        <v>128</v>
      </c>
      <c r="E283" s="673">
        <v>43406.770532407405</v>
      </c>
    </row>
    <row r="284" spans="1:5">
      <c r="A284" s="672">
        <v>14104</v>
      </c>
      <c r="B284" s="672" t="s">
        <v>62</v>
      </c>
      <c r="C284" s="672" t="s">
        <v>62</v>
      </c>
      <c r="D284" s="672" t="s">
        <v>125</v>
      </c>
      <c r="E284" s="673">
        <v>43409.363321759258</v>
      </c>
    </row>
    <row r="285" spans="1:5">
      <c r="A285" s="672">
        <v>14110</v>
      </c>
      <c r="B285" s="672" t="s">
        <v>62</v>
      </c>
      <c r="C285" s="672" t="s">
        <v>62</v>
      </c>
      <c r="D285" s="672" t="s">
        <v>126</v>
      </c>
      <c r="E285" s="673">
        <v>43409.761099537034</v>
      </c>
    </row>
    <row r="286" spans="1:5">
      <c r="A286" s="672">
        <v>14119</v>
      </c>
      <c r="B286" s="672" t="s">
        <v>62</v>
      </c>
      <c r="C286" s="672" t="s">
        <v>62</v>
      </c>
      <c r="D286" s="672" t="s">
        <v>127</v>
      </c>
      <c r="E286" s="673">
        <v>43409.778680555559</v>
      </c>
    </row>
    <row r="287" spans="1:5">
      <c r="A287" s="672">
        <v>14121</v>
      </c>
      <c r="B287" s="672" t="s">
        <v>62</v>
      </c>
      <c r="C287" s="672" t="s">
        <v>62</v>
      </c>
      <c r="D287" s="672" t="s">
        <v>128</v>
      </c>
      <c r="E287" s="673">
        <v>43409.816446759258</v>
      </c>
    </row>
    <row r="288" spans="1:5">
      <c r="A288" s="672">
        <v>14124</v>
      </c>
      <c r="B288" s="672" t="s">
        <v>62</v>
      </c>
      <c r="C288" s="672" t="s">
        <v>62</v>
      </c>
      <c r="D288" s="672" t="s">
        <v>125</v>
      </c>
      <c r="E288" s="673">
        <v>43410.356817129628</v>
      </c>
    </row>
    <row r="289" spans="1:5">
      <c r="A289" s="672">
        <v>14136</v>
      </c>
      <c r="B289" s="672" t="s">
        <v>62</v>
      </c>
      <c r="C289" s="672" t="s">
        <v>62</v>
      </c>
      <c r="D289" s="672" t="s">
        <v>126</v>
      </c>
      <c r="E289" s="673">
        <v>43410.769861111112</v>
      </c>
    </row>
    <row r="290" spans="1:5">
      <c r="A290" s="672">
        <v>14142</v>
      </c>
      <c r="B290" s="672" t="s">
        <v>62</v>
      </c>
      <c r="C290" s="672" t="s">
        <v>62</v>
      </c>
      <c r="D290" s="672" t="s">
        <v>127</v>
      </c>
      <c r="E290" s="673">
        <v>43410.792361111111</v>
      </c>
    </row>
    <row r="291" spans="1:5">
      <c r="A291" s="672">
        <v>14145</v>
      </c>
      <c r="B291" s="672" t="s">
        <v>62</v>
      </c>
      <c r="C291" s="672" t="s">
        <v>62</v>
      </c>
      <c r="D291" s="672" t="s">
        <v>128</v>
      </c>
      <c r="E291" s="673">
        <v>43410.875127314815</v>
      </c>
    </row>
    <row r="292" spans="1:5">
      <c r="A292" s="672">
        <v>14152</v>
      </c>
      <c r="B292" s="672" t="s">
        <v>78</v>
      </c>
      <c r="C292" s="672" t="s">
        <v>62</v>
      </c>
      <c r="D292" s="672" t="s">
        <v>125</v>
      </c>
      <c r="E292" s="673">
        <v>43411.363622685189</v>
      </c>
    </row>
    <row r="293" spans="1:5">
      <c r="A293" s="672">
        <v>14156</v>
      </c>
      <c r="B293" s="672" t="s">
        <v>62</v>
      </c>
      <c r="C293" s="672" t="s">
        <v>62</v>
      </c>
      <c r="D293" s="672" t="s">
        <v>126</v>
      </c>
      <c r="E293" s="673">
        <v>43411.769560185188</v>
      </c>
    </row>
    <row r="294" spans="1:5">
      <c r="A294" s="672">
        <v>14157</v>
      </c>
      <c r="B294" s="672" t="s">
        <v>62</v>
      </c>
      <c r="C294" s="672" t="s">
        <v>62</v>
      </c>
      <c r="D294" s="672" t="s">
        <v>127</v>
      </c>
      <c r="E294" s="673">
        <v>43411.769571759258</v>
      </c>
    </row>
    <row r="295" spans="1:5">
      <c r="A295" s="672">
        <v>14161</v>
      </c>
      <c r="B295" s="672" t="s">
        <v>62</v>
      </c>
      <c r="C295" s="672" t="s">
        <v>62</v>
      </c>
      <c r="D295" s="672" t="s">
        <v>128</v>
      </c>
      <c r="E295" s="673">
        <v>43411.847430555557</v>
      </c>
    </row>
    <row r="296" spans="1:5">
      <c r="A296" s="672">
        <v>14167</v>
      </c>
      <c r="B296" s="672" t="s">
        <v>78</v>
      </c>
      <c r="C296" s="672" t="s">
        <v>62</v>
      </c>
      <c r="D296" s="672" t="s">
        <v>125</v>
      </c>
      <c r="E296" s="673">
        <v>43412.361608796295</v>
      </c>
    </row>
    <row r="297" spans="1:5">
      <c r="A297" s="672">
        <v>14173</v>
      </c>
      <c r="B297" s="672" t="s">
        <v>62</v>
      </c>
      <c r="C297" s="672" t="s">
        <v>62</v>
      </c>
      <c r="D297" s="672" t="s">
        <v>126</v>
      </c>
      <c r="E297" s="673">
        <v>43412.761840277781</v>
      </c>
    </row>
    <row r="298" spans="1:5">
      <c r="A298" s="672">
        <v>14182</v>
      </c>
      <c r="B298" s="672" t="s">
        <v>62</v>
      </c>
      <c r="C298" s="672" t="s">
        <v>62</v>
      </c>
      <c r="D298" s="672" t="s">
        <v>127</v>
      </c>
      <c r="E298" s="673">
        <v>43412.774085648147</v>
      </c>
    </row>
    <row r="299" spans="1:5">
      <c r="A299" s="672">
        <v>14184</v>
      </c>
      <c r="B299" s="672" t="s">
        <v>62</v>
      </c>
      <c r="C299" s="672" t="s">
        <v>62</v>
      </c>
      <c r="D299" s="672" t="s">
        <v>128</v>
      </c>
      <c r="E299" s="673">
        <v>43412.787997685184</v>
      </c>
    </row>
    <row r="300" spans="1:5">
      <c r="A300" s="672">
        <v>14196</v>
      </c>
      <c r="B300" s="672" t="s">
        <v>78</v>
      </c>
      <c r="C300" s="672" t="s">
        <v>62</v>
      </c>
      <c r="D300" s="672" t="s">
        <v>125</v>
      </c>
      <c r="E300" s="673">
        <v>43413.371608796297</v>
      </c>
    </row>
    <row r="301" spans="1:5">
      <c r="A301" s="672">
        <v>14201</v>
      </c>
      <c r="B301" s="672" t="s">
        <v>62</v>
      </c>
      <c r="C301" s="672" t="s">
        <v>62</v>
      </c>
      <c r="D301" s="672" t="s">
        <v>126</v>
      </c>
      <c r="E301" s="673">
        <v>43413.765034722222</v>
      </c>
    </row>
    <row r="302" spans="1:5">
      <c r="A302" s="672">
        <v>14202</v>
      </c>
      <c r="B302" s="672" t="s">
        <v>62</v>
      </c>
      <c r="C302" s="672" t="s">
        <v>62</v>
      </c>
      <c r="D302" s="672" t="s">
        <v>127</v>
      </c>
      <c r="E302" s="673">
        <v>43413.765046296299</v>
      </c>
    </row>
    <row r="303" spans="1:5">
      <c r="A303" s="672">
        <v>14210</v>
      </c>
      <c r="B303" s="672" t="s">
        <v>62</v>
      </c>
      <c r="C303" s="672" t="s">
        <v>62</v>
      </c>
      <c r="D303" s="672" t="s">
        <v>128</v>
      </c>
      <c r="E303" s="673">
        <v>43413.788935185185</v>
      </c>
    </row>
    <row r="304" spans="1:5">
      <c r="A304" s="672">
        <v>14217</v>
      </c>
      <c r="B304" s="672" t="s">
        <v>62</v>
      </c>
      <c r="C304" s="672" t="s">
        <v>62</v>
      </c>
      <c r="D304" s="672" t="s">
        <v>125</v>
      </c>
      <c r="E304" s="673">
        <v>43416.363576388889</v>
      </c>
    </row>
    <row r="305" spans="1:5">
      <c r="A305" s="672">
        <v>14224</v>
      </c>
      <c r="B305" s="672" t="s">
        <v>62</v>
      </c>
      <c r="C305" s="672" t="s">
        <v>62</v>
      </c>
      <c r="D305" s="672" t="s">
        <v>126</v>
      </c>
      <c r="E305" s="673">
        <v>43416.767013888886</v>
      </c>
    </row>
    <row r="306" spans="1:5">
      <c r="A306" s="672">
        <v>14225</v>
      </c>
      <c r="B306" s="672" t="s">
        <v>62</v>
      </c>
      <c r="C306" s="672" t="s">
        <v>62</v>
      </c>
      <c r="D306" s="672" t="s">
        <v>127</v>
      </c>
      <c r="E306" s="673">
        <v>43416.76703703704</v>
      </c>
    </row>
    <row r="307" spans="1:5">
      <c r="A307" s="672">
        <v>14229</v>
      </c>
      <c r="B307" s="672" t="s">
        <v>62</v>
      </c>
      <c r="C307" s="672" t="s">
        <v>62</v>
      </c>
      <c r="D307" s="672" t="s">
        <v>128</v>
      </c>
      <c r="E307" s="673">
        <v>43416.794999999998</v>
      </c>
    </row>
    <row r="308" spans="1:5">
      <c r="A308" s="672">
        <v>14241</v>
      </c>
      <c r="B308" s="672" t="s">
        <v>78</v>
      </c>
      <c r="C308" s="672" t="s">
        <v>62</v>
      </c>
      <c r="D308" s="672" t="s">
        <v>125</v>
      </c>
      <c r="E308" s="673">
        <v>43417.364918981482</v>
      </c>
    </row>
    <row r="309" spans="1:5">
      <c r="A309" s="672">
        <v>14254</v>
      </c>
      <c r="B309" s="672" t="s">
        <v>62</v>
      </c>
      <c r="C309" s="672" t="s">
        <v>62</v>
      </c>
      <c r="D309" s="672" t="s">
        <v>126</v>
      </c>
      <c r="E309" s="673">
        <v>43417.766655092593</v>
      </c>
    </row>
    <row r="310" spans="1:5">
      <c r="A310" s="672">
        <v>14255</v>
      </c>
      <c r="B310" s="672" t="s">
        <v>62</v>
      </c>
      <c r="C310" s="672" t="s">
        <v>62</v>
      </c>
      <c r="D310" s="672" t="s">
        <v>127</v>
      </c>
      <c r="E310" s="673">
        <v>43417.76667824074</v>
      </c>
    </row>
    <row r="311" spans="1:5">
      <c r="A311" s="672">
        <v>14260</v>
      </c>
      <c r="B311" s="672" t="s">
        <v>62</v>
      </c>
      <c r="C311" s="672" t="s">
        <v>62</v>
      </c>
      <c r="D311" s="672" t="s">
        <v>128</v>
      </c>
      <c r="E311" s="673">
        <v>43417.794328703705</v>
      </c>
    </row>
    <row r="312" spans="1:5">
      <c r="A312" s="672">
        <v>14272</v>
      </c>
      <c r="B312" s="672" t="s">
        <v>62</v>
      </c>
      <c r="C312" s="672" t="s">
        <v>62</v>
      </c>
      <c r="D312" s="672" t="s">
        <v>125</v>
      </c>
      <c r="E312" s="673">
        <v>43418.364918981482</v>
      </c>
    </row>
    <row r="313" spans="1:5">
      <c r="A313" s="672">
        <v>14278</v>
      </c>
      <c r="B313" s="672" t="s">
        <v>62</v>
      </c>
      <c r="C313" s="672" t="s">
        <v>62</v>
      </c>
      <c r="D313" s="672" t="s">
        <v>126</v>
      </c>
      <c r="E313" s="673">
        <v>43418.766516203701</v>
      </c>
    </row>
    <row r="314" spans="1:5">
      <c r="A314" s="672">
        <v>14279</v>
      </c>
      <c r="B314" s="672" t="s">
        <v>62</v>
      </c>
      <c r="C314" s="672" t="s">
        <v>62</v>
      </c>
      <c r="D314" s="672" t="s">
        <v>127</v>
      </c>
      <c r="E314" s="673">
        <v>43418.766527777778</v>
      </c>
    </row>
    <row r="315" spans="1:5">
      <c r="A315" s="672">
        <v>14281</v>
      </c>
      <c r="B315" s="672" t="s">
        <v>62</v>
      </c>
      <c r="C315" s="672" t="s">
        <v>62</v>
      </c>
      <c r="D315" s="672" t="s">
        <v>128</v>
      </c>
      <c r="E315" s="673">
        <v>43418.779363425929</v>
      </c>
    </row>
    <row r="316" spans="1:5">
      <c r="A316" s="672">
        <v>14290</v>
      </c>
      <c r="B316" s="672" t="s">
        <v>78</v>
      </c>
      <c r="C316" s="672" t="s">
        <v>62</v>
      </c>
      <c r="D316" s="672" t="s">
        <v>125</v>
      </c>
      <c r="E316" s="673">
        <v>43419.376331018517</v>
      </c>
    </row>
    <row r="317" spans="1:5">
      <c r="A317" s="672">
        <v>14292</v>
      </c>
      <c r="B317" s="672" t="s">
        <v>62</v>
      </c>
      <c r="C317" s="672" t="s">
        <v>62</v>
      </c>
      <c r="D317" s="672" t="s">
        <v>126</v>
      </c>
      <c r="E317" s="673">
        <v>43419.765798611108</v>
      </c>
    </row>
    <row r="318" spans="1:5">
      <c r="A318" s="672">
        <v>14293</v>
      </c>
      <c r="B318" s="672" t="s">
        <v>62</v>
      </c>
      <c r="C318" s="672" t="s">
        <v>62</v>
      </c>
      <c r="D318" s="672" t="s">
        <v>127</v>
      </c>
      <c r="E318" s="673">
        <v>43419.765810185185</v>
      </c>
    </row>
    <row r="319" spans="1:5">
      <c r="A319" s="672">
        <v>14312</v>
      </c>
      <c r="B319" s="672" t="s">
        <v>62</v>
      </c>
      <c r="C319" s="672" t="s">
        <v>62</v>
      </c>
      <c r="D319" s="672" t="s">
        <v>128</v>
      </c>
      <c r="E319" s="673">
        <v>43419.86146990741</v>
      </c>
    </row>
    <row r="320" spans="1:5">
      <c r="A320" s="672">
        <v>14321</v>
      </c>
      <c r="B320" s="672" t="s">
        <v>62</v>
      </c>
      <c r="C320" s="672" t="s">
        <v>62</v>
      </c>
      <c r="D320" s="672" t="s">
        <v>125</v>
      </c>
      <c r="E320" s="673">
        <v>43420.362615740742</v>
      </c>
    </row>
    <row r="321" spans="1:5">
      <c r="A321" s="672">
        <v>14327</v>
      </c>
      <c r="B321" s="672" t="s">
        <v>62</v>
      </c>
      <c r="C321" s="672" t="s">
        <v>62</v>
      </c>
      <c r="D321" s="672" t="s">
        <v>126</v>
      </c>
      <c r="E321" s="673">
        <v>43420.763449074075</v>
      </c>
    </row>
    <row r="322" spans="1:5">
      <c r="A322" s="672">
        <v>14328</v>
      </c>
      <c r="B322" s="672" t="s">
        <v>62</v>
      </c>
      <c r="C322" s="672" t="s">
        <v>62</v>
      </c>
      <c r="D322" s="672" t="s">
        <v>127</v>
      </c>
      <c r="E322" s="673">
        <v>43420.763460648152</v>
      </c>
    </row>
    <row r="323" spans="1:5">
      <c r="A323" s="672">
        <v>14340</v>
      </c>
      <c r="B323" s="672" t="s">
        <v>78</v>
      </c>
      <c r="C323" s="672" t="s">
        <v>62</v>
      </c>
      <c r="D323" s="672" t="s">
        <v>128</v>
      </c>
      <c r="E323" s="673">
        <v>43420.825115740743</v>
      </c>
    </row>
    <row r="324" spans="1:5">
      <c r="A324" s="672">
        <v>14348</v>
      </c>
      <c r="B324" s="672" t="s">
        <v>62</v>
      </c>
      <c r="C324" s="672" t="s">
        <v>62</v>
      </c>
      <c r="D324" s="672" t="s">
        <v>125</v>
      </c>
      <c r="E324" s="673">
        <v>43423.405127314814</v>
      </c>
    </row>
    <row r="325" spans="1:5">
      <c r="A325" s="672">
        <v>14353</v>
      </c>
      <c r="B325" s="672" t="s">
        <v>62</v>
      </c>
      <c r="C325" s="672" t="s">
        <v>62</v>
      </c>
      <c r="D325" s="672" t="s">
        <v>126</v>
      </c>
      <c r="E325" s="673">
        <v>43423.767731481479</v>
      </c>
    </row>
    <row r="326" spans="1:5">
      <c r="A326" s="672">
        <v>14354</v>
      </c>
      <c r="B326" s="672" t="s">
        <v>62</v>
      </c>
      <c r="C326" s="672" t="s">
        <v>62</v>
      </c>
      <c r="D326" s="672" t="s">
        <v>127</v>
      </c>
      <c r="E326" s="673">
        <v>43423.767743055556</v>
      </c>
    </row>
    <row r="327" spans="1:5">
      <c r="A327" s="672">
        <v>14359</v>
      </c>
      <c r="B327" s="672" t="s">
        <v>62</v>
      </c>
      <c r="C327" s="672" t="s">
        <v>62</v>
      </c>
      <c r="D327" s="672" t="s">
        <v>128</v>
      </c>
      <c r="E327" s="673">
        <v>43423.786631944444</v>
      </c>
    </row>
    <row r="328" spans="1:5">
      <c r="A328" s="672">
        <v>14370</v>
      </c>
      <c r="B328" s="672" t="s">
        <v>62</v>
      </c>
      <c r="C328" s="672" t="s">
        <v>62</v>
      </c>
      <c r="D328" s="672" t="s">
        <v>125</v>
      </c>
      <c r="E328" s="673">
        <v>43424.362905092596</v>
      </c>
    </row>
    <row r="329" spans="1:5">
      <c r="A329" s="672">
        <v>14383</v>
      </c>
      <c r="B329" s="672" t="s">
        <v>62</v>
      </c>
      <c r="C329" s="672" t="s">
        <v>62</v>
      </c>
      <c r="D329" s="672" t="s">
        <v>126</v>
      </c>
      <c r="E329" s="673">
        <v>43424.771053240744</v>
      </c>
    </row>
    <row r="330" spans="1:5">
      <c r="A330" s="672">
        <v>14399</v>
      </c>
      <c r="B330" s="672" t="s">
        <v>62</v>
      </c>
      <c r="C330" s="672" t="s">
        <v>62</v>
      </c>
      <c r="D330" s="672" t="s">
        <v>125</v>
      </c>
      <c r="E330" s="673">
        <v>43425.36310185185</v>
      </c>
    </row>
    <row r="331" spans="1:5">
      <c r="A331" s="672">
        <v>14409</v>
      </c>
      <c r="B331" s="672" t="s">
        <v>62</v>
      </c>
      <c r="C331" s="672" t="s">
        <v>62</v>
      </c>
      <c r="D331" s="672" t="s">
        <v>126</v>
      </c>
      <c r="E331" s="673">
        <v>43425.769201388888</v>
      </c>
    </row>
    <row r="332" spans="1:5">
      <c r="A332" s="672">
        <v>14410</v>
      </c>
      <c r="B332" s="672" t="s">
        <v>62</v>
      </c>
      <c r="C332" s="672" t="s">
        <v>62</v>
      </c>
      <c r="D332" s="672" t="s">
        <v>127</v>
      </c>
      <c r="E332" s="673">
        <v>43425.769212962965</v>
      </c>
    </row>
    <row r="333" spans="1:5">
      <c r="A333" s="672">
        <v>14413</v>
      </c>
      <c r="B333" s="672" t="s">
        <v>62</v>
      </c>
      <c r="C333" s="672" t="s">
        <v>62</v>
      </c>
      <c r="D333" s="672" t="s">
        <v>128</v>
      </c>
      <c r="E333" s="673">
        <v>43425.796701388892</v>
      </c>
    </row>
    <row r="334" spans="1:5">
      <c r="A334" s="672">
        <v>14416</v>
      </c>
      <c r="B334" s="672" t="s">
        <v>62</v>
      </c>
      <c r="C334" s="672" t="s">
        <v>62</v>
      </c>
      <c r="D334" s="672" t="s">
        <v>127</v>
      </c>
      <c r="E334" s="673">
        <v>43425.81585648148</v>
      </c>
    </row>
    <row r="335" spans="1:5">
      <c r="A335" s="672">
        <v>14419</v>
      </c>
      <c r="B335" s="672" t="s">
        <v>78</v>
      </c>
      <c r="C335" s="672" t="s">
        <v>62</v>
      </c>
      <c r="D335" s="672" t="s">
        <v>128</v>
      </c>
      <c r="E335" s="673">
        <v>43425.896770833337</v>
      </c>
    </row>
    <row r="336" spans="1:5">
      <c r="A336" s="672">
        <v>14428</v>
      </c>
      <c r="B336" s="672" t="s">
        <v>62</v>
      </c>
      <c r="C336" s="672" t="s">
        <v>62</v>
      </c>
      <c r="D336" s="672" t="s">
        <v>125</v>
      </c>
      <c r="E336" s="673">
        <v>43426.381226851852</v>
      </c>
    </row>
    <row r="337" spans="1:5">
      <c r="A337" s="672">
        <v>14431</v>
      </c>
      <c r="B337" s="672" t="s">
        <v>78</v>
      </c>
      <c r="C337" s="672" t="s">
        <v>62</v>
      </c>
      <c r="D337" s="672" t="s">
        <v>126</v>
      </c>
      <c r="E337" s="673">
        <v>43426.763113425928</v>
      </c>
    </row>
    <row r="338" spans="1:5">
      <c r="A338" s="672">
        <v>14432</v>
      </c>
      <c r="B338" s="672" t="s">
        <v>78</v>
      </c>
      <c r="C338" s="672" t="s">
        <v>62</v>
      </c>
      <c r="D338" s="672" t="s">
        <v>127</v>
      </c>
      <c r="E338" s="673">
        <v>43426.763124999998</v>
      </c>
    </row>
    <row r="339" spans="1:5">
      <c r="A339" s="672">
        <v>14447</v>
      </c>
      <c r="B339" s="672" t="s">
        <v>78</v>
      </c>
      <c r="C339" s="672" t="s">
        <v>62</v>
      </c>
      <c r="D339" s="672" t="s">
        <v>128</v>
      </c>
      <c r="E339" s="673">
        <v>43426.850613425922</v>
      </c>
    </row>
    <row r="340" spans="1:5">
      <c r="A340" s="672">
        <v>14455</v>
      </c>
      <c r="B340" s="672" t="s">
        <v>78</v>
      </c>
      <c r="C340" s="672" t="s">
        <v>62</v>
      </c>
      <c r="D340" s="672" t="s">
        <v>125</v>
      </c>
      <c r="E340" s="673">
        <v>43427.362129629626</v>
      </c>
    </row>
    <row r="341" spans="1:5">
      <c r="A341" s="672">
        <v>14456</v>
      </c>
      <c r="B341" s="672" t="s">
        <v>78</v>
      </c>
      <c r="C341" s="672" t="s">
        <v>62</v>
      </c>
      <c r="D341" s="672" t="s">
        <v>126</v>
      </c>
      <c r="E341" s="673">
        <v>43427.362268518518</v>
      </c>
    </row>
    <row r="342" spans="1:5">
      <c r="A342" s="672">
        <v>14458</v>
      </c>
      <c r="B342" s="672" t="s">
        <v>78</v>
      </c>
      <c r="C342" s="672" t="s">
        <v>62</v>
      </c>
      <c r="D342" s="672" t="s">
        <v>125</v>
      </c>
      <c r="E342" s="673">
        <v>43427.363310185188</v>
      </c>
    </row>
    <row r="343" spans="1:5">
      <c r="A343" s="672">
        <v>14468</v>
      </c>
      <c r="B343" s="672" t="s">
        <v>62</v>
      </c>
      <c r="C343" s="672" t="s">
        <v>62</v>
      </c>
      <c r="D343" s="672" t="s">
        <v>126</v>
      </c>
      <c r="E343" s="673">
        <v>43427.765949074077</v>
      </c>
    </row>
    <row r="344" spans="1:5">
      <c r="A344" s="672">
        <v>14469</v>
      </c>
      <c r="B344" s="672" t="s">
        <v>62</v>
      </c>
      <c r="C344" s="672" t="s">
        <v>62</v>
      </c>
      <c r="D344" s="672" t="s">
        <v>128</v>
      </c>
      <c r="E344" s="673">
        <v>43427.765960648147</v>
      </c>
    </row>
    <row r="345" spans="1:5">
      <c r="A345" s="672">
        <v>14474</v>
      </c>
      <c r="B345" s="672" t="s">
        <v>62</v>
      </c>
      <c r="C345" s="672" t="s">
        <v>62</v>
      </c>
      <c r="D345" s="672" t="s">
        <v>126</v>
      </c>
      <c r="E345" s="673">
        <v>43427.779513888891</v>
      </c>
    </row>
    <row r="346" spans="1:5">
      <c r="A346" s="672">
        <v>14475</v>
      </c>
      <c r="B346" s="672" t="s">
        <v>62</v>
      </c>
      <c r="C346" s="672" t="s">
        <v>62</v>
      </c>
      <c r="D346" s="672" t="s">
        <v>127</v>
      </c>
      <c r="E346" s="673">
        <v>43427.779537037037</v>
      </c>
    </row>
    <row r="347" spans="1:5">
      <c r="A347" s="672">
        <v>14477</v>
      </c>
      <c r="B347" s="672" t="s">
        <v>62</v>
      </c>
      <c r="C347" s="672" t="s">
        <v>62</v>
      </c>
      <c r="D347" s="672" t="s">
        <v>128</v>
      </c>
      <c r="E347" s="673">
        <v>43427.795474537037</v>
      </c>
    </row>
    <row r="348" spans="1:5">
      <c r="B348" s="672" t="s">
        <v>62</v>
      </c>
      <c r="C348" s="672" t="s">
        <v>62</v>
      </c>
      <c r="D348" s="672" t="s">
        <v>127</v>
      </c>
      <c r="E348" s="673">
        <v>43428.75</v>
      </c>
    </row>
    <row r="349" spans="1:5">
      <c r="B349" s="672" t="s">
        <v>62</v>
      </c>
      <c r="C349" s="672" t="s">
        <v>62</v>
      </c>
      <c r="D349" s="672" t="s">
        <v>128</v>
      </c>
      <c r="E349" s="673">
        <v>43428.916666666664</v>
      </c>
    </row>
    <row r="350" spans="1:5">
      <c r="A350" s="672">
        <v>14485</v>
      </c>
      <c r="B350" s="672" t="s">
        <v>62</v>
      </c>
      <c r="C350" s="672" t="s">
        <v>62</v>
      </c>
      <c r="D350" s="672" t="s">
        <v>125</v>
      </c>
      <c r="E350" s="673">
        <v>43430.365254629629</v>
      </c>
    </row>
    <row r="351" spans="1:5">
      <c r="A351" s="672">
        <v>14495</v>
      </c>
      <c r="B351" s="672" t="s">
        <v>62</v>
      </c>
      <c r="C351" s="672" t="s">
        <v>62</v>
      </c>
      <c r="D351" s="672" t="s">
        <v>126</v>
      </c>
      <c r="E351" s="673">
        <v>43430.76667824074</v>
      </c>
    </row>
    <row r="352" spans="1:5">
      <c r="A352" s="672">
        <v>14496</v>
      </c>
      <c r="B352" s="672" t="s">
        <v>62</v>
      </c>
      <c r="C352" s="672" t="s">
        <v>62</v>
      </c>
      <c r="D352" s="672" t="s">
        <v>127</v>
      </c>
      <c r="E352" s="673">
        <v>43430.766689814816</v>
      </c>
    </row>
    <row r="353" spans="1:5">
      <c r="A353" s="672">
        <v>14501</v>
      </c>
      <c r="B353" s="672" t="s">
        <v>62</v>
      </c>
      <c r="C353" s="672" t="s">
        <v>62</v>
      </c>
      <c r="D353" s="672" t="s">
        <v>128</v>
      </c>
      <c r="E353" s="673">
        <v>43430.782129629632</v>
      </c>
    </row>
    <row r="354" spans="1:5">
      <c r="A354" s="672">
        <v>14512</v>
      </c>
      <c r="B354" s="672" t="s">
        <v>62</v>
      </c>
      <c r="C354" s="672" t="s">
        <v>62</v>
      </c>
      <c r="D354" s="672" t="s">
        <v>125</v>
      </c>
      <c r="E354" s="673">
        <v>43431.363287037035</v>
      </c>
    </row>
    <row r="355" spans="1:5">
      <c r="A355" s="672">
        <v>14523</v>
      </c>
      <c r="B355" s="672" t="s">
        <v>62</v>
      </c>
      <c r="C355" s="672" t="s">
        <v>62</v>
      </c>
      <c r="D355" s="672" t="s">
        <v>126</v>
      </c>
      <c r="E355" s="673">
        <v>43431.769270833334</v>
      </c>
    </row>
    <row r="356" spans="1:5">
      <c r="A356" s="672">
        <v>14543</v>
      </c>
      <c r="B356" s="672" t="s">
        <v>62</v>
      </c>
      <c r="C356" s="672" t="s">
        <v>62</v>
      </c>
      <c r="D356" s="672" t="s">
        <v>125</v>
      </c>
      <c r="E356" s="673">
        <v>43432.369768518518</v>
      </c>
    </row>
    <row r="357" spans="1:5">
      <c r="A357" s="672">
        <v>14548</v>
      </c>
      <c r="B357" s="672" t="s">
        <v>62</v>
      </c>
      <c r="C357" s="672" t="s">
        <v>62</v>
      </c>
      <c r="D357" s="672" t="s">
        <v>126</v>
      </c>
      <c r="E357" s="673">
        <v>43432.764270833337</v>
      </c>
    </row>
    <row r="358" spans="1:5">
      <c r="A358" s="672">
        <v>14549</v>
      </c>
      <c r="B358" s="672" t="s">
        <v>62</v>
      </c>
      <c r="C358" s="672" t="s">
        <v>62</v>
      </c>
      <c r="D358" s="672" t="s">
        <v>127</v>
      </c>
      <c r="E358" s="673">
        <v>43432.764282407406</v>
      </c>
    </row>
    <row r="359" spans="1:5">
      <c r="A359" s="672">
        <v>14559</v>
      </c>
      <c r="B359" s="672" t="s">
        <v>62</v>
      </c>
      <c r="C359" s="672" t="s">
        <v>62</v>
      </c>
      <c r="D359" s="672" t="s">
        <v>128</v>
      </c>
      <c r="E359" s="673">
        <v>43432.798333333332</v>
      </c>
    </row>
    <row r="360" spans="1:5">
      <c r="A360" s="672">
        <v>14561</v>
      </c>
      <c r="B360" s="672" t="s">
        <v>62</v>
      </c>
      <c r="C360" s="672" t="s">
        <v>62</v>
      </c>
      <c r="D360" s="672" t="s">
        <v>127</v>
      </c>
      <c r="E360" s="673">
        <v>43432.810613425929</v>
      </c>
    </row>
    <row r="361" spans="1:5">
      <c r="A361" s="672">
        <v>14566</v>
      </c>
      <c r="B361" s="672" t="s">
        <v>62</v>
      </c>
      <c r="C361" s="672" t="s">
        <v>62</v>
      </c>
      <c r="D361" s="672" t="s">
        <v>128</v>
      </c>
      <c r="E361" s="673">
        <v>43432.899745370371</v>
      </c>
    </row>
    <row r="362" spans="1:5">
      <c r="A362" s="672">
        <v>14575</v>
      </c>
      <c r="B362" s="672" t="s">
        <v>62</v>
      </c>
      <c r="C362" s="672" t="s">
        <v>62</v>
      </c>
      <c r="D362" s="672" t="s">
        <v>125</v>
      </c>
      <c r="E362" s="673">
        <v>43433.363645833335</v>
      </c>
    </row>
    <row r="363" spans="1:5">
      <c r="A363" s="672">
        <v>14577</v>
      </c>
      <c r="B363" s="672" t="s">
        <v>62</v>
      </c>
      <c r="C363" s="672" t="s">
        <v>62</v>
      </c>
      <c r="D363" s="672" t="s">
        <v>126</v>
      </c>
      <c r="E363" s="673">
        <v>43433.765868055554</v>
      </c>
    </row>
    <row r="364" spans="1:5">
      <c r="A364" s="672">
        <v>14578</v>
      </c>
      <c r="B364" s="672" t="s">
        <v>62</v>
      </c>
      <c r="C364" s="672" t="s">
        <v>62</v>
      </c>
      <c r="D364" s="672" t="s">
        <v>127</v>
      </c>
      <c r="E364" s="673">
        <v>43433.765879629631</v>
      </c>
    </row>
    <row r="365" spans="1:5">
      <c r="A365" s="672">
        <v>14589</v>
      </c>
      <c r="B365" s="672" t="s">
        <v>62</v>
      </c>
      <c r="C365" s="672" t="s">
        <v>62</v>
      </c>
      <c r="D365" s="672" t="s">
        <v>128</v>
      </c>
      <c r="E365" s="673">
        <v>43433.783217592594</v>
      </c>
    </row>
    <row r="366" spans="1:5">
      <c r="A366" s="672">
        <v>14591</v>
      </c>
      <c r="B366" s="672" t="s">
        <v>62</v>
      </c>
      <c r="C366" s="672" t="s">
        <v>62</v>
      </c>
      <c r="D366" s="672" t="s">
        <v>127</v>
      </c>
      <c r="E366" s="673">
        <v>43433.80431712963</v>
      </c>
    </row>
    <row r="367" spans="1:5">
      <c r="A367" s="672">
        <v>14595</v>
      </c>
      <c r="B367" s="672" t="s">
        <v>62</v>
      </c>
      <c r="C367" s="672" t="s">
        <v>62</v>
      </c>
      <c r="D367" s="672" t="s">
        <v>128</v>
      </c>
      <c r="E367" s="673">
        <v>43433.865810185183</v>
      </c>
    </row>
    <row r="368" spans="1:5">
      <c r="A368" s="672">
        <v>14604</v>
      </c>
      <c r="B368" s="672" t="s">
        <v>62</v>
      </c>
      <c r="C368" s="672" t="s">
        <v>62</v>
      </c>
      <c r="D368" s="672" t="s">
        <v>125</v>
      </c>
      <c r="E368" s="673">
        <v>43434.365520833337</v>
      </c>
    </row>
    <row r="369" spans="1:5">
      <c r="A369" s="672">
        <v>14612</v>
      </c>
      <c r="B369" s="672" t="s">
        <v>62</v>
      </c>
      <c r="C369" s="672" t="s">
        <v>62</v>
      </c>
      <c r="D369" s="672" t="s">
        <v>126</v>
      </c>
      <c r="E369" s="673">
        <v>43434.770821759259</v>
      </c>
    </row>
    <row r="370" spans="1:5">
      <c r="A370" s="672">
        <v>14613</v>
      </c>
      <c r="B370" s="672" t="s">
        <v>62</v>
      </c>
      <c r="C370" s="672" t="s">
        <v>62</v>
      </c>
      <c r="D370" s="672" t="s">
        <v>127</v>
      </c>
      <c r="E370" s="673">
        <v>43434.770833333336</v>
      </c>
    </row>
    <row r="371" spans="1:5">
      <c r="A371" s="672">
        <v>14621</v>
      </c>
      <c r="B371" s="672" t="s">
        <v>62</v>
      </c>
      <c r="C371" s="672" t="s">
        <v>62</v>
      </c>
      <c r="D371" s="672" t="s">
        <v>128</v>
      </c>
      <c r="E371" s="673">
        <v>43434.792870370373</v>
      </c>
    </row>
    <row r="372" spans="1:5">
      <c r="A372" s="672">
        <v>14057</v>
      </c>
      <c r="B372" s="672" t="s">
        <v>71</v>
      </c>
      <c r="C372" s="672" t="s">
        <v>71</v>
      </c>
      <c r="D372" s="672" t="s">
        <v>125</v>
      </c>
      <c r="E372" s="673">
        <v>43405.36042824074</v>
      </c>
    </row>
    <row r="373" spans="1:5">
      <c r="A373" s="672">
        <v>14067</v>
      </c>
      <c r="B373" s="672" t="s">
        <v>70</v>
      </c>
      <c r="C373" s="672" t="s">
        <v>71</v>
      </c>
      <c r="D373" s="672" t="s">
        <v>126</v>
      </c>
      <c r="E373" s="673">
        <v>43405.766782407409</v>
      </c>
    </row>
    <row r="374" spans="1:5">
      <c r="A374" s="672">
        <v>14074</v>
      </c>
      <c r="B374" s="672" t="s">
        <v>71</v>
      </c>
      <c r="C374" s="672" t="s">
        <v>71</v>
      </c>
      <c r="D374" s="672" t="s">
        <v>125</v>
      </c>
      <c r="E374" s="673">
        <v>43406.35974537037</v>
      </c>
    </row>
    <row r="375" spans="1:5">
      <c r="A375" s="672">
        <v>14089</v>
      </c>
      <c r="B375" s="672" t="s">
        <v>70</v>
      </c>
      <c r="C375" s="672" t="s">
        <v>71</v>
      </c>
      <c r="D375" s="672" t="s">
        <v>126</v>
      </c>
      <c r="E375" s="673">
        <v>43406.77140046296</v>
      </c>
    </row>
    <row r="376" spans="1:5">
      <c r="A376" s="672">
        <v>14090</v>
      </c>
      <c r="B376" s="672" t="s">
        <v>70</v>
      </c>
      <c r="C376" s="672" t="s">
        <v>71</v>
      </c>
      <c r="D376" s="672" t="s">
        <v>127</v>
      </c>
      <c r="E376" s="673">
        <v>43406.771423611113</v>
      </c>
    </row>
    <row r="377" spans="1:5">
      <c r="A377" s="672">
        <v>14096</v>
      </c>
      <c r="B377" s="672" t="s">
        <v>70</v>
      </c>
      <c r="C377" s="672" t="s">
        <v>71</v>
      </c>
      <c r="D377" s="672" t="s">
        <v>128</v>
      </c>
      <c r="E377" s="673">
        <v>43406.783159722225</v>
      </c>
    </row>
    <row r="378" spans="1:5">
      <c r="A378" s="672">
        <v>14100</v>
      </c>
      <c r="B378" s="672" t="s">
        <v>71</v>
      </c>
      <c r="C378" s="672" t="s">
        <v>71</v>
      </c>
      <c r="D378" s="672" t="s">
        <v>125</v>
      </c>
      <c r="E378" s="673">
        <v>43409.356041666666</v>
      </c>
    </row>
    <row r="379" spans="1:5">
      <c r="A379" s="672">
        <v>14117</v>
      </c>
      <c r="B379" s="672" t="s">
        <v>70</v>
      </c>
      <c r="C379" s="672" t="s">
        <v>71</v>
      </c>
      <c r="D379" s="672" t="s">
        <v>126</v>
      </c>
      <c r="E379" s="673">
        <v>43409.77449074074</v>
      </c>
    </row>
    <row r="380" spans="1:5">
      <c r="A380" s="672">
        <v>14125</v>
      </c>
      <c r="B380" s="672" t="s">
        <v>71</v>
      </c>
      <c r="C380" s="672" t="s">
        <v>71</v>
      </c>
      <c r="D380" s="672" t="s">
        <v>125</v>
      </c>
      <c r="E380" s="673">
        <v>43410.358622685184</v>
      </c>
    </row>
    <row r="381" spans="1:5">
      <c r="A381" s="672">
        <v>14141</v>
      </c>
      <c r="B381" s="672" t="s">
        <v>70</v>
      </c>
      <c r="C381" s="672" t="s">
        <v>71</v>
      </c>
      <c r="D381" s="672" t="s">
        <v>126</v>
      </c>
      <c r="E381" s="673">
        <v>43410.777592592596</v>
      </c>
    </row>
    <row r="382" spans="1:5">
      <c r="A382" s="672">
        <v>14148</v>
      </c>
      <c r="B382" s="672" t="s">
        <v>71</v>
      </c>
      <c r="C382" s="672" t="s">
        <v>71</v>
      </c>
      <c r="D382" s="672" t="s">
        <v>125</v>
      </c>
      <c r="E382" s="673">
        <v>43411.359953703701</v>
      </c>
    </row>
    <row r="383" spans="1:5">
      <c r="A383" s="672">
        <v>14160</v>
      </c>
      <c r="B383" s="672" t="s">
        <v>70</v>
      </c>
      <c r="C383" s="672" t="s">
        <v>71</v>
      </c>
      <c r="D383" s="672" t="s">
        <v>126</v>
      </c>
      <c r="E383" s="673">
        <v>43411.772800925923</v>
      </c>
    </row>
    <row r="384" spans="1:5">
      <c r="A384" s="672">
        <v>14165</v>
      </c>
      <c r="B384" s="672" t="s">
        <v>71</v>
      </c>
      <c r="C384" s="672" t="s">
        <v>71</v>
      </c>
      <c r="D384" s="672" t="s">
        <v>125</v>
      </c>
      <c r="E384" s="673">
        <v>43412.358888888892</v>
      </c>
    </row>
    <row r="385" spans="1:5">
      <c r="A385" s="672">
        <v>14178</v>
      </c>
      <c r="B385" s="672" t="s">
        <v>70</v>
      </c>
      <c r="C385" s="672" t="s">
        <v>71</v>
      </c>
      <c r="D385" s="672" t="s">
        <v>126</v>
      </c>
      <c r="E385" s="673">
        <v>43412.770949074074</v>
      </c>
    </row>
    <row r="386" spans="1:5">
      <c r="A386" s="672">
        <v>14180</v>
      </c>
      <c r="B386" s="672" t="s">
        <v>70</v>
      </c>
      <c r="C386" s="672" t="s">
        <v>71</v>
      </c>
      <c r="D386" s="672" t="s">
        <v>127</v>
      </c>
      <c r="E386" s="673">
        <v>43412.770995370367</v>
      </c>
    </row>
    <row r="387" spans="1:5">
      <c r="A387" s="672">
        <v>14183</v>
      </c>
      <c r="B387" s="672" t="s">
        <v>70</v>
      </c>
      <c r="C387" s="672" t="s">
        <v>71</v>
      </c>
      <c r="D387" s="672" t="s">
        <v>128</v>
      </c>
      <c r="E387" s="673">
        <v>43412.785243055558</v>
      </c>
    </row>
    <row r="388" spans="1:5">
      <c r="A388" s="672">
        <v>14190</v>
      </c>
      <c r="B388" s="672" t="s">
        <v>71</v>
      </c>
      <c r="C388" s="672" t="s">
        <v>71</v>
      </c>
      <c r="D388" s="672" t="s">
        <v>125</v>
      </c>
      <c r="E388" s="673">
        <v>43413.355162037034</v>
      </c>
    </row>
    <row r="389" spans="1:5">
      <c r="A389" s="672">
        <v>14199</v>
      </c>
      <c r="B389" s="672" t="s">
        <v>70</v>
      </c>
      <c r="C389" s="672" t="s">
        <v>71</v>
      </c>
      <c r="D389" s="672" t="s">
        <v>126</v>
      </c>
      <c r="E389" s="673">
        <v>43413.751817129632</v>
      </c>
    </row>
    <row r="390" spans="1:5">
      <c r="A390" s="672">
        <v>14215</v>
      </c>
      <c r="B390" s="672" t="s">
        <v>71</v>
      </c>
      <c r="C390" s="672" t="s">
        <v>71</v>
      </c>
      <c r="D390" s="672" t="s">
        <v>125</v>
      </c>
      <c r="E390" s="673">
        <v>43416.360277777778</v>
      </c>
    </row>
    <row r="391" spans="1:5">
      <c r="A391" s="672">
        <v>14226</v>
      </c>
      <c r="B391" s="672" t="s">
        <v>70</v>
      </c>
      <c r="C391" s="672" t="s">
        <v>71</v>
      </c>
      <c r="D391" s="672" t="s">
        <v>126</v>
      </c>
      <c r="E391" s="673">
        <v>43416.769293981481</v>
      </c>
    </row>
    <row r="392" spans="1:5">
      <c r="A392" s="672">
        <v>14235</v>
      </c>
      <c r="B392" s="672" t="s">
        <v>71</v>
      </c>
      <c r="C392" s="672" t="s">
        <v>71</v>
      </c>
      <c r="D392" s="672" t="s">
        <v>125</v>
      </c>
      <c r="E392" s="673">
        <v>43417.359050925923</v>
      </c>
    </row>
    <row r="393" spans="1:5">
      <c r="A393" s="672">
        <v>14253</v>
      </c>
      <c r="B393" s="672" t="s">
        <v>70</v>
      </c>
      <c r="C393" s="672" t="s">
        <v>71</v>
      </c>
      <c r="D393" s="672" t="s">
        <v>126</v>
      </c>
      <c r="E393" s="673">
        <v>43417.766597222224</v>
      </c>
    </row>
    <row r="394" spans="1:5">
      <c r="A394" s="672">
        <v>14256</v>
      </c>
      <c r="B394" s="672" t="s">
        <v>70</v>
      </c>
      <c r="C394" s="672" t="s">
        <v>71</v>
      </c>
      <c r="D394" s="672" t="s">
        <v>127</v>
      </c>
      <c r="E394" s="673">
        <v>43417.766724537039</v>
      </c>
    </row>
    <row r="395" spans="1:5">
      <c r="A395" s="672">
        <v>14263</v>
      </c>
      <c r="B395" s="672" t="s">
        <v>70</v>
      </c>
      <c r="C395" s="672" t="s">
        <v>71</v>
      </c>
      <c r="D395" s="672" t="s">
        <v>128</v>
      </c>
      <c r="E395" s="673">
        <v>43417.819293981483</v>
      </c>
    </row>
    <row r="396" spans="1:5">
      <c r="A396" s="672">
        <v>14268</v>
      </c>
      <c r="B396" s="672" t="s">
        <v>70</v>
      </c>
      <c r="C396" s="672" t="s">
        <v>71</v>
      </c>
      <c r="D396" s="672" t="s">
        <v>125</v>
      </c>
      <c r="E396" s="673">
        <v>43418.360567129632</v>
      </c>
    </row>
    <row r="397" spans="1:5">
      <c r="A397" s="672">
        <v>14274</v>
      </c>
      <c r="B397" s="672" t="s">
        <v>70</v>
      </c>
      <c r="C397" s="672" t="s">
        <v>71</v>
      </c>
      <c r="D397" s="672" t="s">
        <v>126</v>
      </c>
      <c r="E397" s="673">
        <v>43418.761886574073</v>
      </c>
    </row>
    <row r="398" spans="1:5">
      <c r="A398" s="672">
        <v>14285</v>
      </c>
      <c r="B398" s="672" t="s">
        <v>71</v>
      </c>
      <c r="C398" s="672" t="s">
        <v>71</v>
      </c>
      <c r="D398" s="672" t="s">
        <v>125</v>
      </c>
      <c r="E398" s="673">
        <v>43419.360219907408</v>
      </c>
    </row>
    <row r="399" spans="1:5">
      <c r="A399" s="672">
        <v>14300</v>
      </c>
      <c r="B399" s="672" t="s">
        <v>71</v>
      </c>
      <c r="C399" s="672" t="s">
        <v>71</v>
      </c>
      <c r="D399" s="672" t="s">
        <v>126</v>
      </c>
      <c r="E399" s="673">
        <v>43419.770601851851</v>
      </c>
    </row>
    <row r="400" spans="1:5">
      <c r="A400" s="672">
        <v>14301</v>
      </c>
      <c r="B400" s="672" t="s">
        <v>71</v>
      </c>
      <c r="C400" s="672" t="s">
        <v>71</v>
      </c>
      <c r="D400" s="672" t="s">
        <v>127</v>
      </c>
      <c r="E400" s="673">
        <v>43419.770648148151</v>
      </c>
    </row>
    <row r="401" spans="1:5">
      <c r="A401" s="672">
        <v>14307</v>
      </c>
      <c r="B401" s="672" t="s">
        <v>70</v>
      </c>
      <c r="C401" s="672" t="s">
        <v>71</v>
      </c>
      <c r="D401" s="672" t="s">
        <v>128</v>
      </c>
      <c r="E401" s="673">
        <v>43419.831296296295</v>
      </c>
    </row>
    <row r="402" spans="1:5">
      <c r="A402" s="672">
        <v>14318</v>
      </c>
      <c r="B402" s="672" t="s">
        <v>71</v>
      </c>
      <c r="C402" s="672" t="s">
        <v>71</v>
      </c>
      <c r="D402" s="672" t="s">
        <v>125</v>
      </c>
      <c r="E402" s="673">
        <v>43420.359444444446</v>
      </c>
    </row>
    <row r="403" spans="1:5">
      <c r="A403" s="672">
        <v>14329</v>
      </c>
      <c r="B403" s="672" t="s">
        <v>70</v>
      </c>
      <c r="C403" s="672" t="s">
        <v>71</v>
      </c>
      <c r="D403" s="672" t="s">
        <v>126</v>
      </c>
      <c r="E403" s="673">
        <v>43420.763645833336</v>
      </c>
    </row>
    <row r="404" spans="1:5">
      <c r="A404" s="672">
        <v>14331</v>
      </c>
      <c r="B404" s="672" t="s">
        <v>70</v>
      </c>
      <c r="C404" s="672" t="s">
        <v>71</v>
      </c>
      <c r="D404" s="672" t="s">
        <v>127</v>
      </c>
      <c r="E404" s="673">
        <v>43420.763738425929</v>
      </c>
    </row>
    <row r="405" spans="1:5">
      <c r="A405" s="672">
        <v>14337</v>
      </c>
      <c r="B405" s="672" t="s">
        <v>70</v>
      </c>
      <c r="C405" s="672" t="s">
        <v>71</v>
      </c>
      <c r="D405" s="672" t="s">
        <v>128</v>
      </c>
      <c r="E405" s="673">
        <v>43420.778900462959</v>
      </c>
    </row>
    <row r="406" spans="1:5">
      <c r="A406" s="672">
        <v>14343</v>
      </c>
      <c r="B406" s="672" t="s">
        <v>71</v>
      </c>
      <c r="C406" s="672" t="s">
        <v>71</v>
      </c>
      <c r="D406" s="672" t="s">
        <v>125</v>
      </c>
      <c r="E406" s="673">
        <v>43423.359768518516</v>
      </c>
    </row>
    <row r="407" spans="1:5">
      <c r="A407" s="672">
        <v>14357</v>
      </c>
      <c r="B407" s="672" t="s">
        <v>70</v>
      </c>
      <c r="C407" s="672" t="s">
        <v>71</v>
      </c>
      <c r="D407" s="672" t="s">
        <v>126</v>
      </c>
      <c r="E407" s="673">
        <v>43423.777465277781</v>
      </c>
    </row>
    <row r="408" spans="1:5">
      <c r="A408" s="672">
        <v>14358</v>
      </c>
      <c r="B408" s="672" t="s">
        <v>70</v>
      </c>
      <c r="C408" s="672" t="s">
        <v>71</v>
      </c>
      <c r="D408" s="672" t="s">
        <v>127</v>
      </c>
      <c r="E408" s="673">
        <v>43423.777488425927</v>
      </c>
    </row>
    <row r="409" spans="1:5">
      <c r="A409" s="672">
        <v>14361</v>
      </c>
      <c r="B409" s="672" t="s">
        <v>70</v>
      </c>
      <c r="C409" s="672" t="s">
        <v>71</v>
      </c>
      <c r="D409" s="672" t="s">
        <v>128</v>
      </c>
      <c r="E409" s="673">
        <v>43423.803773148145</v>
      </c>
    </row>
    <row r="410" spans="1:5">
      <c r="A410" s="672">
        <v>14367</v>
      </c>
      <c r="B410" s="672" t="s">
        <v>71</v>
      </c>
      <c r="C410" s="672" t="s">
        <v>71</v>
      </c>
      <c r="D410" s="672" t="s">
        <v>125</v>
      </c>
      <c r="E410" s="673">
        <v>43424.360150462962</v>
      </c>
    </row>
    <row r="411" spans="1:5">
      <c r="A411" s="672">
        <v>14381</v>
      </c>
      <c r="B411" s="672" t="s">
        <v>70</v>
      </c>
      <c r="C411" s="672" t="s">
        <v>71</v>
      </c>
      <c r="D411" s="672" t="s">
        <v>126</v>
      </c>
      <c r="E411" s="673">
        <v>43424.770266203705</v>
      </c>
    </row>
    <row r="412" spans="1:5">
      <c r="A412" s="672">
        <v>14382</v>
      </c>
      <c r="B412" s="672" t="s">
        <v>70</v>
      </c>
      <c r="C412" s="672" t="s">
        <v>71</v>
      </c>
      <c r="D412" s="672" t="s">
        <v>127</v>
      </c>
      <c r="E412" s="673">
        <v>43424.770300925928</v>
      </c>
    </row>
    <row r="413" spans="1:5">
      <c r="A413" s="672">
        <v>14389</v>
      </c>
      <c r="B413" s="672" t="s">
        <v>70</v>
      </c>
      <c r="C413" s="672" t="s">
        <v>71</v>
      </c>
      <c r="D413" s="672" t="s">
        <v>128</v>
      </c>
      <c r="E413" s="673">
        <v>43424.813738425924</v>
      </c>
    </row>
    <row r="414" spans="1:5">
      <c r="A414" s="672">
        <v>14397</v>
      </c>
      <c r="B414" s="672" t="s">
        <v>71</v>
      </c>
      <c r="C414" s="672" t="s">
        <v>71</v>
      </c>
      <c r="D414" s="672" t="s">
        <v>125</v>
      </c>
      <c r="E414" s="673">
        <v>43425.360613425924</v>
      </c>
    </row>
    <row r="415" spans="1:5">
      <c r="A415" s="672">
        <v>14405</v>
      </c>
      <c r="B415" s="672" t="s">
        <v>70</v>
      </c>
      <c r="C415" s="672" t="s">
        <v>71</v>
      </c>
      <c r="D415" s="672" t="s">
        <v>126</v>
      </c>
      <c r="E415" s="673">
        <v>43425.768761574072</v>
      </c>
    </row>
    <row r="416" spans="1:5">
      <c r="A416" s="672">
        <v>14421</v>
      </c>
      <c r="B416" s="672" t="s">
        <v>71</v>
      </c>
      <c r="C416" s="672" t="s">
        <v>71</v>
      </c>
      <c r="D416" s="672" t="s">
        <v>125</v>
      </c>
      <c r="E416" s="673">
        <v>43426.354259259257</v>
      </c>
    </row>
    <row r="417" spans="1:5">
      <c r="A417" s="672">
        <v>14440</v>
      </c>
      <c r="B417" s="672" t="s">
        <v>70</v>
      </c>
      <c r="C417" s="672" t="s">
        <v>71</v>
      </c>
      <c r="D417" s="672" t="s">
        <v>126</v>
      </c>
      <c r="E417" s="673">
        <v>43426.777789351851</v>
      </c>
    </row>
    <row r="418" spans="1:5">
      <c r="A418" s="672">
        <v>14441</v>
      </c>
      <c r="B418" s="672" t="s">
        <v>70</v>
      </c>
      <c r="C418" s="672" t="s">
        <v>71</v>
      </c>
      <c r="D418" s="672" t="s">
        <v>127</v>
      </c>
      <c r="E418" s="673">
        <v>43426.77783564815</v>
      </c>
    </row>
    <row r="419" spans="1:5">
      <c r="A419" s="672">
        <v>14443</v>
      </c>
      <c r="B419" s="672" t="s">
        <v>70</v>
      </c>
      <c r="C419" s="672" t="s">
        <v>71</v>
      </c>
      <c r="D419" s="672" t="s">
        <v>128</v>
      </c>
      <c r="E419" s="673">
        <v>43426.781701388885</v>
      </c>
    </row>
    <row r="420" spans="1:5">
      <c r="A420" s="672">
        <v>14454</v>
      </c>
      <c r="B420" s="672" t="s">
        <v>71</v>
      </c>
      <c r="C420" s="672" t="s">
        <v>71</v>
      </c>
      <c r="D420" s="672" t="s">
        <v>125</v>
      </c>
      <c r="E420" s="673">
        <v>43427.359131944446</v>
      </c>
    </row>
    <row r="421" spans="1:5">
      <c r="A421" s="672">
        <v>14471</v>
      </c>
      <c r="B421" s="672" t="s">
        <v>70</v>
      </c>
      <c r="C421" s="672" t="s">
        <v>71</v>
      </c>
      <c r="D421" s="672" t="s">
        <v>126</v>
      </c>
      <c r="E421" s="673">
        <v>43427.768379629626</v>
      </c>
    </row>
    <row r="422" spans="1:5">
      <c r="A422" s="672">
        <v>14509</v>
      </c>
      <c r="B422" s="672" t="s">
        <v>71</v>
      </c>
      <c r="C422" s="672" t="s">
        <v>71</v>
      </c>
      <c r="D422" s="672" t="s">
        <v>125</v>
      </c>
      <c r="E422" s="673">
        <v>43431.3590625</v>
      </c>
    </row>
    <row r="423" spans="1:5">
      <c r="A423" s="672">
        <v>14525</v>
      </c>
      <c r="B423" s="672" t="s">
        <v>70</v>
      </c>
      <c r="C423" s="672" t="s">
        <v>71</v>
      </c>
      <c r="D423" s="672" t="s">
        <v>126</v>
      </c>
      <c r="E423" s="673">
        <v>43431.770289351851</v>
      </c>
    </row>
    <row r="424" spans="1:5">
      <c r="A424" s="672">
        <v>14526</v>
      </c>
      <c r="B424" s="672" t="s">
        <v>70</v>
      </c>
      <c r="C424" s="672" t="s">
        <v>71</v>
      </c>
      <c r="D424" s="672" t="s">
        <v>127</v>
      </c>
      <c r="E424" s="673">
        <v>43431.770324074074</v>
      </c>
    </row>
    <row r="425" spans="1:5">
      <c r="A425" s="672">
        <v>14528</v>
      </c>
      <c r="B425" s="672" t="s">
        <v>70</v>
      </c>
      <c r="C425" s="672" t="s">
        <v>71</v>
      </c>
      <c r="D425" s="672" t="s">
        <v>128</v>
      </c>
      <c r="E425" s="673">
        <v>43431.780590277776</v>
      </c>
    </row>
    <row r="426" spans="1:5">
      <c r="A426" s="672">
        <v>14540</v>
      </c>
      <c r="B426" s="672" t="s">
        <v>71</v>
      </c>
      <c r="C426" s="672" t="s">
        <v>71</v>
      </c>
      <c r="D426" s="672" t="s">
        <v>125</v>
      </c>
      <c r="E426" s="673">
        <v>43432.359629629631</v>
      </c>
    </row>
    <row r="427" spans="1:5">
      <c r="A427" s="672">
        <v>14556</v>
      </c>
      <c r="B427" s="672" t="s">
        <v>70</v>
      </c>
      <c r="C427" s="672" t="s">
        <v>71</v>
      </c>
      <c r="D427" s="672" t="s">
        <v>126</v>
      </c>
      <c r="E427" s="673">
        <v>43432.771215277775</v>
      </c>
    </row>
    <row r="428" spans="1:5">
      <c r="A428" s="672">
        <v>14557</v>
      </c>
      <c r="B428" s="672" t="s">
        <v>70</v>
      </c>
      <c r="C428" s="672" t="s">
        <v>71</v>
      </c>
      <c r="D428" s="672" t="s">
        <v>127</v>
      </c>
      <c r="E428" s="673">
        <v>43432.771249999998</v>
      </c>
    </row>
    <row r="429" spans="1:5">
      <c r="A429" s="672">
        <v>14560</v>
      </c>
      <c r="B429" s="672" t="s">
        <v>70</v>
      </c>
      <c r="C429" s="672" t="s">
        <v>71</v>
      </c>
      <c r="D429" s="672" t="s">
        <v>128</v>
      </c>
      <c r="E429" s="673">
        <v>43432.804629629631</v>
      </c>
    </row>
    <row r="430" spans="1:5">
      <c r="A430" s="672">
        <v>14570</v>
      </c>
      <c r="B430" s="672" t="s">
        <v>71</v>
      </c>
      <c r="C430" s="672" t="s">
        <v>71</v>
      </c>
      <c r="D430" s="672" t="s">
        <v>125</v>
      </c>
      <c r="E430" s="673">
        <v>43433.36</v>
      </c>
    </row>
    <row r="431" spans="1:5">
      <c r="A431" s="672">
        <v>14582</v>
      </c>
      <c r="B431" s="672" t="s">
        <v>70</v>
      </c>
      <c r="C431" s="672" t="s">
        <v>71</v>
      </c>
      <c r="D431" s="672" t="s">
        <v>126</v>
      </c>
      <c r="E431" s="673">
        <v>43433.766504629632</v>
      </c>
    </row>
    <row r="432" spans="1:5">
      <c r="A432" s="672">
        <v>14583</v>
      </c>
      <c r="B432" s="672" t="s">
        <v>70</v>
      </c>
      <c r="C432" s="672" t="s">
        <v>71</v>
      </c>
      <c r="D432" s="672" t="s">
        <v>127</v>
      </c>
      <c r="E432" s="673">
        <v>43433.766550925924</v>
      </c>
    </row>
    <row r="433" spans="1:5">
      <c r="A433" s="672">
        <v>14594</v>
      </c>
      <c r="B433" s="672" t="s">
        <v>70</v>
      </c>
      <c r="C433" s="672" t="s">
        <v>71</v>
      </c>
      <c r="D433" s="672" t="s">
        <v>128</v>
      </c>
      <c r="E433" s="673">
        <v>43433.862500000003</v>
      </c>
    </row>
    <row r="434" spans="1:5">
      <c r="A434" s="672">
        <v>14600</v>
      </c>
      <c r="B434" s="672" t="s">
        <v>71</v>
      </c>
      <c r="C434" s="672" t="s">
        <v>71</v>
      </c>
      <c r="D434" s="672" t="s">
        <v>125</v>
      </c>
      <c r="E434" s="673">
        <v>43434.359814814816</v>
      </c>
    </row>
    <row r="435" spans="1:5">
      <c r="A435" s="672">
        <v>14618</v>
      </c>
      <c r="B435" s="672" t="s">
        <v>70</v>
      </c>
      <c r="C435" s="672" t="s">
        <v>71</v>
      </c>
      <c r="D435" s="672" t="s">
        <v>126</v>
      </c>
      <c r="E435" s="673">
        <v>43434.771932870368</v>
      </c>
    </row>
    <row r="436" spans="1:5">
      <c r="A436" s="672">
        <v>14619</v>
      </c>
      <c r="B436" s="672" t="s">
        <v>70</v>
      </c>
      <c r="C436" s="672" t="s">
        <v>71</v>
      </c>
      <c r="D436" s="672" t="s">
        <v>127</v>
      </c>
      <c r="E436" s="673">
        <v>43434.771990740737</v>
      </c>
    </row>
    <row r="437" spans="1:5">
      <c r="A437" s="672">
        <v>14625</v>
      </c>
      <c r="B437" s="672" t="s">
        <v>70</v>
      </c>
      <c r="C437" s="672" t="s">
        <v>71</v>
      </c>
      <c r="D437" s="672" t="s">
        <v>128</v>
      </c>
      <c r="E437" s="673">
        <v>43434.851354166669</v>
      </c>
    </row>
    <row r="438" spans="1:5">
      <c r="A438" s="672">
        <v>14107</v>
      </c>
      <c r="B438" s="672" t="s">
        <v>11</v>
      </c>
      <c r="C438" s="672" t="s">
        <v>11</v>
      </c>
      <c r="D438" s="672" t="s">
        <v>125</v>
      </c>
      <c r="E438" s="673">
        <v>43409.37835648148</v>
      </c>
    </row>
    <row r="439" spans="1:5">
      <c r="A439" s="672">
        <v>14108</v>
      </c>
      <c r="B439" s="672" t="s">
        <v>11</v>
      </c>
      <c r="C439" s="672" t="s">
        <v>11</v>
      </c>
      <c r="D439" s="672" t="s">
        <v>126</v>
      </c>
      <c r="E439" s="673">
        <v>43409.671643518515</v>
      </c>
    </row>
    <row r="440" spans="1:5">
      <c r="A440" s="672">
        <v>14213</v>
      </c>
      <c r="B440" s="672" t="s">
        <v>11</v>
      </c>
      <c r="C440" s="672" t="s">
        <v>11</v>
      </c>
      <c r="D440" s="672" t="s">
        <v>125</v>
      </c>
      <c r="E440" s="673">
        <v>43416.356365740743</v>
      </c>
    </row>
    <row r="441" spans="1:5">
      <c r="A441" s="672">
        <v>14220</v>
      </c>
      <c r="B441" s="672" t="s">
        <v>11</v>
      </c>
      <c r="C441" s="672" t="s">
        <v>11</v>
      </c>
      <c r="D441" s="672" t="s">
        <v>126</v>
      </c>
      <c r="E441" s="673">
        <v>43416.690300925926</v>
      </c>
    </row>
    <row r="442" spans="1:5">
      <c r="A442" s="672">
        <v>14242</v>
      </c>
      <c r="B442" s="672" t="s">
        <v>11</v>
      </c>
      <c r="C442" s="672" t="s">
        <v>11</v>
      </c>
      <c r="D442" s="672" t="s">
        <v>125</v>
      </c>
      <c r="E442" s="673">
        <v>43417.374502314815</v>
      </c>
    </row>
    <row r="443" spans="1:5">
      <c r="A443" s="672">
        <v>14244</v>
      </c>
      <c r="B443" s="672" t="s">
        <v>11</v>
      </c>
      <c r="C443" s="672" t="s">
        <v>11</v>
      </c>
      <c r="D443" s="672" t="s">
        <v>126</v>
      </c>
      <c r="E443" s="673">
        <v>43417.534629629627</v>
      </c>
    </row>
    <row r="444" spans="1:5">
      <c r="A444" s="672">
        <v>14452</v>
      </c>
      <c r="B444" s="672" t="s">
        <v>11</v>
      </c>
      <c r="C444" s="672" t="s">
        <v>11</v>
      </c>
      <c r="D444" s="672" t="s">
        <v>125</v>
      </c>
      <c r="E444" s="673">
        <v>43427.358171296299</v>
      </c>
    </row>
    <row r="445" spans="1:5">
      <c r="A445" s="672">
        <v>14464</v>
      </c>
      <c r="B445" s="672" t="s">
        <v>11</v>
      </c>
      <c r="C445" s="672" t="s">
        <v>11</v>
      </c>
      <c r="D445" s="672" t="s">
        <v>126</v>
      </c>
      <c r="E445" s="673">
        <v>43427.743611111109</v>
      </c>
    </row>
    <row r="446" spans="1:5">
      <c r="A446" s="672">
        <v>14480</v>
      </c>
      <c r="B446" s="672" t="s">
        <v>11</v>
      </c>
      <c r="C446" s="672" t="s">
        <v>11</v>
      </c>
      <c r="D446" s="672" t="s">
        <v>125</v>
      </c>
      <c r="E446" s="673">
        <v>43430.359444444446</v>
      </c>
    </row>
    <row r="447" spans="1:5">
      <c r="A447" s="672">
        <v>14498</v>
      </c>
      <c r="B447" s="672" t="s">
        <v>11</v>
      </c>
      <c r="C447" s="672" t="s">
        <v>11</v>
      </c>
      <c r="D447" s="672" t="s">
        <v>126</v>
      </c>
      <c r="E447" s="673">
        <v>43430.770138888889</v>
      </c>
    </row>
    <row r="448" spans="1:5">
      <c r="A448" s="672">
        <v>14513</v>
      </c>
      <c r="B448" s="672" t="s">
        <v>11</v>
      </c>
      <c r="C448" s="672" t="s">
        <v>11</v>
      </c>
      <c r="D448" s="672" t="s">
        <v>125</v>
      </c>
      <c r="E448" s="673">
        <v>43431.368877314817</v>
      </c>
    </row>
    <row r="449" spans="1:5">
      <c r="A449" s="672">
        <v>14516</v>
      </c>
      <c r="B449" s="672" t="s">
        <v>11</v>
      </c>
      <c r="C449" s="672" t="s">
        <v>11</v>
      </c>
      <c r="D449" s="672" t="s">
        <v>126</v>
      </c>
      <c r="E449" s="673">
        <v>43431.71979166667</v>
      </c>
    </row>
    <row r="450" spans="1:5">
      <c r="A450" s="672">
        <v>14055</v>
      </c>
      <c r="B450" s="672" t="s">
        <v>14</v>
      </c>
      <c r="C450" s="672" t="s">
        <v>14</v>
      </c>
      <c r="D450" s="672" t="s">
        <v>125</v>
      </c>
      <c r="E450" s="673">
        <v>43405.360335648147</v>
      </c>
    </row>
    <row r="451" spans="1:5">
      <c r="A451" s="672">
        <v>14065</v>
      </c>
      <c r="B451" s="672" t="s">
        <v>14</v>
      </c>
      <c r="C451" s="672" t="s">
        <v>14</v>
      </c>
      <c r="D451" s="672" t="s">
        <v>126</v>
      </c>
      <c r="E451" s="673">
        <v>43405.761400462965</v>
      </c>
    </row>
    <row r="452" spans="1:5">
      <c r="A452" s="672">
        <v>14075</v>
      </c>
      <c r="B452" s="672" t="s">
        <v>14</v>
      </c>
      <c r="C452" s="672" t="s">
        <v>14</v>
      </c>
      <c r="D452" s="672" t="s">
        <v>125</v>
      </c>
      <c r="E452" s="673">
        <v>43406.360729166663</v>
      </c>
    </row>
    <row r="453" spans="1:5">
      <c r="A453" s="672">
        <v>14092</v>
      </c>
      <c r="B453" s="672" t="s">
        <v>14</v>
      </c>
      <c r="C453" s="672" t="s">
        <v>14</v>
      </c>
      <c r="D453" s="672" t="s">
        <v>126</v>
      </c>
      <c r="E453" s="673">
        <v>43406.774942129632</v>
      </c>
    </row>
    <row r="454" spans="1:5">
      <c r="A454" s="672">
        <v>14101</v>
      </c>
      <c r="B454" s="672" t="s">
        <v>14</v>
      </c>
      <c r="C454" s="672" t="s">
        <v>14</v>
      </c>
      <c r="D454" s="672" t="s">
        <v>125</v>
      </c>
      <c r="E454" s="673">
        <v>43409.356087962966</v>
      </c>
    </row>
    <row r="455" spans="1:5">
      <c r="A455" s="672">
        <v>14114</v>
      </c>
      <c r="B455" s="672" t="s">
        <v>14</v>
      </c>
      <c r="C455" s="672" t="s">
        <v>14</v>
      </c>
      <c r="D455" s="672" t="s">
        <v>126</v>
      </c>
      <c r="E455" s="673">
        <v>43409.770254629628</v>
      </c>
    </row>
    <row r="456" spans="1:5">
      <c r="A456" s="672">
        <v>14115</v>
      </c>
      <c r="B456" s="672" t="s">
        <v>14</v>
      </c>
      <c r="C456" s="672" t="s">
        <v>14</v>
      </c>
      <c r="D456" s="672" t="s">
        <v>127</v>
      </c>
      <c r="E456" s="673">
        <v>43409.770324074074</v>
      </c>
    </row>
    <row r="457" spans="1:5">
      <c r="A457" s="672">
        <v>14118</v>
      </c>
      <c r="B457" s="672" t="s">
        <v>14</v>
      </c>
      <c r="C457" s="672" t="s">
        <v>14</v>
      </c>
      <c r="D457" s="672" t="s">
        <v>128</v>
      </c>
      <c r="E457" s="673">
        <v>43409.777997685182</v>
      </c>
    </row>
    <row r="458" spans="1:5">
      <c r="A458" s="672">
        <v>14128</v>
      </c>
      <c r="B458" s="672" t="s">
        <v>14</v>
      </c>
      <c r="C458" s="672" t="s">
        <v>14</v>
      </c>
      <c r="D458" s="672" t="s">
        <v>125</v>
      </c>
      <c r="E458" s="673">
        <v>43410.360266203701</v>
      </c>
    </row>
    <row r="459" spans="1:5">
      <c r="A459" s="672">
        <v>14133</v>
      </c>
      <c r="B459" s="672" t="s">
        <v>14</v>
      </c>
      <c r="C459" s="672" t="s">
        <v>14</v>
      </c>
      <c r="D459" s="672" t="s">
        <v>126</v>
      </c>
      <c r="E459" s="673">
        <v>43410.765798611108</v>
      </c>
    </row>
    <row r="460" spans="1:5">
      <c r="A460" s="672">
        <v>14149</v>
      </c>
      <c r="B460" s="672" t="s">
        <v>92</v>
      </c>
      <c r="C460" s="672" t="s">
        <v>14</v>
      </c>
      <c r="D460" s="672" t="s">
        <v>125</v>
      </c>
      <c r="E460" s="673">
        <v>43411.361643518518</v>
      </c>
    </row>
    <row r="461" spans="1:5">
      <c r="A461" s="672">
        <v>14154</v>
      </c>
      <c r="B461" s="672" t="s">
        <v>14</v>
      </c>
      <c r="C461" s="672" t="s">
        <v>14</v>
      </c>
      <c r="D461" s="672" t="s">
        <v>126</v>
      </c>
      <c r="E461" s="673">
        <v>43411.766979166663</v>
      </c>
    </row>
    <row r="462" spans="1:5">
      <c r="A462" s="672">
        <v>14166</v>
      </c>
      <c r="B462" s="672" t="s">
        <v>92</v>
      </c>
      <c r="C462" s="672" t="s">
        <v>14</v>
      </c>
      <c r="D462" s="672" t="s">
        <v>125</v>
      </c>
      <c r="E462" s="673">
        <v>43412.361550925925</v>
      </c>
    </row>
    <row r="463" spans="1:5">
      <c r="A463" s="672">
        <v>14176</v>
      </c>
      <c r="B463" s="672" t="s">
        <v>14</v>
      </c>
      <c r="C463" s="672" t="s">
        <v>14</v>
      </c>
      <c r="D463" s="672" t="s">
        <v>126</v>
      </c>
      <c r="E463" s="673">
        <v>43412.768969907411</v>
      </c>
    </row>
    <row r="464" spans="1:5">
      <c r="A464" s="672">
        <v>14193</v>
      </c>
      <c r="B464" s="672" t="s">
        <v>92</v>
      </c>
      <c r="C464" s="672" t="s">
        <v>14</v>
      </c>
      <c r="D464" s="672" t="s">
        <v>125</v>
      </c>
      <c r="E464" s="673">
        <v>43413.358483796299</v>
      </c>
    </row>
    <row r="465" spans="1:5">
      <c r="A465" s="672">
        <v>14203</v>
      </c>
      <c r="B465" s="672" t="s">
        <v>14</v>
      </c>
      <c r="C465" s="672" t="s">
        <v>14</v>
      </c>
      <c r="D465" s="672" t="s">
        <v>126</v>
      </c>
      <c r="E465" s="673">
        <v>43413.770046296297</v>
      </c>
    </row>
    <row r="466" spans="1:5">
      <c r="A466" s="672">
        <v>14204</v>
      </c>
      <c r="B466" s="672" t="s">
        <v>14</v>
      </c>
      <c r="C466" s="672" t="s">
        <v>14</v>
      </c>
      <c r="D466" s="672" t="s">
        <v>127</v>
      </c>
      <c r="E466" s="673">
        <v>43413.770092592589</v>
      </c>
    </row>
    <row r="467" spans="1:5">
      <c r="A467" s="672">
        <v>14211</v>
      </c>
      <c r="B467" s="672" t="s">
        <v>14</v>
      </c>
      <c r="C467" s="672" t="s">
        <v>14</v>
      </c>
      <c r="D467" s="672" t="s">
        <v>128</v>
      </c>
      <c r="E467" s="673">
        <v>43413.793530092589</v>
      </c>
    </row>
    <row r="468" spans="1:5">
      <c r="A468" s="672">
        <v>14214</v>
      </c>
      <c r="B468" s="672" t="s">
        <v>14</v>
      </c>
      <c r="C468" s="672" t="s">
        <v>14</v>
      </c>
      <c r="D468" s="672" t="s">
        <v>125</v>
      </c>
      <c r="E468" s="673">
        <v>43416.356446759259</v>
      </c>
    </row>
    <row r="469" spans="1:5">
      <c r="A469" s="672">
        <v>14223</v>
      </c>
      <c r="B469" s="672" t="s">
        <v>14</v>
      </c>
      <c r="C469" s="672" t="s">
        <v>14</v>
      </c>
      <c r="D469" s="672" t="s">
        <v>126</v>
      </c>
      <c r="E469" s="673">
        <v>43416.766018518516</v>
      </c>
    </row>
    <row r="470" spans="1:5">
      <c r="A470" s="672">
        <v>14227</v>
      </c>
      <c r="B470" s="672" t="s">
        <v>14</v>
      </c>
      <c r="C470" s="672" t="s">
        <v>14</v>
      </c>
      <c r="D470" s="672" t="s">
        <v>127</v>
      </c>
      <c r="E470" s="673">
        <v>43416.770046296297</v>
      </c>
    </row>
    <row r="471" spans="1:5">
      <c r="A471" s="672">
        <v>14231</v>
      </c>
      <c r="B471" s="672" t="s">
        <v>14</v>
      </c>
      <c r="C471" s="672" t="s">
        <v>14</v>
      </c>
      <c r="D471" s="672" t="s">
        <v>128</v>
      </c>
      <c r="E471" s="673">
        <v>43416.838564814818</v>
      </c>
    </row>
    <row r="472" spans="1:5">
      <c r="A472" s="672">
        <v>14236</v>
      </c>
      <c r="B472" s="672" t="s">
        <v>14</v>
      </c>
      <c r="C472" s="672" t="s">
        <v>14</v>
      </c>
      <c r="D472" s="672" t="s">
        <v>125</v>
      </c>
      <c r="E472" s="673">
        <v>43417.360231481478</v>
      </c>
    </row>
    <row r="473" spans="1:5">
      <c r="A473" s="672">
        <v>14249</v>
      </c>
      <c r="B473" s="672" t="s">
        <v>14</v>
      </c>
      <c r="C473" s="672" t="s">
        <v>14</v>
      </c>
      <c r="D473" s="672" t="s">
        <v>126</v>
      </c>
      <c r="E473" s="673">
        <v>43417.764710648145</v>
      </c>
    </row>
    <row r="474" spans="1:5">
      <c r="A474" s="672">
        <v>14269</v>
      </c>
      <c r="B474" s="672" t="s">
        <v>14</v>
      </c>
      <c r="C474" s="672" t="s">
        <v>14</v>
      </c>
      <c r="D474" s="672" t="s">
        <v>125</v>
      </c>
      <c r="E474" s="673">
        <v>43418.361134259256</v>
      </c>
    </row>
    <row r="475" spans="1:5">
      <c r="A475" s="672">
        <v>14273</v>
      </c>
      <c r="B475" s="672" t="s">
        <v>14</v>
      </c>
      <c r="C475" s="672" t="s">
        <v>14</v>
      </c>
      <c r="D475" s="672" t="s">
        <v>126</v>
      </c>
      <c r="E475" s="673">
        <v>43418.75980324074</v>
      </c>
    </row>
    <row r="476" spans="1:5">
      <c r="A476" s="672">
        <v>14288</v>
      </c>
      <c r="B476" s="672" t="s">
        <v>172</v>
      </c>
      <c r="C476" s="672" t="s">
        <v>14</v>
      </c>
      <c r="D476" s="672" t="s">
        <v>125</v>
      </c>
      <c r="E476" s="673">
        <v>43419.362650462965</v>
      </c>
    </row>
    <row r="477" spans="1:5">
      <c r="A477" s="672">
        <v>14296</v>
      </c>
      <c r="B477" s="672" t="s">
        <v>14</v>
      </c>
      <c r="C477" s="672" t="s">
        <v>14</v>
      </c>
      <c r="D477" s="672" t="s">
        <v>126</v>
      </c>
      <c r="E477" s="673">
        <v>43419.767256944448</v>
      </c>
    </row>
    <row r="478" spans="1:5">
      <c r="A478" s="672">
        <v>14320</v>
      </c>
      <c r="B478" s="672" t="s">
        <v>14</v>
      </c>
      <c r="C478" s="672" t="s">
        <v>14</v>
      </c>
      <c r="D478" s="672" t="s">
        <v>125</v>
      </c>
      <c r="E478" s="673">
        <v>43420.362013888887</v>
      </c>
    </row>
    <row r="479" spans="1:5">
      <c r="A479" s="672">
        <v>14326</v>
      </c>
      <c r="B479" s="672" t="s">
        <v>14</v>
      </c>
      <c r="C479" s="672" t="s">
        <v>14</v>
      </c>
      <c r="D479" s="672" t="s">
        <v>126</v>
      </c>
      <c r="E479" s="673">
        <v>43420.761354166665</v>
      </c>
    </row>
    <row r="480" spans="1:5">
      <c r="A480" s="672">
        <v>14369</v>
      </c>
      <c r="B480" s="672" t="s">
        <v>14</v>
      </c>
      <c r="C480" s="672" t="s">
        <v>14</v>
      </c>
      <c r="D480" s="672" t="s">
        <v>125</v>
      </c>
      <c r="E480" s="673">
        <v>43424.362881944442</v>
      </c>
    </row>
    <row r="481" spans="1:5">
      <c r="A481" s="672">
        <v>14380</v>
      </c>
      <c r="B481" s="672" t="s">
        <v>14</v>
      </c>
      <c r="C481" s="672" t="s">
        <v>14</v>
      </c>
      <c r="D481" s="672" t="s">
        <v>126</v>
      </c>
      <c r="E481" s="673">
        <v>43424.769062500003</v>
      </c>
    </row>
    <row r="482" spans="1:5">
      <c r="A482" s="672">
        <v>14394</v>
      </c>
      <c r="B482" s="672" t="s">
        <v>14</v>
      </c>
      <c r="C482" s="672" t="s">
        <v>14</v>
      </c>
      <c r="D482" s="672" t="s">
        <v>125</v>
      </c>
      <c r="E482" s="673">
        <v>43425.357094907406</v>
      </c>
    </row>
    <row r="483" spans="1:5">
      <c r="A483" s="672">
        <v>14411</v>
      </c>
      <c r="B483" s="672" t="s">
        <v>14</v>
      </c>
      <c r="C483" s="672" t="s">
        <v>14</v>
      </c>
      <c r="D483" s="672" t="s">
        <v>126</v>
      </c>
      <c r="E483" s="673">
        <v>43425.771516203706</v>
      </c>
    </row>
    <row r="484" spans="1:5">
      <c r="A484" s="672">
        <v>14423</v>
      </c>
      <c r="B484" s="672" t="s">
        <v>14</v>
      </c>
      <c r="C484" s="672" t="s">
        <v>14</v>
      </c>
      <c r="D484" s="672" t="s">
        <v>125</v>
      </c>
      <c r="E484" s="673">
        <v>43426.358159722222</v>
      </c>
    </row>
    <row r="485" spans="1:5">
      <c r="A485" s="672">
        <v>14429</v>
      </c>
      <c r="B485" s="672" t="s">
        <v>14</v>
      </c>
      <c r="C485" s="672" t="s">
        <v>14</v>
      </c>
      <c r="D485" s="672" t="s">
        <v>126</v>
      </c>
      <c r="E485" s="673">
        <v>43426.503831018519</v>
      </c>
    </row>
    <row r="486" spans="1:5">
      <c r="A486" s="672">
        <v>14457</v>
      </c>
      <c r="B486" s="672" t="s">
        <v>92</v>
      </c>
      <c r="C486" s="672" t="s">
        <v>14</v>
      </c>
      <c r="D486" s="672" t="s">
        <v>125</v>
      </c>
      <c r="E486" s="673">
        <v>43427.362326388888</v>
      </c>
    </row>
    <row r="487" spans="1:5">
      <c r="A487" s="672">
        <v>14467</v>
      </c>
      <c r="B487" s="672" t="s">
        <v>14</v>
      </c>
      <c r="C487" s="672" t="s">
        <v>14</v>
      </c>
      <c r="D487" s="672" t="s">
        <v>126</v>
      </c>
      <c r="E487" s="673">
        <v>43427.761874999997</v>
      </c>
    </row>
    <row r="488" spans="1:5">
      <c r="A488" s="672">
        <v>14481</v>
      </c>
      <c r="B488" s="672" t="s">
        <v>14</v>
      </c>
      <c r="C488" s="672" t="s">
        <v>14</v>
      </c>
      <c r="D488" s="672" t="s">
        <v>125</v>
      </c>
      <c r="E488" s="673">
        <v>43430.359768518516</v>
      </c>
    </row>
    <row r="489" spans="1:5">
      <c r="A489" s="672">
        <v>14500</v>
      </c>
      <c r="B489" s="672" t="s">
        <v>14</v>
      </c>
      <c r="C489" s="672" t="s">
        <v>14</v>
      </c>
      <c r="D489" s="672" t="s">
        <v>126</v>
      </c>
      <c r="E489" s="673">
        <v>43430.774097222224</v>
      </c>
    </row>
    <row r="490" spans="1:5">
      <c r="A490" s="672">
        <v>14510</v>
      </c>
      <c r="B490" s="672" t="s">
        <v>14</v>
      </c>
      <c r="C490" s="672" t="s">
        <v>14</v>
      </c>
      <c r="D490" s="672" t="s">
        <v>125</v>
      </c>
      <c r="E490" s="673">
        <v>43431.362604166665</v>
      </c>
    </row>
    <row r="491" spans="1:5">
      <c r="A491" s="672">
        <v>14521</v>
      </c>
      <c r="B491" s="672" t="s">
        <v>14</v>
      </c>
      <c r="C491" s="672" t="s">
        <v>14</v>
      </c>
      <c r="D491" s="672" t="s">
        <v>126</v>
      </c>
      <c r="E491" s="673">
        <v>43431.76761574074</v>
      </c>
    </row>
    <row r="492" spans="1:5">
      <c r="A492" s="672">
        <v>14542</v>
      </c>
      <c r="B492" s="672" t="s">
        <v>14</v>
      </c>
      <c r="C492" s="672" t="s">
        <v>14</v>
      </c>
      <c r="D492" s="672" t="s">
        <v>125</v>
      </c>
      <c r="E492" s="673">
        <v>43432.362118055556</v>
      </c>
    </row>
    <row r="493" spans="1:5">
      <c r="A493" s="672">
        <v>14552</v>
      </c>
      <c r="B493" s="672" t="s">
        <v>14</v>
      </c>
      <c r="C493" s="672" t="s">
        <v>14</v>
      </c>
      <c r="D493" s="672" t="s">
        <v>126</v>
      </c>
      <c r="E493" s="673">
        <v>43432.768159722225</v>
      </c>
    </row>
    <row r="494" spans="1:5">
      <c r="A494" s="672">
        <v>14573</v>
      </c>
      <c r="B494" s="672" t="s">
        <v>14</v>
      </c>
      <c r="C494" s="672" t="s">
        <v>14</v>
      </c>
      <c r="D494" s="672" t="s">
        <v>125</v>
      </c>
      <c r="E494" s="673">
        <v>43433.361296296294</v>
      </c>
    </row>
    <row r="495" spans="1:5">
      <c r="A495" s="672">
        <v>14579</v>
      </c>
      <c r="B495" s="672" t="s">
        <v>14</v>
      </c>
      <c r="C495" s="672" t="s">
        <v>14</v>
      </c>
      <c r="D495" s="672" t="s">
        <v>126</v>
      </c>
      <c r="E495" s="673">
        <v>43433.765914351854</v>
      </c>
    </row>
    <row r="496" spans="1:5">
      <c r="A496" s="672">
        <v>14601</v>
      </c>
      <c r="B496" s="672" t="s">
        <v>14</v>
      </c>
      <c r="C496" s="672" t="s">
        <v>14</v>
      </c>
      <c r="D496" s="672" t="s">
        <v>125</v>
      </c>
      <c r="E496" s="673">
        <v>43434.360474537039</v>
      </c>
    </row>
    <row r="497" spans="1:5">
      <c r="A497" s="672">
        <v>14614</v>
      </c>
      <c r="B497" s="672" t="s">
        <v>14</v>
      </c>
      <c r="C497" s="672" t="s">
        <v>14</v>
      </c>
      <c r="D497" s="672" t="s">
        <v>126</v>
      </c>
      <c r="E497" s="673">
        <v>43434.770879629628</v>
      </c>
    </row>
    <row r="498" spans="1:5">
      <c r="A498" s="672">
        <v>14615</v>
      </c>
      <c r="B498" s="672" t="s">
        <v>14</v>
      </c>
      <c r="C498" s="672" t="s">
        <v>14</v>
      </c>
      <c r="D498" s="672" t="s">
        <v>127</v>
      </c>
      <c r="E498" s="673">
        <v>43434.770914351851</v>
      </c>
    </row>
    <row r="499" spans="1:5">
      <c r="A499" s="672">
        <v>14623</v>
      </c>
      <c r="B499" s="672" t="s">
        <v>14</v>
      </c>
      <c r="C499" s="672" t="s">
        <v>14</v>
      </c>
      <c r="D499" s="672" t="s">
        <v>128</v>
      </c>
      <c r="E499" s="673">
        <v>43434.796030092592</v>
      </c>
    </row>
    <row r="500" spans="1:5">
      <c r="A500" s="672">
        <v>14078</v>
      </c>
      <c r="B500" s="672" t="s">
        <v>88</v>
      </c>
      <c r="C500" s="672" t="s">
        <v>88</v>
      </c>
      <c r="D500" s="672" t="s">
        <v>125</v>
      </c>
      <c r="E500" s="673">
        <v>43406.367789351854</v>
      </c>
    </row>
    <row r="501" spans="1:5">
      <c r="A501" s="672">
        <v>14081</v>
      </c>
      <c r="B501" s="672" t="s">
        <v>88</v>
      </c>
      <c r="C501" s="672" t="s">
        <v>88</v>
      </c>
      <c r="D501" s="672" t="s">
        <v>126</v>
      </c>
      <c r="E501" s="673">
        <v>43406.53765046296</v>
      </c>
    </row>
    <row r="502" spans="1:5">
      <c r="A502" s="672">
        <v>14130</v>
      </c>
      <c r="B502" s="672" t="s">
        <v>88</v>
      </c>
      <c r="C502" s="672" t="s">
        <v>88</v>
      </c>
      <c r="D502" s="672" t="s">
        <v>125</v>
      </c>
      <c r="E502" s="673">
        <v>43410.36378472222</v>
      </c>
    </row>
    <row r="503" spans="1:5">
      <c r="A503" s="672">
        <v>14132</v>
      </c>
      <c r="B503" s="672" t="s">
        <v>88</v>
      </c>
      <c r="C503" s="672" t="s">
        <v>88</v>
      </c>
      <c r="D503" s="672" t="s">
        <v>126</v>
      </c>
      <c r="E503" s="673">
        <v>43410.733576388891</v>
      </c>
    </row>
    <row r="504" spans="1:5">
      <c r="A504" s="672">
        <v>14197</v>
      </c>
      <c r="B504" s="672" t="s">
        <v>88</v>
      </c>
      <c r="C504" s="672" t="s">
        <v>88</v>
      </c>
      <c r="D504" s="672" t="s">
        <v>125</v>
      </c>
      <c r="E504" s="673">
        <v>43413.377106481479</v>
      </c>
    </row>
    <row r="505" spans="1:5">
      <c r="A505" s="672">
        <v>14198</v>
      </c>
      <c r="B505" s="672" t="s">
        <v>88</v>
      </c>
      <c r="C505" s="672" t="s">
        <v>88</v>
      </c>
      <c r="D505" s="672" t="s">
        <v>126</v>
      </c>
      <c r="E505" s="673">
        <v>43413.523587962962</v>
      </c>
    </row>
    <row r="506" spans="1:5">
      <c r="A506" s="672">
        <v>14240</v>
      </c>
      <c r="B506" s="672" t="s">
        <v>88</v>
      </c>
      <c r="C506" s="672" t="s">
        <v>88</v>
      </c>
      <c r="D506" s="672" t="s">
        <v>125</v>
      </c>
      <c r="E506" s="673">
        <v>43417.364259259259</v>
      </c>
    </row>
    <row r="507" spans="1:5">
      <c r="A507" s="672">
        <v>14243</v>
      </c>
      <c r="B507" s="672" t="s">
        <v>88</v>
      </c>
      <c r="C507" s="672" t="s">
        <v>88</v>
      </c>
      <c r="D507" s="672" t="s">
        <v>126</v>
      </c>
      <c r="E507" s="673">
        <v>43417.527129629627</v>
      </c>
    </row>
    <row r="508" spans="1:5">
      <c r="A508" s="672">
        <v>14322</v>
      </c>
      <c r="B508" s="672" t="s">
        <v>88</v>
      </c>
      <c r="C508" s="672" t="s">
        <v>88</v>
      </c>
      <c r="D508" s="672" t="s">
        <v>125</v>
      </c>
      <c r="E508" s="673">
        <v>43420.367175925923</v>
      </c>
    </row>
    <row r="509" spans="1:5">
      <c r="A509" s="672">
        <v>14323</v>
      </c>
      <c r="B509" s="672" t="s">
        <v>88</v>
      </c>
      <c r="C509" s="672" t="s">
        <v>88</v>
      </c>
      <c r="D509" s="672" t="s">
        <v>126</v>
      </c>
      <c r="E509" s="673">
        <v>43420.501539351855</v>
      </c>
    </row>
    <row r="510" spans="1:5">
      <c r="A510" s="672">
        <v>14347</v>
      </c>
      <c r="B510" s="672" t="s">
        <v>88</v>
      </c>
      <c r="C510" s="672" t="s">
        <v>88</v>
      </c>
      <c r="D510" s="672" t="s">
        <v>125</v>
      </c>
      <c r="E510" s="673">
        <v>43423.371493055558</v>
      </c>
    </row>
    <row r="511" spans="1:5">
      <c r="B511" s="672" t="s">
        <v>88</v>
      </c>
      <c r="C511" s="672" t="s">
        <v>88</v>
      </c>
      <c r="D511" s="672" t="s">
        <v>126</v>
      </c>
      <c r="E511" s="673">
        <v>43423.520833333336</v>
      </c>
    </row>
    <row r="512" spans="1:5">
      <c r="A512" s="680"/>
      <c r="B512" s="680" t="s">
        <v>88</v>
      </c>
      <c r="C512" s="680" t="s">
        <v>88</v>
      </c>
      <c r="D512" s="680" t="s">
        <v>141</v>
      </c>
      <c r="E512" s="681">
        <v>43424.375</v>
      </c>
    </row>
    <row r="513" spans="1:5">
      <c r="A513" s="672">
        <v>14373</v>
      </c>
      <c r="B513" s="672" t="s">
        <v>88</v>
      </c>
      <c r="C513" s="672" t="s">
        <v>88</v>
      </c>
      <c r="D513" s="672" t="s">
        <v>126</v>
      </c>
      <c r="E513" s="673">
        <v>43424.527928240743</v>
      </c>
    </row>
    <row r="514" spans="1:5">
      <c r="B514" s="672" t="s">
        <v>88</v>
      </c>
      <c r="C514" s="672" t="s">
        <v>88</v>
      </c>
      <c r="D514" s="672" t="s">
        <v>127</v>
      </c>
      <c r="E514" s="673">
        <v>43425.833333333336</v>
      </c>
    </row>
    <row r="515" spans="1:5">
      <c r="B515" s="672" t="s">
        <v>88</v>
      </c>
      <c r="C515" s="672" t="s">
        <v>88</v>
      </c>
      <c r="D515" s="672" t="s">
        <v>128</v>
      </c>
      <c r="E515" s="673">
        <v>43425.958333333336</v>
      </c>
    </row>
    <row r="516" spans="1:5">
      <c r="A516" s="672">
        <v>14460</v>
      </c>
      <c r="B516" s="672" t="s">
        <v>88</v>
      </c>
      <c r="C516" s="672" t="s">
        <v>88</v>
      </c>
      <c r="D516" s="672" t="s">
        <v>125</v>
      </c>
      <c r="E516" s="673">
        <v>43427.37</v>
      </c>
    </row>
    <row r="517" spans="1:5">
      <c r="A517" s="672">
        <v>14461</v>
      </c>
      <c r="B517" s="672" t="s">
        <v>88</v>
      </c>
      <c r="C517" s="672" t="s">
        <v>88</v>
      </c>
      <c r="D517" s="672" t="s">
        <v>126</v>
      </c>
      <c r="E517" s="673">
        <v>43427.504479166666</v>
      </c>
    </row>
    <row r="518" spans="1:5">
      <c r="A518" s="672">
        <v>14487</v>
      </c>
      <c r="B518" s="672" t="s">
        <v>88</v>
      </c>
      <c r="C518" s="672" t="s">
        <v>88</v>
      </c>
      <c r="D518" s="672" t="s">
        <v>125</v>
      </c>
      <c r="E518" s="673">
        <v>43430.372094907405</v>
      </c>
    </row>
    <row r="519" spans="1:5">
      <c r="A519" s="672">
        <v>14488</v>
      </c>
      <c r="B519" s="672" t="s">
        <v>88</v>
      </c>
      <c r="C519" s="672" t="s">
        <v>88</v>
      </c>
      <c r="D519" s="672" t="s">
        <v>126</v>
      </c>
      <c r="E519" s="673">
        <v>43430.502754629626</v>
      </c>
    </row>
    <row r="520" spans="1:5">
      <c r="A520" s="672">
        <v>14514</v>
      </c>
      <c r="B520" s="672" t="s">
        <v>88</v>
      </c>
      <c r="C520" s="672" t="s">
        <v>88</v>
      </c>
      <c r="D520" s="672" t="s">
        <v>125</v>
      </c>
      <c r="E520" s="673">
        <v>43431.376504629632</v>
      </c>
    </row>
    <row r="521" spans="1:5">
      <c r="A521" s="672">
        <v>14515</v>
      </c>
      <c r="B521" s="672" t="s">
        <v>88</v>
      </c>
      <c r="C521" s="672" t="s">
        <v>88</v>
      </c>
      <c r="D521" s="672" t="s">
        <v>126</v>
      </c>
      <c r="E521" s="673">
        <v>43431.521516203706</v>
      </c>
    </row>
    <row r="522" spans="1:5">
      <c r="A522" s="672">
        <v>14605</v>
      </c>
      <c r="B522" s="672" t="s">
        <v>88</v>
      </c>
      <c r="C522" s="672" t="s">
        <v>88</v>
      </c>
      <c r="D522" s="672" t="s">
        <v>125</v>
      </c>
      <c r="E522" s="673">
        <v>43434.375578703701</v>
      </c>
    </row>
    <row r="523" spans="1:5">
      <c r="A523" s="672">
        <v>14606</v>
      </c>
      <c r="B523" s="672" t="s">
        <v>88</v>
      </c>
      <c r="C523" s="672" t="s">
        <v>88</v>
      </c>
      <c r="D523" s="672" t="s">
        <v>126</v>
      </c>
      <c r="E523" s="673">
        <v>43434.504907407405</v>
      </c>
    </row>
    <row r="524" spans="1:5">
      <c r="A524" s="672">
        <v>14053</v>
      </c>
      <c r="B524" s="672" t="s">
        <v>120</v>
      </c>
      <c r="C524" s="672" t="s">
        <v>120</v>
      </c>
      <c r="D524" s="672" t="s">
        <v>125</v>
      </c>
      <c r="E524" s="673">
        <v>43405.34684027778</v>
      </c>
    </row>
    <row r="525" spans="1:5">
      <c r="A525" s="672">
        <v>14066</v>
      </c>
      <c r="B525" s="672" t="s">
        <v>121</v>
      </c>
      <c r="C525" s="672" t="s">
        <v>120</v>
      </c>
      <c r="D525" s="672" t="s">
        <v>126</v>
      </c>
      <c r="E525" s="673">
        <v>43405.761840277781</v>
      </c>
    </row>
    <row r="526" spans="1:5">
      <c r="A526" s="672">
        <v>14071</v>
      </c>
      <c r="B526" s="672" t="s">
        <v>120</v>
      </c>
      <c r="C526" s="672" t="s">
        <v>120</v>
      </c>
      <c r="D526" s="672" t="s">
        <v>125</v>
      </c>
      <c r="E526" s="673">
        <v>43406.347395833334</v>
      </c>
    </row>
    <row r="527" spans="1:5">
      <c r="A527" s="672">
        <v>14091</v>
      </c>
      <c r="B527" s="672" t="s">
        <v>121</v>
      </c>
      <c r="C527" s="672" t="s">
        <v>120</v>
      </c>
      <c r="D527" s="672" t="s">
        <v>126</v>
      </c>
      <c r="E527" s="673">
        <v>43406.77380787037</v>
      </c>
    </row>
    <row r="528" spans="1:5">
      <c r="A528" s="672">
        <v>14097</v>
      </c>
      <c r="B528" s="672" t="s">
        <v>120</v>
      </c>
      <c r="C528" s="672" t="s">
        <v>120</v>
      </c>
      <c r="D528" s="672" t="s">
        <v>125</v>
      </c>
      <c r="E528" s="673">
        <v>43409.348900462966</v>
      </c>
    </row>
    <row r="529" spans="1:5">
      <c r="A529" s="672">
        <v>14112</v>
      </c>
      <c r="B529" s="672" t="s">
        <v>121</v>
      </c>
      <c r="C529" s="672" t="s">
        <v>120</v>
      </c>
      <c r="D529" s="672" t="s">
        <v>126</v>
      </c>
      <c r="E529" s="673">
        <v>43409.765983796293</v>
      </c>
    </row>
    <row r="530" spans="1:5">
      <c r="A530" s="672">
        <v>14122</v>
      </c>
      <c r="B530" s="672" t="s">
        <v>120</v>
      </c>
      <c r="C530" s="672" t="s">
        <v>120</v>
      </c>
      <c r="D530" s="672" t="s">
        <v>125</v>
      </c>
      <c r="E530" s="673">
        <v>43410.345879629633</v>
      </c>
    </row>
    <row r="531" spans="1:5">
      <c r="A531" s="672">
        <v>14137</v>
      </c>
      <c r="B531" s="672" t="s">
        <v>121</v>
      </c>
      <c r="C531" s="672" t="s">
        <v>120</v>
      </c>
      <c r="D531" s="672" t="s">
        <v>126</v>
      </c>
      <c r="E531" s="673">
        <v>43410.772951388892</v>
      </c>
    </row>
    <row r="532" spans="1:5">
      <c r="A532" s="672">
        <v>14146</v>
      </c>
      <c r="B532" s="672" t="s">
        <v>120</v>
      </c>
      <c r="C532" s="672" t="s">
        <v>120</v>
      </c>
      <c r="D532" s="672" t="s">
        <v>125</v>
      </c>
      <c r="E532" s="673">
        <v>43411.350173611114</v>
      </c>
    </row>
    <row r="533" spans="1:5">
      <c r="A533" s="672">
        <v>14158</v>
      </c>
      <c r="B533" s="672" t="s">
        <v>121</v>
      </c>
      <c r="C533" s="672" t="s">
        <v>120</v>
      </c>
      <c r="D533" s="672" t="s">
        <v>126</v>
      </c>
      <c r="E533" s="673">
        <v>43411.770185185182</v>
      </c>
    </row>
    <row r="534" spans="1:5">
      <c r="A534" s="672">
        <v>14162</v>
      </c>
      <c r="B534" s="672" t="s">
        <v>120</v>
      </c>
      <c r="C534" s="672" t="s">
        <v>120</v>
      </c>
      <c r="D534" s="672" t="s">
        <v>125</v>
      </c>
      <c r="E534" s="673">
        <v>43412.347361111111</v>
      </c>
    </row>
    <row r="535" spans="1:5">
      <c r="A535" s="672">
        <v>14177</v>
      </c>
      <c r="B535" s="672" t="s">
        <v>120</v>
      </c>
      <c r="C535" s="672" t="s">
        <v>120</v>
      </c>
      <c r="D535" s="672" t="s">
        <v>126</v>
      </c>
      <c r="E535" s="673">
        <v>43412.769259259258</v>
      </c>
    </row>
    <row r="536" spans="1:5">
      <c r="A536" s="672">
        <v>14188</v>
      </c>
      <c r="B536" s="672" t="s">
        <v>120</v>
      </c>
      <c r="C536" s="672" t="s">
        <v>120</v>
      </c>
      <c r="D536" s="672" t="s">
        <v>125</v>
      </c>
      <c r="E536" s="673">
        <v>43413.349189814813</v>
      </c>
    </row>
    <row r="537" spans="1:5">
      <c r="A537" s="672">
        <v>14205</v>
      </c>
      <c r="B537" s="672" t="s">
        <v>121</v>
      </c>
      <c r="C537" s="672" t="s">
        <v>120</v>
      </c>
      <c r="D537" s="672" t="s">
        <v>126</v>
      </c>
      <c r="E537" s="673">
        <v>43413.772407407407</v>
      </c>
    </row>
    <row r="538" spans="1:5">
      <c r="A538" s="672">
        <v>14212</v>
      </c>
      <c r="B538" s="672" t="s">
        <v>120</v>
      </c>
      <c r="C538" s="672" t="s">
        <v>120</v>
      </c>
      <c r="D538" s="672" t="s">
        <v>125</v>
      </c>
      <c r="E538" s="673">
        <v>43416.348553240743</v>
      </c>
    </row>
    <row r="539" spans="1:5">
      <c r="A539" s="672">
        <v>14228</v>
      </c>
      <c r="B539" s="672" t="s">
        <v>121</v>
      </c>
      <c r="C539" s="672" t="s">
        <v>120</v>
      </c>
      <c r="D539" s="672" t="s">
        <v>126</v>
      </c>
      <c r="E539" s="673">
        <v>43416.771886574075</v>
      </c>
    </row>
    <row r="540" spans="1:5">
      <c r="A540" s="672">
        <v>14232</v>
      </c>
      <c r="B540" s="672" t="s">
        <v>120</v>
      </c>
      <c r="C540" s="672" t="s">
        <v>120</v>
      </c>
      <c r="D540" s="672" t="s">
        <v>125</v>
      </c>
      <c r="E540" s="673">
        <v>43417.349606481483</v>
      </c>
    </row>
    <row r="541" spans="1:5">
      <c r="A541" s="672">
        <v>14251</v>
      </c>
      <c r="B541" s="672" t="s">
        <v>121</v>
      </c>
      <c r="C541" s="672" t="s">
        <v>120</v>
      </c>
      <c r="D541" s="672" t="s">
        <v>126</v>
      </c>
      <c r="E541" s="673">
        <v>43417.766342592593</v>
      </c>
    </row>
    <row r="542" spans="1:5">
      <c r="A542" s="672">
        <v>14252</v>
      </c>
      <c r="B542" s="672" t="s">
        <v>121</v>
      </c>
      <c r="C542" s="672" t="s">
        <v>120</v>
      </c>
      <c r="D542" s="672" t="s">
        <v>127</v>
      </c>
      <c r="E542" s="673">
        <v>43417.766400462962</v>
      </c>
    </row>
    <row r="543" spans="1:5">
      <c r="A543" s="672">
        <v>14264</v>
      </c>
      <c r="B543" s="672" t="s">
        <v>121</v>
      </c>
      <c r="C543" s="672" t="s">
        <v>120</v>
      </c>
      <c r="D543" s="672" t="s">
        <v>128</v>
      </c>
      <c r="E543" s="673">
        <v>43417.825648148151</v>
      </c>
    </row>
    <row r="544" spans="1:5">
      <c r="A544" s="672">
        <v>14266</v>
      </c>
      <c r="B544" s="672" t="s">
        <v>120</v>
      </c>
      <c r="C544" s="672" t="s">
        <v>120</v>
      </c>
      <c r="D544" s="672" t="s">
        <v>125</v>
      </c>
      <c r="E544" s="673">
        <v>43418.347349537034</v>
      </c>
    </row>
    <row r="545" spans="1:5">
      <c r="A545" s="672">
        <v>14280</v>
      </c>
      <c r="B545" s="672" t="s">
        <v>120</v>
      </c>
      <c r="C545" s="672" t="s">
        <v>120</v>
      </c>
      <c r="D545" s="672" t="s">
        <v>126</v>
      </c>
      <c r="E545" s="673">
        <v>43418.774143518516</v>
      </c>
    </row>
    <row r="546" spans="1:5">
      <c r="A546" s="672">
        <v>14282</v>
      </c>
      <c r="B546" s="672" t="s">
        <v>121</v>
      </c>
      <c r="C546" s="672" t="s">
        <v>120</v>
      </c>
      <c r="D546" s="672" t="s">
        <v>125</v>
      </c>
      <c r="E546" s="673">
        <v>43419.348981481482</v>
      </c>
    </row>
    <row r="547" spans="1:5">
      <c r="A547" s="672">
        <v>14298</v>
      </c>
      <c r="B547" s="672" t="s">
        <v>121</v>
      </c>
      <c r="C547" s="672" t="s">
        <v>120</v>
      </c>
      <c r="D547" s="672" t="s">
        <v>126</v>
      </c>
      <c r="E547" s="673">
        <v>43419.76834490741</v>
      </c>
    </row>
    <row r="548" spans="1:5">
      <c r="A548" s="672">
        <v>14299</v>
      </c>
      <c r="B548" s="672" t="s">
        <v>121</v>
      </c>
      <c r="C548" s="672" t="s">
        <v>120</v>
      </c>
      <c r="D548" s="672" t="s">
        <v>127</v>
      </c>
      <c r="E548" s="673">
        <v>43419.768379629626</v>
      </c>
    </row>
    <row r="549" spans="1:5">
      <c r="A549" s="672">
        <v>14309</v>
      </c>
      <c r="B549" s="672" t="s">
        <v>121</v>
      </c>
      <c r="C549" s="672" t="s">
        <v>120</v>
      </c>
      <c r="D549" s="672" t="s">
        <v>128</v>
      </c>
      <c r="E549" s="673">
        <v>43419.834062499998</v>
      </c>
    </row>
    <row r="550" spans="1:5">
      <c r="A550" s="672">
        <v>14313</v>
      </c>
      <c r="B550" s="672" t="s">
        <v>120</v>
      </c>
      <c r="C550" s="672" t="s">
        <v>120</v>
      </c>
      <c r="D550" s="672" t="s">
        <v>125</v>
      </c>
      <c r="E550" s="673">
        <v>43420.35125</v>
      </c>
    </row>
    <row r="551" spans="1:5">
      <c r="A551" s="672">
        <v>14336</v>
      </c>
      <c r="B551" s="672" t="s">
        <v>121</v>
      </c>
      <c r="C551" s="672" t="s">
        <v>120</v>
      </c>
      <c r="D551" s="672" t="s">
        <v>126</v>
      </c>
      <c r="E551" s="673">
        <v>43420.775057870371</v>
      </c>
    </row>
    <row r="552" spans="1:5">
      <c r="A552" s="672">
        <v>14341</v>
      </c>
      <c r="B552" s="672" t="s">
        <v>120</v>
      </c>
      <c r="C552" s="672" t="s">
        <v>120</v>
      </c>
      <c r="D552" s="672" t="s">
        <v>125</v>
      </c>
      <c r="E552" s="673">
        <v>43423.349548611113</v>
      </c>
    </row>
    <row r="553" spans="1:5">
      <c r="A553" s="672">
        <v>14355</v>
      </c>
      <c r="B553" s="672" t="s">
        <v>121</v>
      </c>
      <c r="C553" s="672" t="s">
        <v>120</v>
      </c>
      <c r="D553" s="672" t="s">
        <v>126</v>
      </c>
      <c r="E553" s="673">
        <v>43423.769837962966</v>
      </c>
    </row>
    <row r="554" spans="1:5">
      <c r="A554" s="672">
        <v>14364</v>
      </c>
      <c r="B554" s="672" t="s">
        <v>120</v>
      </c>
      <c r="C554" s="672" t="s">
        <v>120</v>
      </c>
      <c r="D554" s="672" t="s">
        <v>125</v>
      </c>
      <c r="E554" s="673">
        <v>43424.348217592589</v>
      </c>
    </row>
    <row r="555" spans="1:5">
      <c r="A555" s="672">
        <v>14385</v>
      </c>
      <c r="B555" s="672" t="s">
        <v>121</v>
      </c>
      <c r="C555" s="672" t="s">
        <v>120</v>
      </c>
      <c r="D555" s="672" t="s">
        <v>126</v>
      </c>
      <c r="E555" s="673">
        <v>43424.771354166667</v>
      </c>
    </row>
    <row r="556" spans="1:5">
      <c r="A556" s="672">
        <v>14391</v>
      </c>
      <c r="B556" s="672" t="s">
        <v>120</v>
      </c>
      <c r="C556" s="672" t="s">
        <v>120</v>
      </c>
      <c r="D556" s="672" t="s">
        <v>125</v>
      </c>
      <c r="E556" s="673">
        <v>43425.34584490741</v>
      </c>
    </row>
    <row r="557" spans="1:5">
      <c r="A557" s="672">
        <v>14402</v>
      </c>
      <c r="B557" s="672" t="s">
        <v>121</v>
      </c>
      <c r="C557" s="672" t="s">
        <v>120</v>
      </c>
      <c r="D557" s="672" t="s">
        <v>126</v>
      </c>
      <c r="E557" s="673">
        <v>43425.764062499999</v>
      </c>
    </row>
    <row r="558" spans="1:5">
      <c r="A558" s="672">
        <v>14420</v>
      </c>
      <c r="B558" s="672" t="s">
        <v>120</v>
      </c>
      <c r="C558" s="672" t="s">
        <v>120</v>
      </c>
      <c r="D558" s="672" t="s">
        <v>125</v>
      </c>
      <c r="E558" s="673">
        <v>43426.351643518516</v>
      </c>
    </row>
    <row r="559" spans="1:5">
      <c r="A559" s="672">
        <v>14437</v>
      </c>
      <c r="B559" s="672" t="s">
        <v>121</v>
      </c>
      <c r="C559" s="672" t="s">
        <v>120</v>
      </c>
      <c r="D559" s="672" t="s">
        <v>126</v>
      </c>
      <c r="E559" s="673">
        <v>43426.771006944444</v>
      </c>
    </row>
    <row r="560" spans="1:5">
      <c r="A560" s="672">
        <v>14448</v>
      </c>
      <c r="B560" s="672" t="s">
        <v>120</v>
      </c>
      <c r="C560" s="672" t="s">
        <v>120</v>
      </c>
      <c r="D560" s="672" t="s">
        <v>125</v>
      </c>
      <c r="E560" s="673">
        <v>43427.344976851855</v>
      </c>
    </row>
    <row r="561" spans="1:5">
      <c r="A561" s="672">
        <v>14470</v>
      </c>
      <c r="B561" s="672" t="s">
        <v>121</v>
      </c>
      <c r="C561" s="672" t="s">
        <v>120</v>
      </c>
      <c r="D561" s="672" t="s">
        <v>126</v>
      </c>
      <c r="E561" s="673">
        <v>43427.766793981478</v>
      </c>
    </row>
    <row r="562" spans="1:5">
      <c r="A562" s="672">
        <v>14478</v>
      </c>
      <c r="B562" s="672" t="s">
        <v>120</v>
      </c>
      <c r="C562" s="672" t="s">
        <v>120</v>
      </c>
      <c r="D562" s="672" t="s">
        <v>125</v>
      </c>
      <c r="E562" s="673">
        <v>43430.348402777781</v>
      </c>
    </row>
    <row r="563" spans="1:5">
      <c r="A563" s="672">
        <v>14497</v>
      </c>
      <c r="B563" s="672" t="s">
        <v>121</v>
      </c>
      <c r="C563" s="672" t="s">
        <v>120</v>
      </c>
      <c r="D563" s="672" t="s">
        <v>126</v>
      </c>
      <c r="E563" s="673">
        <v>43430.767465277779</v>
      </c>
    </row>
    <row r="564" spans="1:5">
      <c r="A564" s="672">
        <v>14504</v>
      </c>
      <c r="B564" s="672" t="s">
        <v>120</v>
      </c>
      <c r="C564" s="672" t="s">
        <v>120</v>
      </c>
      <c r="D564" s="672" t="s">
        <v>125</v>
      </c>
      <c r="E564" s="673">
        <v>43431.348935185182</v>
      </c>
    </row>
    <row r="565" spans="1:5">
      <c r="A565" s="672">
        <v>14519</v>
      </c>
      <c r="B565" s="672" t="s">
        <v>121</v>
      </c>
      <c r="C565" s="672" t="s">
        <v>120</v>
      </c>
      <c r="D565" s="672" t="s">
        <v>126</v>
      </c>
      <c r="E565" s="673">
        <v>43431.764016203706</v>
      </c>
    </row>
    <row r="566" spans="1:5">
      <c r="A566" s="672">
        <v>14535</v>
      </c>
      <c r="B566" s="672" t="s">
        <v>120</v>
      </c>
      <c r="C566" s="672" t="s">
        <v>120</v>
      </c>
      <c r="D566" s="672" t="s">
        <v>125</v>
      </c>
      <c r="E566" s="673">
        <v>43432.348240740743</v>
      </c>
    </row>
    <row r="567" spans="1:5">
      <c r="A567" s="672">
        <v>14551</v>
      </c>
      <c r="B567" s="672" t="s">
        <v>121</v>
      </c>
      <c r="C567" s="672" t="s">
        <v>120</v>
      </c>
      <c r="D567" s="672" t="s">
        <v>126</v>
      </c>
      <c r="E567" s="673">
        <v>43432.765324074076</v>
      </c>
    </row>
    <row r="568" spans="1:5">
      <c r="A568" s="672">
        <v>14567</v>
      </c>
      <c r="B568" s="672" t="s">
        <v>120</v>
      </c>
      <c r="C568" s="672" t="s">
        <v>120</v>
      </c>
      <c r="D568" s="672" t="s">
        <v>125</v>
      </c>
      <c r="E568" s="673">
        <v>43433.349259259259</v>
      </c>
    </row>
    <row r="569" spans="1:5">
      <c r="A569" s="672">
        <v>14588</v>
      </c>
      <c r="B569" s="672" t="s">
        <v>121</v>
      </c>
      <c r="C569" s="672" t="s">
        <v>120</v>
      </c>
      <c r="D569" s="672" t="s">
        <v>126</v>
      </c>
      <c r="E569" s="673">
        <v>43433.772141203706</v>
      </c>
    </row>
    <row r="570" spans="1:5">
      <c r="A570" s="672">
        <v>14596</v>
      </c>
      <c r="B570" s="672" t="s">
        <v>120</v>
      </c>
      <c r="C570" s="672" t="s">
        <v>120</v>
      </c>
      <c r="D570" s="672" t="s">
        <v>125</v>
      </c>
      <c r="E570" s="673">
        <v>43434.347326388888</v>
      </c>
    </row>
    <row r="571" spans="1:5">
      <c r="A571" s="672">
        <v>14616</v>
      </c>
      <c r="B571" s="672" t="s">
        <v>121</v>
      </c>
      <c r="C571" s="672" t="s">
        <v>120</v>
      </c>
      <c r="D571" s="672" t="s">
        <v>126</v>
      </c>
      <c r="E571" s="673">
        <v>43434.771828703706</v>
      </c>
    </row>
    <row r="572" spans="1:5">
      <c r="A572" s="672">
        <v>14617</v>
      </c>
      <c r="B572" s="672" t="s">
        <v>121</v>
      </c>
      <c r="C572" s="672" t="s">
        <v>120</v>
      </c>
      <c r="D572" s="672" t="s">
        <v>127</v>
      </c>
      <c r="E572" s="673">
        <v>43434.771863425929</v>
      </c>
    </row>
    <row r="573" spans="1:5">
      <c r="A573" s="672">
        <v>14626</v>
      </c>
      <c r="B573" s="672" t="s">
        <v>121</v>
      </c>
      <c r="C573" s="672" t="s">
        <v>120</v>
      </c>
      <c r="D573" s="672" t="s">
        <v>128</v>
      </c>
      <c r="E573" s="673">
        <v>43434.855891203704</v>
      </c>
    </row>
    <row r="574" spans="1:5">
      <c r="E574" s="673"/>
    </row>
    <row r="575" spans="1:5">
      <c r="E575" s="673"/>
    </row>
    <row r="576" spans="1:5">
      <c r="A576" s="680"/>
      <c r="B576" s="680"/>
      <c r="C576" s="680"/>
      <c r="D576" s="680"/>
      <c r="E576" s="681"/>
    </row>
    <row r="577" spans="1:5">
      <c r="A577" s="682"/>
      <c r="B577" s="682"/>
      <c r="C577" s="682"/>
      <c r="D577" s="682"/>
      <c r="E577" s="683"/>
    </row>
    <row r="578" spans="1:5">
      <c r="E578" s="673"/>
    </row>
    <row r="579" spans="1:5">
      <c r="E579" s="673"/>
    </row>
    <row r="580" spans="1:5">
      <c r="E580" s="673"/>
    </row>
    <row r="581" spans="1:5">
      <c r="E581" s="673"/>
    </row>
    <row r="582" spans="1:5">
      <c r="E582" s="673"/>
    </row>
    <row r="583" spans="1:5">
      <c r="E583" s="673"/>
    </row>
    <row r="584" spans="1:5">
      <c r="E584" s="673"/>
    </row>
    <row r="585" spans="1:5">
      <c r="E585" s="673"/>
    </row>
    <row r="586" spans="1:5">
      <c r="E586" s="673"/>
    </row>
    <row r="587" spans="1:5">
      <c r="E587" s="673"/>
    </row>
    <row r="588" spans="1:5">
      <c r="E588" s="673"/>
    </row>
    <row r="589" spans="1:5">
      <c r="E589" s="673"/>
    </row>
    <row r="590" spans="1:5">
      <c r="E590" s="673"/>
    </row>
    <row r="591" spans="1:5">
      <c r="E591" s="673"/>
    </row>
    <row r="592" spans="1:5">
      <c r="E592" s="673"/>
    </row>
    <row r="593" spans="5:5">
      <c r="E593" s="673"/>
    </row>
    <row r="594" spans="5:5">
      <c r="E594" s="673"/>
    </row>
    <row r="595" spans="5:5">
      <c r="E595" s="673"/>
    </row>
    <row r="596" spans="5:5">
      <c r="E596" s="673"/>
    </row>
    <row r="597" spans="5:5">
      <c r="E597" s="673"/>
    </row>
    <row r="598" spans="5:5">
      <c r="E598" s="673"/>
    </row>
    <row r="599" spans="5:5">
      <c r="E599" s="673"/>
    </row>
    <row r="600" spans="5:5">
      <c r="E600" s="673"/>
    </row>
    <row r="601" spans="5:5">
      <c r="E601" s="673"/>
    </row>
    <row r="602" spans="5:5">
      <c r="E602" s="673"/>
    </row>
    <row r="603" spans="5:5">
      <c r="E603" s="673"/>
    </row>
    <row r="604" spans="5:5">
      <c r="E604" s="673"/>
    </row>
    <row r="605" spans="5:5">
      <c r="E605" s="673"/>
    </row>
    <row r="606" spans="5:5">
      <c r="E606" s="673"/>
    </row>
    <row r="607" spans="5:5">
      <c r="E607" s="673"/>
    </row>
    <row r="608" spans="5:5">
      <c r="E608" s="673"/>
    </row>
    <row r="609" spans="1:5">
      <c r="E609" s="673"/>
    </row>
    <row r="610" spans="1:5">
      <c r="E610" s="673"/>
    </row>
    <row r="611" spans="1:5">
      <c r="E611" s="673"/>
    </row>
    <row r="612" spans="1:5">
      <c r="E612" s="673"/>
    </row>
    <row r="613" spans="1:5">
      <c r="E613" s="673"/>
    </row>
    <row r="614" spans="1:5">
      <c r="E614" s="673"/>
    </row>
    <row r="615" spans="1:5">
      <c r="E615" s="673"/>
    </row>
    <row r="616" spans="1:5">
      <c r="E616" s="673"/>
    </row>
    <row r="617" spans="1:5">
      <c r="A617" s="682"/>
      <c r="B617" s="682"/>
      <c r="C617" s="682"/>
      <c r="D617" s="682"/>
      <c r="E617" s="683"/>
    </row>
    <row r="618" spans="1:5">
      <c r="E618" s="673"/>
    </row>
    <row r="619" spans="1:5">
      <c r="E619" s="673"/>
    </row>
    <row r="620" spans="1:5">
      <c r="E620" s="673"/>
    </row>
    <row r="621" spans="1:5">
      <c r="E621" s="673"/>
    </row>
    <row r="622" spans="1:5">
      <c r="E622" s="673"/>
    </row>
    <row r="623" spans="1:5">
      <c r="E623" s="673"/>
    </row>
    <row r="624" spans="1:5">
      <c r="E624" s="673"/>
    </row>
    <row r="625" spans="5:5">
      <c r="E625" s="673"/>
    </row>
    <row r="626" spans="5:5">
      <c r="E626" s="673"/>
    </row>
    <row r="627" spans="5:5">
      <c r="E627" s="673"/>
    </row>
    <row r="628" spans="5:5">
      <c r="E628" s="673"/>
    </row>
    <row r="629" spans="5:5">
      <c r="E629" s="673"/>
    </row>
    <row r="630" spans="5:5">
      <c r="E630" s="673"/>
    </row>
    <row r="631" spans="5:5">
      <c r="E631" s="673"/>
    </row>
    <row r="632" spans="5:5">
      <c r="E632" s="673"/>
    </row>
    <row r="633" spans="5:5">
      <c r="E633" s="673"/>
    </row>
    <row r="634" spans="5:5">
      <c r="E634" s="673"/>
    </row>
    <row r="635" spans="5:5">
      <c r="E635" s="673"/>
    </row>
    <row r="636" spans="5:5">
      <c r="E636" s="673"/>
    </row>
    <row r="637" spans="5:5">
      <c r="E637" s="673"/>
    </row>
    <row r="638" spans="5:5">
      <c r="E638" s="673"/>
    </row>
    <row r="639" spans="5:5">
      <c r="E639" s="673"/>
    </row>
    <row r="640" spans="5:5">
      <c r="E640" s="673"/>
    </row>
    <row r="815" spans="1:5" s="677" customFormat="1">
      <c r="A815" s="672"/>
      <c r="B815" s="672"/>
      <c r="C815" s="672"/>
      <c r="D815" s="672"/>
      <c r="E815" s="672"/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80BD-45BE-4AC6-9A8D-38CF6E1C8BE5}">
  <sheetPr codeName="工作表36"/>
  <dimension ref="A1:N687"/>
  <sheetViews>
    <sheetView workbookViewId="0">
      <selection activeCell="M9" sqref="M9"/>
    </sheetView>
  </sheetViews>
  <sheetFormatPr defaultRowHeight="15.75"/>
  <cols>
    <col min="1" max="1" width="7.375" style="632" bestFit="1" customWidth="1"/>
    <col min="2" max="2" width="7.5" style="632" bestFit="1" customWidth="1"/>
    <col min="3" max="3" width="7.25" style="632" bestFit="1" customWidth="1"/>
    <col min="4" max="4" width="9.5" style="632" bestFit="1" customWidth="1"/>
    <col min="5" max="5" width="18.875" style="632" bestFit="1" customWidth="1"/>
    <col min="6" max="6" width="5.5" style="438" bestFit="1" customWidth="1"/>
    <col min="7" max="7" width="9.125" style="632" bestFit="1" customWidth="1"/>
    <col min="8" max="8" width="9.125" style="688" bestFit="1" customWidth="1"/>
    <col min="9" max="9" width="9.125" style="686" bestFit="1" customWidth="1"/>
    <col min="10" max="11" width="9.125" style="688" bestFit="1" customWidth="1"/>
    <col min="12" max="12" width="9" style="632"/>
    <col min="13" max="14" width="9.125" style="688" bestFit="1" customWidth="1"/>
    <col min="15" max="16384" width="9" style="678"/>
  </cols>
  <sheetData>
    <row r="1" spans="1:14">
      <c r="A1" s="632" t="s">
        <v>0</v>
      </c>
      <c r="B1" s="632" t="s">
        <v>1</v>
      </c>
      <c r="C1" s="632" t="s">
        <v>2</v>
      </c>
      <c r="D1" s="632" t="s">
        <v>3</v>
      </c>
      <c r="E1" s="632" t="s">
        <v>4</v>
      </c>
    </row>
    <row r="2" spans="1:14">
      <c r="A2" s="632">
        <v>14060</v>
      </c>
      <c r="B2" s="632" t="s">
        <v>72</v>
      </c>
      <c r="C2" s="632" t="s">
        <v>72</v>
      </c>
      <c r="D2" s="632" t="s">
        <v>125</v>
      </c>
      <c r="E2" s="633">
        <v>43405.362280092595</v>
      </c>
      <c r="F2" s="438">
        <v>43405.362280092595</v>
      </c>
      <c r="G2" s="634">
        <v>0.36180555555555555</v>
      </c>
      <c r="H2" s="688">
        <v>9.5670000000000002</v>
      </c>
      <c r="I2" s="686">
        <v>8</v>
      </c>
      <c r="J2" s="688" t="s">
        <v>115</v>
      </c>
    </row>
    <row r="3" spans="1:14">
      <c r="A3" s="632">
        <v>14061</v>
      </c>
      <c r="B3" s="632" t="s">
        <v>72</v>
      </c>
      <c r="C3" s="632" t="s">
        <v>72</v>
      </c>
      <c r="D3" s="632" t="s">
        <v>126</v>
      </c>
      <c r="E3" s="633">
        <v>43405.761087962965</v>
      </c>
      <c r="F3" s="438">
        <v>43405.761087962965</v>
      </c>
      <c r="G3" s="634">
        <v>0.76041666666666663</v>
      </c>
      <c r="H3" s="688" t="s">
        <v>115</v>
      </c>
      <c r="I3" s="686" t="s">
        <v>115</v>
      </c>
      <c r="J3" s="688" t="s">
        <v>115</v>
      </c>
    </row>
    <row r="4" spans="1:14">
      <c r="A4" s="632">
        <v>14076</v>
      </c>
      <c r="B4" s="632" t="s">
        <v>72</v>
      </c>
      <c r="C4" s="632" t="s">
        <v>72</v>
      </c>
      <c r="D4" s="632" t="s">
        <v>125</v>
      </c>
      <c r="E4" s="633">
        <v>43406.360833333332</v>
      </c>
      <c r="F4" s="438">
        <v>43406.360833333332</v>
      </c>
      <c r="G4" s="634">
        <v>0.36041666666666666</v>
      </c>
      <c r="H4" s="688">
        <v>9.8000000000000007</v>
      </c>
      <c r="I4" s="686">
        <v>8</v>
      </c>
      <c r="J4" s="688" t="s">
        <v>115</v>
      </c>
    </row>
    <row r="5" spans="1:14">
      <c r="A5" s="632">
        <v>14085</v>
      </c>
      <c r="B5" s="632" t="s">
        <v>72</v>
      </c>
      <c r="C5" s="632" t="s">
        <v>72</v>
      </c>
      <c r="D5" s="632" t="s">
        <v>126</v>
      </c>
      <c r="E5" s="633">
        <v>43406.769293981481</v>
      </c>
      <c r="F5" s="438">
        <v>43406.769293981481</v>
      </c>
      <c r="G5" s="634">
        <v>0.76874999999999993</v>
      </c>
      <c r="H5" s="688" t="s">
        <v>115</v>
      </c>
      <c r="I5" s="686" t="s">
        <v>115</v>
      </c>
      <c r="J5" s="688" t="s">
        <v>115</v>
      </c>
    </row>
    <row r="6" spans="1:14">
      <c r="A6" s="632">
        <v>14105</v>
      </c>
      <c r="B6" s="632" t="s">
        <v>72</v>
      </c>
      <c r="C6" s="632" t="s">
        <v>72</v>
      </c>
      <c r="D6" s="632" t="s">
        <v>125</v>
      </c>
      <c r="E6" s="633">
        <v>43409.364837962959</v>
      </c>
      <c r="F6" s="438">
        <v>43409.364837962959</v>
      </c>
      <c r="G6" s="634">
        <v>0.36458333333333331</v>
      </c>
      <c r="H6" s="688">
        <v>9.6829999999999998</v>
      </c>
      <c r="I6" s="686">
        <v>8</v>
      </c>
      <c r="J6" s="688" t="s">
        <v>115</v>
      </c>
    </row>
    <row r="7" spans="1:14">
      <c r="A7" s="632">
        <v>14113</v>
      </c>
      <c r="B7" s="632" t="s">
        <v>72</v>
      </c>
      <c r="C7" s="632" t="s">
        <v>72</v>
      </c>
      <c r="D7" s="632" t="s">
        <v>126</v>
      </c>
      <c r="E7" s="633">
        <v>43409.768275462964</v>
      </c>
      <c r="F7" s="438">
        <v>43409.768275462964</v>
      </c>
      <c r="G7" s="634">
        <v>0.7680555555555556</v>
      </c>
      <c r="H7" s="688" t="s">
        <v>115</v>
      </c>
      <c r="I7" s="686" t="s">
        <v>115</v>
      </c>
      <c r="J7" s="688" t="s">
        <v>115</v>
      </c>
    </row>
    <row r="8" spans="1:14">
      <c r="A8" s="632">
        <v>14129</v>
      </c>
      <c r="B8" s="632" t="s">
        <v>72</v>
      </c>
      <c r="C8" s="632" t="s">
        <v>72</v>
      </c>
      <c r="D8" s="632" t="s">
        <v>125</v>
      </c>
      <c r="E8" s="633">
        <v>43410.363738425927</v>
      </c>
      <c r="F8" s="438">
        <v>43410.363738425927</v>
      </c>
      <c r="G8" s="634">
        <v>0.36319444444444443</v>
      </c>
      <c r="H8" s="688">
        <v>9.9169999999999998</v>
      </c>
      <c r="I8" s="686">
        <v>8</v>
      </c>
      <c r="J8" s="688" t="s">
        <v>115</v>
      </c>
    </row>
    <row r="9" spans="1:14">
      <c r="A9" s="632">
        <v>14140</v>
      </c>
      <c r="B9" s="632" t="s">
        <v>72</v>
      </c>
      <c r="C9" s="632" t="s">
        <v>72</v>
      </c>
      <c r="D9" s="632" t="s">
        <v>126</v>
      </c>
      <c r="E9" s="633">
        <v>43410.77685185185</v>
      </c>
      <c r="F9" s="438">
        <v>43410.77685185185</v>
      </c>
      <c r="G9" s="634">
        <v>0.77638888888888891</v>
      </c>
      <c r="H9" s="688" t="s">
        <v>115</v>
      </c>
      <c r="I9" s="686" t="s">
        <v>115</v>
      </c>
      <c r="J9" s="688" t="s">
        <v>115</v>
      </c>
    </row>
    <row r="10" spans="1:14">
      <c r="A10" s="632">
        <v>14151</v>
      </c>
      <c r="B10" s="632" t="s">
        <v>86</v>
      </c>
      <c r="C10" s="632" t="s">
        <v>72</v>
      </c>
      <c r="D10" s="632" t="s">
        <v>125</v>
      </c>
      <c r="E10" s="633">
        <v>43411.362187500003</v>
      </c>
      <c r="F10" s="438">
        <v>43411.362187500003</v>
      </c>
      <c r="G10" s="634">
        <v>0.36180555555555555</v>
      </c>
      <c r="H10" s="688">
        <v>9.8000000000000007</v>
      </c>
      <c r="I10" s="686">
        <v>8</v>
      </c>
      <c r="J10" s="688" t="s">
        <v>115</v>
      </c>
    </row>
    <row r="11" spans="1:14">
      <c r="A11" s="632">
        <v>14159</v>
      </c>
      <c r="B11" s="632" t="s">
        <v>72</v>
      </c>
      <c r="C11" s="632" t="s">
        <v>72</v>
      </c>
      <c r="D11" s="632" t="s">
        <v>126</v>
      </c>
      <c r="E11" s="633">
        <v>43411.770405092589</v>
      </c>
      <c r="F11" s="438">
        <v>43411.770405092589</v>
      </c>
      <c r="G11" s="634">
        <v>0.77013888888888893</v>
      </c>
      <c r="H11" s="688" t="s">
        <v>115</v>
      </c>
      <c r="I11" s="686" t="s">
        <v>115</v>
      </c>
      <c r="J11" s="688" t="s">
        <v>115</v>
      </c>
    </row>
    <row r="12" spans="1:14">
      <c r="A12" s="632">
        <v>14170</v>
      </c>
      <c r="B12" s="632" t="s">
        <v>86</v>
      </c>
      <c r="C12" s="632" t="s">
        <v>72</v>
      </c>
      <c r="D12" s="632" t="s">
        <v>125</v>
      </c>
      <c r="E12" s="633">
        <v>43412.363576388889</v>
      </c>
      <c r="F12" s="438">
        <v>43412.363576388889</v>
      </c>
      <c r="G12" s="634">
        <v>0.36319444444444443</v>
      </c>
      <c r="H12" s="688">
        <v>9.6329999999999991</v>
      </c>
      <c r="I12" s="686">
        <v>8</v>
      </c>
      <c r="J12" s="688" t="s">
        <v>115</v>
      </c>
    </row>
    <row r="13" spans="1:14">
      <c r="A13" s="632">
        <v>14174</v>
      </c>
      <c r="B13" s="632" t="s">
        <v>72</v>
      </c>
      <c r="C13" s="632" t="s">
        <v>72</v>
      </c>
      <c r="D13" s="632" t="s">
        <v>126</v>
      </c>
      <c r="E13" s="633">
        <v>43412.765185185184</v>
      </c>
      <c r="F13" s="438">
        <v>43412.765185185184</v>
      </c>
      <c r="G13" s="634">
        <v>0.76458333333333339</v>
      </c>
      <c r="H13" s="688" t="s">
        <v>115</v>
      </c>
      <c r="I13" s="686" t="s">
        <v>115</v>
      </c>
      <c r="J13" s="688" t="s">
        <v>115</v>
      </c>
    </row>
    <row r="14" spans="1:14">
      <c r="A14" s="632">
        <v>14181</v>
      </c>
      <c r="B14" s="632" t="s">
        <v>72</v>
      </c>
      <c r="C14" s="632" t="s">
        <v>72</v>
      </c>
      <c r="D14" s="632" t="s">
        <v>127</v>
      </c>
      <c r="E14" s="633">
        <v>43412.771053240744</v>
      </c>
      <c r="F14" s="438">
        <v>43412.771053240744</v>
      </c>
      <c r="G14" s="634">
        <v>0.77083333333333337</v>
      </c>
      <c r="H14" s="688" t="s">
        <v>115</v>
      </c>
      <c r="I14" s="686" t="s">
        <v>115</v>
      </c>
      <c r="J14" s="688" t="s">
        <v>115</v>
      </c>
      <c r="K14" s="688">
        <v>1.167</v>
      </c>
      <c r="M14" s="688">
        <v>1.167</v>
      </c>
      <c r="N14" s="688">
        <v>0</v>
      </c>
    </row>
    <row r="15" spans="1:14">
      <c r="A15" s="632">
        <v>14187</v>
      </c>
      <c r="B15" s="632" t="s">
        <v>72</v>
      </c>
      <c r="C15" s="632" t="s">
        <v>72</v>
      </c>
      <c r="D15" s="632" t="s">
        <v>128</v>
      </c>
      <c r="E15" s="633">
        <v>43412.819618055553</v>
      </c>
      <c r="F15" s="438">
        <v>43412.819618055553</v>
      </c>
      <c r="G15" s="634">
        <v>0.81944444444444453</v>
      </c>
      <c r="H15" s="688" t="s">
        <v>115</v>
      </c>
      <c r="I15" s="686" t="s">
        <v>115</v>
      </c>
      <c r="J15" s="688" t="s">
        <v>115</v>
      </c>
    </row>
    <row r="16" spans="1:14">
      <c r="A16" s="632">
        <v>14194</v>
      </c>
      <c r="B16" s="632" t="s">
        <v>86</v>
      </c>
      <c r="C16" s="632" t="s">
        <v>72</v>
      </c>
      <c r="D16" s="632" t="s">
        <v>125</v>
      </c>
      <c r="E16" s="633">
        <v>43413.361250000002</v>
      </c>
      <c r="F16" s="438">
        <v>43413.361250000002</v>
      </c>
      <c r="G16" s="634">
        <v>0.3611111111111111</v>
      </c>
      <c r="H16" s="688">
        <v>10.050000000000001</v>
      </c>
      <c r="I16" s="686">
        <v>8</v>
      </c>
      <c r="J16" s="688" t="s">
        <v>115</v>
      </c>
    </row>
    <row r="17" spans="1:14">
      <c r="A17" s="632">
        <v>14208</v>
      </c>
      <c r="B17" s="632" t="s">
        <v>86</v>
      </c>
      <c r="C17" s="632" t="s">
        <v>72</v>
      </c>
      <c r="D17" s="632" t="s">
        <v>126</v>
      </c>
      <c r="E17" s="633">
        <v>43413.780439814815</v>
      </c>
      <c r="F17" s="438">
        <v>43413.780439814815</v>
      </c>
      <c r="G17" s="634">
        <v>0.77986111111111101</v>
      </c>
      <c r="H17" s="688" t="s">
        <v>115</v>
      </c>
      <c r="I17" s="686" t="s">
        <v>115</v>
      </c>
      <c r="J17" s="688" t="s">
        <v>115</v>
      </c>
    </row>
    <row r="18" spans="1:14">
      <c r="A18" s="632">
        <v>14218</v>
      </c>
      <c r="B18" s="632" t="s">
        <v>72</v>
      </c>
      <c r="C18" s="632" t="s">
        <v>72</v>
      </c>
      <c r="D18" s="632" t="s">
        <v>125</v>
      </c>
      <c r="E18" s="633">
        <v>43416.363668981481</v>
      </c>
      <c r="F18" s="438">
        <v>43416.363668981481</v>
      </c>
      <c r="G18" s="634">
        <v>0.36319444444444443</v>
      </c>
      <c r="H18" s="688">
        <v>9.5670000000000002</v>
      </c>
      <c r="I18" s="686">
        <v>8</v>
      </c>
      <c r="J18" s="688" t="s">
        <v>115</v>
      </c>
    </row>
    <row r="19" spans="1:14">
      <c r="A19" s="632">
        <v>14221</v>
      </c>
      <c r="B19" s="632" t="s">
        <v>72</v>
      </c>
      <c r="C19" s="632" t="s">
        <v>72</v>
      </c>
      <c r="D19" s="632" t="s">
        <v>126</v>
      </c>
      <c r="E19" s="633">
        <v>43416.762430555558</v>
      </c>
      <c r="F19" s="438">
        <v>43416.762430555558</v>
      </c>
      <c r="G19" s="634">
        <v>0.76180555555555562</v>
      </c>
      <c r="H19" s="688" t="s">
        <v>115</v>
      </c>
      <c r="I19" s="686" t="s">
        <v>115</v>
      </c>
      <c r="J19" s="688" t="s">
        <v>115</v>
      </c>
    </row>
    <row r="20" spans="1:14">
      <c r="A20" s="632">
        <v>14238</v>
      </c>
      <c r="B20" s="632" t="s">
        <v>72</v>
      </c>
      <c r="C20" s="632" t="s">
        <v>72</v>
      </c>
      <c r="D20" s="632" t="s">
        <v>125</v>
      </c>
      <c r="E20" s="633">
        <v>43417.360509259262</v>
      </c>
      <c r="F20" s="438">
        <v>43417.360509259262</v>
      </c>
      <c r="G20" s="634">
        <v>0.36041666666666666</v>
      </c>
      <c r="H20" s="688">
        <v>9.7170000000000005</v>
      </c>
      <c r="I20" s="686">
        <v>8</v>
      </c>
      <c r="J20" s="688" t="s">
        <v>115</v>
      </c>
    </row>
    <row r="21" spans="1:14">
      <c r="A21" s="632">
        <v>14250</v>
      </c>
      <c r="B21" s="632" t="s">
        <v>86</v>
      </c>
      <c r="C21" s="632" t="s">
        <v>72</v>
      </c>
      <c r="D21" s="632" t="s">
        <v>126</v>
      </c>
      <c r="E21" s="633">
        <v>43417.765787037039</v>
      </c>
      <c r="F21" s="438">
        <v>43417.765787037039</v>
      </c>
      <c r="G21" s="634">
        <v>0.76527777777777783</v>
      </c>
      <c r="H21" s="688" t="s">
        <v>115</v>
      </c>
      <c r="I21" s="686" t="s">
        <v>115</v>
      </c>
      <c r="J21" s="688" t="s">
        <v>115</v>
      </c>
    </row>
    <row r="22" spans="1:14">
      <c r="A22" s="632">
        <v>14258</v>
      </c>
      <c r="B22" s="632" t="s">
        <v>86</v>
      </c>
      <c r="C22" s="632" t="s">
        <v>72</v>
      </c>
      <c r="D22" s="632" t="s">
        <v>127</v>
      </c>
      <c r="E22" s="633">
        <v>43417.788171296299</v>
      </c>
      <c r="F22" s="438">
        <v>43417.788171296299</v>
      </c>
      <c r="G22" s="634">
        <v>0.78749999999999998</v>
      </c>
      <c r="H22" s="688" t="s">
        <v>115</v>
      </c>
      <c r="I22" s="686" t="s">
        <v>115</v>
      </c>
      <c r="J22" s="688" t="s">
        <v>115</v>
      </c>
      <c r="K22" s="688">
        <v>0.41699999999999998</v>
      </c>
      <c r="M22" s="688">
        <v>0.41699999999999998</v>
      </c>
      <c r="N22" s="688">
        <v>0</v>
      </c>
    </row>
    <row r="23" spans="1:14">
      <c r="A23" s="632">
        <v>14261</v>
      </c>
      <c r="B23" s="632" t="s">
        <v>86</v>
      </c>
      <c r="C23" s="632" t="s">
        <v>72</v>
      </c>
      <c r="D23" s="632" t="s">
        <v>128</v>
      </c>
      <c r="E23" s="633">
        <v>43417.805011574077</v>
      </c>
      <c r="F23" s="438">
        <v>43417.805011574077</v>
      </c>
      <c r="G23" s="634">
        <v>0.80486111111111114</v>
      </c>
      <c r="H23" s="688" t="s">
        <v>115</v>
      </c>
      <c r="I23" s="686" t="s">
        <v>115</v>
      </c>
      <c r="J23" s="688" t="s">
        <v>115</v>
      </c>
    </row>
    <row r="24" spans="1:14">
      <c r="A24" s="632">
        <v>14271</v>
      </c>
      <c r="B24" s="632" t="s">
        <v>72</v>
      </c>
      <c r="C24" s="632" t="s">
        <v>72</v>
      </c>
      <c r="D24" s="632" t="s">
        <v>125</v>
      </c>
      <c r="E24" s="633">
        <v>43418.362291666665</v>
      </c>
      <c r="F24" s="438">
        <v>43418.362291666665</v>
      </c>
      <c r="G24" s="634">
        <v>0.36180555555555555</v>
      </c>
      <c r="H24" s="688">
        <v>9.65</v>
      </c>
      <c r="I24" s="686">
        <v>8</v>
      </c>
      <c r="J24" s="688" t="s">
        <v>115</v>
      </c>
    </row>
    <row r="25" spans="1:14">
      <c r="A25" s="632">
        <v>14275</v>
      </c>
      <c r="B25" s="632" t="s">
        <v>72</v>
      </c>
      <c r="C25" s="632" t="s">
        <v>72</v>
      </c>
      <c r="D25" s="632" t="s">
        <v>126</v>
      </c>
      <c r="E25" s="633">
        <v>43418.764039351852</v>
      </c>
      <c r="F25" s="438">
        <v>43418.764039351852</v>
      </c>
      <c r="G25" s="634">
        <v>0.76388888888888884</v>
      </c>
      <c r="H25" s="688" t="s">
        <v>115</v>
      </c>
      <c r="I25" s="686" t="s">
        <v>115</v>
      </c>
      <c r="J25" s="688" t="s">
        <v>115</v>
      </c>
    </row>
    <row r="26" spans="1:14">
      <c r="A26" s="632">
        <v>14286</v>
      </c>
      <c r="B26" s="632" t="s">
        <v>72</v>
      </c>
      <c r="C26" s="632" t="s">
        <v>72</v>
      </c>
      <c r="D26" s="632" t="s">
        <v>125</v>
      </c>
      <c r="E26" s="633">
        <v>43419.361296296294</v>
      </c>
      <c r="F26" s="438">
        <v>43419.361296296294</v>
      </c>
      <c r="G26" s="634">
        <v>0.3611111111111111</v>
      </c>
      <c r="H26" s="688">
        <v>10.050000000000001</v>
      </c>
      <c r="I26" s="686">
        <v>8</v>
      </c>
      <c r="J26" s="688" t="s">
        <v>115</v>
      </c>
    </row>
    <row r="27" spans="1:14">
      <c r="A27" s="632">
        <v>14303</v>
      </c>
      <c r="B27" s="632" t="s">
        <v>72</v>
      </c>
      <c r="C27" s="632" t="s">
        <v>72</v>
      </c>
      <c r="D27" s="632" t="s">
        <v>126</v>
      </c>
      <c r="E27" s="633">
        <v>43419.780358796299</v>
      </c>
      <c r="F27" s="438">
        <v>43419.780358796299</v>
      </c>
      <c r="G27" s="634">
        <v>0.77986111111111101</v>
      </c>
      <c r="H27" s="688" t="s">
        <v>115</v>
      </c>
      <c r="I27" s="686" t="s">
        <v>115</v>
      </c>
      <c r="J27" s="688" t="s">
        <v>115</v>
      </c>
    </row>
    <row r="28" spans="1:14">
      <c r="A28" s="632">
        <v>14304</v>
      </c>
      <c r="B28" s="632" t="s">
        <v>72</v>
      </c>
      <c r="C28" s="632" t="s">
        <v>72</v>
      </c>
      <c r="D28" s="632" t="s">
        <v>127</v>
      </c>
      <c r="E28" s="633">
        <v>43419.780381944445</v>
      </c>
      <c r="F28" s="438">
        <v>43419.780381944445</v>
      </c>
      <c r="G28" s="634">
        <v>0.77986111111111101</v>
      </c>
      <c r="H28" s="688" t="s">
        <v>115</v>
      </c>
      <c r="I28" s="686" t="s">
        <v>115</v>
      </c>
      <c r="J28" s="688" t="s">
        <v>115</v>
      </c>
      <c r="K28" s="688">
        <v>1.2330000000000001</v>
      </c>
      <c r="M28" s="688">
        <v>1.2330000000000001</v>
      </c>
      <c r="N28" s="688">
        <v>0</v>
      </c>
    </row>
    <row r="29" spans="1:14">
      <c r="A29" s="632">
        <v>14308</v>
      </c>
      <c r="B29" s="632" t="s">
        <v>86</v>
      </c>
      <c r="C29" s="632" t="s">
        <v>72</v>
      </c>
      <c r="D29" s="632" t="s">
        <v>128</v>
      </c>
      <c r="E29" s="633">
        <v>43419.831307870372</v>
      </c>
      <c r="F29" s="438">
        <v>43419.831307870372</v>
      </c>
      <c r="G29" s="634">
        <v>0.83124999999999993</v>
      </c>
      <c r="H29" s="688" t="s">
        <v>115</v>
      </c>
      <c r="I29" s="686" t="s">
        <v>115</v>
      </c>
      <c r="J29" s="688" t="s">
        <v>115</v>
      </c>
    </row>
    <row r="30" spans="1:14">
      <c r="A30" s="632">
        <v>14319</v>
      </c>
      <c r="B30" s="632" t="s">
        <v>72</v>
      </c>
      <c r="C30" s="632" t="s">
        <v>72</v>
      </c>
      <c r="D30" s="632" t="s">
        <v>125</v>
      </c>
      <c r="E30" s="633">
        <v>43420.361157407409</v>
      </c>
      <c r="F30" s="438">
        <v>43420.361157407409</v>
      </c>
      <c r="G30" s="634">
        <v>0.3611111111111111</v>
      </c>
      <c r="H30" s="688">
        <v>9.6669999999999998</v>
      </c>
      <c r="I30" s="686">
        <v>8</v>
      </c>
      <c r="J30" s="688" t="s">
        <v>115</v>
      </c>
    </row>
    <row r="31" spans="1:14">
      <c r="A31" s="684"/>
      <c r="B31" s="684" t="s">
        <v>86</v>
      </c>
      <c r="C31" s="684" t="s">
        <v>72</v>
      </c>
      <c r="D31" s="684" t="s">
        <v>176</v>
      </c>
      <c r="E31" s="685">
        <v>43420.763888888891</v>
      </c>
      <c r="F31" s="438">
        <v>43420.763888888891</v>
      </c>
      <c r="G31" s="634">
        <v>0.76388888888888884</v>
      </c>
      <c r="H31" s="688" t="s">
        <v>115</v>
      </c>
      <c r="I31" s="686" t="s">
        <v>115</v>
      </c>
      <c r="J31" s="688" t="s">
        <v>115</v>
      </c>
    </row>
    <row r="32" spans="1:14">
      <c r="A32" s="632">
        <v>14334</v>
      </c>
      <c r="B32" s="632" t="s">
        <v>86</v>
      </c>
      <c r="C32" s="632" t="s">
        <v>72</v>
      </c>
      <c r="D32" s="632" t="s">
        <v>127</v>
      </c>
      <c r="E32" s="633">
        <v>43420.763888888891</v>
      </c>
      <c r="F32" s="438">
        <v>43420.763888888891</v>
      </c>
      <c r="G32" s="634">
        <v>0.76388888888888884</v>
      </c>
      <c r="H32" s="688" t="s">
        <v>115</v>
      </c>
      <c r="I32" s="686" t="s">
        <v>115</v>
      </c>
      <c r="J32" s="688" t="s">
        <v>115</v>
      </c>
      <c r="K32" s="688">
        <v>0.76700000000000002</v>
      </c>
      <c r="M32" s="688">
        <v>0.76700000000000002</v>
      </c>
      <c r="N32" s="688">
        <v>0</v>
      </c>
    </row>
    <row r="33" spans="1:14">
      <c r="A33" s="632">
        <v>14339</v>
      </c>
      <c r="B33" s="632" t="s">
        <v>86</v>
      </c>
      <c r="C33" s="632" t="s">
        <v>72</v>
      </c>
      <c r="D33" s="632" t="s">
        <v>128</v>
      </c>
      <c r="E33" s="633">
        <v>43420.79614583333</v>
      </c>
      <c r="F33" s="438">
        <v>43420.79614583333</v>
      </c>
      <c r="G33" s="634">
        <v>0.79583333333333339</v>
      </c>
      <c r="H33" s="688" t="s">
        <v>115</v>
      </c>
      <c r="I33" s="686" t="s">
        <v>115</v>
      </c>
      <c r="J33" s="688" t="s">
        <v>115</v>
      </c>
    </row>
    <row r="34" spans="1:14">
      <c r="A34" s="632">
        <v>14346</v>
      </c>
      <c r="B34" s="632" t="s">
        <v>72</v>
      </c>
      <c r="C34" s="632" t="s">
        <v>72</v>
      </c>
      <c r="D34" s="632" t="s">
        <v>125</v>
      </c>
      <c r="E34" s="633">
        <v>43423.370011574072</v>
      </c>
      <c r="F34" s="438">
        <v>43423.370011574072</v>
      </c>
      <c r="G34" s="634">
        <v>0.36944444444444446</v>
      </c>
      <c r="H34" s="688">
        <v>9.1669999999999998</v>
      </c>
      <c r="I34" s="686">
        <v>7.6669999999999998</v>
      </c>
      <c r="J34" s="688">
        <v>0.33300000000000018</v>
      </c>
    </row>
    <row r="35" spans="1:14">
      <c r="A35" s="632">
        <v>14349</v>
      </c>
      <c r="B35" s="632" t="s">
        <v>72</v>
      </c>
      <c r="C35" s="632" t="s">
        <v>72</v>
      </c>
      <c r="D35" s="632" t="s">
        <v>126</v>
      </c>
      <c r="E35" s="633">
        <v>43423.751817129632</v>
      </c>
      <c r="F35" s="438">
        <v>43423.751817129632</v>
      </c>
      <c r="G35" s="634">
        <v>0.75138888888888899</v>
      </c>
      <c r="H35" s="688" t="s">
        <v>115</v>
      </c>
      <c r="I35" s="686" t="s">
        <v>115</v>
      </c>
      <c r="J35" s="688" t="s">
        <v>115</v>
      </c>
    </row>
    <row r="36" spans="1:14">
      <c r="A36" s="632">
        <v>14356</v>
      </c>
      <c r="B36" s="632" t="s">
        <v>72</v>
      </c>
      <c r="C36" s="632" t="s">
        <v>72</v>
      </c>
      <c r="D36" s="632" t="s">
        <v>127</v>
      </c>
      <c r="E36" s="633">
        <v>43423.774895833332</v>
      </c>
      <c r="F36" s="438">
        <v>43423.774895833332</v>
      </c>
      <c r="G36" s="634">
        <v>0.77430555555555547</v>
      </c>
      <c r="H36" s="688" t="s">
        <v>115</v>
      </c>
      <c r="I36" s="686" t="s">
        <v>115</v>
      </c>
      <c r="J36" s="688" t="s">
        <v>115</v>
      </c>
      <c r="K36" s="688">
        <v>0.58299999999999996</v>
      </c>
      <c r="M36" s="688">
        <v>0.58299999999999996</v>
      </c>
      <c r="N36" s="688">
        <v>0</v>
      </c>
    </row>
    <row r="37" spans="1:14">
      <c r="A37" s="632">
        <v>14360</v>
      </c>
      <c r="B37" s="632" t="s">
        <v>72</v>
      </c>
      <c r="C37" s="632" t="s">
        <v>72</v>
      </c>
      <c r="D37" s="632" t="s">
        <v>128</v>
      </c>
      <c r="E37" s="633">
        <v>43423.798692129632</v>
      </c>
      <c r="F37" s="438">
        <v>43423.798692129632</v>
      </c>
      <c r="G37" s="634">
        <v>0.79861111111111116</v>
      </c>
      <c r="H37" s="688" t="s">
        <v>115</v>
      </c>
      <c r="I37" s="686" t="s">
        <v>115</v>
      </c>
      <c r="J37" s="688" t="s">
        <v>115</v>
      </c>
    </row>
    <row r="38" spans="1:14">
      <c r="A38" s="632">
        <v>14374</v>
      </c>
      <c r="B38" s="632" t="s">
        <v>72</v>
      </c>
      <c r="C38" s="632" t="s">
        <v>72</v>
      </c>
      <c r="D38" s="632" t="s">
        <v>125</v>
      </c>
      <c r="E38" s="633">
        <v>43424.580462962964</v>
      </c>
      <c r="F38" s="438">
        <v>43424.580462962964</v>
      </c>
      <c r="G38" s="634">
        <v>0.57986111111111105</v>
      </c>
      <c r="H38" s="688">
        <v>4.4000000000000004</v>
      </c>
      <c r="I38" s="686">
        <v>2.9000000000000004</v>
      </c>
      <c r="J38" s="688">
        <v>5.0999999999999996</v>
      </c>
    </row>
    <row r="39" spans="1:14">
      <c r="A39" s="632">
        <v>14379</v>
      </c>
      <c r="B39" s="632" t="s">
        <v>72</v>
      </c>
      <c r="C39" s="632" t="s">
        <v>72</v>
      </c>
      <c r="D39" s="632" t="s">
        <v>126</v>
      </c>
      <c r="E39" s="633">
        <v>43424.763715277775</v>
      </c>
      <c r="F39" s="438">
        <v>43424.763715277775</v>
      </c>
      <c r="G39" s="634">
        <v>0.7631944444444444</v>
      </c>
      <c r="H39" s="688" t="s">
        <v>115</v>
      </c>
      <c r="I39" s="686" t="s">
        <v>115</v>
      </c>
      <c r="J39" s="688" t="s">
        <v>115</v>
      </c>
    </row>
    <row r="40" spans="1:14">
      <c r="A40" s="632">
        <v>14386</v>
      </c>
      <c r="B40" s="632" t="s">
        <v>72</v>
      </c>
      <c r="C40" s="632" t="s">
        <v>72</v>
      </c>
      <c r="D40" s="632" t="s">
        <v>127</v>
      </c>
      <c r="E40" s="633">
        <v>43424.776516203703</v>
      </c>
      <c r="F40" s="438">
        <v>43424.776516203703</v>
      </c>
      <c r="G40" s="634">
        <v>0.77638888888888891</v>
      </c>
      <c r="H40" s="688" t="s">
        <v>115</v>
      </c>
      <c r="I40" s="686" t="s">
        <v>115</v>
      </c>
      <c r="J40" s="688" t="s">
        <v>115</v>
      </c>
      <c r="K40" s="688">
        <v>0.75</v>
      </c>
      <c r="M40" s="688">
        <v>0.75</v>
      </c>
      <c r="N40" s="688">
        <v>0</v>
      </c>
    </row>
    <row r="41" spans="1:14">
      <c r="A41" s="632">
        <v>14387</v>
      </c>
      <c r="B41" s="632" t="s">
        <v>72</v>
      </c>
      <c r="C41" s="632" t="s">
        <v>72</v>
      </c>
      <c r="D41" s="632" t="s">
        <v>128</v>
      </c>
      <c r="E41" s="633">
        <v>43424.80773148148</v>
      </c>
      <c r="F41" s="438">
        <v>43424.80773148148</v>
      </c>
      <c r="G41" s="634">
        <v>0.80763888888888891</v>
      </c>
      <c r="H41" s="688" t="s">
        <v>115</v>
      </c>
      <c r="I41" s="686" t="s">
        <v>115</v>
      </c>
      <c r="J41" s="688" t="s">
        <v>115</v>
      </c>
    </row>
    <row r="42" spans="1:14">
      <c r="A42" s="632">
        <v>14395</v>
      </c>
      <c r="B42" s="632" t="s">
        <v>72</v>
      </c>
      <c r="C42" s="632" t="s">
        <v>72</v>
      </c>
      <c r="D42" s="632" t="s">
        <v>125</v>
      </c>
      <c r="E42" s="633">
        <v>43425.357777777775</v>
      </c>
      <c r="F42" s="438">
        <v>43425.357777777775</v>
      </c>
      <c r="G42" s="634">
        <v>0.3576388888888889</v>
      </c>
      <c r="H42" s="688">
        <v>9.8670000000000009</v>
      </c>
      <c r="I42" s="686">
        <v>8</v>
      </c>
      <c r="J42" s="688" t="s">
        <v>115</v>
      </c>
    </row>
    <row r="43" spans="1:14">
      <c r="A43" s="632">
        <v>14407</v>
      </c>
      <c r="B43" s="632" t="s">
        <v>72</v>
      </c>
      <c r="C43" s="632" t="s">
        <v>72</v>
      </c>
      <c r="D43" s="632" t="s">
        <v>126</v>
      </c>
      <c r="E43" s="633">
        <v>43425.769178240742</v>
      </c>
      <c r="F43" s="438">
        <v>43425.769178240742</v>
      </c>
      <c r="G43" s="634">
        <v>0.76874999999999993</v>
      </c>
      <c r="H43" s="688" t="s">
        <v>115</v>
      </c>
      <c r="I43" s="686" t="s">
        <v>115</v>
      </c>
      <c r="J43" s="688" t="s">
        <v>115</v>
      </c>
    </row>
    <row r="44" spans="1:14">
      <c r="A44" s="632">
        <v>14408</v>
      </c>
      <c r="B44" s="632" t="s">
        <v>72</v>
      </c>
      <c r="C44" s="632" t="s">
        <v>72</v>
      </c>
      <c r="D44" s="632" t="s">
        <v>127</v>
      </c>
      <c r="E44" s="633">
        <v>43425.769201388888</v>
      </c>
      <c r="F44" s="438">
        <v>43425.769201388888</v>
      </c>
      <c r="G44" s="634">
        <v>0.76874999999999993</v>
      </c>
      <c r="H44" s="688" t="s">
        <v>115</v>
      </c>
      <c r="I44" s="686" t="s">
        <v>115</v>
      </c>
      <c r="J44" s="688" t="s">
        <v>115</v>
      </c>
      <c r="K44" s="688">
        <v>1.0329999999999999</v>
      </c>
      <c r="M44" s="688">
        <v>1.0329999999999999</v>
      </c>
      <c r="N44" s="688">
        <v>0</v>
      </c>
    </row>
    <row r="45" spans="1:14">
      <c r="A45" s="632">
        <v>14415</v>
      </c>
      <c r="B45" s="632" t="s">
        <v>72</v>
      </c>
      <c r="C45" s="632" t="s">
        <v>72</v>
      </c>
      <c r="D45" s="632" t="s">
        <v>128</v>
      </c>
      <c r="E45" s="633">
        <v>43425.814398148148</v>
      </c>
      <c r="F45" s="438">
        <v>43425.814398148148</v>
      </c>
      <c r="G45" s="634">
        <v>0.81388888888888899</v>
      </c>
      <c r="H45" s="688" t="s">
        <v>115</v>
      </c>
      <c r="I45" s="686" t="s">
        <v>115</v>
      </c>
      <c r="J45" s="688" t="s">
        <v>115</v>
      </c>
    </row>
    <row r="46" spans="1:14">
      <c r="A46" s="632">
        <v>14426</v>
      </c>
      <c r="B46" s="632" t="s">
        <v>86</v>
      </c>
      <c r="C46" s="632" t="s">
        <v>72</v>
      </c>
      <c r="D46" s="632" t="s">
        <v>125</v>
      </c>
      <c r="E46" s="633">
        <v>43426.362719907411</v>
      </c>
      <c r="F46" s="438">
        <v>43426.362719907411</v>
      </c>
      <c r="G46" s="634">
        <v>0.36249999999999999</v>
      </c>
      <c r="H46" s="688">
        <v>9.7330000000000005</v>
      </c>
      <c r="I46" s="686">
        <v>8</v>
      </c>
      <c r="J46" s="688" t="s">
        <v>115</v>
      </c>
    </row>
    <row r="47" spans="1:14">
      <c r="A47" s="632">
        <v>14433</v>
      </c>
      <c r="B47" s="632" t="s">
        <v>72</v>
      </c>
      <c r="C47" s="632" t="s">
        <v>72</v>
      </c>
      <c r="D47" s="632" t="s">
        <v>126</v>
      </c>
      <c r="E47" s="633">
        <v>43426.768680555557</v>
      </c>
      <c r="F47" s="438">
        <v>43426.768680555557</v>
      </c>
      <c r="G47" s="634">
        <v>0.7680555555555556</v>
      </c>
      <c r="H47" s="688" t="s">
        <v>115</v>
      </c>
      <c r="I47" s="686" t="s">
        <v>115</v>
      </c>
      <c r="J47" s="688" t="s">
        <v>115</v>
      </c>
    </row>
    <row r="48" spans="1:14">
      <c r="A48" s="632">
        <v>14439</v>
      </c>
      <c r="B48" s="632" t="s">
        <v>72</v>
      </c>
      <c r="C48" s="632" t="s">
        <v>72</v>
      </c>
      <c r="D48" s="632" t="s">
        <v>127</v>
      </c>
      <c r="E48" s="633">
        <v>43426.777766203704</v>
      </c>
      <c r="F48" s="438">
        <v>43426.777766203704</v>
      </c>
      <c r="G48" s="634">
        <v>0.77708333333333324</v>
      </c>
      <c r="H48" s="688" t="s">
        <v>115</v>
      </c>
      <c r="I48" s="686" t="s">
        <v>115</v>
      </c>
      <c r="J48" s="688" t="s">
        <v>115</v>
      </c>
      <c r="K48" s="688">
        <v>0.91700000000000004</v>
      </c>
      <c r="M48" s="688">
        <v>0.91700000000000004</v>
      </c>
      <c r="N48" s="688">
        <v>0</v>
      </c>
    </row>
    <row r="49" spans="1:14">
      <c r="A49" s="632">
        <v>14446</v>
      </c>
      <c r="B49" s="632" t="s">
        <v>72</v>
      </c>
      <c r="C49" s="632" t="s">
        <v>72</v>
      </c>
      <c r="D49" s="632" t="s">
        <v>128</v>
      </c>
      <c r="E49" s="633">
        <v>43426.81591435185</v>
      </c>
      <c r="F49" s="438">
        <v>43426.81591435185</v>
      </c>
      <c r="G49" s="634">
        <v>0.81527777777777777</v>
      </c>
      <c r="H49" s="688" t="s">
        <v>115</v>
      </c>
      <c r="I49" s="686" t="s">
        <v>115</v>
      </c>
      <c r="J49" s="688" t="s">
        <v>115</v>
      </c>
    </row>
    <row r="50" spans="1:14">
      <c r="A50" s="632">
        <v>14486</v>
      </c>
      <c r="B50" s="632" t="s">
        <v>72</v>
      </c>
      <c r="C50" s="632" t="s">
        <v>72</v>
      </c>
      <c r="D50" s="632" t="s">
        <v>125</v>
      </c>
      <c r="E50" s="633">
        <v>43430.369803240741</v>
      </c>
      <c r="F50" s="438">
        <v>43430.369803240741</v>
      </c>
      <c r="G50" s="634">
        <v>0.36944444444444446</v>
      </c>
      <c r="H50" s="688">
        <v>9.5169999999999995</v>
      </c>
      <c r="I50" s="686">
        <v>8</v>
      </c>
      <c r="J50" s="688" t="s">
        <v>115</v>
      </c>
    </row>
    <row r="51" spans="1:14">
      <c r="A51" s="632">
        <v>14494</v>
      </c>
      <c r="B51" s="632" t="s">
        <v>72</v>
      </c>
      <c r="C51" s="632" t="s">
        <v>72</v>
      </c>
      <c r="D51" s="632" t="s">
        <v>126</v>
      </c>
      <c r="E51" s="633">
        <v>43430.766076388885</v>
      </c>
      <c r="F51" s="438">
        <v>43430.766076388885</v>
      </c>
      <c r="G51" s="634">
        <v>0.76597222222222217</v>
      </c>
      <c r="H51" s="688" t="s">
        <v>115</v>
      </c>
      <c r="I51" s="686" t="s">
        <v>115</v>
      </c>
      <c r="J51" s="688" t="s">
        <v>115</v>
      </c>
    </row>
    <row r="52" spans="1:14">
      <c r="A52" s="632">
        <v>14499</v>
      </c>
      <c r="B52" s="632" t="s">
        <v>72</v>
      </c>
      <c r="C52" s="632" t="s">
        <v>72</v>
      </c>
      <c r="D52" s="632" t="s">
        <v>127</v>
      </c>
      <c r="E52" s="633">
        <v>43430.773333333331</v>
      </c>
      <c r="F52" s="438">
        <v>43430.773333333331</v>
      </c>
      <c r="G52" s="634">
        <v>0.7729166666666667</v>
      </c>
      <c r="H52" s="688" t="s">
        <v>115</v>
      </c>
      <c r="I52" s="686" t="s">
        <v>115</v>
      </c>
      <c r="J52" s="688" t="s">
        <v>115</v>
      </c>
      <c r="K52" s="688">
        <v>1.1000000000000001</v>
      </c>
      <c r="M52" s="688">
        <v>1.1000000000000001</v>
      </c>
      <c r="N52" s="688">
        <v>0</v>
      </c>
    </row>
    <row r="53" spans="1:14">
      <c r="A53" s="632">
        <v>14502</v>
      </c>
      <c r="B53" s="632" t="s">
        <v>72</v>
      </c>
      <c r="C53" s="632" t="s">
        <v>72</v>
      </c>
      <c r="D53" s="632" t="s">
        <v>128</v>
      </c>
      <c r="E53" s="633">
        <v>43430.819340277776</v>
      </c>
      <c r="F53" s="438">
        <v>43430.819340277776</v>
      </c>
      <c r="G53" s="634">
        <v>0.81874999999999998</v>
      </c>
      <c r="H53" s="688" t="s">
        <v>115</v>
      </c>
      <c r="I53" s="686" t="s">
        <v>115</v>
      </c>
      <c r="J53" s="688" t="s">
        <v>115</v>
      </c>
    </row>
    <row r="54" spans="1:14">
      <c r="A54" s="632">
        <v>14508</v>
      </c>
      <c r="B54" s="632" t="s">
        <v>72</v>
      </c>
      <c r="C54" s="632" t="s">
        <v>72</v>
      </c>
      <c r="D54" s="632" t="s">
        <v>125</v>
      </c>
      <c r="E54" s="633">
        <v>43431.359027777777</v>
      </c>
      <c r="F54" s="438">
        <v>43431.359027777777</v>
      </c>
      <c r="G54" s="634">
        <v>0.35902777777777778</v>
      </c>
      <c r="H54" s="688">
        <v>9.7330000000000005</v>
      </c>
      <c r="I54" s="686">
        <v>8</v>
      </c>
      <c r="J54" s="688" t="s">
        <v>115</v>
      </c>
    </row>
    <row r="55" spans="1:14">
      <c r="A55" s="632">
        <v>14520</v>
      </c>
      <c r="B55" s="632" t="s">
        <v>72</v>
      </c>
      <c r="C55" s="632" t="s">
        <v>72</v>
      </c>
      <c r="D55" s="632" t="s">
        <v>126</v>
      </c>
      <c r="E55" s="633">
        <v>43431.765057870369</v>
      </c>
      <c r="F55" s="438">
        <v>43431.765057870369</v>
      </c>
      <c r="G55" s="634">
        <v>0.76458333333333339</v>
      </c>
      <c r="H55" s="688" t="s">
        <v>115</v>
      </c>
      <c r="I55" s="686" t="s">
        <v>115</v>
      </c>
      <c r="J55" s="688" t="s">
        <v>115</v>
      </c>
    </row>
    <row r="56" spans="1:14">
      <c r="A56" s="632">
        <v>14524</v>
      </c>
      <c r="B56" s="632" t="s">
        <v>72</v>
      </c>
      <c r="C56" s="632" t="s">
        <v>72</v>
      </c>
      <c r="D56" s="632" t="s">
        <v>127</v>
      </c>
      <c r="E56" s="633">
        <v>43431.770057870373</v>
      </c>
      <c r="F56" s="438">
        <v>43431.770057870373</v>
      </c>
      <c r="G56" s="634">
        <v>0.76944444444444438</v>
      </c>
      <c r="H56" s="688" t="s">
        <v>115</v>
      </c>
      <c r="I56" s="686" t="s">
        <v>115</v>
      </c>
      <c r="J56" s="688" t="s">
        <v>115</v>
      </c>
      <c r="K56" s="688">
        <v>1.4</v>
      </c>
      <c r="M56" s="688">
        <v>1.4</v>
      </c>
      <c r="N56" s="688">
        <v>0</v>
      </c>
    </row>
    <row r="57" spans="1:14">
      <c r="A57" s="632">
        <v>14531</v>
      </c>
      <c r="B57" s="632" t="s">
        <v>86</v>
      </c>
      <c r="C57" s="632" t="s">
        <v>72</v>
      </c>
      <c r="D57" s="632" t="s">
        <v>128</v>
      </c>
      <c r="E57" s="633">
        <v>43431.829317129632</v>
      </c>
      <c r="F57" s="438">
        <v>43431.829317129632</v>
      </c>
      <c r="G57" s="634">
        <v>0.82916666666666661</v>
      </c>
      <c r="H57" s="688" t="s">
        <v>115</v>
      </c>
      <c r="I57" s="686" t="s">
        <v>115</v>
      </c>
      <c r="J57" s="688" t="s">
        <v>115</v>
      </c>
    </row>
    <row r="58" spans="1:14">
      <c r="A58" s="632">
        <v>14539</v>
      </c>
      <c r="B58" s="632" t="s">
        <v>86</v>
      </c>
      <c r="C58" s="632" t="s">
        <v>72</v>
      </c>
      <c r="D58" s="632" t="s">
        <v>125</v>
      </c>
      <c r="E58" s="633">
        <v>43432.3593287037</v>
      </c>
      <c r="F58" s="438">
        <v>43432.3593287037</v>
      </c>
      <c r="G58" s="634">
        <v>0.35902777777777778</v>
      </c>
      <c r="H58" s="688">
        <v>9.6329999999999991</v>
      </c>
      <c r="I58" s="686">
        <v>8</v>
      </c>
      <c r="J58" s="688" t="s">
        <v>115</v>
      </c>
    </row>
    <row r="59" spans="1:14">
      <c r="A59" s="632">
        <v>14545</v>
      </c>
      <c r="B59" s="632" t="s">
        <v>72</v>
      </c>
      <c r="C59" s="632" t="s">
        <v>72</v>
      </c>
      <c r="D59" s="632" t="s">
        <v>126</v>
      </c>
      <c r="E59" s="633">
        <v>43432.76090277778</v>
      </c>
      <c r="F59" s="438">
        <v>43432.76090277778</v>
      </c>
      <c r="G59" s="634">
        <v>0.76041666666666663</v>
      </c>
      <c r="H59" s="688" t="s">
        <v>115</v>
      </c>
      <c r="I59" s="686" t="s">
        <v>115</v>
      </c>
      <c r="J59" s="688" t="s">
        <v>115</v>
      </c>
    </row>
    <row r="60" spans="1:14">
      <c r="A60" s="632">
        <v>14558</v>
      </c>
      <c r="B60" s="632" t="s">
        <v>72</v>
      </c>
      <c r="C60" s="632" t="s">
        <v>72</v>
      </c>
      <c r="D60" s="632" t="s">
        <v>127</v>
      </c>
      <c r="E60" s="633">
        <v>43432.774814814817</v>
      </c>
      <c r="F60" s="438">
        <v>43432.774814814817</v>
      </c>
      <c r="G60" s="634">
        <v>0.77430555555555547</v>
      </c>
      <c r="H60" s="688" t="s">
        <v>115</v>
      </c>
      <c r="I60" s="686" t="s">
        <v>115</v>
      </c>
      <c r="J60" s="688" t="s">
        <v>115</v>
      </c>
      <c r="K60" s="688">
        <v>1.1830000000000001</v>
      </c>
      <c r="M60" s="688">
        <v>1.1830000000000001</v>
      </c>
      <c r="N60" s="688">
        <v>0</v>
      </c>
    </row>
    <row r="61" spans="1:14">
      <c r="A61" s="632">
        <v>14564</v>
      </c>
      <c r="B61" s="632" t="s">
        <v>72</v>
      </c>
      <c r="C61" s="632" t="s">
        <v>72</v>
      </c>
      <c r="D61" s="632" t="s">
        <v>128</v>
      </c>
      <c r="E61" s="633">
        <v>43432.823645833334</v>
      </c>
      <c r="F61" s="438">
        <v>43432.823645833334</v>
      </c>
      <c r="G61" s="634">
        <v>0.82361111111111107</v>
      </c>
      <c r="H61" s="688" t="s">
        <v>115</v>
      </c>
      <c r="I61" s="686" t="s">
        <v>115</v>
      </c>
      <c r="J61" s="688" t="s">
        <v>115</v>
      </c>
    </row>
    <row r="62" spans="1:14">
      <c r="A62" s="632">
        <v>14569</v>
      </c>
      <c r="B62" s="632" t="s">
        <v>72</v>
      </c>
      <c r="C62" s="632" t="s">
        <v>72</v>
      </c>
      <c r="D62" s="632" t="s">
        <v>125</v>
      </c>
      <c r="E62" s="633">
        <v>43433.359895833331</v>
      </c>
      <c r="F62" s="438">
        <v>43433.359895833331</v>
      </c>
      <c r="G62" s="634">
        <v>0.35972222222222222</v>
      </c>
      <c r="H62" s="688">
        <v>9.75</v>
      </c>
      <c r="I62" s="686">
        <v>8</v>
      </c>
      <c r="J62" s="688" t="s">
        <v>115</v>
      </c>
    </row>
    <row r="63" spans="1:14">
      <c r="A63" s="632">
        <v>14581</v>
      </c>
      <c r="B63" s="632" t="s">
        <v>72</v>
      </c>
      <c r="C63" s="632" t="s">
        <v>72</v>
      </c>
      <c r="D63" s="632" t="s">
        <v>126</v>
      </c>
      <c r="E63" s="633">
        <v>43433.766018518516</v>
      </c>
      <c r="F63" s="438">
        <v>43433.766018518516</v>
      </c>
      <c r="G63" s="634">
        <v>0.76597222222222217</v>
      </c>
      <c r="H63" s="688" t="s">
        <v>115</v>
      </c>
      <c r="I63" s="686" t="s">
        <v>115</v>
      </c>
      <c r="J63" s="688" t="s">
        <v>115</v>
      </c>
    </row>
    <row r="64" spans="1:14">
      <c r="A64" s="632">
        <v>14603</v>
      </c>
      <c r="B64" s="632" t="s">
        <v>72</v>
      </c>
      <c r="C64" s="632" t="s">
        <v>72</v>
      </c>
      <c r="D64" s="632" t="s">
        <v>125</v>
      </c>
      <c r="E64" s="633">
        <v>43434.362071759257</v>
      </c>
      <c r="F64" s="438">
        <v>43434.362071759257</v>
      </c>
      <c r="G64" s="634">
        <v>0.36180555555555555</v>
      </c>
      <c r="H64" s="688">
        <v>9.7330000000000005</v>
      </c>
      <c r="I64" s="686">
        <v>8</v>
      </c>
      <c r="J64" s="688" t="s">
        <v>115</v>
      </c>
    </row>
    <row r="65" spans="1:14">
      <c r="A65" s="632">
        <v>14610</v>
      </c>
      <c r="B65" s="632" t="s">
        <v>72</v>
      </c>
      <c r="C65" s="632" t="s">
        <v>72</v>
      </c>
      <c r="D65" s="632" t="s">
        <v>126</v>
      </c>
      <c r="E65" s="633">
        <v>43434.768043981479</v>
      </c>
      <c r="F65" s="438">
        <v>43434.768043981479</v>
      </c>
      <c r="G65" s="634">
        <v>0.76736111111111116</v>
      </c>
      <c r="H65" s="688" t="s">
        <v>115</v>
      </c>
      <c r="I65" s="686" t="s">
        <v>115</v>
      </c>
      <c r="J65" s="688" t="s">
        <v>115</v>
      </c>
    </row>
    <row r="66" spans="1:14">
      <c r="A66" s="632">
        <v>14611</v>
      </c>
      <c r="B66" s="632" t="s">
        <v>72</v>
      </c>
      <c r="C66" s="632" t="s">
        <v>72</v>
      </c>
      <c r="D66" s="632" t="s">
        <v>127</v>
      </c>
      <c r="E66" s="633">
        <v>43434.768090277779</v>
      </c>
      <c r="F66" s="438">
        <v>43434.768090277779</v>
      </c>
      <c r="G66" s="634">
        <v>0.7680555555555556</v>
      </c>
      <c r="H66" s="688" t="s">
        <v>115</v>
      </c>
      <c r="I66" s="686" t="s">
        <v>115</v>
      </c>
      <c r="J66" s="688" t="s">
        <v>115</v>
      </c>
      <c r="K66" s="688">
        <v>1.4830000000000001</v>
      </c>
      <c r="M66" s="688">
        <v>1.4830000000000001</v>
      </c>
      <c r="N66" s="688">
        <v>0</v>
      </c>
    </row>
    <row r="67" spans="1:14">
      <c r="A67" s="632">
        <v>14624</v>
      </c>
      <c r="B67" s="632" t="s">
        <v>72</v>
      </c>
      <c r="C67" s="632" t="s">
        <v>72</v>
      </c>
      <c r="D67" s="632" t="s">
        <v>128</v>
      </c>
      <c r="E67" s="633">
        <v>43434.830150462964</v>
      </c>
      <c r="F67" s="438">
        <v>43434.830150462964</v>
      </c>
      <c r="G67" s="634">
        <v>0.82986111111111116</v>
      </c>
      <c r="H67" s="688" t="s">
        <v>115</v>
      </c>
      <c r="I67" s="686" t="s">
        <v>115</v>
      </c>
      <c r="J67" s="688" t="s">
        <v>115</v>
      </c>
    </row>
    <row r="68" spans="1:14">
      <c r="A68" s="632">
        <v>14054</v>
      </c>
      <c r="B68" s="632" t="s">
        <v>113</v>
      </c>
      <c r="C68" s="632" t="s">
        <v>113</v>
      </c>
      <c r="D68" s="632" t="s">
        <v>125</v>
      </c>
      <c r="E68" s="633">
        <v>43405.353159722225</v>
      </c>
      <c r="F68" s="438">
        <v>43405.353159722225</v>
      </c>
      <c r="G68" s="634">
        <v>0.3527777777777778</v>
      </c>
      <c r="H68" s="688">
        <v>9.8000000000000007</v>
      </c>
      <c r="I68" s="686">
        <v>8</v>
      </c>
      <c r="J68" s="688" t="s">
        <v>115</v>
      </c>
    </row>
    <row r="69" spans="1:14">
      <c r="A69" s="632">
        <v>14062</v>
      </c>
      <c r="B69" s="632" t="s">
        <v>113</v>
      </c>
      <c r="C69" s="632" t="s">
        <v>113</v>
      </c>
      <c r="D69" s="632" t="s">
        <v>126</v>
      </c>
      <c r="E69" s="633">
        <v>43405.761122685188</v>
      </c>
      <c r="F69" s="438">
        <v>43405.761122685188</v>
      </c>
      <c r="G69" s="634">
        <v>0.76111111111111107</v>
      </c>
      <c r="H69" s="688" t="s">
        <v>115</v>
      </c>
      <c r="I69" s="686" t="s">
        <v>115</v>
      </c>
      <c r="J69" s="688" t="s">
        <v>115</v>
      </c>
    </row>
    <row r="70" spans="1:14">
      <c r="A70" s="632">
        <v>14073</v>
      </c>
      <c r="B70" s="632" t="s">
        <v>113</v>
      </c>
      <c r="C70" s="632" t="s">
        <v>113</v>
      </c>
      <c r="D70" s="632" t="s">
        <v>125</v>
      </c>
      <c r="E70" s="633">
        <v>43406.354178240741</v>
      </c>
      <c r="F70" s="438">
        <v>43406.354178240741</v>
      </c>
      <c r="G70" s="634">
        <v>0.35416666666666669</v>
      </c>
      <c r="H70" s="688">
        <v>9.8170000000000002</v>
      </c>
      <c r="I70" s="686">
        <v>8</v>
      </c>
      <c r="J70" s="688" t="s">
        <v>115</v>
      </c>
    </row>
    <row r="71" spans="1:14">
      <c r="A71" s="632">
        <v>14084</v>
      </c>
      <c r="B71" s="632" t="s">
        <v>113</v>
      </c>
      <c r="C71" s="632" t="s">
        <v>113</v>
      </c>
      <c r="D71" s="632" t="s">
        <v>126</v>
      </c>
      <c r="E71" s="633">
        <v>43406.763356481482</v>
      </c>
      <c r="F71" s="438">
        <v>43406.763356481482</v>
      </c>
      <c r="G71" s="634">
        <v>0.7631944444444444</v>
      </c>
      <c r="H71" s="688" t="s">
        <v>115</v>
      </c>
      <c r="I71" s="686" t="s">
        <v>115</v>
      </c>
      <c r="J71" s="688" t="s">
        <v>115</v>
      </c>
    </row>
    <row r="72" spans="1:14">
      <c r="A72" s="632">
        <v>14099</v>
      </c>
      <c r="B72" s="632" t="s">
        <v>113</v>
      </c>
      <c r="C72" s="632" t="s">
        <v>113</v>
      </c>
      <c r="D72" s="632" t="s">
        <v>125</v>
      </c>
      <c r="E72" s="633">
        <v>43409.351006944446</v>
      </c>
      <c r="F72" s="438">
        <v>43409.351006944446</v>
      </c>
      <c r="G72" s="634">
        <v>0.35069444444444442</v>
      </c>
      <c r="H72" s="688">
        <v>10.1</v>
      </c>
      <c r="I72" s="686">
        <v>8</v>
      </c>
      <c r="J72" s="688" t="s">
        <v>115</v>
      </c>
    </row>
    <row r="73" spans="1:14">
      <c r="A73" s="632">
        <v>14116</v>
      </c>
      <c r="B73" s="632" t="s">
        <v>113</v>
      </c>
      <c r="C73" s="632" t="s">
        <v>113</v>
      </c>
      <c r="D73" s="632" t="s">
        <v>126</v>
      </c>
      <c r="E73" s="633">
        <v>43409.772094907406</v>
      </c>
      <c r="F73" s="438">
        <v>43409.772094907406</v>
      </c>
      <c r="G73" s="634">
        <v>0.7715277777777777</v>
      </c>
      <c r="H73" s="688" t="s">
        <v>115</v>
      </c>
      <c r="I73" s="686" t="s">
        <v>115</v>
      </c>
      <c r="J73" s="688" t="s">
        <v>115</v>
      </c>
    </row>
    <row r="74" spans="1:14">
      <c r="A74" s="632">
        <v>14123</v>
      </c>
      <c r="B74" s="632" t="s">
        <v>113</v>
      </c>
      <c r="C74" s="632" t="s">
        <v>113</v>
      </c>
      <c r="D74" s="632" t="s">
        <v>125</v>
      </c>
      <c r="E74" s="633">
        <v>43410.353368055556</v>
      </c>
      <c r="F74" s="438">
        <v>43410.353368055556</v>
      </c>
      <c r="G74" s="634">
        <v>0.3527777777777778</v>
      </c>
      <c r="H74" s="688">
        <v>10.167</v>
      </c>
      <c r="I74" s="686">
        <v>8</v>
      </c>
      <c r="J74" s="688" t="s">
        <v>115</v>
      </c>
    </row>
    <row r="75" spans="1:14">
      <c r="A75" s="632">
        <v>14139</v>
      </c>
      <c r="B75" s="632" t="s">
        <v>113</v>
      </c>
      <c r="C75" s="632" t="s">
        <v>113</v>
      </c>
      <c r="D75" s="632" t="s">
        <v>126</v>
      </c>
      <c r="E75" s="633">
        <v>43410.776446759257</v>
      </c>
      <c r="F75" s="438">
        <v>43410.776446759257</v>
      </c>
      <c r="G75" s="634">
        <v>0.77638888888888891</v>
      </c>
      <c r="H75" s="688" t="s">
        <v>115</v>
      </c>
      <c r="I75" s="686" t="s">
        <v>115</v>
      </c>
      <c r="J75" s="688" t="s">
        <v>115</v>
      </c>
    </row>
    <row r="76" spans="1:14">
      <c r="A76" s="632">
        <v>14163</v>
      </c>
      <c r="B76" s="632" t="s">
        <v>113</v>
      </c>
      <c r="C76" s="632" t="s">
        <v>113</v>
      </c>
      <c r="D76" s="632" t="s">
        <v>125</v>
      </c>
      <c r="E76" s="633">
        <v>43412.350092592591</v>
      </c>
      <c r="F76" s="438">
        <v>43412.350092592591</v>
      </c>
      <c r="G76" s="634">
        <v>0.35000000000000003</v>
      </c>
      <c r="H76" s="688">
        <v>9.85</v>
      </c>
      <c r="I76" s="686">
        <v>8</v>
      </c>
      <c r="J76" s="688" t="s">
        <v>115</v>
      </c>
    </row>
    <row r="77" spans="1:14">
      <c r="A77" s="632">
        <v>14171</v>
      </c>
      <c r="B77" s="632" t="s">
        <v>153</v>
      </c>
      <c r="C77" s="632" t="s">
        <v>113</v>
      </c>
      <c r="D77" s="632" t="s">
        <v>126</v>
      </c>
      <c r="E77" s="633">
        <v>43412.760659722226</v>
      </c>
      <c r="F77" s="438">
        <v>43412.760659722226</v>
      </c>
      <c r="G77" s="634">
        <v>0.76041666666666663</v>
      </c>
      <c r="H77" s="688" t="s">
        <v>115</v>
      </c>
      <c r="I77" s="686" t="s">
        <v>115</v>
      </c>
      <c r="J77" s="688" t="s">
        <v>115</v>
      </c>
    </row>
    <row r="78" spans="1:14">
      <c r="A78" s="632">
        <v>14172</v>
      </c>
      <c r="B78" s="632" t="s">
        <v>153</v>
      </c>
      <c r="C78" s="632" t="s">
        <v>113</v>
      </c>
      <c r="D78" s="632" t="s">
        <v>127</v>
      </c>
      <c r="E78" s="633">
        <v>43412.760729166665</v>
      </c>
      <c r="F78" s="438">
        <v>43412.760729166665</v>
      </c>
      <c r="G78" s="634">
        <v>0.76041666666666663</v>
      </c>
      <c r="H78" s="688" t="s">
        <v>115</v>
      </c>
      <c r="I78" s="686" t="s">
        <v>115</v>
      </c>
      <c r="J78" s="688" t="s">
        <v>115</v>
      </c>
      <c r="K78" s="688">
        <v>1.05</v>
      </c>
      <c r="M78" s="688">
        <v>1.05</v>
      </c>
      <c r="N78" s="688">
        <v>0</v>
      </c>
    </row>
    <row r="79" spans="1:14">
      <c r="A79" s="632">
        <v>14186</v>
      </c>
      <c r="B79" s="632" t="s">
        <v>153</v>
      </c>
      <c r="C79" s="632" t="s">
        <v>113</v>
      </c>
      <c r="D79" s="632" t="s">
        <v>128</v>
      </c>
      <c r="E79" s="633">
        <v>43412.814965277779</v>
      </c>
      <c r="F79" s="438">
        <v>43412.814965277779</v>
      </c>
      <c r="G79" s="634">
        <v>0.81458333333333333</v>
      </c>
      <c r="H79" s="688" t="s">
        <v>115</v>
      </c>
      <c r="I79" s="686" t="s">
        <v>115</v>
      </c>
      <c r="J79" s="688" t="s">
        <v>115</v>
      </c>
    </row>
    <row r="80" spans="1:14">
      <c r="A80" s="632">
        <v>14189</v>
      </c>
      <c r="B80" s="632" t="s">
        <v>113</v>
      </c>
      <c r="C80" s="632" t="s">
        <v>113</v>
      </c>
      <c r="D80" s="632" t="s">
        <v>125</v>
      </c>
      <c r="E80" s="633">
        <v>43413.351238425923</v>
      </c>
      <c r="F80" s="438">
        <v>43413.351238425923</v>
      </c>
      <c r="G80" s="634">
        <v>0.35069444444444442</v>
      </c>
      <c r="H80" s="688">
        <v>10.3</v>
      </c>
      <c r="I80" s="686">
        <v>8</v>
      </c>
      <c r="J80" s="688" t="s">
        <v>115</v>
      </c>
    </row>
    <row r="81" spans="1:14">
      <c r="A81" s="632">
        <v>14207</v>
      </c>
      <c r="B81" s="632" t="s">
        <v>153</v>
      </c>
      <c r="C81" s="632" t="s">
        <v>113</v>
      </c>
      <c r="D81" s="632" t="s">
        <v>126</v>
      </c>
      <c r="E81" s="633">
        <v>43413.780023148145</v>
      </c>
      <c r="F81" s="438">
        <v>43413.780023148145</v>
      </c>
      <c r="G81" s="634">
        <v>0.77986111111111101</v>
      </c>
      <c r="H81" s="688" t="s">
        <v>115</v>
      </c>
      <c r="I81" s="686" t="s">
        <v>115</v>
      </c>
      <c r="J81" s="688" t="s">
        <v>115</v>
      </c>
    </row>
    <row r="82" spans="1:14">
      <c r="A82" s="632">
        <v>14233</v>
      </c>
      <c r="B82" s="632" t="s">
        <v>113</v>
      </c>
      <c r="C82" s="632" t="s">
        <v>113</v>
      </c>
      <c r="D82" s="632" t="s">
        <v>125</v>
      </c>
      <c r="E82" s="633">
        <v>43417.352141203701</v>
      </c>
      <c r="F82" s="438">
        <v>43417.352141203701</v>
      </c>
      <c r="G82" s="634">
        <v>0.3520833333333333</v>
      </c>
      <c r="H82" s="688">
        <v>9.8670000000000009</v>
      </c>
      <c r="I82" s="686">
        <v>8</v>
      </c>
      <c r="J82" s="688" t="s">
        <v>115</v>
      </c>
    </row>
    <row r="83" spans="1:14">
      <c r="A83" s="632">
        <v>14246</v>
      </c>
      <c r="B83" s="632" t="s">
        <v>113</v>
      </c>
      <c r="C83" s="632" t="s">
        <v>113</v>
      </c>
      <c r="D83" s="632" t="s">
        <v>126</v>
      </c>
      <c r="E83" s="633">
        <v>43417.763738425929</v>
      </c>
      <c r="F83" s="438">
        <v>43417.763738425929</v>
      </c>
      <c r="G83" s="634">
        <v>0.7631944444444444</v>
      </c>
      <c r="H83" s="688" t="s">
        <v>115</v>
      </c>
      <c r="I83" s="686" t="s">
        <v>115</v>
      </c>
      <c r="J83" s="688" t="s">
        <v>115</v>
      </c>
    </row>
    <row r="84" spans="1:14">
      <c r="A84" s="632">
        <v>14247</v>
      </c>
      <c r="B84" s="632" t="s">
        <v>113</v>
      </c>
      <c r="C84" s="632" t="s">
        <v>113</v>
      </c>
      <c r="D84" s="632" t="s">
        <v>127</v>
      </c>
      <c r="E84" s="633">
        <v>43417.763807870368</v>
      </c>
      <c r="F84" s="438">
        <v>43417.763807870368</v>
      </c>
      <c r="G84" s="634">
        <v>0.7631944444444444</v>
      </c>
      <c r="H84" s="688" t="s">
        <v>115</v>
      </c>
      <c r="I84" s="686" t="s">
        <v>115</v>
      </c>
      <c r="J84" s="688" t="s">
        <v>115</v>
      </c>
      <c r="K84" s="688">
        <v>0.55000000000000004</v>
      </c>
      <c r="M84" s="688">
        <v>0.55000000000000004</v>
      </c>
      <c r="N84" s="688">
        <v>0</v>
      </c>
    </row>
    <row r="85" spans="1:14">
      <c r="A85" s="632">
        <v>14259</v>
      </c>
      <c r="B85" s="632" t="s">
        <v>153</v>
      </c>
      <c r="C85" s="632" t="s">
        <v>113</v>
      </c>
      <c r="D85" s="632" t="s">
        <v>128</v>
      </c>
      <c r="E85" s="633">
        <v>43417.793773148151</v>
      </c>
      <c r="F85" s="438">
        <v>43417.793773148151</v>
      </c>
      <c r="G85" s="634">
        <v>0.79375000000000007</v>
      </c>
      <c r="H85" s="688" t="s">
        <v>115</v>
      </c>
      <c r="I85" s="686" t="s">
        <v>115</v>
      </c>
      <c r="J85" s="688" t="s">
        <v>115</v>
      </c>
    </row>
    <row r="86" spans="1:14">
      <c r="A86" s="632">
        <v>14283</v>
      </c>
      <c r="B86" s="632" t="s">
        <v>153</v>
      </c>
      <c r="C86" s="632" t="s">
        <v>113</v>
      </c>
      <c r="D86" s="632" t="s">
        <v>125</v>
      </c>
      <c r="E86" s="633">
        <v>43419.351064814815</v>
      </c>
      <c r="F86" s="438">
        <v>43419.351064814815</v>
      </c>
      <c r="G86" s="634">
        <v>0.35069444444444442</v>
      </c>
      <c r="H86" s="688">
        <v>10.016999999999999</v>
      </c>
      <c r="I86" s="686">
        <v>8</v>
      </c>
      <c r="J86" s="688" t="s">
        <v>115</v>
      </c>
    </row>
    <row r="87" spans="1:14">
      <c r="A87" s="632">
        <v>14297</v>
      </c>
      <c r="B87" s="632" t="s">
        <v>153</v>
      </c>
      <c r="C87" s="632" t="s">
        <v>113</v>
      </c>
      <c r="D87" s="632" t="s">
        <v>126</v>
      </c>
      <c r="E87" s="633">
        <v>43419.768101851849</v>
      </c>
      <c r="F87" s="438">
        <v>43419.768101851849</v>
      </c>
      <c r="G87" s="634">
        <v>0.7680555555555556</v>
      </c>
      <c r="H87" s="688" t="s">
        <v>115</v>
      </c>
      <c r="I87" s="686" t="s">
        <v>115</v>
      </c>
      <c r="J87" s="688" t="s">
        <v>115</v>
      </c>
    </row>
    <row r="88" spans="1:14">
      <c r="A88" s="632">
        <v>14314</v>
      </c>
      <c r="B88" s="632" t="s">
        <v>113</v>
      </c>
      <c r="C88" s="632" t="s">
        <v>113</v>
      </c>
      <c r="D88" s="632" t="s">
        <v>125</v>
      </c>
      <c r="E88" s="633">
        <v>43420.351365740738</v>
      </c>
      <c r="F88" s="438">
        <v>43420.351365740738</v>
      </c>
      <c r="G88" s="634">
        <v>0.35069444444444442</v>
      </c>
      <c r="H88" s="688">
        <v>9.9</v>
      </c>
      <c r="I88" s="686">
        <v>8</v>
      </c>
      <c r="J88" s="688" t="s">
        <v>115</v>
      </c>
    </row>
    <row r="89" spans="1:14">
      <c r="A89" s="632">
        <v>14332</v>
      </c>
      <c r="B89" s="632" t="s">
        <v>153</v>
      </c>
      <c r="C89" s="632" t="s">
        <v>113</v>
      </c>
      <c r="D89" s="632" t="s">
        <v>126</v>
      </c>
      <c r="E89" s="633">
        <v>43420.763784722221</v>
      </c>
      <c r="F89" s="438">
        <v>43420.763784722221</v>
      </c>
      <c r="G89" s="634">
        <v>0.7631944444444444</v>
      </c>
      <c r="H89" s="688" t="s">
        <v>115</v>
      </c>
      <c r="I89" s="686" t="s">
        <v>115</v>
      </c>
      <c r="J89" s="688" t="s">
        <v>115</v>
      </c>
    </row>
    <row r="90" spans="1:14">
      <c r="A90" s="632">
        <v>14333</v>
      </c>
      <c r="B90" s="632" t="s">
        <v>153</v>
      </c>
      <c r="C90" s="632" t="s">
        <v>113</v>
      </c>
      <c r="D90" s="632" t="s">
        <v>127</v>
      </c>
      <c r="E90" s="633">
        <v>43420.763819444444</v>
      </c>
      <c r="F90" s="438">
        <v>43420.763819444444</v>
      </c>
      <c r="G90" s="634">
        <v>0.7631944444444444</v>
      </c>
      <c r="H90" s="688" t="s">
        <v>115</v>
      </c>
      <c r="I90" s="686" t="s">
        <v>115</v>
      </c>
      <c r="J90" s="688" t="s">
        <v>115</v>
      </c>
      <c r="K90" s="688">
        <v>0.78300000000000003</v>
      </c>
      <c r="M90" s="688">
        <v>0.78300000000000003</v>
      </c>
      <c r="N90" s="688">
        <v>0</v>
      </c>
    </row>
    <row r="91" spans="1:14">
      <c r="A91" s="632">
        <v>14338</v>
      </c>
      <c r="B91" s="632" t="s">
        <v>153</v>
      </c>
      <c r="C91" s="632" t="s">
        <v>113</v>
      </c>
      <c r="D91" s="632" t="s">
        <v>128</v>
      </c>
      <c r="E91" s="633">
        <v>43420.796064814815</v>
      </c>
      <c r="F91" s="438">
        <v>43420.796064814815</v>
      </c>
      <c r="G91" s="634">
        <v>0.79583333333333339</v>
      </c>
      <c r="H91" s="688" t="s">
        <v>115</v>
      </c>
      <c r="I91" s="686" t="s">
        <v>115</v>
      </c>
      <c r="J91" s="688" t="s">
        <v>115</v>
      </c>
    </row>
    <row r="92" spans="1:14">
      <c r="A92" s="632">
        <v>14342</v>
      </c>
      <c r="B92" s="632" t="s">
        <v>113</v>
      </c>
      <c r="C92" s="632" t="s">
        <v>113</v>
      </c>
      <c r="D92" s="632" t="s">
        <v>125</v>
      </c>
      <c r="E92" s="633">
        <v>43423.352743055555</v>
      </c>
      <c r="F92" s="438">
        <v>43423.352743055555</v>
      </c>
      <c r="G92" s="634">
        <v>0.3520833333333333</v>
      </c>
      <c r="H92" s="688">
        <v>9.65</v>
      </c>
      <c r="I92" s="686">
        <v>8</v>
      </c>
      <c r="J92" s="688" t="s">
        <v>115</v>
      </c>
    </row>
    <row r="93" spans="1:14">
      <c r="A93" s="632">
        <v>14350</v>
      </c>
      <c r="B93" s="632" t="s">
        <v>113</v>
      </c>
      <c r="C93" s="632" t="s">
        <v>113</v>
      </c>
      <c r="D93" s="632" t="s">
        <v>126</v>
      </c>
      <c r="E93" s="633">
        <v>43423.754363425927</v>
      </c>
      <c r="F93" s="438">
        <v>43423.754363425927</v>
      </c>
      <c r="G93" s="634">
        <v>0.75416666666666676</v>
      </c>
      <c r="H93" s="688" t="s">
        <v>115</v>
      </c>
      <c r="I93" s="686" t="s">
        <v>115</v>
      </c>
      <c r="J93" s="688" t="s">
        <v>115</v>
      </c>
    </row>
    <row r="94" spans="1:14">
      <c r="A94" s="632">
        <v>14351</v>
      </c>
      <c r="B94" s="632" t="s">
        <v>113</v>
      </c>
      <c r="C94" s="632" t="s">
        <v>113</v>
      </c>
      <c r="D94" s="632" t="s">
        <v>127</v>
      </c>
      <c r="E94" s="633">
        <v>43423.754444444443</v>
      </c>
      <c r="F94" s="438">
        <v>43423.754444444443</v>
      </c>
      <c r="G94" s="634">
        <v>0.75416666666666676</v>
      </c>
      <c r="H94" s="688" t="s">
        <v>115</v>
      </c>
      <c r="I94" s="686" t="s">
        <v>115</v>
      </c>
      <c r="J94" s="688" t="s">
        <v>115</v>
      </c>
      <c r="K94" s="688">
        <v>0.9</v>
      </c>
      <c r="M94" s="688">
        <v>0.9</v>
      </c>
      <c r="N94" s="688">
        <v>0</v>
      </c>
    </row>
    <row r="95" spans="1:14">
      <c r="A95" s="632">
        <v>14362</v>
      </c>
      <c r="B95" s="632" t="s">
        <v>153</v>
      </c>
      <c r="C95" s="632" t="s">
        <v>113</v>
      </c>
      <c r="D95" s="632" t="s">
        <v>128</v>
      </c>
      <c r="E95" s="633">
        <v>43423.808599537035</v>
      </c>
      <c r="F95" s="438">
        <v>43423.808599537035</v>
      </c>
      <c r="G95" s="634">
        <v>0.80833333333333324</v>
      </c>
      <c r="H95" s="688" t="s">
        <v>115</v>
      </c>
      <c r="I95" s="686" t="s">
        <v>115</v>
      </c>
      <c r="J95" s="688" t="s">
        <v>115</v>
      </c>
    </row>
    <row r="96" spans="1:14">
      <c r="A96" s="632">
        <v>14365</v>
      </c>
      <c r="B96" s="632" t="s">
        <v>113</v>
      </c>
      <c r="C96" s="632" t="s">
        <v>113</v>
      </c>
      <c r="D96" s="632" t="s">
        <v>125</v>
      </c>
      <c r="E96" s="633">
        <v>43424.353483796294</v>
      </c>
      <c r="F96" s="438">
        <v>43424.353483796294</v>
      </c>
      <c r="G96" s="634">
        <v>0.35347222222222219</v>
      </c>
      <c r="H96" s="688">
        <v>9.7330000000000005</v>
      </c>
      <c r="I96" s="686">
        <v>8</v>
      </c>
      <c r="J96" s="688" t="s">
        <v>115</v>
      </c>
    </row>
    <row r="97" spans="1:14">
      <c r="A97" s="632">
        <v>14375</v>
      </c>
      <c r="B97" s="632" t="s">
        <v>113</v>
      </c>
      <c r="C97" s="632" t="s">
        <v>113</v>
      </c>
      <c r="D97" s="632" t="s">
        <v>126</v>
      </c>
      <c r="E97" s="633">
        <v>43424.759108796294</v>
      </c>
      <c r="F97" s="438">
        <v>43424.759108796294</v>
      </c>
      <c r="G97" s="634">
        <v>0.75902777777777775</v>
      </c>
      <c r="H97" s="688" t="s">
        <v>115</v>
      </c>
      <c r="I97" s="686" t="s">
        <v>115</v>
      </c>
      <c r="J97" s="688" t="s">
        <v>115</v>
      </c>
    </row>
    <row r="98" spans="1:14">
      <c r="A98" s="632">
        <v>14376</v>
      </c>
      <c r="B98" s="632" t="s">
        <v>113</v>
      </c>
      <c r="C98" s="632" t="s">
        <v>113</v>
      </c>
      <c r="D98" s="632" t="s">
        <v>127</v>
      </c>
      <c r="E98" s="633">
        <v>43424.759259259263</v>
      </c>
      <c r="F98" s="438">
        <v>43424.759259259263</v>
      </c>
      <c r="G98" s="634">
        <v>0.75902777777777775</v>
      </c>
      <c r="H98" s="688" t="s">
        <v>115</v>
      </c>
      <c r="I98" s="686" t="s">
        <v>115</v>
      </c>
      <c r="J98" s="688" t="s">
        <v>115</v>
      </c>
      <c r="K98" s="688">
        <v>0.98299999999999998</v>
      </c>
      <c r="M98" s="688">
        <v>0.98299999999999998</v>
      </c>
      <c r="N98" s="688">
        <v>0</v>
      </c>
    </row>
    <row r="99" spans="1:14">
      <c r="A99" s="632">
        <v>14388</v>
      </c>
      <c r="B99" s="632" t="s">
        <v>113</v>
      </c>
      <c r="C99" s="632" t="s">
        <v>113</v>
      </c>
      <c r="D99" s="632" t="s">
        <v>128</v>
      </c>
      <c r="E99" s="633">
        <v>43424.811898148146</v>
      </c>
      <c r="F99" s="438">
        <v>43424.811898148146</v>
      </c>
      <c r="G99" s="634">
        <v>0.81180555555555556</v>
      </c>
      <c r="H99" s="688" t="s">
        <v>115</v>
      </c>
      <c r="I99" s="686" t="s">
        <v>115</v>
      </c>
      <c r="J99" s="688" t="s">
        <v>115</v>
      </c>
    </row>
    <row r="100" spans="1:14">
      <c r="A100" s="632">
        <v>14393</v>
      </c>
      <c r="B100" s="632" t="s">
        <v>113</v>
      </c>
      <c r="C100" s="632" t="s">
        <v>113</v>
      </c>
      <c r="D100" s="632" t="s">
        <v>125</v>
      </c>
      <c r="E100" s="633">
        <v>43425.353055555555</v>
      </c>
      <c r="F100" s="438">
        <v>43425.353055555555</v>
      </c>
      <c r="G100" s="634">
        <v>0.3527777777777778</v>
      </c>
      <c r="H100" s="688">
        <v>9.5830000000000002</v>
      </c>
      <c r="I100" s="686">
        <v>8</v>
      </c>
      <c r="J100" s="688" t="s">
        <v>115</v>
      </c>
    </row>
    <row r="101" spans="1:14">
      <c r="A101" s="632">
        <v>14400</v>
      </c>
      <c r="B101" s="632" t="s">
        <v>113</v>
      </c>
      <c r="C101" s="632" t="s">
        <v>113</v>
      </c>
      <c r="D101" s="632" t="s">
        <v>126</v>
      </c>
      <c r="E101" s="633">
        <v>43425.752152777779</v>
      </c>
      <c r="F101" s="438">
        <v>43425.752152777779</v>
      </c>
      <c r="G101" s="634">
        <v>0.75208333333333333</v>
      </c>
      <c r="H101" s="688" t="s">
        <v>115</v>
      </c>
      <c r="I101" s="686" t="s">
        <v>115</v>
      </c>
      <c r="J101" s="688" t="s">
        <v>115</v>
      </c>
    </row>
    <row r="102" spans="1:14">
      <c r="A102" s="632">
        <v>14401</v>
      </c>
      <c r="B102" s="632" t="s">
        <v>113</v>
      </c>
      <c r="C102" s="632" t="s">
        <v>113</v>
      </c>
      <c r="D102" s="632" t="s">
        <v>127</v>
      </c>
      <c r="E102" s="633">
        <v>43425.758692129632</v>
      </c>
      <c r="F102" s="438">
        <v>43425.758692129632</v>
      </c>
      <c r="G102" s="634">
        <v>0.7583333333333333</v>
      </c>
      <c r="H102" s="688" t="s">
        <v>115</v>
      </c>
      <c r="I102" s="686" t="s">
        <v>115</v>
      </c>
      <c r="J102" s="688" t="s">
        <v>115</v>
      </c>
      <c r="K102" s="688">
        <v>0.88300000000000001</v>
      </c>
      <c r="M102" s="688">
        <v>0.88300000000000001</v>
      </c>
      <c r="N102" s="688">
        <v>0</v>
      </c>
    </row>
    <row r="103" spans="1:14">
      <c r="A103" s="632">
        <v>14414</v>
      </c>
      <c r="B103" s="632" t="s">
        <v>113</v>
      </c>
      <c r="C103" s="632" t="s">
        <v>113</v>
      </c>
      <c r="D103" s="632" t="s">
        <v>128</v>
      </c>
      <c r="E103" s="633">
        <v>43425.80809027778</v>
      </c>
      <c r="F103" s="438">
        <v>43425.80809027778</v>
      </c>
      <c r="G103" s="634">
        <v>0.80763888888888891</v>
      </c>
      <c r="H103" s="688" t="s">
        <v>115</v>
      </c>
      <c r="I103" s="686" t="s">
        <v>115</v>
      </c>
      <c r="J103" s="688" t="s">
        <v>115</v>
      </c>
    </row>
    <row r="104" spans="1:14">
      <c r="A104" s="632">
        <v>14422</v>
      </c>
      <c r="B104" s="632" t="s">
        <v>113</v>
      </c>
      <c r="C104" s="632" t="s">
        <v>113</v>
      </c>
      <c r="D104" s="632" t="s">
        <v>125</v>
      </c>
      <c r="E104" s="633">
        <v>43426.356030092589</v>
      </c>
      <c r="F104" s="438">
        <v>43426.356030092589</v>
      </c>
      <c r="G104" s="634">
        <v>0.35555555555555557</v>
      </c>
      <c r="H104" s="688">
        <v>9.9</v>
      </c>
      <c r="I104" s="686">
        <v>8</v>
      </c>
      <c r="J104" s="688" t="s">
        <v>115</v>
      </c>
    </row>
    <row r="105" spans="1:14">
      <c r="A105" s="632">
        <v>14434</v>
      </c>
      <c r="B105" s="632" t="s">
        <v>113</v>
      </c>
      <c r="C105" s="632" t="s">
        <v>113</v>
      </c>
      <c r="D105" s="632" t="s">
        <v>126</v>
      </c>
      <c r="E105" s="633">
        <v>43426.768726851849</v>
      </c>
      <c r="F105" s="438">
        <v>43426.768726851849</v>
      </c>
      <c r="G105" s="634">
        <v>0.7680555555555556</v>
      </c>
      <c r="H105" s="688" t="s">
        <v>115</v>
      </c>
      <c r="I105" s="686" t="s">
        <v>115</v>
      </c>
      <c r="J105" s="688" t="s">
        <v>115</v>
      </c>
    </row>
    <row r="106" spans="1:14">
      <c r="A106" s="632">
        <v>14450</v>
      </c>
      <c r="B106" s="632" t="s">
        <v>113</v>
      </c>
      <c r="C106" s="632" t="s">
        <v>113</v>
      </c>
      <c r="D106" s="632" t="s">
        <v>125</v>
      </c>
      <c r="E106" s="633">
        <v>43427.355127314811</v>
      </c>
      <c r="F106" s="438">
        <v>43427.355127314811</v>
      </c>
      <c r="G106" s="634">
        <v>0.35486111111111113</v>
      </c>
      <c r="H106" s="688">
        <v>10</v>
      </c>
      <c r="I106" s="686">
        <v>8</v>
      </c>
      <c r="J106" s="688" t="s">
        <v>115</v>
      </c>
    </row>
    <row r="107" spans="1:14">
      <c r="A107" s="632">
        <v>14472</v>
      </c>
      <c r="B107" s="632" t="s">
        <v>153</v>
      </c>
      <c r="C107" s="632" t="s">
        <v>113</v>
      </c>
      <c r="D107" s="632" t="s">
        <v>126</v>
      </c>
      <c r="E107" s="633">
        <v>43427.771585648145</v>
      </c>
      <c r="F107" s="438">
        <v>43427.771585648145</v>
      </c>
      <c r="G107" s="634">
        <v>0.7715277777777777</v>
      </c>
      <c r="H107" s="688" t="s">
        <v>115</v>
      </c>
      <c r="I107" s="686" t="s">
        <v>115</v>
      </c>
      <c r="J107" s="688" t="s">
        <v>115</v>
      </c>
    </row>
    <row r="108" spans="1:14">
      <c r="A108" s="632">
        <v>14479</v>
      </c>
      <c r="B108" s="632" t="s">
        <v>113</v>
      </c>
      <c r="C108" s="632" t="s">
        <v>113</v>
      </c>
      <c r="D108" s="632" t="s">
        <v>125</v>
      </c>
      <c r="E108" s="633">
        <v>43430.354120370372</v>
      </c>
      <c r="F108" s="438">
        <v>43430.354120370372</v>
      </c>
      <c r="G108" s="634">
        <v>0.35347222222222219</v>
      </c>
      <c r="H108" s="688">
        <v>6.8330000000000002</v>
      </c>
      <c r="I108" s="686">
        <v>5.3330000000000002</v>
      </c>
      <c r="J108" s="688">
        <v>2.6669999999999998</v>
      </c>
    </row>
    <row r="109" spans="1:14">
      <c r="A109" s="632">
        <v>14490</v>
      </c>
      <c r="B109" s="632" t="s">
        <v>113</v>
      </c>
      <c r="C109" s="632" t="s">
        <v>113</v>
      </c>
      <c r="D109" s="632" t="s">
        <v>177</v>
      </c>
      <c r="E109" s="633">
        <v>43430.638333333336</v>
      </c>
      <c r="F109" s="438">
        <v>43430.638333333336</v>
      </c>
      <c r="G109" s="634">
        <v>0.6381944444444444</v>
      </c>
      <c r="H109" s="688" t="s">
        <v>115</v>
      </c>
      <c r="I109" s="686" t="s">
        <v>115</v>
      </c>
      <c r="J109" s="688" t="s">
        <v>115</v>
      </c>
    </row>
    <row r="110" spans="1:14">
      <c r="A110" s="632">
        <v>14491</v>
      </c>
      <c r="B110" s="632" t="s">
        <v>113</v>
      </c>
      <c r="C110" s="632" t="s">
        <v>113</v>
      </c>
      <c r="D110" s="632" t="s">
        <v>155</v>
      </c>
      <c r="E110" s="633">
        <v>43430.655289351853</v>
      </c>
      <c r="F110" s="438">
        <v>43430.655289351853</v>
      </c>
      <c r="G110" s="634">
        <v>0.65486111111111112</v>
      </c>
      <c r="H110" s="688" t="s">
        <v>115</v>
      </c>
      <c r="I110" s="686" t="s">
        <v>115</v>
      </c>
      <c r="J110" s="688" t="s">
        <v>115</v>
      </c>
    </row>
    <row r="111" spans="1:14">
      <c r="A111" s="632">
        <v>14493</v>
      </c>
      <c r="B111" s="632" t="s">
        <v>113</v>
      </c>
      <c r="C111" s="632" t="s">
        <v>113</v>
      </c>
      <c r="D111" s="632" t="s">
        <v>126</v>
      </c>
      <c r="E111" s="633">
        <v>43430.76458333333</v>
      </c>
      <c r="F111" s="438">
        <v>43430.76458333333</v>
      </c>
      <c r="G111" s="634">
        <v>0.76458333333333339</v>
      </c>
      <c r="H111" s="688" t="s">
        <v>115</v>
      </c>
      <c r="I111" s="686" t="s">
        <v>115</v>
      </c>
      <c r="J111" s="688" t="s">
        <v>115</v>
      </c>
    </row>
    <row r="112" spans="1:14">
      <c r="A112" s="632">
        <v>14505</v>
      </c>
      <c r="B112" s="632" t="s">
        <v>113</v>
      </c>
      <c r="C112" s="632" t="s">
        <v>113</v>
      </c>
      <c r="D112" s="632" t="s">
        <v>125</v>
      </c>
      <c r="E112" s="633">
        <v>43431.349004629628</v>
      </c>
      <c r="F112" s="438">
        <v>43431.349004629628</v>
      </c>
      <c r="G112" s="634">
        <v>0.34861111111111115</v>
      </c>
      <c r="H112" s="688">
        <v>10.117000000000001</v>
      </c>
      <c r="I112" s="686">
        <v>8</v>
      </c>
      <c r="J112" s="688" t="s">
        <v>115</v>
      </c>
    </row>
    <row r="113" spans="1:14">
      <c r="A113" s="632">
        <v>14527</v>
      </c>
      <c r="B113" s="632" t="s">
        <v>113</v>
      </c>
      <c r="C113" s="632" t="s">
        <v>113</v>
      </c>
      <c r="D113" s="632" t="s">
        <v>126</v>
      </c>
      <c r="E113" s="633">
        <v>43431.77034722222</v>
      </c>
      <c r="F113" s="438">
        <v>43431.77034722222</v>
      </c>
      <c r="G113" s="634">
        <v>0.77013888888888893</v>
      </c>
      <c r="H113" s="688" t="s">
        <v>115</v>
      </c>
      <c r="I113" s="686" t="s">
        <v>115</v>
      </c>
      <c r="J113" s="688" t="s">
        <v>115</v>
      </c>
    </row>
    <row r="114" spans="1:14">
      <c r="A114" s="632">
        <v>14537</v>
      </c>
      <c r="B114" s="632" t="s">
        <v>113</v>
      </c>
      <c r="C114" s="632" t="s">
        <v>113</v>
      </c>
      <c r="D114" s="632" t="s">
        <v>125</v>
      </c>
      <c r="E114" s="633">
        <v>43432.349340277775</v>
      </c>
      <c r="F114" s="438">
        <v>43432.349340277775</v>
      </c>
      <c r="G114" s="634">
        <v>0.34930555555555554</v>
      </c>
      <c r="H114" s="688">
        <v>9.8829999999999991</v>
      </c>
      <c r="I114" s="686">
        <v>8</v>
      </c>
      <c r="J114" s="688" t="s">
        <v>115</v>
      </c>
    </row>
    <row r="115" spans="1:14">
      <c r="A115" s="632">
        <v>14546</v>
      </c>
      <c r="B115" s="632" t="s">
        <v>113</v>
      </c>
      <c r="C115" s="632" t="s">
        <v>113</v>
      </c>
      <c r="D115" s="632" t="s">
        <v>126</v>
      </c>
      <c r="E115" s="633">
        <v>43432.761516203704</v>
      </c>
      <c r="F115" s="438">
        <v>43432.761516203704</v>
      </c>
      <c r="G115" s="634">
        <v>0.76111111111111107</v>
      </c>
      <c r="H115" s="688" t="s">
        <v>115</v>
      </c>
      <c r="I115" s="686" t="s">
        <v>115</v>
      </c>
      <c r="J115" s="688" t="s">
        <v>115</v>
      </c>
    </row>
    <row r="116" spans="1:14">
      <c r="A116" s="632">
        <v>14547</v>
      </c>
      <c r="B116" s="632" t="s">
        <v>113</v>
      </c>
      <c r="C116" s="632" t="s">
        <v>113</v>
      </c>
      <c r="D116" s="632" t="s">
        <v>127</v>
      </c>
      <c r="E116" s="633">
        <v>43432.76158564815</v>
      </c>
      <c r="F116" s="438">
        <v>43432.76158564815</v>
      </c>
      <c r="G116" s="634">
        <v>0.76111111111111107</v>
      </c>
      <c r="H116" s="688" t="s">
        <v>115</v>
      </c>
      <c r="I116" s="686" t="s">
        <v>115</v>
      </c>
      <c r="J116" s="688" t="s">
        <v>115</v>
      </c>
      <c r="K116" s="688">
        <v>1.1499999999999999</v>
      </c>
      <c r="M116" s="688">
        <v>1.1499999999999999</v>
      </c>
      <c r="N116" s="688">
        <v>0</v>
      </c>
    </row>
    <row r="117" spans="1:14">
      <c r="A117" s="632">
        <v>14562</v>
      </c>
      <c r="B117" s="632" t="s">
        <v>113</v>
      </c>
      <c r="C117" s="632" t="s">
        <v>113</v>
      </c>
      <c r="D117" s="632" t="s">
        <v>128</v>
      </c>
      <c r="E117" s="633">
        <v>43432.818773148145</v>
      </c>
      <c r="F117" s="438">
        <v>43432.818773148145</v>
      </c>
      <c r="G117" s="634">
        <v>0.81874999999999998</v>
      </c>
      <c r="H117" s="688" t="s">
        <v>115</v>
      </c>
      <c r="I117" s="686" t="s">
        <v>115</v>
      </c>
      <c r="J117" s="688" t="s">
        <v>115</v>
      </c>
    </row>
    <row r="118" spans="1:14">
      <c r="A118" s="632">
        <v>14568</v>
      </c>
      <c r="B118" s="632" t="s">
        <v>113</v>
      </c>
      <c r="C118" s="632" t="s">
        <v>113</v>
      </c>
      <c r="D118" s="632" t="s">
        <v>125</v>
      </c>
      <c r="E118" s="633">
        <v>43433.35083333333</v>
      </c>
      <c r="F118" s="438">
        <v>43433.35083333333</v>
      </c>
      <c r="G118" s="634">
        <v>0.35069444444444442</v>
      </c>
      <c r="H118" s="688">
        <v>10.032999999999999</v>
      </c>
      <c r="I118" s="686">
        <v>8</v>
      </c>
      <c r="J118" s="688" t="s">
        <v>115</v>
      </c>
    </row>
    <row r="119" spans="1:14">
      <c r="A119" s="632">
        <v>14584</v>
      </c>
      <c r="B119" s="632" t="s">
        <v>153</v>
      </c>
      <c r="C119" s="632" t="s">
        <v>113</v>
      </c>
      <c r="D119" s="632" t="s">
        <v>126</v>
      </c>
      <c r="E119" s="633">
        <v>43433.76898148148</v>
      </c>
      <c r="F119" s="438">
        <v>43433.76898148148</v>
      </c>
      <c r="G119" s="634">
        <v>0.76874999999999993</v>
      </c>
      <c r="H119" s="688" t="s">
        <v>115</v>
      </c>
      <c r="I119" s="686" t="s">
        <v>115</v>
      </c>
      <c r="J119" s="688" t="s">
        <v>115</v>
      </c>
    </row>
    <row r="120" spans="1:14">
      <c r="A120" s="632">
        <v>14585</v>
      </c>
      <c r="B120" s="632" t="s">
        <v>153</v>
      </c>
      <c r="C120" s="632" t="s">
        <v>113</v>
      </c>
      <c r="D120" s="632" t="s">
        <v>127</v>
      </c>
      <c r="E120" s="633">
        <v>43433.76902777778</v>
      </c>
      <c r="F120" s="438">
        <v>43433.76902777778</v>
      </c>
      <c r="G120" s="634">
        <v>0.76874999999999993</v>
      </c>
      <c r="H120" s="688" t="s">
        <v>115</v>
      </c>
      <c r="I120" s="686" t="s">
        <v>115</v>
      </c>
      <c r="J120" s="688" t="s">
        <v>115</v>
      </c>
      <c r="K120" s="688">
        <v>0.95</v>
      </c>
      <c r="M120" s="688">
        <v>0.95</v>
      </c>
      <c r="N120" s="688">
        <v>0</v>
      </c>
    </row>
    <row r="121" spans="1:14">
      <c r="A121" s="632">
        <v>14592</v>
      </c>
      <c r="B121" s="632" t="s">
        <v>153</v>
      </c>
      <c r="C121" s="632" t="s">
        <v>113</v>
      </c>
      <c r="D121" s="632" t="s">
        <v>128</v>
      </c>
      <c r="E121" s="633">
        <v>43433.810983796298</v>
      </c>
      <c r="F121" s="438">
        <v>43433.810983796298</v>
      </c>
      <c r="G121" s="634">
        <v>0.81041666666666667</v>
      </c>
      <c r="H121" s="688" t="s">
        <v>115</v>
      </c>
      <c r="I121" s="686" t="s">
        <v>115</v>
      </c>
      <c r="J121" s="688" t="s">
        <v>115</v>
      </c>
    </row>
    <row r="122" spans="1:14">
      <c r="A122" s="632">
        <v>14597</v>
      </c>
      <c r="B122" s="632" t="s">
        <v>113</v>
      </c>
      <c r="C122" s="632" t="s">
        <v>113</v>
      </c>
      <c r="D122" s="632" t="s">
        <v>125</v>
      </c>
      <c r="E122" s="633">
        <v>43434.354618055557</v>
      </c>
      <c r="F122" s="438">
        <v>43434.354618055557</v>
      </c>
      <c r="G122" s="634">
        <v>0.35416666666666669</v>
      </c>
      <c r="H122" s="688">
        <v>9.6329999999999991</v>
      </c>
      <c r="I122" s="686">
        <v>8</v>
      </c>
      <c r="J122" s="688" t="s">
        <v>115</v>
      </c>
    </row>
    <row r="123" spans="1:14">
      <c r="A123" s="632">
        <v>14607</v>
      </c>
      <c r="B123" s="632" t="s">
        <v>153</v>
      </c>
      <c r="C123" s="632" t="s">
        <v>113</v>
      </c>
      <c r="D123" s="632" t="s">
        <v>126</v>
      </c>
      <c r="E123" s="633">
        <v>43434.755682870367</v>
      </c>
      <c r="F123" s="438">
        <v>43434.755682870367</v>
      </c>
      <c r="G123" s="634">
        <v>0.75555555555555554</v>
      </c>
      <c r="H123" s="688" t="s">
        <v>115</v>
      </c>
      <c r="I123" s="686" t="s">
        <v>115</v>
      </c>
      <c r="J123" s="688" t="s">
        <v>115</v>
      </c>
    </row>
    <row r="124" spans="1:14">
      <c r="A124" s="632">
        <v>14056</v>
      </c>
      <c r="B124" s="632" t="s">
        <v>10</v>
      </c>
      <c r="C124" s="632" t="s">
        <v>10</v>
      </c>
      <c r="D124" s="632" t="s">
        <v>125</v>
      </c>
      <c r="E124" s="633">
        <v>43405.360393518517</v>
      </c>
      <c r="F124" s="438">
        <v>43405.360393518517</v>
      </c>
      <c r="G124" s="634">
        <v>0.35972222222222222</v>
      </c>
      <c r="H124" s="688">
        <v>10.016999999999999</v>
      </c>
      <c r="I124" s="686">
        <v>8</v>
      </c>
      <c r="J124" s="688" t="s">
        <v>115</v>
      </c>
    </row>
    <row r="125" spans="1:14">
      <c r="A125" s="632">
        <v>14069</v>
      </c>
      <c r="B125" s="632" t="s">
        <v>10</v>
      </c>
      <c r="C125" s="632" t="s">
        <v>10</v>
      </c>
      <c r="D125" s="632" t="s">
        <v>126</v>
      </c>
      <c r="E125" s="633">
        <v>43405.777187500003</v>
      </c>
      <c r="F125" s="438">
        <v>43405.777187500003</v>
      </c>
      <c r="G125" s="634">
        <v>0.77708333333333324</v>
      </c>
      <c r="H125" s="688" t="s">
        <v>115</v>
      </c>
      <c r="I125" s="686" t="s">
        <v>115</v>
      </c>
      <c r="J125" s="688" t="s">
        <v>115</v>
      </c>
    </row>
    <row r="126" spans="1:14">
      <c r="A126" s="632">
        <v>14080</v>
      </c>
      <c r="B126" s="632" t="s">
        <v>77</v>
      </c>
      <c r="C126" s="632" t="s">
        <v>10</v>
      </c>
      <c r="D126" s="632" t="s">
        <v>125</v>
      </c>
      <c r="E126" s="633">
        <v>43406.372824074075</v>
      </c>
      <c r="F126" s="438">
        <v>43406.372824074075</v>
      </c>
      <c r="G126" s="634">
        <v>0.37222222222222223</v>
      </c>
      <c r="H126" s="688">
        <v>9.6669999999999998</v>
      </c>
      <c r="I126" s="686">
        <v>8</v>
      </c>
      <c r="J126" s="688" t="s">
        <v>115</v>
      </c>
    </row>
    <row r="127" spans="1:14">
      <c r="A127" s="632">
        <v>14093</v>
      </c>
      <c r="B127" s="632" t="s">
        <v>10</v>
      </c>
      <c r="C127" s="632" t="s">
        <v>10</v>
      </c>
      <c r="D127" s="632" t="s">
        <v>126</v>
      </c>
      <c r="E127" s="633">
        <v>43406.775358796294</v>
      </c>
      <c r="F127" s="438">
        <v>43406.775358796294</v>
      </c>
      <c r="G127" s="634">
        <v>0.77500000000000002</v>
      </c>
      <c r="H127" s="688" t="s">
        <v>115</v>
      </c>
      <c r="I127" s="686" t="s">
        <v>115</v>
      </c>
      <c r="J127" s="688" t="s">
        <v>115</v>
      </c>
    </row>
    <row r="128" spans="1:14">
      <c r="A128" s="632">
        <v>14103</v>
      </c>
      <c r="B128" s="632" t="s">
        <v>10</v>
      </c>
      <c r="C128" s="632" t="s">
        <v>10</v>
      </c>
      <c r="D128" s="632" t="s">
        <v>125</v>
      </c>
      <c r="E128" s="633">
        <v>43409.359513888892</v>
      </c>
      <c r="F128" s="438">
        <v>43409.359513888892</v>
      </c>
      <c r="G128" s="634">
        <v>0.35902777777777778</v>
      </c>
      <c r="H128" s="688">
        <v>10.266999999999999</v>
      </c>
      <c r="I128" s="686">
        <v>8</v>
      </c>
      <c r="J128" s="688" t="s">
        <v>115</v>
      </c>
    </row>
    <row r="129" spans="1:10">
      <c r="A129" s="632">
        <v>14120</v>
      </c>
      <c r="B129" s="632" t="s">
        <v>10</v>
      </c>
      <c r="C129" s="632" t="s">
        <v>10</v>
      </c>
      <c r="D129" s="632" t="s">
        <v>126</v>
      </c>
      <c r="E129" s="633">
        <v>43409.786817129629</v>
      </c>
      <c r="F129" s="438">
        <v>43409.786817129629</v>
      </c>
      <c r="G129" s="634">
        <v>0.78680555555555554</v>
      </c>
      <c r="H129" s="688" t="s">
        <v>115</v>
      </c>
      <c r="I129" s="686" t="s">
        <v>115</v>
      </c>
      <c r="J129" s="688" t="s">
        <v>115</v>
      </c>
    </row>
    <row r="130" spans="1:10">
      <c r="A130" s="632">
        <v>14126</v>
      </c>
      <c r="B130" s="632" t="s">
        <v>10</v>
      </c>
      <c r="C130" s="632" t="s">
        <v>10</v>
      </c>
      <c r="D130" s="632" t="s">
        <v>125</v>
      </c>
      <c r="E130" s="633">
        <v>43410.358680555553</v>
      </c>
      <c r="F130" s="438">
        <v>43410.358680555553</v>
      </c>
      <c r="G130" s="634">
        <v>0.35833333333333334</v>
      </c>
      <c r="H130" s="688">
        <v>10.8</v>
      </c>
      <c r="I130" s="686">
        <v>8</v>
      </c>
      <c r="J130" s="688" t="s">
        <v>115</v>
      </c>
    </row>
    <row r="131" spans="1:10">
      <c r="A131" s="632">
        <v>14143</v>
      </c>
      <c r="B131" s="632" t="s">
        <v>10</v>
      </c>
      <c r="C131" s="632" t="s">
        <v>10</v>
      </c>
      <c r="D131" s="632" t="s">
        <v>126</v>
      </c>
      <c r="E131" s="633">
        <v>43410.808622685188</v>
      </c>
      <c r="F131" s="438">
        <v>43410.808622685188</v>
      </c>
      <c r="G131" s="634">
        <v>0.80833333333333324</v>
      </c>
      <c r="H131" s="688" t="s">
        <v>115</v>
      </c>
      <c r="I131" s="686" t="s">
        <v>115</v>
      </c>
      <c r="J131" s="688" t="s">
        <v>115</v>
      </c>
    </row>
    <row r="132" spans="1:10">
      <c r="A132" s="632">
        <v>14147</v>
      </c>
      <c r="B132" s="632" t="s">
        <v>10</v>
      </c>
      <c r="C132" s="632" t="s">
        <v>10</v>
      </c>
      <c r="D132" s="632" t="s">
        <v>125</v>
      </c>
      <c r="E132" s="633">
        <v>43411.356493055559</v>
      </c>
      <c r="F132" s="438">
        <v>43411.356493055559</v>
      </c>
      <c r="G132" s="634">
        <v>0.35625000000000001</v>
      </c>
      <c r="H132" s="688">
        <v>9.9</v>
      </c>
      <c r="I132" s="686">
        <v>8</v>
      </c>
      <c r="J132" s="688" t="s">
        <v>115</v>
      </c>
    </row>
    <row r="133" spans="1:10">
      <c r="A133" s="632">
        <v>14155</v>
      </c>
      <c r="B133" s="632" t="s">
        <v>10</v>
      </c>
      <c r="C133" s="632" t="s">
        <v>10</v>
      </c>
      <c r="D133" s="632" t="s">
        <v>126</v>
      </c>
      <c r="E133" s="633">
        <v>43411.769062500003</v>
      </c>
      <c r="F133" s="438">
        <v>43411.769062500003</v>
      </c>
      <c r="G133" s="634">
        <v>0.76874999999999993</v>
      </c>
      <c r="H133" s="688" t="s">
        <v>115</v>
      </c>
      <c r="I133" s="686" t="s">
        <v>115</v>
      </c>
      <c r="J133" s="688" t="s">
        <v>115</v>
      </c>
    </row>
    <row r="134" spans="1:10">
      <c r="A134" s="632">
        <v>14169</v>
      </c>
      <c r="B134" s="632" t="s">
        <v>77</v>
      </c>
      <c r="C134" s="632" t="s">
        <v>10</v>
      </c>
      <c r="D134" s="632" t="s">
        <v>125</v>
      </c>
      <c r="E134" s="633">
        <v>43412.363541666666</v>
      </c>
      <c r="F134" s="438">
        <v>43412.363541666666</v>
      </c>
      <c r="G134" s="634">
        <v>0.36319444444444443</v>
      </c>
      <c r="H134" s="688">
        <v>10.333</v>
      </c>
      <c r="I134" s="686">
        <v>8</v>
      </c>
      <c r="J134" s="688" t="s">
        <v>115</v>
      </c>
    </row>
    <row r="135" spans="1:10">
      <c r="A135" s="632">
        <v>14185</v>
      </c>
      <c r="B135" s="632" t="s">
        <v>10</v>
      </c>
      <c r="C135" s="632" t="s">
        <v>10</v>
      </c>
      <c r="D135" s="632" t="s">
        <v>126</v>
      </c>
      <c r="E135" s="633">
        <v>43412.793865740743</v>
      </c>
      <c r="F135" s="438">
        <v>43412.793865740743</v>
      </c>
      <c r="G135" s="634">
        <v>0.79375000000000007</v>
      </c>
      <c r="H135" s="688" t="s">
        <v>115</v>
      </c>
      <c r="I135" s="686" t="s">
        <v>115</v>
      </c>
      <c r="J135" s="688" t="s">
        <v>115</v>
      </c>
    </row>
    <row r="136" spans="1:10">
      <c r="A136" s="632">
        <v>14192</v>
      </c>
      <c r="B136" s="632" t="s">
        <v>77</v>
      </c>
      <c r="C136" s="632" t="s">
        <v>10</v>
      </c>
      <c r="D136" s="632" t="s">
        <v>125</v>
      </c>
      <c r="E136" s="633">
        <v>43413.357754629629</v>
      </c>
      <c r="F136" s="438">
        <v>43413.357754629629</v>
      </c>
      <c r="G136" s="634">
        <v>0.3576388888888889</v>
      </c>
      <c r="H136" s="688">
        <v>10.233000000000001</v>
      </c>
      <c r="I136" s="686">
        <v>8</v>
      </c>
      <c r="J136" s="688" t="s">
        <v>115</v>
      </c>
    </row>
    <row r="137" spans="1:10">
      <c r="A137" s="632">
        <v>14209</v>
      </c>
      <c r="B137" s="632" t="s">
        <v>10</v>
      </c>
      <c r="C137" s="632" t="s">
        <v>10</v>
      </c>
      <c r="D137" s="632" t="s">
        <v>126</v>
      </c>
      <c r="E137" s="633">
        <v>43413.784097222226</v>
      </c>
      <c r="F137" s="438">
        <v>43413.784097222226</v>
      </c>
      <c r="G137" s="634">
        <v>0.78402777777777777</v>
      </c>
      <c r="H137" s="688" t="s">
        <v>115</v>
      </c>
      <c r="I137" s="686" t="s">
        <v>115</v>
      </c>
      <c r="J137" s="688" t="s">
        <v>115</v>
      </c>
    </row>
    <row r="138" spans="1:10">
      <c r="A138" s="632">
        <v>14219</v>
      </c>
      <c r="B138" s="632" t="s">
        <v>10</v>
      </c>
      <c r="C138" s="632" t="s">
        <v>10</v>
      </c>
      <c r="D138" s="632" t="s">
        <v>125</v>
      </c>
      <c r="E138" s="633">
        <v>43416.364374999997</v>
      </c>
      <c r="F138" s="438">
        <v>43416.364374999997</v>
      </c>
      <c r="G138" s="634">
        <v>0.36388888888888887</v>
      </c>
      <c r="H138" s="688">
        <v>11.282999999999999</v>
      </c>
      <c r="I138" s="686">
        <v>8</v>
      </c>
      <c r="J138" s="688" t="s">
        <v>115</v>
      </c>
    </row>
    <row r="139" spans="1:10">
      <c r="A139" s="632">
        <v>14230</v>
      </c>
      <c r="B139" s="632" t="s">
        <v>10</v>
      </c>
      <c r="C139" s="632" t="s">
        <v>10</v>
      </c>
      <c r="D139" s="632" t="s">
        <v>126</v>
      </c>
      <c r="E139" s="633">
        <v>43416.83421296296</v>
      </c>
      <c r="F139" s="438">
        <v>43416.83421296296</v>
      </c>
      <c r="G139" s="634">
        <v>0.8340277777777777</v>
      </c>
      <c r="H139" s="688" t="s">
        <v>115</v>
      </c>
      <c r="I139" s="686" t="s">
        <v>115</v>
      </c>
      <c r="J139" s="688" t="s">
        <v>115</v>
      </c>
    </row>
    <row r="140" spans="1:10">
      <c r="A140" s="632">
        <v>14237</v>
      </c>
      <c r="B140" s="632" t="s">
        <v>10</v>
      </c>
      <c r="C140" s="632" t="s">
        <v>10</v>
      </c>
      <c r="D140" s="632" t="s">
        <v>125</v>
      </c>
      <c r="E140" s="633">
        <v>43417.360312500001</v>
      </c>
      <c r="F140" s="438">
        <v>43417.360312500001</v>
      </c>
      <c r="G140" s="634">
        <v>0.35972222222222222</v>
      </c>
      <c r="H140" s="688">
        <v>11</v>
      </c>
      <c r="I140" s="686">
        <v>8</v>
      </c>
      <c r="J140" s="688" t="s">
        <v>115</v>
      </c>
    </row>
    <row r="141" spans="1:10">
      <c r="A141" s="632">
        <v>14262</v>
      </c>
      <c r="B141" s="632" t="s">
        <v>10</v>
      </c>
      <c r="C141" s="632" t="s">
        <v>10</v>
      </c>
      <c r="D141" s="632" t="s">
        <v>126</v>
      </c>
      <c r="E141" s="633">
        <v>43417.818182870367</v>
      </c>
      <c r="F141" s="438">
        <v>43417.818182870367</v>
      </c>
      <c r="G141" s="634">
        <v>0.81805555555555554</v>
      </c>
      <c r="H141" s="688" t="s">
        <v>115</v>
      </c>
      <c r="I141" s="686" t="s">
        <v>115</v>
      </c>
      <c r="J141" s="688" t="s">
        <v>115</v>
      </c>
    </row>
    <row r="142" spans="1:10">
      <c r="A142" s="632">
        <v>14267</v>
      </c>
      <c r="B142" s="632" t="s">
        <v>10</v>
      </c>
      <c r="C142" s="632" t="s">
        <v>10</v>
      </c>
      <c r="D142" s="632" t="s">
        <v>125</v>
      </c>
      <c r="E142" s="633">
        <v>43418.357916666668</v>
      </c>
      <c r="F142" s="438">
        <v>43418.357916666668</v>
      </c>
      <c r="G142" s="634">
        <v>0.3576388888888889</v>
      </c>
      <c r="H142" s="688">
        <v>9.7669999999999995</v>
      </c>
      <c r="I142" s="686">
        <v>8</v>
      </c>
      <c r="J142" s="688" t="s">
        <v>115</v>
      </c>
    </row>
    <row r="143" spans="1:10">
      <c r="A143" s="632">
        <v>14277</v>
      </c>
      <c r="B143" s="632" t="s">
        <v>10</v>
      </c>
      <c r="C143" s="632" t="s">
        <v>10</v>
      </c>
      <c r="D143" s="632" t="s">
        <v>126</v>
      </c>
      <c r="E143" s="633">
        <v>43418.764618055553</v>
      </c>
      <c r="F143" s="438">
        <v>43418.764618055553</v>
      </c>
      <c r="G143" s="634">
        <v>0.76458333333333339</v>
      </c>
      <c r="H143" s="688" t="s">
        <v>115</v>
      </c>
      <c r="I143" s="686" t="s">
        <v>115</v>
      </c>
      <c r="J143" s="688" t="s">
        <v>115</v>
      </c>
    </row>
    <row r="144" spans="1:10">
      <c r="A144" s="632">
        <v>14289</v>
      </c>
      <c r="B144" s="632" t="s">
        <v>10</v>
      </c>
      <c r="C144" s="632" t="s">
        <v>10</v>
      </c>
      <c r="D144" s="632" t="s">
        <v>125</v>
      </c>
      <c r="E144" s="633">
        <v>43419.365173611113</v>
      </c>
      <c r="F144" s="438">
        <v>43419.365173611113</v>
      </c>
      <c r="G144" s="634">
        <v>0.36458333333333331</v>
      </c>
      <c r="H144" s="688">
        <v>11.632999999999999</v>
      </c>
      <c r="I144" s="686">
        <v>8</v>
      </c>
      <c r="J144" s="688" t="s">
        <v>115</v>
      </c>
    </row>
    <row r="145" spans="1:10">
      <c r="A145" s="632">
        <v>14311</v>
      </c>
      <c r="B145" s="632" t="s">
        <v>10</v>
      </c>
      <c r="C145" s="632" t="s">
        <v>10</v>
      </c>
      <c r="D145" s="632" t="s">
        <v>126</v>
      </c>
      <c r="E145" s="633">
        <v>43419.849629629629</v>
      </c>
      <c r="F145" s="438">
        <v>43419.849629629629</v>
      </c>
      <c r="G145" s="634">
        <v>0.84930555555555554</v>
      </c>
      <c r="H145" s="688" t="s">
        <v>115</v>
      </c>
      <c r="I145" s="686" t="s">
        <v>115</v>
      </c>
      <c r="J145" s="688" t="s">
        <v>115</v>
      </c>
    </row>
    <row r="146" spans="1:10">
      <c r="A146" s="632">
        <v>14317</v>
      </c>
      <c r="B146" s="632" t="s">
        <v>10</v>
      </c>
      <c r="C146" s="632" t="s">
        <v>10</v>
      </c>
      <c r="D146" s="632" t="s">
        <v>125</v>
      </c>
      <c r="E146" s="633">
        <v>43420.354363425926</v>
      </c>
      <c r="F146" s="438">
        <v>43420.354363425926</v>
      </c>
      <c r="G146" s="634">
        <v>0.35416666666666669</v>
      </c>
      <c r="H146" s="688">
        <v>4.4329999999999998</v>
      </c>
      <c r="I146" s="686">
        <v>2.9329999999999998</v>
      </c>
      <c r="J146" s="688">
        <v>5.0670000000000002</v>
      </c>
    </row>
    <row r="147" spans="1:10">
      <c r="A147" s="632">
        <v>14325</v>
      </c>
      <c r="B147" s="632" t="s">
        <v>10</v>
      </c>
      <c r="C147" s="632" t="s">
        <v>10</v>
      </c>
      <c r="D147" s="632" t="s">
        <v>126</v>
      </c>
      <c r="E147" s="633">
        <v>43420.538900462961</v>
      </c>
      <c r="F147" s="438">
        <v>43420.538900462961</v>
      </c>
      <c r="G147" s="634">
        <v>0.53888888888888886</v>
      </c>
      <c r="H147" s="688" t="s">
        <v>115</v>
      </c>
      <c r="I147" s="686" t="s">
        <v>115</v>
      </c>
      <c r="J147" s="688" t="s">
        <v>115</v>
      </c>
    </row>
    <row r="148" spans="1:10">
      <c r="A148" s="632">
        <v>14345</v>
      </c>
      <c r="B148" s="632" t="s">
        <v>77</v>
      </c>
      <c r="C148" s="632" t="s">
        <v>10</v>
      </c>
      <c r="D148" s="632" t="s">
        <v>125</v>
      </c>
      <c r="E148" s="633">
        <v>43423.363969907405</v>
      </c>
      <c r="F148" s="438">
        <v>43423.363969907405</v>
      </c>
      <c r="G148" s="634">
        <v>0.36388888888888887</v>
      </c>
      <c r="H148" s="688">
        <v>11.5</v>
      </c>
      <c r="I148" s="686">
        <v>8</v>
      </c>
      <c r="J148" s="688" t="s">
        <v>115</v>
      </c>
    </row>
    <row r="149" spans="1:10">
      <c r="A149" s="632">
        <v>14363</v>
      </c>
      <c r="B149" s="632" t="s">
        <v>10</v>
      </c>
      <c r="C149" s="632" t="s">
        <v>10</v>
      </c>
      <c r="D149" s="632" t="s">
        <v>126</v>
      </c>
      <c r="E149" s="633">
        <v>43423.843136574076</v>
      </c>
      <c r="F149" s="438">
        <v>43423.843136574076</v>
      </c>
      <c r="G149" s="634">
        <v>0.84305555555555556</v>
      </c>
      <c r="H149" s="688" t="s">
        <v>115</v>
      </c>
      <c r="I149" s="686" t="s">
        <v>115</v>
      </c>
      <c r="J149" s="688" t="s">
        <v>115</v>
      </c>
    </row>
    <row r="150" spans="1:10">
      <c r="A150" s="632">
        <v>14366</v>
      </c>
      <c r="B150" s="632" t="s">
        <v>10</v>
      </c>
      <c r="C150" s="632" t="s">
        <v>10</v>
      </c>
      <c r="D150" s="632" t="s">
        <v>125</v>
      </c>
      <c r="E150" s="633">
        <v>43424.357222222221</v>
      </c>
      <c r="F150" s="438">
        <v>43424.357222222221</v>
      </c>
      <c r="G150" s="634">
        <v>0.35694444444444445</v>
      </c>
      <c r="H150" s="688">
        <v>11.683</v>
      </c>
      <c r="I150" s="686">
        <v>8</v>
      </c>
      <c r="J150" s="688" t="s">
        <v>115</v>
      </c>
    </row>
    <row r="151" spans="1:10">
      <c r="A151" s="632">
        <v>14390</v>
      </c>
      <c r="B151" s="632" t="s">
        <v>10</v>
      </c>
      <c r="C151" s="632" t="s">
        <v>10</v>
      </c>
      <c r="D151" s="632" t="s">
        <v>126</v>
      </c>
      <c r="E151" s="633">
        <v>43424.843761574077</v>
      </c>
      <c r="F151" s="438">
        <v>43424.843761574077</v>
      </c>
      <c r="G151" s="634">
        <v>0.84375</v>
      </c>
      <c r="H151" s="688" t="s">
        <v>115</v>
      </c>
      <c r="I151" s="686" t="s">
        <v>115</v>
      </c>
      <c r="J151" s="688" t="s">
        <v>115</v>
      </c>
    </row>
    <row r="152" spans="1:10">
      <c r="A152" s="632">
        <v>14424</v>
      </c>
      <c r="B152" s="632" t="s">
        <v>10</v>
      </c>
      <c r="C152" s="632" t="s">
        <v>10</v>
      </c>
      <c r="D152" s="632" t="s">
        <v>125</v>
      </c>
      <c r="E152" s="633">
        <v>43426.359502314815</v>
      </c>
      <c r="F152" s="438">
        <v>43426.359502314815</v>
      </c>
      <c r="G152" s="634">
        <v>0.35902777777777778</v>
      </c>
      <c r="H152" s="688">
        <v>10.95</v>
      </c>
      <c r="I152" s="686">
        <v>8</v>
      </c>
      <c r="J152" s="688" t="s">
        <v>115</v>
      </c>
    </row>
    <row r="153" spans="1:10">
      <c r="A153" s="632">
        <v>14445</v>
      </c>
      <c r="B153" s="632" t="s">
        <v>10</v>
      </c>
      <c r="C153" s="632" t="s">
        <v>10</v>
      </c>
      <c r="D153" s="632" t="s">
        <v>126</v>
      </c>
      <c r="E153" s="633">
        <v>43426.815625000003</v>
      </c>
      <c r="F153" s="438">
        <v>43426.815625000003</v>
      </c>
      <c r="G153" s="634">
        <v>0.81527777777777777</v>
      </c>
      <c r="H153" s="688" t="s">
        <v>115</v>
      </c>
      <c r="I153" s="686" t="s">
        <v>115</v>
      </c>
      <c r="J153" s="688" t="s">
        <v>115</v>
      </c>
    </row>
    <row r="154" spans="1:10">
      <c r="A154" s="632">
        <v>14449</v>
      </c>
      <c r="B154" s="632" t="s">
        <v>10</v>
      </c>
      <c r="C154" s="632" t="s">
        <v>10</v>
      </c>
      <c r="D154" s="632" t="s">
        <v>125</v>
      </c>
      <c r="E154" s="633">
        <v>43427.35359953704</v>
      </c>
      <c r="F154" s="438">
        <v>43427.35359953704</v>
      </c>
      <c r="G154" s="634">
        <v>0.35347222222222219</v>
      </c>
      <c r="H154" s="688">
        <v>10.266999999999999</v>
      </c>
      <c r="I154" s="686">
        <v>8</v>
      </c>
      <c r="J154" s="688" t="s">
        <v>115</v>
      </c>
    </row>
    <row r="155" spans="1:10">
      <c r="A155" s="632">
        <v>14476</v>
      </c>
      <c r="B155" s="632" t="s">
        <v>10</v>
      </c>
      <c r="C155" s="632" t="s">
        <v>10</v>
      </c>
      <c r="D155" s="632" t="s">
        <v>126</v>
      </c>
      <c r="E155" s="633">
        <v>43427.781354166669</v>
      </c>
      <c r="F155" s="438">
        <v>43427.781354166669</v>
      </c>
      <c r="G155" s="634">
        <v>0.78125</v>
      </c>
      <c r="H155" s="688" t="s">
        <v>115</v>
      </c>
      <c r="I155" s="686" t="s">
        <v>115</v>
      </c>
      <c r="J155" s="688" t="s">
        <v>115</v>
      </c>
    </row>
    <row r="156" spans="1:10">
      <c r="A156" s="632">
        <v>14484</v>
      </c>
      <c r="B156" s="632" t="s">
        <v>10</v>
      </c>
      <c r="C156" s="632" t="s">
        <v>10</v>
      </c>
      <c r="D156" s="632" t="s">
        <v>125</v>
      </c>
      <c r="E156" s="633">
        <v>43430.362233796295</v>
      </c>
      <c r="F156" s="438">
        <v>43430.362233796295</v>
      </c>
      <c r="G156" s="634">
        <v>0.36180555555555555</v>
      </c>
      <c r="H156" s="688">
        <v>11.067</v>
      </c>
      <c r="I156" s="686">
        <v>8</v>
      </c>
      <c r="J156" s="688" t="s">
        <v>115</v>
      </c>
    </row>
    <row r="157" spans="1:10">
      <c r="A157" s="632">
        <v>14503</v>
      </c>
      <c r="B157" s="632" t="s">
        <v>10</v>
      </c>
      <c r="C157" s="632" t="s">
        <v>10</v>
      </c>
      <c r="D157" s="632" t="s">
        <v>126</v>
      </c>
      <c r="E157" s="633">
        <v>43430.82303240741</v>
      </c>
      <c r="F157" s="438">
        <v>43430.82303240741</v>
      </c>
      <c r="G157" s="634">
        <v>0.82291666666666663</v>
      </c>
      <c r="H157" s="688" t="s">
        <v>115</v>
      </c>
      <c r="I157" s="686" t="s">
        <v>115</v>
      </c>
      <c r="J157" s="688" t="s">
        <v>115</v>
      </c>
    </row>
    <row r="158" spans="1:10">
      <c r="A158" s="632">
        <v>14507</v>
      </c>
      <c r="B158" s="632" t="s">
        <v>10</v>
      </c>
      <c r="C158" s="632" t="s">
        <v>10</v>
      </c>
      <c r="D158" s="632" t="s">
        <v>125</v>
      </c>
      <c r="E158" s="633">
        <v>43431.35765046296</v>
      </c>
      <c r="F158" s="438">
        <v>43431.35765046296</v>
      </c>
      <c r="G158" s="634">
        <v>0.3576388888888889</v>
      </c>
      <c r="H158" s="688">
        <v>10.532999999999999</v>
      </c>
      <c r="I158" s="686">
        <v>8</v>
      </c>
      <c r="J158" s="688" t="s">
        <v>115</v>
      </c>
    </row>
    <row r="159" spans="1:10">
      <c r="A159" s="632">
        <v>14530</v>
      </c>
      <c r="B159" s="632" t="s">
        <v>10</v>
      </c>
      <c r="C159" s="632" t="s">
        <v>10</v>
      </c>
      <c r="D159" s="632" t="s">
        <v>126</v>
      </c>
      <c r="E159" s="633">
        <v>43431.796724537038</v>
      </c>
      <c r="F159" s="438">
        <v>43431.796724537038</v>
      </c>
      <c r="G159" s="634">
        <v>0.79652777777777783</v>
      </c>
      <c r="H159" s="688" t="s">
        <v>115</v>
      </c>
      <c r="I159" s="686" t="s">
        <v>115</v>
      </c>
      <c r="J159" s="688" t="s">
        <v>115</v>
      </c>
    </row>
    <row r="160" spans="1:10">
      <c r="A160" s="632">
        <v>14536</v>
      </c>
      <c r="B160" s="632" t="s">
        <v>10</v>
      </c>
      <c r="C160" s="632" t="s">
        <v>10</v>
      </c>
      <c r="D160" s="632" t="s">
        <v>125</v>
      </c>
      <c r="E160" s="633">
        <v>43432.348460648151</v>
      </c>
      <c r="F160" s="438">
        <v>43432.348460648151</v>
      </c>
      <c r="G160" s="634">
        <v>0.34791666666666665</v>
      </c>
      <c r="H160" s="688">
        <v>3.9169999999999998</v>
      </c>
      <c r="I160" s="686">
        <v>2.4169999999999998</v>
      </c>
      <c r="J160" s="688">
        <v>5.5830000000000002</v>
      </c>
    </row>
    <row r="161" spans="1:14">
      <c r="A161" s="632">
        <v>14544</v>
      </c>
      <c r="B161" s="632" t="s">
        <v>10</v>
      </c>
      <c r="C161" s="632" t="s">
        <v>10</v>
      </c>
      <c r="D161" s="632" t="s">
        <v>126</v>
      </c>
      <c r="E161" s="633">
        <v>43432.511192129627</v>
      </c>
      <c r="F161" s="438">
        <v>43432.511192129627</v>
      </c>
      <c r="G161" s="634">
        <v>0.51111111111111118</v>
      </c>
      <c r="H161" s="688" t="s">
        <v>115</v>
      </c>
      <c r="I161" s="686" t="s">
        <v>115</v>
      </c>
      <c r="J161" s="688" t="s">
        <v>115</v>
      </c>
    </row>
    <row r="162" spans="1:14">
      <c r="A162" s="632">
        <v>14571</v>
      </c>
      <c r="B162" s="632" t="s">
        <v>10</v>
      </c>
      <c r="C162" s="632" t="s">
        <v>10</v>
      </c>
      <c r="D162" s="632" t="s">
        <v>125</v>
      </c>
      <c r="E162" s="633">
        <v>43433.360150462962</v>
      </c>
      <c r="F162" s="438">
        <v>43433.360150462962</v>
      </c>
      <c r="G162" s="634">
        <v>0.35972222222222222</v>
      </c>
      <c r="H162" s="688">
        <v>11.016999999999999</v>
      </c>
      <c r="I162" s="686">
        <v>8</v>
      </c>
      <c r="J162" s="688" t="s">
        <v>115</v>
      </c>
    </row>
    <row r="163" spans="1:14">
      <c r="A163" s="632">
        <v>14593</v>
      </c>
      <c r="B163" s="632" t="s">
        <v>10</v>
      </c>
      <c r="C163" s="632" t="s">
        <v>10</v>
      </c>
      <c r="D163" s="632" t="s">
        <v>126</v>
      </c>
      <c r="E163" s="633">
        <v>43433.818969907406</v>
      </c>
      <c r="F163" s="438">
        <v>43433.818969907406</v>
      </c>
      <c r="G163" s="634">
        <v>0.81874999999999998</v>
      </c>
      <c r="H163" s="688" t="s">
        <v>115</v>
      </c>
      <c r="I163" s="686" t="s">
        <v>115</v>
      </c>
      <c r="J163" s="688" t="s">
        <v>115</v>
      </c>
    </row>
    <row r="164" spans="1:14">
      <c r="A164" s="632">
        <v>14598</v>
      </c>
      <c r="B164" s="632" t="s">
        <v>10</v>
      </c>
      <c r="C164" s="632" t="s">
        <v>10</v>
      </c>
      <c r="D164" s="632" t="s">
        <v>125</v>
      </c>
      <c r="E164" s="633">
        <v>43434.355381944442</v>
      </c>
      <c r="F164" s="438">
        <v>43434.355381944442</v>
      </c>
      <c r="G164" s="634">
        <v>0.35486111111111113</v>
      </c>
      <c r="H164" s="688">
        <v>10.516999999999999</v>
      </c>
      <c r="I164" s="686">
        <v>8</v>
      </c>
      <c r="J164" s="688" t="s">
        <v>115</v>
      </c>
    </row>
    <row r="165" spans="1:14">
      <c r="A165" s="632">
        <v>14622</v>
      </c>
      <c r="B165" s="632" t="s">
        <v>10</v>
      </c>
      <c r="C165" s="632" t="s">
        <v>10</v>
      </c>
      <c r="D165" s="632" t="s">
        <v>126</v>
      </c>
      <c r="E165" s="633">
        <v>43434.793356481481</v>
      </c>
      <c r="F165" s="438">
        <v>43434.793356481481</v>
      </c>
      <c r="G165" s="634">
        <v>0.79305555555555562</v>
      </c>
      <c r="H165" s="688" t="s">
        <v>115</v>
      </c>
      <c r="I165" s="686" t="s">
        <v>115</v>
      </c>
      <c r="J165" s="688" t="s">
        <v>115</v>
      </c>
    </row>
    <row r="166" spans="1:14">
      <c r="A166" s="632">
        <v>14059</v>
      </c>
      <c r="B166" s="632" t="s">
        <v>108</v>
      </c>
      <c r="C166" s="632" t="s">
        <v>108</v>
      </c>
      <c r="D166" s="632" t="s">
        <v>125</v>
      </c>
      <c r="E166" s="633">
        <v>43405.361898148149</v>
      </c>
      <c r="F166" s="438">
        <v>43405.361898148149</v>
      </c>
      <c r="G166" s="634">
        <v>0.36180555555555555</v>
      </c>
      <c r="H166" s="688">
        <v>9.8000000000000007</v>
      </c>
      <c r="I166" s="686">
        <v>8</v>
      </c>
      <c r="J166" s="688" t="s">
        <v>115</v>
      </c>
    </row>
    <row r="167" spans="1:14">
      <c r="A167" s="632">
        <v>14068</v>
      </c>
      <c r="B167" s="632" t="s">
        <v>109</v>
      </c>
      <c r="C167" s="632" t="s">
        <v>108</v>
      </c>
      <c r="D167" s="632" t="s">
        <v>126</v>
      </c>
      <c r="E167" s="633">
        <v>43405.770543981482</v>
      </c>
      <c r="F167" s="438">
        <v>43405.770543981482</v>
      </c>
      <c r="G167" s="634">
        <v>0.77013888888888893</v>
      </c>
      <c r="H167" s="688" t="s">
        <v>115</v>
      </c>
      <c r="I167" s="686" t="s">
        <v>115</v>
      </c>
      <c r="J167" s="688" t="s">
        <v>115</v>
      </c>
    </row>
    <row r="168" spans="1:14">
      <c r="A168" s="632">
        <v>14077</v>
      </c>
      <c r="B168" s="632" t="s">
        <v>108</v>
      </c>
      <c r="C168" s="632" t="s">
        <v>108</v>
      </c>
      <c r="D168" s="632" t="s">
        <v>125</v>
      </c>
      <c r="E168" s="633">
        <v>43406.36341435185</v>
      </c>
      <c r="F168" s="438">
        <v>43406.36341435185</v>
      </c>
      <c r="G168" s="634">
        <v>0.36319444444444443</v>
      </c>
      <c r="H168" s="688">
        <v>9.7669999999999995</v>
      </c>
      <c r="I168" s="686">
        <v>8</v>
      </c>
      <c r="J168" s="688" t="s">
        <v>115</v>
      </c>
    </row>
    <row r="169" spans="1:14">
      <c r="A169" s="632">
        <v>14087</v>
      </c>
      <c r="B169" s="632" t="s">
        <v>109</v>
      </c>
      <c r="C169" s="632" t="s">
        <v>108</v>
      </c>
      <c r="D169" s="632" t="s">
        <v>126</v>
      </c>
      <c r="E169" s="633">
        <v>43406.770636574074</v>
      </c>
      <c r="F169" s="438">
        <v>43406.770636574074</v>
      </c>
      <c r="G169" s="634">
        <v>0.77013888888888893</v>
      </c>
      <c r="H169" s="688" t="s">
        <v>115</v>
      </c>
      <c r="I169" s="686" t="s">
        <v>115</v>
      </c>
      <c r="J169" s="688" t="s">
        <v>115</v>
      </c>
    </row>
    <row r="170" spans="1:14">
      <c r="A170" s="632">
        <v>14088</v>
      </c>
      <c r="B170" s="632" t="s">
        <v>109</v>
      </c>
      <c r="C170" s="632" t="s">
        <v>108</v>
      </c>
      <c r="D170" s="632" t="s">
        <v>127</v>
      </c>
      <c r="E170" s="633">
        <v>43406.77065972222</v>
      </c>
      <c r="F170" s="438">
        <v>43406.77065972222</v>
      </c>
      <c r="G170" s="634">
        <v>0.77013888888888893</v>
      </c>
      <c r="H170" s="688" t="s">
        <v>115</v>
      </c>
      <c r="I170" s="686" t="s">
        <v>115</v>
      </c>
      <c r="J170" s="688" t="s">
        <v>115</v>
      </c>
      <c r="K170" s="688">
        <v>0.23300000000000001</v>
      </c>
      <c r="M170" s="688">
        <v>0.23300000000000001</v>
      </c>
      <c r="N170" s="688">
        <v>0</v>
      </c>
    </row>
    <row r="171" spans="1:14">
      <c r="A171" s="632">
        <v>14095</v>
      </c>
      <c r="B171" s="632" t="s">
        <v>109</v>
      </c>
      <c r="C171" s="632" t="s">
        <v>108</v>
      </c>
      <c r="D171" s="632" t="s">
        <v>128</v>
      </c>
      <c r="E171" s="633">
        <v>43406.780092592591</v>
      </c>
      <c r="F171" s="438">
        <v>43406.780092592591</v>
      </c>
      <c r="G171" s="634">
        <v>0.77986111111111101</v>
      </c>
      <c r="H171" s="688" t="s">
        <v>115</v>
      </c>
      <c r="I171" s="686" t="s">
        <v>115</v>
      </c>
      <c r="J171" s="688" t="s">
        <v>115</v>
      </c>
    </row>
    <row r="172" spans="1:14">
      <c r="A172" s="632">
        <v>14102</v>
      </c>
      <c r="B172" s="632" t="s">
        <v>108</v>
      </c>
      <c r="C172" s="632" t="s">
        <v>108</v>
      </c>
      <c r="D172" s="632" t="s">
        <v>125</v>
      </c>
      <c r="E172" s="633">
        <v>43409.359456018516</v>
      </c>
      <c r="F172" s="438">
        <v>43409.359456018516</v>
      </c>
      <c r="G172" s="634">
        <v>0.35902777777777778</v>
      </c>
      <c r="H172" s="688">
        <v>9.6</v>
      </c>
      <c r="I172" s="686">
        <v>8</v>
      </c>
      <c r="J172" s="688" t="s">
        <v>115</v>
      </c>
    </row>
    <row r="173" spans="1:14">
      <c r="A173" s="632">
        <v>14109</v>
      </c>
      <c r="B173" s="632" t="s">
        <v>108</v>
      </c>
      <c r="C173" s="632" t="s">
        <v>108</v>
      </c>
      <c r="D173" s="632" t="s">
        <v>126</v>
      </c>
      <c r="E173" s="633">
        <v>43409.759247685186</v>
      </c>
      <c r="F173" s="438">
        <v>43409.759247685186</v>
      </c>
      <c r="G173" s="634">
        <v>0.75902777777777775</v>
      </c>
      <c r="H173" s="688" t="s">
        <v>115</v>
      </c>
      <c r="I173" s="686" t="s">
        <v>115</v>
      </c>
      <c r="J173" s="688" t="s">
        <v>115</v>
      </c>
    </row>
    <row r="174" spans="1:14">
      <c r="A174" s="632">
        <v>14131</v>
      </c>
      <c r="B174" s="632" t="s">
        <v>108</v>
      </c>
      <c r="C174" s="632" t="s">
        <v>108</v>
      </c>
      <c r="D174" s="632" t="s">
        <v>125</v>
      </c>
      <c r="E174" s="633">
        <v>43410.364259259259</v>
      </c>
      <c r="F174" s="438">
        <v>43410.364259259259</v>
      </c>
      <c r="G174" s="634">
        <v>0.36388888888888887</v>
      </c>
      <c r="H174" s="688">
        <v>9.6829999999999998</v>
      </c>
      <c r="I174" s="686">
        <v>8</v>
      </c>
      <c r="J174" s="688" t="s">
        <v>115</v>
      </c>
    </row>
    <row r="175" spans="1:14">
      <c r="A175" s="632">
        <v>14134</v>
      </c>
      <c r="B175" s="632" t="s">
        <v>109</v>
      </c>
      <c r="C175" s="632" t="s">
        <v>108</v>
      </c>
      <c r="D175" s="632" t="s">
        <v>126</v>
      </c>
      <c r="E175" s="633">
        <v>43410.767442129632</v>
      </c>
      <c r="F175" s="438">
        <v>43410.767442129632</v>
      </c>
      <c r="G175" s="634">
        <v>0.76736111111111116</v>
      </c>
      <c r="H175" s="688" t="s">
        <v>115</v>
      </c>
      <c r="I175" s="686" t="s">
        <v>115</v>
      </c>
      <c r="J175" s="688" t="s">
        <v>115</v>
      </c>
    </row>
    <row r="176" spans="1:14">
      <c r="A176" s="632">
        <v>14135</v>
      </c>
      <c r="B176" s="632" t="s">
        <v>109</v>
      </c>
      <c r="C176" s="632" t="s">
        <v>108</v>
      </c>
      <c r="D176" s="632" t="s">
        <v>127</v>
      </c>
      <c r="E176" s="633">
        <v>43410.768969907411</v>
      </c>
      <c r="F176" s="438">
        <v>43410.768969907411</v>
      </c>
      <c r="G176" s="634">
        <v>0.76874999999999993</v>
      </c>
      <c r="H176" s="688" t="s">
        <v>115</v>
      </c>
      <c r="I176" s="686" t="s">
        <v>115</v>
      </c>
      <c r="J176" s="688" t="s">
        <v>115</v>
      </c>
      <c r="K176" s="688">
        <v>1.0329999999999999</v>
      </c>
      <c r="M176" s="688">
        <v>1.0329999999999999</v>
      </c>
      <c r="N176" s="688">
        <v>0</v>
      </c>
    </row>
    <row r="177" spans="1:14">
      <c r="A177" s="632">
        <v>14144</v>
      </c>
      <c r="B177" s="632" t="s">
        <v>109</v>
      </c>
      <c r="C177" s="632" t="s">
        <v>108</v>
      </c>
      <c r="D177" s="632" t="s">
        <v>128</v>
      </c>
      <c r="E177" s="633">
        <v>43410.814421296294</v>
      </c>
      <c r="F177" s="438">
        <v>43410.814421296294</v>
      </c>
      <c r="G177" s="634">
        <v>0.81388888888888899</v>
      </c>
      <c r="H177" s="688" t="s">
        <v>115</v>
      </c>
      <c r="I177" s="686" t="s">
        <v>115</v>
      </c>
      <c r="J177" s="688" t="s">
        <v>115</v>
      </c>
    </row>
    <row r="178" spans="1:14">
      <c r="A178" s="632">
        <v>14150</v>
      </c>
      <c r="B178" s="632" t="s">
        <v>109</v>
      </c>
      <c r="C178" s="632" t="s">
        <v>108</v>
      </c>
      <c r="D178" s="632" t="s">
        <v>125</v>
      </c>
      <c r="E178" s="633">
        <v>43411.362141203703</v>
      </c>
      <c r="F178" s="438">
        <v>43411.362141203703</v>
      </c>
      <c r="G178" s="634">
        <v>0.36180555555555555</v>
      </c>
      <c r="H178" s="688">
        <v>9.5329999999999995</v>
      </c>
      <c r="I178" s="686">
        <v>8</v>
      </c>
      <c r="J178" s="688" t="s">
        <v>115</v>
      </c>
    </row>
    <row r="179" spans="1:14">
      <c r="A179" s="632">
        <v>14153</v>
      </c>
      <c r="B179" s="632" t="s">
        <v>108</v>
      </c>
      <c r="C179" s="632" t="s">
        <v>108</v>
      </c>
      <c r="D179" s="632" t="s">
        <v>126</v>
      </c>
      <c r="E179" s="633">
        <v>43411.759652777779</v>
      </c>
      <c r="F179" s="438">
        <v>43411.759652777779</v>
      </c>
      <c r="G179" s="634">
        <v>0.75902777777777775</v>
      </c>
      <c r="H179" s="688" t="s">
        <v>115</v>
      </c>
      <c r="I179" s="686" t="s">
        <v>115</v>
      </c>
      <c r="J179" s="688" t="s">
        <v>115</v>
      </c>
    </row>
    <row r="180" spans="1:14">
      <c r="A180" s="632">
        <v>14168</v>
      </c>
      <c r="B180" s="632" t="s">
        <v>145</v>
      </c>
      <c r="C180" s="632" t="s">
        <v>108</v>
      </c>
      <c r="D180" s="632" t="s">
        <v>125</v>
      </c>
      <c r="E180" s="633">
        <v>43412.362361111111</v>
      </c>
      <c r="F180" s="438">
        <v>43412.362361111111</v>
      </c>
      <c r="G180" s="634">
        <v>0.36180555555555555</v>
      </c>
      <c r="H180" s="688">
        <v>9.7330000000000005</v>
      </c>
      <c r="I180" s="686">
        <v>8</v>
      </c>
      <c r="J180" s="688" t="s">
        <v>115</v>
      </c>
    </row>
    <row r="181" spans="1:14">
      <c r="A181" s="632">
        <v>14175</v>
      </c>
      <c r="B181" s="632" t="s">
        <v>108</v>
      </c>
      <c r="C181" s="632" t="s">
        <v>108</v>
      </c>
      <c r="D181" s="632" t="s">
        <v>126</v>
      </c>
      <c r="E181" s="633">
        <v>43412.767777777779</v>
      </c>
      <c r="F181" s="438">
        <v>43412.767777777779</v>
      </c>
      <c r="G181" s="634">
        <v>0.76736111111111116</v>
      </c>
      <c r="H181" s="688" t="s">
        <v>115</v>
      </c>
      <c r="I181" s="686" t="s">
        <v>115</v>
      </c>
      <c r="J181" s="688" t="s">
        <v>115</v>
      </c>
    </row>
    <row r="182" spans="1:14">
      <c r="A182" s="632">
        <v>14195</v>
      </c>
      <c r="B182" s="632" t="s">
        <v>109</v>
      </c>
      <c r="C182" s="632" t="s">
        <v>108</v>
      </c>
      <c r="D182" s="632" t="s">
        <v>125</v>
      </c>
      <c r="E182" s="633">
        <v>43413.363564814812</v>
      </c>
      <c r="F182" s="438">
        <v>43413.363564814812</v>
      </c>
      <c r="G182" s="634">
        <v>0.36319444444444443</v>
      </c>
      <c r="H182" s="688">
        <v>9.8330000000000002</v>
      </c>
      <c r="I182" s="686">
        <v>8</v>
      </c>
      <c r="J182" s="688" t="s">
        <v>115</v>
      </c>
    </row>
    <row r="183" spans="1:14">
      <c r="A183" s="632">
        <v>14206</v>
      </c>
      <c r="B183" s="632" t="s">
        <v>109</v>
      </c>
      <c r="C183" s="632" t="s">
        <v>108</v>
      </c>
      <c r="D183" s="632" t="s">
        <v>126</v>
      </c>
      <c r="E183" s="633">
        <v>43413.773541666669</v>
      </c>
      <c r="F183" s="438">
        <v>43413.773541666669</v>
      </c>
      <c r="G183" s="634">
        <v>0.7729166666666667</v>
      </c>
      <c r="H183" s="688" t="s">
        <v>115</v>
      </c>
      <c r="I183" s="686" t="s">
        <v>115</v>
      </c>
      <c r="J183" s="688" t="s">
        <v>115</v>
      </c>
    </row>
    <row r="184" spans="1:14">
      <c r="A184" s="632">
        <v>14216</v>
      </c>
      <c r="B184" s="632" t="s">
        <v>108</v>
      </c>
      <c r="C184" s="632" t="s">
        <v>108</v>
      </c>
      <c r="D184" s="632" t="s">
        <v>125</v>
      </c>
      <c r="E184" s="633">
        <v>43416.361504629633</v>
      </c>
      <c r="F184" s="438">
        <v>43416.361504629633</v>
      </c>
      <c r="G184" s="634">
        <v>0.3611111111111111</v>
      </c>
      <c r="H184" s="688">
        <v>9.6829999999999998</v>
      </c>
      <c r="I184" s="686">
        <v>8</v>
      </c>
      <c r="J184" s="688" t="s">
        <v>115</v>
      </c>
    </row>
    <row r="185" spans="1:14">
      <c r="A185" s="632">
        <v>14222</v>
      </c>
      <c r="B185" s="632" t="s">
        <v>108</v>
      </c>
      <c r="C185" s="632" t="s">
        <v>108</v>
      </c>
      <c r="D185" s="632" t="s">
        <v>126</v>
      </c>
      <c r="E185" s="633">
        <v>43416.765127314815</v>
      </c>
      <c r="F185" s="438">
        <v>43416.765127314815</v>
      </c>
      <c r="G185" s="634">
        <v>0.76458333333333339</v>
      </c>
      <c r="H185" s="688" t="s">
        <v>115</v>
      </c>
      <c r="I185" s="686" t="s">
        <v>115</v>
      </c>
      <c r="J185" s="688" t="s">
        <v>115</v>
      </c>
    </row>
    <row r="186" spans="1:14">
      <c r="A186" s="632">
        <v>14239</v>
      </c>
      <c r="B186" s="632" t="s">
        <v>108</v>
      </c>
      <c r="C186" s="632" t="s">
        <v>108</v>
      </c>
      <c r="D186" s="632" t="s">
        <v>125</v>
      </c>
      <c r="E186" s="633">
        <v>43417.361944444441</v>
      </c>
      <c r="F186" s="438">
        <v>43417.361944444441</v>
      </c>
      <c r="G186" s="634">
        <v>0.36180555555555555</v>
      </c>
      <c r="H186" s="688">
        <v>9.6170000000000009</v>
      </c>
      <c r="I186" s="686">
        <v>8</v>
      </c>
      <c r="J186" s="688" t="s">
        <v>115</v>
      </c>
    </row>
    <row r="187" spans="1:14">
      <c r="A187" s="632">
        <v>14245</v>
      </c>
      <c r="B187" s="632" t="s">
        <v>108</v>
      </c>
      <c r="C187" s="632" t="s">
        <v>108</v>
      </c>
      <c r="D187" s="632" t="s">
        <v>126</v>
      </c>
      <c r="E187" s="633">
        <v>43417.762743055559</v>
      </c>
      <c r="F187" s="438">
        <v>43417.762743055559</v>
      </c>
      <c r="G187" s="634">
        <v>0.76250000000000007</v>
      </c>
      <c r="H187" s="688" t="s">
        <v>115</v>
      </c>
      <c r="I187" s="686" t="s">
        <v>115</v>
      </c>
      <c r="J187" s="688" t="s">
        <v>115</v>
      </c>
    </row>
    <row r="188" spans="1:14">
      <c r="A188" s="632">
        <v>14270</v>
      </c>
      <c r="B188" s="632" t="s">
        <v>108</v>
      </c>
      <c r="C188" s="632" t="s">
        <v>108</v>
      </c>
      <c r="D188" s="632" t="s">
        <v>125</v>
      </c>
      <c r="E188" s="633">
        <v>43418.362245370372</v>
      </c>
      <c r="F188" s="438">
        <v>43418.362245370372</v>
      </c>
      <c r="G188" s="634">
        <v>0.36180555555555555</v>
      </c>
      <c r="H188" s="688">
        <v>9.65</v>
      </c>
      <c r="I188" s="686">
        <v>8</v>
      </c>
      <c r="J188" s="688" t="s">
        <v>115</v>
      </c>
    </row>
    <row r="189" spans="1:14">
      <c r="A189" s="632">
        <v>14276</v>
      </c>
      <c r="B189" s="632" t="s">
        <v>109</v>
      </c>
      <c r="C189" s="632" t="s">
        <v>108</v>
      </c>
      <c r="D189" s="632" t="s">
        <v>126</v>
      </c>
      <c r="E189" s="633">
        <v>43418.764513888891</v>
      </c>
      <c r="F189" s="438">
        <v>43418.764513888891</v>
      </c>
      <c r="G189" s="634">
        <v>0.76388888888888884</v>
      </c>
      <c r="H189" s="688" t="s">
        <v>115</v>
      </c>
      <c r="I189" s="686" t="s">
        <v>115</v>
      </c>
      <c r="J189" s="688" t="s">
        <v>115</v>
      </c>
    </row>
    <row r="190" spans="1:14">
      <c r="A190" s="632">
        <v>14287</v>
      </c>
      <c r="B190" s="632" t="s">
        <v>108</v>
      </c>
      <c r="C190" s="632" t="s">
        <v>108</v>
      </c>
      <c r="D190" s="632" t="s">
        <v>125</v>
      </c>
      <c r="E190" s="633">
        <v>43419.361944444441</v>
      </c>
      <c r="F190" s="438">
        <v>43419.361944444441</v>
      </c>
      <c r="G190" s="634">
        <v>0.36180555555555555</v>
      </c>
      <c r="H190" s="688">
        <v>9.6999999999999993</v>
      </c>
      <c r="I190" s="686">
        <v>8</v>
      </c>
      <c r="J190" s="688" t="s">
        <v>115</v>
      </c>
    </row>
    <row r="191" spans="1:14">
      <c r="A191" s="632">
        <v>14294</v>
      </c>
      <c r="B191" s="632" t="s">
        <v>109</v>
      </c>
      <c r="C191" s="632" t="s">
        <v>108</v>
      </c>
      <c r="D191" s="632" t="s">
        <v>126</v>
      </c>
      <c r="E191" s="633">
        <v>43419.766597222224</v>
      </c>
      <c r="F191" s="438">
        <v>43419.766597222224</v>
      </c>
      <c r="G191" s="634">
        <v>0.76597222222222217</v>
      </c>
      <c r="H191" s="688" t="s">
        <v>115</v>
      </c>
      <c r="I191" s="686" t="s">
        <v>115</v>
      </c>
      <c r="J191" s="688" t="s">
        <v>115</v>
      </c>
    </row>
    <row r="192" spans="1:14">
      <c r="A192" s="632">
        <v>14295</v>
      </c>
      <c r="B192" s="632" t="s">
        <v>109</v>
      </c>
      <c r="C192" s="632" t="s">
        <v>108</v>
      </c>
      <c r="D192" s="632" t="s">
        <v>127</v>
      </c>
      <c r="E192" s="633">
        <v>43419.76666666667</v>
      </c>
      <c r="F192" s="438">
        <v>43419.76666666667</v>
      </c>
      <c r="G192" s="634">
        <v>0.76666666666666661</v>
      </c>
      <c r="H192" s="688" t="s">
        <v>115</v>
      </c>
      <c r="I192" s="686" t="s">
        <v>115</v>
      </c>
      <c r="J192" s="688" t="s">
        <v>115</v>
      </c>
      <c r="K192" s="688">
        <v>1</v>
      </c>
      <c r="M192" s="688">
        <v>1</v>
      </c>
      <c r="N192" s="688">
        <v>0</v>
      </c>
    </row>
    <row r="193" spans="1:14">
      <c r="A193" s="632">
        <v>14306</v>
      </c>
      <c r="B193" s="632" t="s">
        <v>109</v>
      </c>
      <c r="C193" s="632" t="s">
        <v>108</v>
      </c>
      <c r="D193" s="632" t="s">
        <v>128</v>
      </c>
      <c r="E193" s="633">
        <v>43419.812650462962</v>
      </c>
      <c r="F193" s="438">
        <v>43419.812650462962</v>
      </c>
      <c r="G193" s="634">
        <v>0.8125</v>
      </c>
      <c r="H193" s="688" t="s">
        <v>115</v>
      </c>
      <c r="I193" s="686" t="s">
        <v>115</v>
      </c>
      <c r="J193" s="688" t="s">
        <v>115</v>
      </c>
    </row>
    <row r="194" spans="1:14">
      <c r="A194" s="632">
        <v>14316</v>
      </c>
      <c r="B194" s="632" t="s">
        <v>108</v>
      </c>
      <c r="C194" s="632" t="s">
        <v>108</v>
      </c>
      <c r="D194" s="632" t="s">
        <v>125</v>
      </c>
      <c r="E194" s="633">
        <v>43420.353229166663</v>
      </c>
      <c r="F194" s="438">
        <v>43420.353229166663</v>
      </c>
      <c r="G194" s="634">
        <v>0.3527777777777778</v>
      </c>
      <c r="H194" s="688">
        <v>3.9670000000000001</v>
      </c>
      <c r="I194" s="686">
        <v>2.4670000000000001</v>
      </c>
      <c r="J194" s="688">
        <v>5.5329999999999995</v>
      </c>
    </row>
    <row r="195" spans="1:14">
      <c r="A195" s="632">
        <v>14324</v>
      </c>
      <c r="B195" s="632" t="s">
        <v>109</v>
      </c>
      <c r="C195" s="632" t="s">
        <v>108</v>
      </c>
      <c r="D195" s="632" t="s">
        <v>126</v>
      </c>
      <c r="E195" s="633">
        <v>43420.518182870372</v>
      </c>
      <c r="F195" s="438">
        <v>43420.518182870372</v>
      </c>
      <c r="G195" s="634">
        <v>0.5180555555555556</v>
      </c>
      <c r="H195" s="688" t="s">
        <v>115</v>
      </c>
      <c r="I195" s="686" t="s">
        <v>115</v>
      </c>
      <c r="J195" s="688" t="s">
        <v>115</v>
      </c>
    </row>
    <row r="196" spans="1:14">
      <c r="A196" s="632">
        <v>14344</v>
      </c>
      <c r="B196" s="632" t="s">
        <v>109</v>
      </c>
      <c r="C196" s="632" t="s">
        <v>108</v>
      </c>
      <c r="D196" s="632" t="s">
        <v>125</v>
      </c>
      <c r="E196" s="633">
        <v>43423.363912037035</v>
      </c>
      <c r="F196" s="438">
        <v>43423.363912037035</v>
      </c>
      <c r="G196" s="634">
        <v>0.36388888888888887</v>
      </c>
      <c r="H196" s="688">
        <v>9.6</v>
      </c>
      <c r="I196" s="686">
        <v>8</v>
      </c>
      <c r="J196" s="688" t="s">
        <v>115</v>
      </c>
    </row>
    <row r="197" spans="1:14">
      <c r="A197" s="632">
        <v>14352</v>
      </c>
      <c r="B197" s="632" t="s">
        <v>109</v>
      </c>
      <c r="C197" s="632" t="s">
        <v>108</v>
      </c>
      <c r="D197" s="632" t="s">
        <v>126</v>
      </c>
      <c r="E197" s="633">
        <v>43423.763935185183</v>
      </c>
      <c r="F197" s="438">
        <v>43423.763935185183</v>
      </c>
      <c r="G197" s="634">
        <v>0.76388888888888884</v>
      </c>
      <c r="H197" s="688" t="s">
        <v>115</v>
      </c>
      <c r="I197" s="686" t="s">
        <v>115</v>
      </c>
      <c r="J197" s="688" t="s">
        <v>115</v>
      </c>
    </row>
    <row r="198" spans="1:14">
      <c r="A198" s="632">
        <v>14368</v>
      </c>
      <c r="B198" s="632" t="s">
        <v>108</v>
      </c>
      <c r="C198" s="632" t="s">
        <v>108</v>
      </c>
      <c r="D198" s="632" t="s">
        <v>125</v>
      </c>
      <c r="E198" s="633">
        <v>43424.36215277778</v>
      </c>
      <c r="F198" s="438">
        <v>43424.36215277778</v>
      </c>
      <c r="G198" s="634">
        <v>0.36180555555555555</v>
      </c>
      <c r="H198" s="688">
        <v>9.5500000000000007</v>
      </c>
      <c r="I198" s="686">
        <v>8</v>
      </c>
      <c r="J198" s="688" t="s">
        <v>115</v>
      </c>
    </row>
    <row r="199" spans="1:14">
      <c r="A199" s="632">
        <v>14377</v>
      </c>
      <c r="B199" s="632" t="s">
        <v>108</v>
      </c>
      <c r="C199" s="632" t="s">
        <v>108</v>
      </c>
      <c r="D199" s="632" t="s">
        <v>126</v>
      </c>
      <c r="E199" s="633">
        <v>43424.760243055556</v>
      </c>
      <c r="F199" s="438">
        <v>43424.760243055556</v>
      </c>
      <c r="G199" s="634">
        <v>0.7597222222222223</v>
      </c>
      <c r="H199" s="688" t="s">
        <v>115</v>
      </c>
      <c r="I199" s="686" t="s">
        <v>115</v>
      </c>
      <c r="J199" s="688" t="s">
        <v>115</v>
      </c>
    </row>
    <row r="200" spans="1:14">
      <c r="A200" s="632">
        <v>14398</v>
      </c>
      <c r="B200" s="632" t="s">
        <v>108</v>
      </c>
      <c r="C200" s="632" t="s">
        <v>108</v>
      </c>
      <c r="D200" s="632" t="s">
        <v>125</v>
      </c>
      <c r="E200" s="633">
        <v>43425.36109953704</v>
      </c>
      <c r="F200" s="438">
        <v>43425.36109953704</v>
      </c>
      <c r="G200" s="634">
        <v>0.36041666666666666</v>
      </c>
      <c r="H200" s="688">
        <v>9.7669999999999995</v>
      </c>
      <c r="I200" s="686">
        <v>8</v>
      </c>
      <c r="J200" s="688" t="s">
        <v>115</v>
      </c>
    </row>
    <row r="201" spans="1:14">
      <c r="A201" s="632">
        <v>14403</v>
      </c>
      <c r="B201" s="632" t="s">
        <v>109</v>
      </c>
      <c r="C201" s="632" t="s">
        <v>108</v>
      </c>
      <c r="D201" s="632" t="s">
        <v>126</v>
      </c>
      <c r="E201" s="633">
        <v>43425.767361111109</v>
      </c>
      <c r="F201" s="438">
        <v>43425.767361111109</v>
      </c>
      <c r="G201" s="634">
        <v>0.76736111111111116</v>
      </c>
      <c r="H201" s="688" t="s">
        <v>115</v>
      </c>
      <c r="I201" s="686" t="s">
        <v>115</v>
      </c>
      <c r="J201" s="688" t="s">
        <v>115</v>
      </c>
    </row>
    <row r="202" spans="1:14">
      <c r="A202" s="632">
        <v>14404</v>
      </c>
      <c r="B202" s="632" t="s">
        <v>109</v>
      </c>
      <c r="C202" s="632" t="s">
        <v>108</v>
      </c>
      <c r="D202" s="632" t="s">
        <v>127</v>
      </c>
      <c r="E202" s="633">
        <v>43425.767372685186</v>
      </c>
      <c r="F202" s="438">
        <v>43425.767372685186</v>
      </c>
      <c r="G202" s="634">
        <v>0.76736111111111116</v>
      </c>
      <c r="H202" s="688" t="s">
        <v>115</v>
      </c>
      <c r="I202" s="686" t="s">
        <v>115</v>
      </c>
      <c r="J202" s="688" t="s">
        <v>115</v>
      </c>
      <c r="K202" s="688">
        <v>0.48299999999999998</v>
      </c>
      <c r="M202" s="688">
        <v>1.8660000000000001</v>
      </c>
      <c r="N202" s="688">
        <v>0</v>
      </c>
    </row>
    <row r="203" spans="1:14">
      <c r="A203" s="632">
        <v>14412</v>
      </c>
      <c r="B203" s="632" t="s">
        <v>109</v>
      </c>
      <c r="C203" s="632" t="s">
        <v>108</v>
      </c>
      <c r="D203" s="632" t="s">
        <v>128</v>
      </c>
      <c r="E203" s="633">
        <v>43425.790995370371</v>
      </c>
      <c r="F203" s="438">
        <v>43425.790995370371</v>
      </c>
      <c r="G203" s="634">
        <v>0.7909722222222223</v>
      </c>
      <c r="H203" s="688" t="s">
        <v>115</v>
      </c>
      <c r="I203" s="686" t="s">
        <v>115</v>
      </c>
      <c r="J203" s="688" t="s">
        <v>115</v>
      </c>
    </row>
    <row r="204" spans="1:14">
      <c r="A204" s="632">
        <v>14417</v>
      </c>
      <c r="B204" s="632" t="s">
        <v>109</v>
      </c>
      <c r="C204" s="632" t="s">
        <v>108</v>
      </c>
      <c r="D204" s="632" t="s">
        <v>127</v>
      </c>
      <c r="E204" s="633">
        <v>43425.831909722219</v>
      </c>
      <c r="F204" s="438">
        <v>43425.831909722219</v>
      </c>
      <c r="G204" s="634">
        <v>0.83124999999999993</v>
      </c>
      <c r="H204" s="688" t="s">
        <v>115</v>
      </c>
      <c r="I204" s="686" t="s">
        <v>115</v>
      </c>
      <c r="J204" s="688" t="s">
        <v>115</v>
      </c>
      <c r="K204" s="688">
        <v>1.383</v>
      </c>
    </row>
    <row r="205" spans="1:14">
      <c r="A205" s="632">
        <v>14418</v>
      </c>
      <c r="B205" s="632" t="s">
        <v>108</v>
      </c>
      <c r="C205" s="632" t="s">
        <v>108</v>
      </c>
      <c r="D205" s="632" t="s">
        <v>128</v>
      </c>
      <c r="E205" s="633">
        <v>43425.889560185184</v>
      </c>
      <c r="F205" s="438">
        <v>43425.889560185184</v>
      </c>
      <c r="G205" s="634">
        <v>0.88888888888888884</v>
      </c>
      <c r="H205" s="688" t="s">
        <v>115</v>
      </c>
      <c r="I205" s="686" t="s">
        <v>115</v>
      </c>
      <c r="J205" s="688" t="s">
        <v>115</v>
      </c>
    </row>
    <row r="206" spans="1:14">
      <c r="A206" s="632">
        <v>14427</v>
      </c>
      <c r="B206" s="632" t="s">
        <v>109</v>
      </c>
      <c r="C206" s="632" t="s">
        <v>108</v>
      </c>
      <c r="D206" s="632" t="s">
        <v>125</v>
      </c>
      <c r="E206" s="633">
        <v>43426.364629629628</v>
      </c>
      <c r="F206" s="438">
        <v>43426.364629629628</v>
      </c>
      <c r="G206" s="634">
        <v>0.36458333333333331</v>
      </c>
      <c r="H206" s="688">
        <v>9.5329999999999995</v>
      </c>
      <c r="I206" s="686">
        <v>8</v>
      </c>
      <c r="J206" s="688" t="s">
        <v>115</v>
      </c>
    </row>
    <row r="207" spans="1:14">
      <c r="A207" s="632">
        <v>14430</v>
      </c>
      <c r="B207" s="632" t="s">
        <v>108</v>
      </c>
      <c r="C207" s="632" t="s">
        <v>108</v>
      </c>
      <c r="D207" s="632" t="s">
        <v>126</v>
      </c>
      <c r="E207" s="633">
        <v>43426.76189814815</v>
      </c>
      <c r="F207" s="438">
        <v>43426.76189814815</v>
      </c>
      <c r="G207" s="634">
        <v>0.76180555555555562</v>
      </c>
      <c r="H207" s="688" t="s">
        <v>115</v>
      </c>
      <c r="I207" s="686" t="s">
        <v>115</v>
      </c>
      <c r="J207" s="688" t="s">
        <v>115</v>
      </c>
    </row>
    <row r="208" spans="1:14">
      <c r="A208" s="632">
        <v>14435</v>
      </c>
      <c r="B208" s="632" t="s">
        <v>108</v>
      </c>
      <c r="C208" s="632" t="s">
        <v>108</v>
      </c>
      <c r="D208" s="632" t="s">
        <v>127</v>
      </c>
      <c r="E208" s="633">
        <v>43426.769120370373</v>
      </c>
      <c r="F208" s="438">
        <v>43426.769120370373</v>
      </c>
      <c r="G208" s="634">
        <v>0.76874999999999993</v>
      </c>
      <c r="H208" s="688" t="s">
        <v>115</v>
      </c>
      <c r="I208" s="686" t="s">
        <v>115</v>
      </c>
      <c r="J208" s="688" t="s">
        <v>115</v>
      </c>
      <c r="K208" s="688">
        <v>0.217</v>
      </c>
      <c r="M208" s="688">
        <v>0.217</v>
      </c>
      <c r="N208" s="688">
        <v>0</v>
      </c>
    </row>
    <row r="209" spans="1:14">
      <c r="A209" s="632">
        <v>14442</v>
      </c>
      <c r="B209" s="632" t="s">
        <v>108</v>
      </c>
      <c r="C209" s="632" t="s">
        <v>108</v>
      </c>
      <c r="D209" s="632" t="s">
        <v>128</v>
      </c>
      <c r="E209" s="633">
        <v>43426.780312499999</v>
      </c>
      <c r="F209" s="438">
        <v>43426.780312499999</v>
      </c>
      <c r="G209" s="634">
        <v>0.77986111111111101</v>
      </c>
      <c r="H209" s="688" t="s">
        <v>115</v>
      </c>
      <c r="I209" s="686" t="s">
        <v>115</v>
      </c>
      <c r="J209" s="688" t="s">
        <v>115</v>
      </c>
    </row>
    <row r="210" spans="1:14">
      <c r="A210" s="632">
        <v>14459</v>
      </c>
      <c r="B210" s="632" t="s">
        <v>109</v>
      </c>
      <c r="C210" s="632" t="s">
        <v>108</v>
      </c>
      <c r="D210" s="632" t="s">
        <v>125</v>
      </c>
      <c r="E210" s="633">
        <v>43427.368263888886</v>
      </c>
      <c r="F210" s="438">
        <v>43427.368263888886</v>
      </c>
      <c r="G210" s="634">
        <v>0.36805555555555558</v>
      </c>
      <c r="H210" s="688">
        <v>9.7330000000000005</v>
      </c>
      <c r="I210" s="686">
        <v>8</v>
      </c>
      <c r="J210" s="688" t="s">
        <v>115</v>
      </c>
    </row>
    <row r="211" spans="1:14">
      <c r="A211" s="632">
        <v>14473</v>
      </c>
      <c r="B211" s="632" t="s">
        <v>109</v>
      </c>
      <c r="C211" s="632" t="s">
        <v>108</v>
      </c>
      <c r="D211" s="632" t="s">
        <v>126</v>
      </c>
      <c r="E211" s="633">
        <v>43427.773923611108</v>
      </c>
      <c r="F211" s="438">
        <v>43427.773923611108</v>
      </c>
      <c r="G211" s="634">
        <v>0.77361111111111114</v>
      </c>
      <c r="H211" s="688" t="s">
        <v>115</v>
      </c>
      <c r="I211" s="686" t="s">
        <v>115</v>
      </c>
      <c r="J211" s="688" t="s">
        <v>115</v>
      </c>
    </row>
    <row r="212" spans="1:14">
      <c r="A212" s="632">
        <v>14483</v>
      </c>
      <c r="B212" s="632" t="s">
        <v>108</v>
      </c>
      <c r="C212" s="632" t="s">
        <v>108</v>
      </c>
      <c r="D212" s="632" t="s">
        <v>125</v>
      </c>
      <c r="E212" s="633">
        <v>43430.361261574071</v>
      </c>
      <c r="F212" s="438">
        <v>43430.361261574071</v>
      </c>
      <c r="G212" s="634">
        <v>0.3611111111111111</v>
      </c>
      <c r="H212" s="688">
        <v>9.6</v>
      </c>
      <c r="I212" s="686">
        <v>8</v>
      </c>
      <c r="J212" s="688" t="s">
        <v>115</v>
      </c>
    </row>
    <row r="213" spans="1:14">
      <c r="A213" s="632">
        <v>14492</v>
      </c>
      <c r="B213" s="632" t="s">
        <v>109</v>
      </c>
      <c r="C213" s="632" t="s">
        <v>108</v>
      </c>
      <c r="D213" s="632" t="s">
        <v>126</v>
      </c>
      <c r="E213" s="633">
        <v>43430.761238425926</v>
      </c>
      <c r="F213" s="438">
        <v>43430.761238425926</v>
      </c>
      <c r="G213" s="634">
        <v>0.76111111111111107</v>
      </c>
      <c r="H213" s="688" t="s">
        <v>115</v>
      </c>
      <c r="I213" s="686" t="s">
        <v>115</v>
      </c>
      <c r="J213" s="688" t="s">
        <v>115</v>
      </c>
    </row>
    <row r="214" spans="1:14">
      <c r="A214" s="632">
        <v>14511</v>
      </c>
      <c r="B214" s="632" t="s">
        <v>108</v>
      </c>
      <c r="C214" s="632" t="s">
        <v>108</v>
      </c>
      <c r="D214" s="632" t="s">
        <v>125</v>
      </c>
      <c r="E214" s="633">
        <v>43431.363240740742</v>
      </c>
      <c r="F214" s="438">
        <v>43431.363240740742</v>
      </c>
      <c r="G214" s="634">
        <v>0.36319444444444443</v>
      </c>
      <c r="H214" s="688">
        <v>9.6</v>
      </c>
      <c r="I214" s="686">
        <v>8</v>
      </c>
      <c r="J214" s="688" t="s">
        <v>115</v>
      </c>
    </row>
    <row r="215" spans="1:14">
      <c r="A215" s="632">
        <v>14517</v>
      </c>
      <c r="B215" s="632" t="s">
        <v>108</v>
      </c>
      <c r="C215" s="632" t="s">
        <v>108</v>
      </c>
      <c r="D215" s="632" t="s">
        <v>126</v>
      </c>
      <c r="E215" s="633">
        <v>43431.763506944444</v>
      </c>
      <c r="F215" s="438">
        <v>43431.763506944444</v>
      </c>
      <c r="G215" s="634">
        <v>0.7631944444444444</v>
      </c>
      <c r="H215" s="688" t="s">
        <v>115</v>
      </c>
      <c r="I215" s="686" t="s">
        <v>115</v>
      </c>
      <c r="J215" s="688" t="s">
        <v>115</v>
      </c>
    </row>
    <row r="216" spans="1:14">
      <c r="A216" s="632">
        <v>14518</v>
      </c>
      <c r="B216" s="632" t="s">
        <v>108</v>
      </c>
      <c r="C216" s="632" t="s">
        <v>108</v>
      </c>
      <c r="D216" s="632" t="s">
        <v>127</v>
      </c>
      <c r="E216" s="633">
        <v>43431.763518518521</v>
      </c>
      <c r="F216" s="438">
        <v>43431.763518518521</v>
      </c>
      <c r="G216" s="634">
        <v>0.7631944444444444</v>
      </c>
      <c r="H216" s="688" t="s">
        <v>115</v>
      </c>
      <c r="I216" s="686" t="s">
        <v>115</v>
      </c>
      <c r="J216" s="688" t="s">
        <v>115</v>
      </c>
      <c r="K216" s="688">
        <v>1.7</v>
      </c>
      <c r="M216" s="688">
        <v>1.7</v>
      </c>
      <c r="N216" s="688">
        <v>0</v>
      </c>
    </row>
    <row r="217" spans="1:14">
      <c r="A217" s="632">
        <v>14533</v>
      </c>
      <c r="B217" s="632" t="s">
        <v>109</v>
      </c>
      <c r="C217" s="632" t="s">
        <v>108</v>
      </c>
      <c r="D217" s="632" t="s">
        <v>128</v>
      </c>
      <c r="E217" s="633">
        <v>43431.842268518521</v>
      </c>
      <c r="F217" s="438">
        <v>43431.842268518521</v>
      </c>
      <c r="G217" s="634">
        <v>0.84166666666666667</v>
      </c>
      <c r="H217" s="688" t="s">
        <v>115</v>
      </c>
      <c r="I217" s="686" t="s">
        <v>115</v>
      </c>
      <c r="J217" s="688" t="s">
        <v>115</v>
      </c>
    </row>
    <row r="218" spans="1:14">
      <c r="A218" s="632">
        <v>14541</v>
      </c>
      <c r="B218" s="632" t="s">
        <v>108</v>
      </c>
      <c r="C218" s="632" t="s">
        <v>108</v>
      </c>
      <c r="D218" s="632" t="s">
        <v>125</v>
      </c>
      <c r="E218" s="633">
        <v>43432.359699074077</v>
      </c>
      <c r="F218" s="438">
        <v>43432.359699074077</v>
      </c>
      <c r="G218" s="634">
        <v>0.35902777777777778</v>
      </c>
      <c r="H218" s="688">
        <v>9.7170000000000005</v>
      </c>
      <c r="I218" s="686">
        <v>8</v>
      </c>
      <c r="J218" s="688" t="s">
        <v>115</v>
      </c>
    </row>
    <row r="219" spans="1:14">
      <c r="A219" s="632">
        <v>14550</v>
      </c>
      <c r="B219" s="632" t="s">
        <v>108</v>
      </c>
      <c r="C219" s="632" t="s">
        <v>108</v>
      </c>
      <c r="D219" s="632" t="s">
        <v>126</v>
      </c>
      <c r="E219" s="633">
        <v>43432.764479166668</v>
      </c>
      <c r="F219" s="438">
        <v>43432.764479166668</v>
      </c>
      <c r="G219" s="634">
        <v>0.76388888888888884</v>
      </c>
      <c r="H219" s="688" t="s">
        <v>115</v>
      </c>
      <c r="I219" s="686" t="s">
        <v>115</v>
      </c>
      <c r="J219" s="688" t="s">
        <v>115</v>
      </c>
    </row>
    <row r="220" spans="1:14">
      <c r="A220" s="632">
        <v>14553</v>
      </c>
      <c r="B220" s="632" t="s">
        <v>109</v>
      </c>
      <c r="C220" s="632" t="s">
        <v>108</v>
      </c>
      <c r="D220" s="632" t="s">
        <v>127</v>
      </c>
      <c r="E220" s="633">
        <v>43432.768726851849</v>
      </c>
      <c r="F220" s="438">
        <v>43432.768726851849</v>
      </c>
      <c r="G220" s="634">
        <v>0.7680555555555556</v>
      </c>
      <c r="H220" s="688" t="s">
        <v>115</v>
      </c>
      <c r="I220" s="686" t="s">
        <v>115</v>
      </c>
      <c r="J220" s="688" t="s">
        <v>115</v>
      </c>
      <c r="K220" s="688">
        <v>2.4500000000000002</v>
      </c>
      <c r="M220" s="688">
        <v>2</v>
      </c>
      <c r="N220" s="688">
        <v>0.45000000000000018</v>
      </c>
    </row>
    <row r="221" spans="1:14">
      <c r="A221" s="632">
        <v>14565</v>
      </c>
      <c r="B221" s="632" t="s">
        <v>109</v>
      </c>
      <c r="C221" s="632" t="s">
        <v>108</v>
      </c>
      <c r="D221" s="632" t="s">
        <v>128</v>
      </c>
      <c r="E221" s="633">
        <v>43432.872997685183</v>
      </c>
      <c r="F221" s="438">
        <v>43432.872997685183</v>
      </c>
      <c r="G221" s="634">
        <v>0.87291666666666667</v>
      </c>
      <c r="H221" s="688" t="s">
        <v>115</v>
      </c>
      <c r="I221" s="686" t="s">
        <v>115</v>
      </c>
      <c r="J221" s="688" t="s">
        <v>115</v>
      </c>
    </row>
    <row r="222" spans="1:14">
      <c r="A222" s="632">
        <v>14572</v>
      </c>
      <c r="B222" s="632" t="s">
        <v>108</v>
      </c>
      <c r="C222" s="632" t="s">
        <v>108</v>
      </c>
      <c r="D222" s="632" t="s">
        <v>125</v>
      </c>
      <c r="E222" s="633">
        <v>43433.360208333332</v>
      </c>
      <c r="F222" s="438">
        <v>43433.360208333332</v>
      </c>
      <c r="G222" s="634">
        <v>0.35972222222222222</v>
      </c>
      <c r="H222" s="688">
        <v>9.75</v>
      </c>
      <c r="I222" s="686">
        <v>8</v>
      </c>
      <c r="J222" s="688" t="s">
        <v>115</v>
      </c>
    </row>
    <row r="223" spans="1:14">
      <c r="A223" s="632">
        <v>14580</v>
      </c>
      <c r="B223" s="632" t="s">
        <v>109</v>
      </c>
      <c r="C223" s="632" t="s">
        <v>108</v>
      </c>
      <c r="D223" s="632" t="s">
        <v>126</v>
      </c>
      <c r="E223" s="633">
        <v>43433.766006944446</v>
      </c>
      <c r="F223" s="438">
        <v>43433.766006944446</v>
      </c>
      <c r="G223" s="634">
        <v>0.76597222222222217</v>
      </c>
      <c r="H223" s="688" t="s">
        <v>115</v>
      </c>
      <c r="I223" s="686" t="s">
        <v>115</v>
      </c>
      <c r="J223" s="688" t="s">
        <v>115</v>
      </c>
    </row>
    <row r="224" spans="1:14">
      <c r="A224" s="632">
        <v>14602</v>
      </c>
      <c r="B224" s="632" t="s">
        <v>108</v>
      </c>
      <c r="C224" s="632" t="s">
        <v>108</v>
      </c>
      <c r="D224" s="632" t="s">
        <v>125</v>
      </c>
      <c r="E224" s="633">
        <v>43434.361979166664</v>
      </c>
      <c r="F224" s="438">
        <v>43434.361979166664</v>
      </c>
      <c r="G224" s="634">
        <v>0.36180555555555555</v>
      </c>
      <c r="H224" s="688">
        <v>9.5670000000000002</v>
      </c>
      <c r="I224" s="686">
        <v>8</v>
      </c>
      <c r="J224" s="688" t="s">
        <v>115</v>
      </c>
    </row>
    <row r="225" spans="1:14">
      <c r="A225" s="632">
        <v>14608</v>
      </c>
      <c r="B225" s="632" t="s">
        <v>109</v>
      </c>
      <c r="C225" s="632" t="s">
        <v>108</v>
      </c>
      <c r="D225" s="632" t="s">
        <v>126</v>
      </c>
      <c r="E225" s="633">
        <v>43434.760821759257</v>
      </c>
      <c r="F225" s="438">
        <v>43434.760821759257</v>
      </c>
      <c r="G225" s="634">
        <v>0.76041666666666663</v>
      </c>
      <c r="H225" s="688" t="s">
        <v>115</v>
      </c>
      <c r="I225" s="686" t="s">
        <v>115</v>
      </c>
      <c r="J225" s="688" t="s">
        <v>115</v>
      </c>
    </row>
    <row r="226" spans="1:14">
      <c r="A226" s="632">
        <v>14609</v>
      </c>
      <c r="B226" s="632" t="s">
        <v>109</v>
      </c>
      <c r="C226" s="632" t="s">
        <v>108</v>
      </c>
      <c r="D226" s="632" t="s">
        <v>127</v>
      </c>
      <c r="E226" s="633">
        <v>43434.760844907411</v>
      </c>
      <c r="F226" s="438">
        <v>43434.760844907411</v>
      </c>
      <c r="G226" s="634">
        <v>0.76041666666666663</v>
      </c>
      <c r="H226" s="688" t="s">
        <v>115</v>
      </c>
      <c r="I226" s="686" t="s">
        <v>115</v>
      </c>
      <c r="J226" s="688" t="s">
        <v>115</v>
      </c>
      <c r="K226" s="688">
        <v>2.5</v>
      </c>
      <c r="M226" s="688">
        <v>2</v>
      </c>
      <c r="N226" s="688">
        <v>0.5</v>
      </c>
    </row>
    <row r="227" spans="1:14">
      <c r="A227" s="632">
        <v>14628</v>
      </c>
      <c r="B227" s="632" t="s">
        <v>109</v>
      </c>
      <c r="C227" s="632" t="s">
        <v>108</v>
      </c>
      <c r="D227" s="632" t="s">
        <v>128</v>
      </c>
      <c r="E227" s="633">
        <v>43434.865034722221</v>
      </c>
      <c r="F227" s="438">
        <v>43434.865034722221</v>
      </c>
      <c r="G227" s="634">
        <v>0.86458333333333337</v>
      </c>
      <c r="H227" s="688" t="s">
        <v>115</v>
      </c>
      <c r="I227" s="686" t="s">
        <v>115</v>
      </c>
      <c r="J227" s="688" t="s">
        <v>115</v>
      </c>
    </row>
    <row r="228" spans="1:14">
      <c r="A228" s="632">
        <v>14072</v>
      </c>
      <c r="B228" s="632" t="s">
        <v>147</v>
      </c>
      <c r="C228" s="632" t="s">
        <v>147</v>
      </c>
      <c r="D228" s="632" t="s">
        <v>125</v>
      </c>
      <c r="E228" s="633">
        <v>43406.350138888891</v>
      </c>
      <c r="F228" s="438">
        <v>43406.350138888891</v>
      </c>
      <c r="G228" s="634">
        <v>0.35000000000000003</v>
      </c>
      <c r="H228" s="688">
        <v>10.282999999999999</v>
      </c>
      <c r="I228" s="686">
        <v>8</v>
      </c>
      <c r="J228" s="688" t="s">
        <v>115</v>
      </c>
    </row>
    <row r="229" spans="1:14">
      <c r="A229" s="632">
        <v>14094</v>
      </c>
      <c r="B229" s="632" t="s">
        <v>147</v>
      </c>
      <c r="C229" s="632" t="s">
        <v>147</v>
      </c>
      <c r="D229" s="632" t="s">
        <v>126</v>
      </c>
      <c r="E229" s="633">
        <v>43406.778611111113</v>
      </c>
      <c r="F229" s="438">
        <v>43406.778611111113</v>
      </c>
      <c r="G229" s="634">
        <v>0.77847222222222223</v>
      </c>
      <c r="H229" s="688" t="s">
        <v>115</v>
      </c>
      <c r="I229" s="686" t="s">
        <v>115</v>
      </c>
      <c r="J229" s="688" t="s">
        <v>115</v>
      </c>
    </row>
    <row r="230" spans="1:14">
      <c r="A230" s="632">
        <v>14098</v>
      </c>
      <c r="B230" s="632" t="s">
        <v>147</v>
      </c>
      <c r="C230" s="632" t="s">
        <v>147</v>
      </c>
      <c r="D230" s="632" t="s">
        <v>125</v>
      </c>
      <c r="E230" s="633">
        <v>43409.348958333336</v>
      </c>
      <c r="F230" s="438">
        <v>43409.348958333336</v>
      </c>
      <c r="G230" s="634">
        <v>0.34861111111111115</v>
      </c>
      <c r="H230" s="688">
        <v>9.9670000000000005</v>
      </c>
      <c r="I230" s="686">
        <v>8</v>
      </c>
      <c r="J230" s="688" t="s">
        <v>115</v>
      </c>
    </row>
    <row r="231" spans="1:14">
      <c r="A231" s="632">
        <v>14111</v>
      </c>
      <c r="B231" s="632" t="s">
        <v>147</v>
      </c>
      <c r="C231" s="632" t="s">
        <v>147</v>
      </c>
      <c r="D231" s="632" t="s">
        <v>126</v>
      </c>
      <c r="E231" s="633">
        <v>43409.764085648145</v>
      </c>
      <c r="F231" s="438">
        <v>43409.764085648145</v>
      </c>
      <c r="G231" s="634">
        <v>0.76388888888888884</v>
      </c>
      <c r="H231" s="688" t="s">
        <v>115</v>
      </c>
      <c r="I231" s="686" t="s">
        <v>115</v>
      </c>
      <c r="J231" s="688" t="s">
        <v>115</v>
      </c>
    </row>
    <row r="232" spans="1:14">
      <c r="A232" s="632">
        <v>14127</v>
      </c>
      <c r="B232" s="632" t="s">
        <v>147</v>
      </c>
      <c r="C232" s="632" t="s">
        <v>147</v>
      </c>
      <c r="D232" s="632" t="s">
        <v>125</v>
      </c>
      <c r="E232" s="633">
        <v>43410.358796296299</v>
      </c>
      <c r="F232" s="438">
        <v>43410.358796296299</v>
      </c>
      <c r="G232" s="634">
        <v>0.35833333333333334</v>
      </c>
      <c r="H232" s="688">
        <v>10.016999999999999</v>
      </c>
      <c r="I232" s="686">
        <v>8</v>
      </c>
      <c r="J232" s="688" t="s">
        <v>115</v>
      </c>
    </row>
    <row r="233" spans="1:14">
      <c r="A233" s="632">
        <v>14138</v>
      </c>
      <c r="B233" s="632" t="s">
        <v>147</v>
      </c>
      <c r="C233" s="632" t="s">
        <v>147</v>
      </c>
      <c r="D233" s="632" t="s">
        <v>126</v>
      </c>
      <c r="E233" s="633">
        <v>43410.776238425926</v>
      </c>
      <c r="F233" s="438">
        <v>43410.776238425926</v>
      </c>
      <c r="G233" s="634">
        <v>0.77569444444444446</v>
      </c>
      <c r="H233" s="688" t="s">
        <v>115</v>
      </c>
      <c r="I233" s="686" t="s">
        <v>115</v>
      </c>
      <c r="J233" s="688" t="s">
        <v>115</v>
      </c>
    </row>
    <row r="234" spans="1:14">
      <c r="A234" s="632">
        <v>14164</v>
      </c>
      <c r="B234" s="632" t="s">
        <v>147</v>
      </c>
      <c r="C234" s="632" t="s">
        <v>147</v>
      </c>
      <c r="D234" s="632" t="s">
        <v>125</v>
      </c>
      <c r="E234" s="633">
        <v>43412.353842592594</v>
      </c>
      <c r="F234" s="438">
        <v>43412.353842592594</v>
      </c>
      <c r="G234" s="634">
        <v>0.35347222222222219</v>
      </c>
      <c r="H234" s="688">
        <v>10.016999999999999</v>
      </c>
      <c r="I234" s="686">
        <v>8</v>
      </c>
      <c r="J234" s="688" t="s">
        <v>115</v>
      </c>
    </row>
    <row r="235" spans="1:14">
      <c r="A235" s="632">
        <v>14179</v>
      </c>
      <c r="B235" s="632" t="s">
        <v>147</v>
      </c>
      <c r="C235" s="632" t="s">
        <v>147</v>
      </c>
      <c r="D235" s="632" t="s">
        <v>126</v>
      </c>
      <c r="E235" s="633">
        <v>43412.770972222221</v>
      </c>
      <c r="F235" s="438">
        <v>43412.770972222221</v>
      </c>
      <c r="G235" s="634">
        <v>0.77083333333333337</v>
      </c>
      <c r="H235" s="688" t="s">
        <v>115</v>
      </c>
      <c r="I235" s="686" t="s">
        <v>115</v>
      </c>
      <c r="J235" s="688" t="s">
        <v>115</v>
      </c>
    </row>
    <row r="236" spans="1:14">
      <c r="A236" s="632">
        <v>14191</v>
      </c>
      <c r="B236" s="632" t="s">
        <v>147</v>
      </c>
      <c r="C236" s="632" t="s">
        <v>147</v>
      </c>
      <c r="D236" s="632" t="s">
        <v>125</v>
      </c>
      <c r="E236" s="633">
        <v>43413.356087962966</v>
      </c>
      <c r="F236" s="438">
        <v>43413.356087962966</v>
      </c>
      <c r="G236" s="634">
        <v>0.35555555555555557</v>
      </c>
      <c r="H236" s="688">
        <v>9.6999999999999993</v>
      </c>
      <c r="I236" s="686">
        <v>8</v>
      </c>
      <c r="J236" s="688" t="s">
        <v>115</v>
      </c>
    </row>
    <row r="237" spans="1:14">
      <c r="A237" s="632">
        <v>14200</v>
      </c>
      <c r="B237" s="632" t="s">
        <v>147</v>
      </c>
      <c r="C237" s="632" t="s">
        <v>147</v>
      </c>
      <c r="D237" s="632" t="s">
        <v>126</v>
      </c>
      <c r="E237" s="633">
        <v>43413.75980324074</v>
      </c>
      <c r="F237" s="438">
        <v>43413.75980324074</v>
      </c>
      <c r="G237" s="634">
        <v>0.7597222222222223</v>
      </c>
      <c r="H237" s="688" t="s">
        <v>115</v>
      </c>
      <c r="I237" s="686" t="s">
        <v>115</v>
      </c>
      <c r="J237" s="688" t="s">
        <v>115</v>
      </c>
    </row>
    <row r="238" spans="1:14">
      <c r="A238" s="632">
        <v>14234</v>
      </c>
      <c r="B238" s="632" t="s">
        <v>147</v>
      </c>
      <c r="C238" s="632" t="s">
        <v>147</v>
      </c>
      <c r="D238" s="632" t="s">
        <v>125</v>
      </c>
      <c r="E238" s="633">
        <v>43417.356608796297</v>
      </c>
      <c r="F238" s="438">
        <v>43417.356608796297</v>
      </c>
      <c r="G238" s="634">
        <v>0.35625000000000001</v>
      </c>
      <c r="H238" s="688">
        <v>9.7829999999999995</v>
      </c>
      <c r="I238" s="686">
        <v>8</v>
      </c>
      <c r="J238" s="688" t="s">
        <v>115</v>
      </c>
    </row>
    <row r="239" spans="1:14">
      <c r="A239" s="632">
        <v>14248</v>
      </c>
      <c r="B239" s="632" t="s">
        <v>147</v>
      </c>
      <c r="C239" s="632" t="s">
        <v>147</v>
      </c>
      <c r="D239" s="632" t="s">
        <v>126</v>
      </c>
      <c r="E239" s="633">
        <v>43417.764409722222</v>
      </c>
      <c r="F239" s="438">
        <v>43417.764409722222</v>
      </c>
      <c r="G239" s="634">
        <v>0.76388888888888884</v>
      </c>
      <c r="H239" s="688" t="s">
        <v>115</v>
      </c>
      <c r="I239" s="686" t="s">
        <v>115</v>
      </c>
      <c r="J239" s="688" t="s">
        <v>115</v>
      </c>
    </row>
    <row r="240" spans="1:14">
      <c r="A240" s="632">
        <v>14257</v>
      </c>
      <c r="B240" s="632" t="s">
        <v>147</v>
      </c>
      <c r="C240" s="632" t="s">
        <v>147</v>
      </c>
      <c r="D240" s="632" t="s">
        <v>127</v>
      </c>
      <c r="E240" s="633">
        <v>43417.778564814813</v>
      </c>
      <c r="F240" s="438">
        <v>43417.778564814813</v>
      </c>
      <c r="G240" s="634">
        <v>0.77847222222222223</v>
      </c>
      <c r="H240" s="688" t="s">
        <v>115</v>
      </c>
      <c r="I240" s="686" t="s">
        <v>115</v>
      </c>
      <c r="J240" s="688" t="s">
        <v>115</v>
      </c>
      <c r="K240" s="688">
        <v>1.1830000000000001</v>
      </c>
      <c r="M240" s="688">
        <v>1.1830000000000001</v>
      </c>
      <c r="N240" s="688">
        <v>0</v>
      </c>
    </row>
    <row r="241" spans="1:14">
      <c r="A241" s="632">
        <v>14265</v>
      </c>
      <c r="B241" s="632" t="s">
        <v>147</v>
      </c>
      <c r="C241" s="632" t="s">
        <v>147</v>
      </c>
      <c r="D241" s="632" t="s">
        <v>128</v>
      </c>
      <c r="E241" s="633">
        <v>43417.828159722223</v>
      </c>
      <c r="F241" s="438">
        <v>43417.828159722223</v>
      </c>
      <c r="G241" s="634">
        <v>0.82777777777777783</v>
      </c>
      <c r="H241" s="688" t="s">
        <v>115</v>
      </c>
      <c r="I241" s="686" t="s">
        <v>115</v>
      </c>
      <c r="J241" s="688" t="s">
        <v>115</v>
      </c>
    </row>
    <row r="242" spans="1:14">
      <c r="A242" s="632">
        <v>14284</v>
      </c>
      <c r="B242" s="632" t="s">
        <v>148</v>
      </c>
      <c r="C242" s="632" t="s">
        <v>147</v>
      </c>
      <c r="D242" s="632" t="s">
        <v>125</v>
      </c>
      <c r="E242" s="633">
        <v>43419.353368055556</v>
      </c>
      <c r="F242" s="438">
        <v>43419.353368055556</v>
      </c>
      <c r="G242" s="634">
        <v>0.3527777777777778</v>
      </c>
      <c r="H242" s="688">
        <v>9.8829999999999991</v>
      </c>
      <c r="I242" s="686">
        <v>8</v>
      </c>
      <c r="J242" s="688" t="s">
        <v>115</v>
      </c>
    </row>
    <row r="243" spans="1:14">
      <c r="A243" s="632">
        <v>14291</v>
      </c>
      <c r="B243" s="632" t="s">
        <v>147</v>
      </c>
      <c r="C243" s="632" t="s">
        <v>147</v>
      </c>
      <c r="D243" s="632" t="s">
        <v>126</v>
      </c>
      <c r="E243" s="633">
        <v>43419.764837962961</v>
      </c>
      <c r="F243" s="438">
        <v>43419.764837962961</v>
      </c>
      <c r="G243" s="634">
        <v>0.76458333333333339</v>
      </c>
      <c r="H243" s="688" t="s">
        <v>115</v>
      </c>
      <c r="I243" s="686" t="s">
        <v>115</v>
      </c>
      <c r="J243" s="688" t="s">
        <v>115</v>
      </c>
    </row>
    <row r="244" spans="1:14">
      <c r="A244" s="632">
        <v>14302</v>
      </c>
      <c r="B244" s="632" t="s">
        <v>147</v>
      </c>
      <c r="C244" s="632" t="s">
        <v>147</v>
      </c>
      <c r="D244" s="632" t="s">
        <v>127</v>
      </c>
      <c r="E244" s="633">
        <v>43419.780300925922</v>
      </c>
      <c r="F244" s="438">
        <v>43419.780300925922</v>
      </c>
      <c r="G244" s="634">
        <v>0.77986111111111101</v>
      </c>
      <c r="H244" s="688" t="s">
        <v>115</v>
      </c>
      <c r="I244" s="686" t="s">
        <v>115</v>
      </c>
      <c r="J244" s="688" t="s">
        <v>115</v>
      </c>
      <c r="K244" s="688">
        <v>1.3</v>
      </c>
      <c r="M244" s="688">
        <v>1.3</v>
      </c>
      <c r="N244" s="688">
        <v>0</v>
      </c>
    </row>
    <row r="245" spans="1:14">
      <c r="A245" s="632">
        <v>14310</v>
      </c>
      <c r="B245" s="632" t="s">
        <v>147</v>
      </c>
      <c r="C245" s="632" t="s">
        <v>147</v>
      </c>
      <c r="D245" s="632" t="s">
        <v>128</v>
      </c>
      <c r="E245" s="633">
        <v>43419.834097222221</v>
      </c>
      <c r="F245" s="438">
        <v>43419.834097222221</v>
      </c>
      <c r="G245" s="634">
        <v>0.8340277777777777</v>
      </c>
      <c r="H245" s="688" t="s">
        <v>115</v>
      </c>
      <c r="I245" s="686" t="s">
        <v>115</v>
      </c>
      <c r="J245" s="688" t="s">
        <v>115</v>
      </c>
    </row>
    <row r="246" spans="1:14">
      <c r="A246" s="632">
        <v>14315</v>
      </c>
      <c r="B246" s="632" t="s">
        <v>147</v>
      </c>
      <c r="C246" s="632" t="s">
        <v>147</v>
      </c>
      <c r="D246" s="632" t="s">
        <v>125</v>
      </c>
      <c r="E246" s="633">
        <v>43420.352962962963</v>
      </c>
      <c r="F246" s="438">
        <v>43420.352962962963</v>
      </c>
      <c r="G246" s="634">
        <v>0.3527777777777778</v>
      </c>
      <c r="H246" s="688">
        <v>9.9</v>
      </c>
      <c r="I246" s="686">
        <v>8</v>
      </c>
      <c r="J246" s="688" t="s">
        <v>115</v>
      </c>
    </row>
    <row r="247" spans="1:14">
      <c r="A247" s="632">
        <v>14335</v>
      </c>
      <c r="B247" s="632" t="s">
        <v>147</v>
      </c>
      <c r="C247" s="632" t="s">
        <v>147</v>
      </c>
      <c r="D247" s="632" t="s">
        <v>126</v>
      </c>
      <c r="E247" s="633">
        <v>43420.765451388892</v>
      </c>
      <c r="F247" s="438">
        <v>43420.765451388892</v>
      </c>
      <c r="G247" s="634">
        <v>0.76527777777777783</v>
      </c>
      <c r="H247" s="688" t="s">
        <v>115</v>
      </c>
      <c r="I247" s="686" t="s">
        <v>115</v>
      </c>
      <c r="J247" s="688" t="s">
        <v>115</v>
      </c>
    </row>
    <row r="248" spans="1:14">
      <c r="A248" s="632">
        <v>14371</v>
      </c>
      <c r="B248" s="632" t="s">
        <v>147</v>
      </c>
      <c r="C248" s="632" t="s">
        <v>147</v>
      </c>
      <c r="D248" s="632" t="s">
        <v>125</v>
      </c>
      <c r="E248" s="633">
        <v>43424.363541666666</v>
      </c>
      <c r="F248" s="438">
        <v>43424.363541666666</v>
      </c>
      <c r="G248" s="634">
        <v>0.36319444444444443</v>
      </c>
      <c r="H248" s="688">
        <v>9.6</v>
      </c>
      <c r="I248" s="686">
        <v>8</v>
      </c>
      <c r="J248" s="688" t="s">
        <v>115</v>
      </c>
    </row>
    <row r="249" spans="1:14">
      <c r="A249" s="632">
        <v>14378</v>
      </c>
      <c r="B249" s="632" t="s">
        <v>147</v>
      </c>
      <c r="C249" s="632" t="s">
        <v>147</v>
      </c>
      <c r="D249" s="632" t="s">
        <v>126</v>
      </c>
      <c r="E249" s="633">
        <v>43424.763287037036</v>
      </c>
      <c r="F249" s="438">
        <v>43424.763287037036</v>
      </c>
      <c r="G249" s="634">
        <v>0.7631944444444444</v>
      </c>
      <c r="H249" s="688" t="s">
        <v>115</v>
      </c>
      <c r="I249" s="686" t="s">
        <v>115</v>
      </c>
      <c r="J249" s="688" t="s">
        <v>115</v>
      </c>
    </row>
    <row r="250" spans="1:14">
      <c r="A250" s="632">
        <v>14392</v>
      </c>
      <c r="B250" s="632" t="s">
        <v>147</v>
      </c>
      <c r="C250" s="632" t="s">
        <v>147</v>
      </c>
      <c r="D250" s="632" t="s">
        <v>125</v>
      </c>
      <c r="E250" s="633">
        <v>43425.349594907406</v>
      </c>
      <c r="F250" s="438">
        <v>43425.349594907406</v>
      </c>
      <c r="G250" s="634">
        <v>0.34930555555555554</v>
      </c>
      <c r="H250" s="688">
        <v>10.067</v>
      </c>
      <c r="I250" s="686">
        <v>8</v>
      </c>
      <c r="J250" s="688" t="s">
        <v>115</v>
      </c>
    </row>
    <row r="251" spans="1:14">
      <c r="A251" s="632">
        <v>14406</v>
      </c>
      <c r="B251" s="632" t="s">
        <v>147</v>
      </c>
      <c r="C251" s="632" t="s">
        <v>147</v>
      </c>
      <c r="D251" s="632" t="s">
        <v>126</v>
      </c>
      <c r="E251" s="633">
        <v>43425.768865740742</v>
      </c>
      <c r="F251" s="438">
        <v>43425.768865740742</v>
      </c>
      <c r="G251" s="634">
        <v>0.76874999999999993</v>
      </c>
      <c r="H251" s="688" t="s">
        <v>115</v>
      </c>
      <c r="I251" s="686" t="s">
        <v>115</v>
      </c>
      <c r="J251" s="688" t="s">
        <v>115</v>
      </c>
    </row>
    <row r="252" spans="1:14">
      <c r="A252" s="632">
        <v>14425</v>
      </c>
      <c r="B252" s="632" t="s">
        <v>147</v>
      </c>
      <c r="C252" s="632" t="s">
        <v>147</v>
      </c>
      <c r="D252" s="632" t="s">
        <v>125</v>
      </c>
      <c r="E252" s="633">
        <v>43426.360555555555</v>
      </c>
      <c r="F252" s="438">
        <v>43426.360555555555</v>
      </c>
      <c r="G252" s="634">
        <v>0.36041666666666666</v>
      </c>
      <c r="H252" s="688">
        <v>9.8170000000000002</v>
      </c>
      <c r="I252" s="686">
        <v>8</v>
      </c>
      <c r="J252" s="688" t="s">
        <v>115</v>
      </c>
    </row>
    <row r="253" spans="1:14">
      <c r="A253" s="632">
        <v>14436</v>
      </c>
      <c r="B253" s="632" t="s">
        <v>147</v>
      </c>
      <c r="C253" s="632" t="s">
        <v>147</v>
      </c>
      <c r="D253" s="632" t="s">
        <v>126</v>
      </c>
      <c r="E253" s="633">
        <v>43426.769930555558</v>
      </c>
      <c r="F253" s="438">
        <v>43426.769930555558</v>
      </c>
      <c r="G253" s="634">
        <v>0.76944444444444438</v>
      </c>
      <c r="H253" s="688" t="s">
        <v>115</v>
      </c>
      <c r="I253" s="686" t="s">
        <v>115</v>
      </c>
      <c r="J253" s="688" t="s">
        <v>115</v>
      </c>
    </row>
    <row r="254" spans="1:14">
      <c r="A254" s="632">
        <v>14438</v>
      </c>
      <c r="B254" s="632" t="s">
        <v>147</v>
      </c>
      <c r="C254" s="632" t="s">
        <v>147</v>
      </c>
      <c r="D254" s="632" t="s">
        <v>127</v>
      </c>
      <c r="E254" s="633">
        <v>43426.771747685183</v>
      </c>
      <c r="F254" s="438">
        <v>43426.771747685183</v>
      </c>
      <c r="G254" s="634">
        <v>0.7715277777777777</v>
      </c>
      <c r="H254" s="688" t="s">
        <v>115</v>
      </c>
      <c r="I254" s="686" t="s">
        <v>115</v>
      </c>
      <c r="J254" s="688" t="s">
        <v>115</v>
      </c>
      <c r="K254" s="688">
        <v>0.76700000000000002</v>
      </c>
      <c r="M254" s="688">
        <v>0.76700000000000002</v>
      </c>
      <c r="N254" s="688">
        <v>0</v>
      </c>
    </row>
    <row r="255" spans="1:14">
      <c r="A255" s="632">
        <v>14444</v>
      </c>
      <c r="B255" s="632" t="s">
        <v>147</v>
      </c>
      <c r="C255" s="632" t="s">
        <v>147</v>
      </c>
      <c r="D255" s="632" t="s">
        <v>128</v>
      </c>
      <c r="E255" s="633">
        <v>43426.803622685184</v>
      </c>
      <c r="F255" s="438">
        <v>43426.803622685184</v>
      </c>
      <c r="G255" s="634">
        <v>0.80347222222222225</v>
      </c>
      <c r="H255" s="688" t="s">
        <v>115</v>
      </c>
      <c r="I255" s="686" t="s">
        <v>115</v>
      </c>
      <c r="J255" s="688" t="s">
        <v>115</v>
      </c>
    </row>
    <row r="256" spans="1:14">
      <c r="A256" s="632">
        <v>14453</v>
      </c>
      <c r="B256" s="632" t="s">
        <v>147</v>
      </c>
      <c r="C256" s="632" t="s">
        <v>147</v>
      </c>
      <c r="D256" s="632" t="s">
        <v>125</v>
      </c>
      <c r="E256" s="633">
        <v>43427.358298611114</v>
      </c>
      <c r="F256" s="438">
        <v>43427.358298611114</v>
      </c>
      <c r="G256" s="634">
        <v>0.3576388888888889</v>
      </c>
      <c r="H256" s="688">
        <v>7.633</v>
      </c>
      <c r="I256" s="686">
        <v>6.133</v>
      </c>
      <c r="J256" s="688">
        <v>1.867</v>
      </c>
    </row>
    <row r="257" spans="1:14">
      <c r="A257" s="632">
        <v>14462</v>
      </c>
      <c r="B257" s="632" t="s">
        <v>147</v>
      </c>
      <c r="C257" s="632" t="s">
        <v>147</v>
      </c>
      <c r="D257" s="632" t="s">
        <v>177</v>
      </c>
      <c r="E257" s="633">
        <v>43427.676354166666</v>
      </c>
      <c r="F257" s="438">
        <v>43427.676354166666</v>
      </c>
      <c r="G257" s="634">
        <v>0.67569444444444438</v>
      </c>
      <c r="H257" s="688" t="s">
        <v>115</v>
      </c>
      <c r="I257" s="686" t="s">
        <v>115</v>
      </c>
      <c r="J257" s="688" t="s">
        <v>115</v>
      </c>
    </row>
    <row r="258" spans="1:14">
      <c r="A258" s="632">
        <v>14463</v>
      </c>
      <c r="B258" s="632" t="s">
        <v>147</v>
      </c>
      <c r="C258" s="632" t="s">
        <v>147</v>
      </c>
      <c r="D258" s="632" t="s">
        <v>155</v>
      </c>
      <c r="E258" s="633">
        <v>43427.695914351854</v>
      </c>
      <c r="F258" s="438">
        <v>43427.695914351854</v>
      </c>
      <c r="G258" s="634">
        <v>0.6958333333333333</v>
      </c>
      <c r="H258" s="688" t="s">
        <v>115</v>
      </c>
      <c r="I258" s="686" t="s">
        <v>115</v>
      </c>
      <c r="J258" s="688" t="s">
        <v>115</v>
      </c>
    </row>
    <row r="259" spans="1:14">
      <c r="A259" s="632">
        <v>14466</v>
      </c>
      <c r="B259" s="632" t="s">
        <v>147</v>
      </c>
      <c r="C259" s="632" t="s">
        <v>147</v>
      </c>
      <c r="D259" s="632" t="s">
        <v>126</v>
      </c>
      <c r="E259" s="633">
        <v>43427.761203703703</v>
      </c>
      <c r="F259" s="438">
        <v>43427.761203703703</v>
      </c>
      <c r="G259" s="634">
        <v>0.76111111111111107</v>
      </c>
      <c r="H259" s="688" t="s">
        <v>115</v>
      </c>
      <c r="I259" s="686" t="s">
        <v>115</v>
      </c>
      <c r="J259" s="688" t="s">
        <v>115</v>
      </c>
    </row>
    <row r="260" spans="1:14">
      <c r="A260" s="632">
        <v>14482</v>
      </c>
      <c r="B260" s="632" t="s">
        <v>147</v>
      </c>
      <c r="C260" s="632" t="s">
        <v>147</v>
      </c>
      <c r="D260" s="632" t="s">
        <v>125</v>
      </c>
      <c r="E260" s="633">
        <v>43430.360439814816</v>
      </c>
      <c r="F260" s="438">
        <v>43430.360439814816</v>
      </c>
      <c r="G260" s="634">
        <v>0.36041666666666666</v>
      </c>
      <c r="H260" s="688">
        <v>3.55</v>
      </c>
      <c r="I260" s="686">
        <v>2.0499999999999998</v>
      </c>
      <c r="J260" s="688">
        <v>5.95</v>
      </c>
    </row>
    <row r="261" spans="1:14">
      <c r="A261" s="632">
        <v>14489</v>
      </c>
      <c r="B261" s="632" t="s">
        <v>148</v>
      </c>
      <c r="C261" s="632" t="s">
        <v>147</v>
      </c>
      <c r="D261" s="632" t="s">
        <v>126</v>
      </c>
      <c r="E261" s="633">
        <v>43430.508344907408</v>
      </c>
      <c r="F261" s="438">
        <v>43430.508344907408</v>
      </c>
      <c r="G261" s="634">
        <v>0.5083333333333333</v>
      </c>
      <c r="H261" s="688" t="s">
        <v>115</v>
      </c>
      <c r="I261" s="686" t="s">
        <v>115</v>
      </c>
      <c r="J261" s="688" t="s">
        <v>115</v>
      </c>
    </row>
    <row r="262" spans="1:14">
      <c r="A262" s="632">
        <v>14506</v>
      </c>
      <c r="B262" s="632" t="s">
        <v>147</v>
      </c>
      <c r="C262" s="632" t="s">
        <v>147</v>
      </c>
      <c r="D262" s="632" t="s">
        <v>125</v>
      </c>
      <c r="E262" s="633">
        <v>43431.356273148151</v>
      </c>
      <c r="F262" s="438">
        <v>43431.356273148151</v>
      </c>
      <c r="G262" s="634">
        <v>0.35625000000000001</v>
      </c>
      <c r="H262" s="688">
        <v>9.8829999999999991</v>
      </c>
      <c r="I262" s="686">
        <v>8</v>
      </c>
      <c r="J262" s="688" t="s">
        <v>115</v>
      </c>
    </row>
    <row r="263" spans="1:14">
      <c r="A263" s="632">
        <v>14522</v>
      </c>
      <c r="B263" s="632" t="s">
        <v>148</v>
      </c>
      <c r="C263" s="632" t="s">
        <v>147</v>
      </c>
      <c r="D263" s="632" t="s">
        <v>126</v>
      </c>
      <c r="E263" s="633">
        <v>43431.768576388888</v>
      </c>
      <c r="F263" s="438">
        <v>43431.768576388888</v>
      </c>
      <c r="G263" s="634">
        <v>0.7680555555555556</v>
      </c>
      <c r="H263" s="688" t="s">
        <v>115</v>
      </c>
      <c r="I263" s="686" t="s">
        <v>115</v>
      </c>
      <c r="J263" s="688" t="s">
        <v>115</v>
      </c>
    </row>
    <row r="264" spans="1:14">
      <c r="A264" s="632">
        <v>14529</v>
      </c>
      <c r="B264" s="632" t="s">
        <v>148</v>
      </c>
      <c r="C264" s="632" t="s">
        <v>147</v>
      </c>
      <c r="D264" s="632" t="s">
        <v>127</v>
      </c>
      <c r="E264" s="633">
        <v>43431.788148148145</v>
      </c>
      <c r="F264" s="438">
        <v>43431.788148148145</v>
      </c>
      <c r="G264" s="634">
        <v>0.78749999999999998</v>
      </c>
      <c r="H264" s="688" t="s">
        <v>115</v>
      </c>
      <c r="I264" s="686" t="s">
        <v>115</v>
      </c>
      <c r="J264" s="688" t="s">
        <v>115</v>
      </c>
      <c r="K264" s="688">
        <v>2.0670000000000002</v>
      </c>
      <c r="M264" s="688">
        <v>2</v>
      </c>
      <c r="N264" s="688">
        <v>6.7000000000000171E-2</v>
      </c>
    </row>
    <row r="265" spans="1:14">
      <c r="A265" s="632">
        <v>14534</v>
      </c>
      <c r="B265" s="632" t="s">
        <v>148</v>
      </c>
      <c r="C265" s="632" t="s">
        <v>147</v>
      </c>
      <c r="D265" s="632" t="s">
        <v>128</v>
      </c>
      <c r="E265" s="633">
        <v>43431.874050925922</v>
      </c>
      <c r="F265" s="438">
        <v>43431.874050925922</v>
      </c>
      <c r="G265" s="634">
        <v>0.87361111111111101</v>
      </c>
      <c r="H265" s="688" t="s">
        <v>115</v>
      </c>
      <c r="I265" s="686" t="s">
        <v>115</v>
      </c>
      <c r="J265" s="688" t="s">
        <v>115</v>
      </c>
    </row>
    <row r="266" spans="1:14">
      <c r="A266" s="632">
        <v>14538</v>
      </c>
      <c r="B266" s="632" t="s">
        <v>147</v>
      </c>
      <c r="C266" s="632" t="s">
        <v>147</v>
      </c>
      <c r="D266" s="632" t="s">
        <v>125</v>
      </c>
      <c r="E266" s="633">
        <v>43432.35428240741</v>
      </c>
      <c r="F266" s="438">
        <v>43432.35428240741</v>
      </c>
      <c r="G266" s="634">
        <v>0.35416666666666669</v>
      </c>
      <c r="H266" s="688">
        <v>10</v>
      </c>
      <c r="I266" s="686">
        <v>8</v>
      </c>
      <c r="J266" s="688" t="s">
        <v>115</v>
      </c>
    </row>
    <row r="267" spans="1:14">
      <c r="A267" s="632">
        <v>14554</v>
      </c>
      <c r="B267" s="632" t="s">
        <v>147</v>
      </c>
      <c r="C267" s="632" t="s">
        <v>147</v>
      </c>
      <c r="D267" s="632" t="s">
        <v>126</v>
      </c>
      <c r="E267" s="633">
        <v>43432.771157407406</v>
      </c>
      <c r="F267" s="438">
        <v>43432.771157407406</v>
      </c>
      <c r="G267" s="634">
        <v>0.77083333333333337</v>
      </c>
      <c r="H267" s="688" t="s">
        <v>115</v>
      </c>
      <c r="I267" s="686" t="s">
        <v>115</v>
      </c>
      <c r="J267" s="688" t="s">
        <v>115</v>
      </c>
    </row>
    <row r="268" spans="1:14">
      <c r="A268" s="632">
        <v>14555</v>
      </c>
      <c r="B268" s="632" t="s">
        <v>147</v>
      </c>
      <c r="C268" s="632" t="s">
        <v>147</v>
      </c>
      <c r="D268" s="632" t="s">
        <v>127</v>
      </c>
      <c r="E268" s="633">
        <v>43432.771203703705</v>
      </c>
      <c r="F268" s="438">
        <v>43432.771203703705</v>
      </c>
      <c r="G268" s="634">
        <v>0.77083333333333337</v>
      </c>
      <c r="H268" s="688" t="s">
        <v>115</v>
      </c>
      <c r="I268" s="686" t="s">
        <v>115</v>
      </c>
      <c r="J268" s="688" t="s">
        <v>115</v>
      </c>
      <c r="K268" s="688">
        <v>1.1499999999999999</v>
      </c>
      <c r="M268" s="688">
        <v>1.1499999999999999</v>
      </c>
      <c r="N268" s="688">
        <v>0</v>
      </c>
    </row>
    <row r="269" spans="1:14">
      <c r="A269" s="632">
        <v>14563</v>
      </c>
      <c r="B269" s="632" t="s">
        <v>147</v>
      </c>
      <c r="C269" s="632" t="s">
        <v>147</v>
      </c>
      <c r="D269" s="632" t="s">
        <v>128</v>
      </c>
      <c r="E269" s="633">
        <v>43432.819085648145</v>
      </c>
      <c r="F269" s="438">
        <v>43432.819085648145</v>
      </c>
      <c r="G269" s="634">
        <v>0.81874999999999998</v>
      </c>
      <c r="H269" s="688" t="s">
        <v>115</v>
      </c>
      <c r="I269" s="686" t="s">
        <v>115</v>
      </c>
      <c r="J269" s="688" t="s">
        <v>115</v>
      </c>
    </row>
    <row r="270" spans="1:14">
      <c r="A270" s="632">
        <v>14574</v>
      </c>
      <c r="B270" s="632" t="s">
        <v>147</v>
      </c>
      <c r="C270" s="632" t="s">
        <v>147</v>
      </c>
      <c r="D270" s="632" t="s">
        <v>125</v>
      </c>
      <c r="E270" s="633">
        <v>43433.362291666665</v>
      </c>
      <c r="F270" s="438">
        <v>43433.362291666665</v>
      </c>
      <c r="G270" s="634">
        <v>0.36180555555555555</v>
      </c>
      <c r="H270" s="688">
        <v>9.8330000000000002</v>
      </c>
      <c r="I270" s="686">
        <v>8</v>
      </c>
      <c r="J270" s="688" t="s">
        <v>115</v>
      </c>
    </row>
    <row r="271" spans="1:14">
      <c r="A271" s="632">
        <v>14586</v>
      </c>
      <c r="B271" s="632" t="s">
        <v>147</v>
      </c>
      <c r="C271" s="632" t="s">
        <v>147</v>
      </c>
      <c r="D271" s="632" t="s">
        <v>126</v>
      </c>
      <c r="E271" s="633">
        <v>43433.771909722222</v>
      </c>
      <c r="F271" s="438">
        <v>43433.771909722222</v>
      </c>
      <c r="G271" s="634">
        <v>0.7715277777777777</v>
      </c>
      <c r="H271" s="688" t="s">
        <v>115</v>
      </c>
      <c r="I271" s="686" t="s">
        <v>115</v>
      </c>
      <c r="J271" s="688" t="s">
        <v>115</v>
      </c>
    </row>
    <row r="272" spans="1:14">
      <c r="A272" s="632">
        <v>14587</v>
      </c>
      <c r="B272" s="632" t="s">
        <v>147</v>
      </c>
      <c r="C272" s="632" t="s">
        <v>147</v>
      </c>
      <c r="D272" s="632" t="s">
        <v>127</v>
      </c>
      <c r="E272" s="633">
        <v>43433.771956018521</v>
      </c>
      <c r="F272" s="438">
        <v>43433.771956018521</v>
      </c>
      <c r="G272" s="634">
        <v>0.7715277777777777</v>
      </c>
      <c r="H272" s="688" t="s">
        <v>115</v>
      </c>
      <c r="I272" s="686" t="s">
        <v>115</v>
      </c>
      <c r="J272" s="688" t="s">
        <v>115</v>
      </c>
      <c r="K272" s="688">
        <v>0.33300000000000002</v>
      </c>
      <c r="M272" s="688">
        <v>0.33300000000000002</v>
      </c>
      <c r="N272" s="688">
        <v>0</v>
      </c>
    </row>
    <row r="273" spans="1:14">
      <c r="A273" s="632">
        <v>14590</v>
      </c>
      <c r="B273" s="632" t="s">
        <v>147</v>
      </c>
      <c r="C273" s="632" t="s">
        <v>147</v>
      </c>
      <c r="D273" s="632" t="s">
        <v>128</v>
      </c>
      <c r="E273" s="633">
        <v>43433.785416666666</v>
      </c>
      <c r="F273" s="438">
        <v>43433.785416666666</v>
      </c>
      <c r="G273" s="634">
        <v>0.78541666666666676</v>
      </c>
      <c r="H273" s="688" t="s">
        <v>115</v>
      </c>
      <c r="I273" s="686" t="s">
        <v>115</v>
      </c>
      <c r="J273" s="688" t="s">
        <v>115</v>
      </c>
    </row>
    <row r="274" spans="1:14">
      <c r="A274" s="632">
        <v>14599</v>
      </c>
      <c r="B274" s="632" t="s">
        <v>147</v>
      </c>
      <c r="C274" s="632" t="s">
        <v>147</v>
      </c>
      <c r="D274" s="632" t="s">
        <v>125</v>
      </c>
      <c r="E274" s="633">
        <v>43434.357951388891</v>
      </c>
      <c r="F274" s="438">
        <v>43434.357951388891</v>
      </c>
      <c r="G274" s="634">
        <v>0.3576388888888889</v>
      </c>
      <c r="H274" s="688">
        <v>9.9499999999999993</v>
      </c>
      <c r="I274" s="686">
        <v>8</v>
      </c>
      <c r="J274" s="688" t="s">
        <v>115</v>
      </c>
    </row>
    <row r="275" spans="1:14">
      <c r="A275" s="632">
        <v>14620</v>
      </c>
      <c r="B275" s="632" t="s">
        <v>148</v>
      </c>
      <c r="C275" s="632" t="s">
        <v>147</v>
      </c>
      <c r="D275" s="632" t="s">
        <v>126</v>
      </c>
      <c r="E275" s="633">
        <v>43434.772222222222</v>
      </c>
      <c r="F275" s="438">
        <v>43434.772222222222</v>
      </c>
      <c r="G275" s="634">
        <v>0.77222222222222225</v>
      </c>
      <c r="H275" s="688" t="s">
        <v>115</v>
      </c>
      <c r="I275" s="686" t="s">
        <v>115</v>
      </c>
      <c r="J275" s="688" t="s">
        <v>115</v>
      </c>
    </row>
    <row r="276" spans="1:14">
      <c r="A276" s="632">
        <v>14058</v>
      </c>
      <c r="B276" s="632" t="s">
        <v>62</v>
      </c>
      <c r="C276" s="632" t="s">
        <v>62</v>
      </c>
      <c r="D276" s="632" t="s">
        <v>125</v>
      </c>
      <c r="E276" s="633">
        <v>43405.360856481479</v>
      </c>
      <c r="F276" s="438">
        <v>43405.360856481479</v>
      </c>
      <c r="G276" s="634">
        <v>0.36041666666666666</v>
      </c>
      <c r="H276" s="688">
        <v>9.6170000000000009</v>
      </c>
      <c r="I276" s="686">
        <v>8</v>
      </c>
      <c r="J276" s="688" t="s">
        <v>115</v>
      </c>
    </row>
    <row r="277" spans="1:14">
      <c r="A277" s="632">
        <v>14063</v>
      </c>
      <c r="B277" s="632" t="s">
        <v>62</v>
      </c>
      <c r="C277" s="632" t="s">
        <v>62</v>
      </c>
      <c r="D277" s="632" t="s">
        <v>126</v>
      </c>
      <c r="E277" s="633">
        <v>43405.761331018519</v>
      </c>
      <c r="F277" s="438">
        <v>43405.761331018519</v>
      </c>
      <c r="G277" s="634">
        <v>0.76111111111111107</v>
      </c>
      <c r="H277" s="688" t="s">
        <v>115</v>
      </c>
      <c r="I277" s="686" t="s">
        <v>115</v>
      </c>
      <c r="J277" s="688" t="s">
        <v>115</v>
      </c>
    </row>
    <row r="278" spans="1:14">
      <c r="A278" s="632">
        <v>14064</v>
      </c>
      <c r="B278" s="632" t="s">
        <v>62</v>
      </c>
      <c r="C278" s="632" t="s">
        <v>62</v>
      </c>
      <c r="D278" s="632" t="s">
        <v>127</v>
      </c>
      <c r="E278" s="633">
        <v>43405.761354166665</v>
      </c>
      <c r="F278" s="438">
        <v>43405.761354166665</v>
      </c>
      <c r="G278" s="634">
        <v>0.76111111111111107</v>
      </c>
      <c r="H278" s="688" t="s">
        <v>115</v>
      </c>
      <c r="I278" s="686" t="s">
        <v>115</v>
      </c>
      <c r="J278" s="688" t="s">
        <v>115</v>
      </c>
      <c r="K278" s="688">
        <v>0.16700000000000001</v>
      </c>
      <c r="M278" s="688">
        <v>0.16700000000000001</v>
      </c>
      <c r="N278" s="688">
        <v>0</v>
      </c>
    </row>
    <row r="279" spans="1:14">
      <c r="A279" s="632">
        <v>14070</v>
      </c>
      <c r="B279" s="632" t="s">
        <v>62</v>
      </c>
      <c r="C279" s="632" t="s">
        <v>62</v>
      </c>
      <c r="D279" s="632" t="s">
        <v>128</v>
      </c>
      <c r="E279" s="633">
        <v>43405.778020833335</v>
      </c>
      <c r="F279" s="438">
        <v>43405.778020833335</v>
      </c>
      <c r="G279" s="634">
        <v>0.77777777777777779</v>
      </c>
      <c r="H279" s="688" t="s">
        <v>115</v>
      </c>
      <c r="I279" s="686" t="s">
        <v>115</v>
      </c>
      <c r="J279" s="688" t="s">
        <v>115</v>
      </c>
    </row>
    <row r="280" spans="1:14">
      <c r="A280" s="632">
        <v>14079</v>
      </c>
      <c r="B280" s="632" t="s">
        <v>78</v>
      </c>
      <c r="C280" s="632" t="s">
        <v>62</v>
      </c>
      <c r="D280" s="632" t="s">
        <v>125</v>
      </c>
      <c r="E280" s="633">
        <v>43406.370775462965</v>
      </c>
      <c r="F280" s="438">
        <v>43406.370775462965</v>
      </c>
      <c r="G280" s="634">
        <v>0.37013888888888885</v>
      </c>
      <c r="H280" s="688">
        <v>9.3000000000000007</v>
      </c>
      <c r="I280" s="686">
        <v>7.8000000000000007</v>
      </c>
      <c r="J280" s="688">
        <v>0.19999999999999929</v>
      </c>
    </row>
    <row r="281" spans="1:14">
      <c r="A281" s="632">
        <v>14082</v>
      </c>
      <c r="B281" s="632" t="s">
        <v>62</v>
      </c>
      <c r="C281" s="632" t="s">
        <v>62</v>
      </c>
      <c r="D281" s="632" t="s">
        <v>126</v>
      </c>
      <c r="E281" s="633">
        <v>43406.757916666669</v>
      </c>
      <c r="F281" s="438">
        <v>43406.757916666669</v>
      </c>
      <c r="G281" s="634">
        <v>0.75763888888888886</v>
      </c>
      <c r="H281" s="688" t="s">
        <v>115</v>
      </c>
      <c r="I281" s="686" t="s">
        <v>115</v>
      </c>
      <c r="J281" s="688" t="s">
        <v>115</v>
      </c>
    </row>
    <row r="282" spans="1:14">
      <c r="A282" s="632">
        <v>14083</v>
      </c>
      <c r="B282" s="632" t="s">
        <v>62</v>
      </c>
      <c r="C282" s="632" t="s">
        <v>62</v>
      </c>
      <c r="D282" s="632" t="s">
        <v>127</v>
      </c>
      <c r="E282" s="633">
        <v>43406.757928240739</v>
      </c>
      <c r="F282" s="438">
        <v>43406.757928240739</v>
      </c>
      <c r="G282" s="634">
        <v>0.75763888888888886</v>
      </c>
      <c r="H282" s="688" t="s">
        <v>115</v>
      </c>
      <c r="I282" s="686" t="s">
        <v>115</v>
      </c>
      <c r="J282" s="688" t="s">
        <v>115</v>
      </c>
      <c r="K282" s="688">
        <v>0.3</v>
      </c>
      <c r="M282" s="688">
        <v>0.3</v>
      </c>
      <c r="N282" s="688">
        <v>0</v>
      </c>
    </row>
    <row r="283" spans="1:14">
      <c r="A283" s="632">
        <v>14086</v>
      </c>
      <c r="B283" s="632" t="s">
        <v>62</v>
      </c>
      <c r="C283" s="632" t="s">
        <v>62</v>
      </c>
      <c r="D283" s="632" t="s">
        <v>128</v>
      </c>
      <c r="E283" s="633">
        <v>43406.770532407405</v>
      </c>
      <c r="F283" s="438">
        <v>43406.770532407405</v>
      </c>
      <c r="G283" s="634">
        <v>0.77013888888888893</v>
      </c>
      <c r="H283" s="688" t="s">
        <v>115</v>
      </c>
      <c r="I283" s="686" t="s">
        <v>115</v>
      </c>
      <c r="J283" s="688" t="s">
        <v>115</v>
      </c>
    </row>
    <row r="284" spans="1:14">
      <c r="A284" s="632">
        <v>14104</v>
      </c>
      <c r="B284" s="632" t="s">
        <v>62</v>
      </c>
      <c r="C284" s="632" t="s">
        <v>62</v>
      </c>
      <c r="D284" s="632" t="s">
        <v>125</v>
      </c>
      <c r="E284" s="633">
        <v>43409.363321759258</v>
      </c>
      <c r="F284" s="438">
        <v>43409.363321759258</v>
      </c>
      <c r="G284" s="634">
        <v>0.36319444444444443</v>
      </c>
      <c r="H284" s="688">
        <v>9.5329999999999995</v>
      </c>
      <c r="I284" s="686">
        <v>8</v>
      </c>
      <c r="J284" s="688" t="s">
        <v>115</v>
      </c>
    </row>
    <row r="285" spans="1:14">
      <c r="A285" s="632">
        <v>14110</v>
      </c>
      <c r="B285" s="632" t="s">
        <v>62</v>
      </c>
      <c r="C285" s="632" t="s">
        <v>62</v>
      </c>
      <c r="D285" s="632" t="s">
        <v>126</v>
      </c>
      <c r="E285" s="633">
        <v>43409.761099537034</v>
      </c>
      <c r="F285" s="438">
        <v>43409.761099537034</v>
      </c>
      <c r="G285" s="634">
        <v>0.76041666666666663</v>
      </c>
      <c r="H285" s="688" t="s">
        <v>115</v>
      </c>
      <c r="I285" s="686" t="s">
        <v>115</v>
      </c>
      <c r="J285" s="688" t="s">
        <v>115</v>
      </c>
    </row>
    <row r="286" spans="1:14">
      <c r="A286" s="632">
        <v>14119</v>
      </c>
      <c r="B286" s="632" t="s">
        <v>62</v>
      </c>
      <c r="C286" s="632" t="s">
        <v>62</v>
      </c>
      <c r="D286" s="632" t="s">
        <v>127</v>
      </c>
      <c r="E286" s="633">
        <v>43409.778680555559</v>
      </c>
      <c r="F286" s="438">
        <v>43409.778680555559</v>
      </c>
      <c r="G286" s="634">
        <v>0.77847222222222223</v>
      </c>
      <c r="H286" s="688" t="s">
        <v>115</v>
      </c>
      <c r="I286" s="686" t="s">
        <v>115</v>
      </c>
      <c r="J286" s="688" t="s">
        <v>115</v>
      </c>
      <c r="K286" s="688">
        <v>0.9</v>
      </c>
      <c r="M286" s="688">
        <v>0.9</v>
      </c>
      <c r="N286" s="688">
        <v>0</v>
      </c>
    </row>
    <row r="287" spans="1:14">
      <c r="A287" s="632">
        <v>14121</v>
      </c>
      <c r="B287" s="632" t="s">
        <v>62</v>
      </c>
      <c r="C287" s="632" t="s">
        <v>62</v>
      </c>
      <c r="D287" s="632" t="s">
        <v>128</v>
      </c>
      <c r="E287" s="633">
        <v>43409.816446759258</v>
      </c>
      <c r="F287" s="438">
        <v>43409.816446759258</v>
      </c>
      <c r="G287" s="634">
        <v>0.81597222222222221</v>
      </c>
      <c r="H287" s="688" t="s">
        <v>115</v>
      </c>
      <c r="I287" s="686" t="s">
        <v>115</v>
      </c>
      <c r="J287" s="688" t="s">
        <v>115</v>
      </c>
    </row>
    <row r="288" spans="1:14">
      <c r="A288" s="632">
        <v>14124</v>
      </c>
      <c r="B288" s="632" t="s">
        <v>62</v>
      </c>
      <c r="C288" s="632" t="s">
        <v>62</v>
      </c>
      <c r="D288" s="632" t="s">
        <v>125</v>
      </c>
      <c r="E288" s="633">
        <v>43410.356817129628</v>
      </c>
      <c r="F288" s="438">
        <v>43410.356817129628</v>
      </c>
      <c r="G288" s="634">
        <v>0.35625000000000001</v>
      </c>
      <c r="H288" s="688">
        <v>9.9169999999999998</v>
      </c>
      <c r="I288" s="686">
        <v>8</v>
      </c>
      <c r="J288" s="688" t="s">
        <v>115</v>
      </c>
    </row>
    <row r="289" spans="1:14">
      <c r="A289" s="632">
        <v>14136</v>
      </c>
      <c r="B289" s="632" t="s">
        <v>62</v>
      </c>
      <c r="C289" s="632" t="s">
        <v>62</v>
      </c>
      <c r="D289" s="632" t="s">
        <v>126</v>
      </c>
      <c r="E289" s="633">
        <v>43410.769861111112</v>
      </c>
      <c r="F289" s="438">
        <v>43410.769861111112</v>
      </c>
      <c r="G289" s="634">
        <v>0.76944444444444438</v>
      </c>
      <c r="H289" s="688" t="s">
        <v>115</v>
      </c>
      <c r="I289" s="686" t="s">
        <v>115</v>
      </c>
      <c r="J289" s="688" t="s">
        <v>115</v>
      </c>
    </row>
    <row r="290" spans="1:14">
      <c r="A290" s="632">
        <v>14142</v>
      </c>
      <c r="B290" s="632" t="s">
        <v>62</v>
      </c>
      <c r="C290" s="632" t="s">
        <v>62</v>
      </c>
      <c r="D290" s="632" t="s">
        <v>127</v>
      </c>
      <c r="E290" s="633">
        <v>43410.792361111111</v>
      </c>
      <c r="F290" s="438">
        <v>43410.792361111111</v>
      </c>
      <c r="G290" s="634">
        <v>0.79236111111111107</v>
      </c>
      <c r="H290" s="688" t="s">
        <v>115</v>
      </c>
      <c r="I290" s="686" t="s">
        <v>115</v>
      </c>
      <c r="J290" s="688" t="s">
        <v>115</v>
      </c>
      <c r="K290" s="688">
        <v>1.9830000000000001</v>
      </c>
      <c r="M290" s="688">
        <v>1.9830000000000001</v>
      </c>
      <c r="N290" s="688">
        <v>0</v>
      </c>
    </row>
    <row r="291" spans="1:14">
      <c r="A291" s="632">
        <v>14145</v>
      </c>
      <c r="B291" s="632" t="s">
        <v>62</v>
      </c>
      <c r="C291" s="632" t="s">
        <v>62</v>
      </c>
      <c r="D291" s="632" t="s">
        <v>128</v>
      </c>
      <c r="E291" s="633">
        <v>43410.875127314815</v>
      </c>
      <c r="F291" s="438">
        <v>43410.875127314815</v>
      </c>
      <c r="G291" s="634">
        <v>0.875</v>
      </c>
      <c r="H291" s="688" t="s">
        <v>115</v>
      </c>
      <c r="I291" s="686" t="s">
        <v>115</v>
      </c>
      <c r="J291" s="688" t="s">
        <v>115</v>
      </c>
    </row>
    <row r="292" spans="1:14">
      <c r="A292" s="632">
        <v>14152</v>
      </c>
      <c r="B292" s="632" t="s">
        <v>78</v>
      </c>
      <c r="C292" s="632" t="s">
        <v>62</v>
      </c>
      <c r="D292" s="632" t="s">
        <v>125</v>
      </c>
      <c r="E292" s="633">
        <v>43411.363622685189</v>
      </c>
      <c r="F292" s="438">
        <v>43411.363622685189</v>
      </c>
      <c r="G292" s="634">
        <v>0.36319444444444443</v>
      </c>
      <c r="H292" s="688">
        <v>9.75</v>
      </c>
      <c r="I292" s="686">
        <v>8</v>
      </c>
      <c r="J292" s="688" t="s">
        <v>115</v>
      </c>
    </row>
    <row r="293" spans="1:14">
      <c r="A293" s="632">
        <v>14156</v>
      </c>
      <c r="B293" s="632" t="s">
        <v>62</v>
      </c>
      <c r="C293" s="632" t="s">
        <v>62</v>
      </c>
      <c r="D293" s="632" t="s">
        <v>126</v>
      </c>
      <c r="E293" s="633">
        <v>43411.769560185188</v>
      </c>
      <c r="F293" s="438">
        <v>43411.769560185188</v>
      </c>
      <c r="G293" s="634">
        <v>0.76944444444444438</v>
      </c>
      <c r="H293" s="688" t="s">
        <v>115</v>
      </c>
      <c r="I293" s="686" t="s">
        <v>115</v>
      </c>
      <c r="J293" s="688" t="s">
        <v>115</v>
      </c>
    </row>
    <row r="294" spans="1:14">
      <c r="A294" s="632">
        <v>14157</v>
      </c>
      <c r="B294" s="632" t="s">
        <v>62</v>
      </c>
      <c r="C294" s="632" t="s">
        <v>62</v>
      </c>
      <c r="D294" s="632" t="s">
        <v>127</v>
      </c>
      <c r="E294" s="633">
        <v>43411.769571759258</v>
      </c>
      <c r="F294" s="438">
        <v>43411.769571759258</v>
      </c>
      <c r="G294" s="634">
        <v>0.76944444444444438</v>
      </c>
      <c r="H294" s="688" t="s">
        <v>115</v>
      </c>
      <c r="I294" s="686" t="s">
        <v>115</v>
      </c>
      <c r="J294" s="688" t="s">
        <v>115</v>
      </c>
      <c r="K294" s="688">
        <v>1.833</v>
      </c>
      <c r="M294" s="688">
        <v>1.833</v>
      </c>
      <c r="N294" s="688">
        <v>0</v>
      </c>
    </row>
    <row r="295" spans="1:14">
      <c r="A295" s="632">
        <v>14161</v>
      </c>
      <c r="B295" s="632" t="s">
        <v>62</v>
      </c>
      <c r="C295" s="632" t="s">
        <v>62</v>
      </c>
      <c r="D295" s="632" t="s">
        <v>128</v>
      </c>
      <c r="E295" s="633">
        <v>43411.847430555557</v>
      </c>
      <c r="F295" s="438">
        <v>43411.847430555557</v>
      </c>
      <c r="G295" s="634">
        <v>0.84722222222222221</v>
      </c>
      <c r="H295" s="688" t="s">
        <v>115</v>
      </c>
      <c r="I295" s="686" t="s">
        <v>115</v>
      </c>
      <c r="J295" s="688" t="s">
        <v>115</v>
      </c>
    </row>
    <row r="296" spans="1:14">
      <c r="A296" s="632">
        <v>14167</v>
      </c>
      <c r="B296" s="632" t="s">
        <v>78</v>
      </c>
      <c r="C296" s="632" t="s">
        <v>62</v>
      </c>
      <c r="D296" s="632" t="s">
        <v>125</v>
      </c>
      <c r="E296" s="633">
        <v>43412.361608796295</v>
      </c>
      <c r="F296" s="438">
        <v>43412.361608796295</v>
      </c>
      <c r="G296" s="634">
        <v>0.3611111111111111</v>
      </c>
      <c r="H296" s="688">
        <v>9.6170000000000009</v>
      </c>
      <c r="I296" s="686">
        <v>8</v>
      </c>
      <c r="J296" s="688" t="s">
        <v>115</v>
      </c>
    </row>
    <row r="297" spans="1:14">
      <c r="A297" s="632">
        <v>14173</v>
      </c>
      <c r="B297" s="632" t="s">
        <v>62</v>
      </c>
      <c r="C297" s="632" t="s">
        <v>62</v>
      </c>
      <c r="D297" s="632" t="s">
        <v>126</v>
      </c>
      <c r="E297" s="633">
        <v>43412.761840277781</v>
      </c>
      <c r="F297" s="438">
        <v>43412.761840277781</v>
      </c>
      <c r="G297" s="634">
        <v>0.76180555555555562</v>
      </c>
      <c r="H297" s="688" t="s">
        <v>115</v>
      </c>
      <c r="I297" s="686" t="s">
        <v>115</v>
      </c>
      <c r="J297" s="688" t="s">
        <v>115</v>
      </c>
    </row>
    <row r="298" spans="1:14">
      <c r="A298" s="632">
        <v>14182</v>
      </c>
      <c r="B298" s="632" t="s">
        <v>62</v>
      </c>
      <c r="C298" s="632" t="s">
        <v>62</v>
      </c>
      <c r="D298" s="632" t="s">
        <v>127</v>
      </c>
      <c r="E298" s="633">
        <v>43412.774085648147</v>
      </c>
      <c r="F298" s="438">
        <v>43412.774085648147</v>
      </c>
      <c r="G298" s="634">
        <v>0.77361111111111114</v>
      </c>
      <c r="H298" s="688" t="s">
        <v>115</v>
      </c>
      <c r="I298" s="686" t="s">
        <v>115</v>
      </c>
      <c r="J298" s="688" t="s">
        <v>115</v>
      </c>
      <c r="K298" s="688">
        <v>0.33300000000000002</v>
      </c>
      <c r="M298" s="688">
        <v>0.33300000000000002</v>
      </c>
      <c r="N298" s="688">
        <v>0</v>
      </c>
    </row>
    <row r="299" spans="1:14">
      <c r="A299" s="632">
        <v>14184</v>
      </c>
      <c r="B299" s="632" t="s">
        <v>62</v>
      </c>
      <c r="C299" s="632" t="s">
        <v>62</v>
      </c>
      <c r="D299" s="632" t="s">
        <v>128</v>
      </c>
      <c r="E299" s="633">
        <v>43412.787997685184</v>
      </c>
      <c r="F299" s="438">
        <v>43412.787997685184</v>
      </c>
      <c r="G299" s="634">
        <v>0.78749999999999998</v>
      </c>
      <c r="H299" s="688" t="s">
        <v>115</v>
      </c>
      <c r="I299" s="686" t="s">
        <v>115</v>
      </c>
      <c r="J299" s="688" t="s">
        <v>115</v>
      </c>
    </row>
    <row r="300" spans="1:14">
      <c r="A300" s="632">
        <v>14196</v>
      </c>
      <c r="B300" s="632" t="s">
        <v>78</v>
      </c>
      <c r="C300" s="632" t="s">
        <v>62</v>
      </c>
      <c r="D300" s="632" t="s">
        <v>125</v>
      </c>
      <c r="E300" s="633">
        <v>43413.371608796297</v>
      </c>
      <c r="F300" s="438">
        <v>43413.371608796297</v>
      </c>
      <c r="G300" s="634">
        <v>0.37152777777777773</v>
      </c>
      <c r="H300" s="688">
        <v>9.4329999999999998</v>
      </c>
      <c r="I300" s="686">
        <v>7.9329999999999998</v>
      </c>
      <c r="J300" s="688">
        <v>6.7000000000000171E-2</v>
      </c>
    </row>
    <row r="301" spans="1:14">
      <c r="A301" s="632">
        <v>14201</v>
      </c>
      <c r="B301" s="632" t="s">
        <v>62</v>
      </c>
      <c r="C301" s="632" t="s">
        <v>62</v>
      </c>
      <c r="D301" s="632" t="s">
        <v>126</v>
      </c>
      <c r="E301" s="633">
        <v>43413.765034722222</v>
      </c>
      <c r="F301" s="438">
        <v>43413.765034722222</v>
      </c>
      <c r="G301" s="634">
        <v>0.76458333333333339</v>
      </c>
      <c r="H301" s="688" t="s">
        <v>115</v>
      </c>
      <c r="I301" s="686" t="s">
        <v>115</v>
      </c>
      <c r="J301" s="688" t="s">
        <v>115</v>
      </c>
    </row>
    <row r="302" spans="1:14">
      <c r="A302" s="632">
        <v>14202</v>
      </c>
      <c r="B302" s="632" t="s">
        <v>62</v>
      </c>
      <c r="C302" s="632" t="s">
        <v>62</v>
      </c>
      <c r="D302" s="632" t="s">
        <v>127</v>
      </c>
      <c r="E302" s="633">
        <v>43413.765046296299</v>
      </c>
      <c r="F302" s="438">
        <v>43413.765046296299</v>
      </c>
      <c r="G302" s="634">
        <v>0.76458333333333339</v>
      </c>
      <c r="H302" s="688" t="s">
        <v>115</v>
      </c>
      <c r="I302" s="686" t="s">
        <v>115</v>
      </c>
      <c r="J302" s="688" t="s">
        <v>115</v>
      </c>
      <c r="K302" s="688">
        <v>0.58299999999999996</v>
      </c>
      <c r="M302" s="688">
        <v>0.58299999999999996</v>
      </c>
      <c r="N302" s="688">
        <v>0</v>
      </c>
    </row>
    <row r="303" spans="1:14">
      <c r="A303" s="632">
        <v>14210</v>
      </c>
      <c r="B303" s="632" t="s">
        <v>62</v>
      </c>
      <c r="C303" s="632" t="s">
        <v>62</v>
      </c>
      <c r="D303" s="632" t="s">
        <v>128</v>
      </c>
      <c r="E303" s="633">
        <v>43413.788935185185</v>
      </c>
      <c r="F303" s="438">
        <v>43413.788935185185</v>
      </c>
      <c r="G303" s="634">
        <v>0.78888888888888886</v>
      </c>
      <c r="H303" s="688" t="s">
        <v>115</v>
      </c>
      <c r="I303" s="686" t="s">
        <v>115</v>
      </c>
      <c r="J303" s="688" t="s">
        <v>115</v>
      </c>
    </row>
    <row r="304" spans="1:14">
      <c r="A304" s="632">
        <v>14217</v>
      </c>
      <c r="B304" s="632" t="s">
        <v>62</v>
      </c>
      <c r="C304" s="632" t="s">
        <v>62</v>
      </c>
      <c r="D304" s="632" t="s">
        <v>125</v>
      </c>
      <c r="E304" s="633">
        <v>43416.363576388889</v>
      </c>
      <c r="F304" s="438">
        <v>43416.363576388889</v>
      </c>
      <c r="G304" s="634">
        <v>0.36319444444444443</v>
      </c>
      <c r="H304" s="688">
        <v>9.6829999999999998</v>
      </c>
      <c r="I304" s="686">
        <v>8</v>
      </c>
      <c r="J304" s="688" t="s">
        <v>115</v>
      </c>
    </row>
    <row r="305" spans="1:14">
      <c r="A305" s="632">
        <v>14224</v>
      </c>
      <c r="B305" s="632" t="s">
        <v>62</v>
      </c>
      <c r="C305" s="632" t="s">
        <v>62</v>
      </c>
      <c r="D305" s="632" t="s">
        <v>126</v>
      </c>
      <c r="E305" s="633">
        <v>43416.767013888886</v>
      </c>
      <c r="F305" s="438">
        <v>43416.767013888886</v>
      </c>
      <c r="G305" s="634">
        <v>0.76666666666666661</v>
      </c>
      <c r="H305" s="688" t="s">
        <v>115</v>
      </c>
      <c r="I305" s="686" t="s">
        <v>115</v>
      </c>
      <c r="J305" s="688" t="s">
        <v>115</v>
      </c>
    </row>
    <row r="306" spans="1:14">
      <c r="A306" s="632">
        <v>14225</v>
      </c>
      <c r="B306" s="632" t="s">
        <v>62</v>
      </c>
      <c r="C306" s="632" t="s">
        <v>62</v>
      </c>
      <c r="D306" s="632" t="s">
        <v>127</v>
      </c>
      <c r="E306" s="633">
        <v>43416.76703703704</v>
      </c>
      <c r="F306" s="438">
        <v>43416.76703703704</v>
      </c>
      <c r="G306" s="634">
        <v>0.76666666666666661</v>
      </c>
      <c r="H306" s="688" t="s">
        <v>115</v>
      </c>
      <c r="I306" s="686" t="s">
        <v>115</v>
      </c>
      <c r="J306" s="688" t="s">
        <v>115</v>
      </c>
      <c r="K306" s="688">
        <v>0.56699999999999995</v>
      </c>
      <c r="M306" s="688">
        <v>0.56699999999999995</v>
      </c>
      <c r="N306" s="688">
        <v>0</v>
      </c>
    </row>
    <row r="307" spans="1:14">
      <c r="A307" s="632">
        <v>14229</v>
      </c>
      <c r="B307" s="632" t="s">
        <v>62</v>
      </c>
      <c r="C307" s="632" t="s">
        <v>62</v>
      </c>
      <c r="D307" s="632" t="s">
        <v>128</v>
      </c>
      <c r="E307" s="633">
        <v>43416.794999999998</v>
      </c>
      <c r="F307" s="438">
        <v>43416.794999999998</v>
      </c>
      <c r="G307" s="634">
        <v>0.7944444444444444</v>
      </c>
      <c r="H307" s="688" t="s">
        <v>115</v>
      </c>
      <c r="I307" s="686" t="s">
        <v>115</v>
      </c>
      <c r="J307" s="688" t="s">
        <v>115</v>
      </c>
    </row>
    <row r="308" spans="1:14">
      <c r="A308" s="632">
        <v>14241</v>
      </c>
      <c r="B308" s="632" t="s">
        <v>78</v>
      </c>
      <c r="C308" s="632" t="s">
        <v>62</v>
      </c>
      <c r="D308" s="632" t="s">
        <v>125</v>
      </c>
      <c r="E308" s="633">
        <v>43417.364918981482</v>
      </c>
      <c r="F308" s="438">
        <v>43417.364918981482</v>
      </c>
      <c r="G308" s="634">
        <v>0.36458333333333331</v>
      </c>
      <c r="H308" s="688">
        <v>9.6329999999999991</v>
      </c>
      <c r="I308" s="686">
        <v>8</v>
      </c>
      <c r="J308" s="688" t="s">
        <v>115</v>
      </c>
    </row>
    <row r="309" spans="1:14">
      <c r="A309" s="632">
        <v>14254</v>
      </c>
      <c r="B309" s="632" t="s">
        <v>62</v>
      </c>
      <c r="C309" s="632" t="s">
        <v>62</v>
      </c>
      <c r="D309" s="632" t="s">
        <v>126</v>
      </c>
      <c r="E309" s="633">
        <v>43417.766655092593</v>
      </c>
      <c r="F309" s="438">
        <v>43417.766655092593</v>
      </c>
      <c r="G309" s="634">
        <v>0.76597222222222217</v>
      </c>
      <c r="H309" s="688" t="s">
        <v>115</v>
      </c>
      <c r="I309" s="686" t="s">
        <v>115</v>
      </c>
      <c r="J309" s="688" t="s">
        <v>115</v>
      </c>
    </row>
    <row r="310" spans="1:14">
      <c r="A310" s="632">
        <v>14255</v>
      </c>
      <c r="B310" s="632" t="s">
        <v>62</v>
      </c>
      <c r="C310" s="632" t="s">
        <v>62</v>
      </c>
      <c r="D310" s="632" t="s">
        <v>127</v>
      </c>
      <c r="E310" s="633">
        <v>43417.76667824074</v>
      </c>
      <c r="F310" s="438">
        <v>43417.76667824074</v>
      </c>
      <c r="G310" s="634">
        <v>0.76666666666666661</v>
      </c>
      <c r="H310" s="688" t="s">
        <v>115</v>
      </c>
      <c r="I310" s="686" t="s">
        <v>115</v>
      </c>
      <c r="J310" s="688" t="s">
        <v>115</v>
      </c>
      <c r="K310" s="688">
        <v>0.55000000000000004</v>
      </c>
      <c r="M310" s="688">
        <v>0.55000000000000004</v>
      </c>
      <c r="N310" s="688">
        <v>0</v>
      </c>
    </row>
    <row r="311" spans="1:14">
      <c r="A311" s="632">
        <v>14260</v>
      </c>
      <c r="B311" s="632" t="s">
        <v>62</v>
      </c>
      <c r="C311" s="632" t="s">
        <v>62</v>
      </c>
      <c r="D311" s="632" t="s">
        <v>128</v>
      </c>
      <c r="E311" s="633">
        <v>43417.794328703705</v>
      </c>
      <c r="F311" s="438">
        <v>43417.794328703705</v>
      </c>
      <c r="G311" s="634">
        <v>0.79375000000000007</v>
      </c>
      <c r="H311" s="688" t="s">
        <v>115</v>
      </c>
      <c r="I311" s="686" t="s">
        <v>115</v>
      </c>
      <c r="J311" s="688" t="s">
        <v>115</v>
      </c>
    </row>
    <row r="312" spans="1:14">
      <c r="A312" s="632">
        <v>14272</v>
      </c>
      <c r="B312" s="632" t="s">
        <v>62</v>
      </c>
      <c r="C312" s="632" t="s">
        <v>62</v>
      </c>
      <c r="D312" s="632" t="s">
        <v>125</v>
      </c>
      <c r="E312" s="633">
        <v>43418.364918981482</v>
      </c>
      <c r="F312" s="438">
        <v>43418.364918981482</v>
      </c>
      <c r="G312" s="634">
        <v>0.36458333333333331</v>
      </c>
      <c r="H312" s="688">
        <v>9.6329999999999991</v>
      </c>
      <c r="I312" s="686">
        <v>8</v>
      </c>
      <c r="J312" s="688" t="s">
        <v>115</v>
      </c>
    </row>
    <row r="313" spans="1:14">
      <c r="A313" s="632">
        <v>14278</v>
      </c>
      <c r="B313" s="632" t="s">
        <v>62</v>
      </c>
      <c r="C313" s="632" t="s">
        <v>62</v>
      </c>
      <c r="D313" s="632" t="s">
        <v>126</v>
      </c>
      <c r="E313" s="633">
        <v>43418.766516203701</v>
      </c>
      <c r="F313" s="438">
        <v>43418.766516203701</v>
      </c>
      <c r="G313" s="634">
        <v>0.76597222222222217</v>
      </c>
      <c r="H313" s="688" t="s">
        <v>115</v>
      </c>
      <c r="I313" s="686" t="s">
        <v>115</v>
      </c>
      <c r="J313" s="688" t="s">
        <v>115</v>
      </c>
    </row>
    <row r="314" spans="1:14">
      <c r="A314" s="632">
        <v>14279</v>
      </c>
      <c r="B314" s="632" t="s">
        <v>62</v>
      </c>
      <c r="C314" s="632" t="s">
        <v>62</v>
      </c>
      <c r="D314" s="632" t="s">
        <v>127</v>
      </c>
      <c r="E314" s="633">
        <v>43418.766527777778</v>
      </c>
      <c r="F314" s="438">
        <v>43418.766527777778</v>
      </c>
      <c r="G314" s="634">
        <v>0.76597222222222217</v>
      </c>
      <c r="H314" s="688" t="s">
        <v>115</v>
      </c>
      <c r="I314" s="686" t="s">
        <v>115</v>
      </c>
      <c r="J314" s="688" t="s">
        <v>115</v>
      </c>
      <c r="K314" s="688">
        <v>0.2</v>
      </c>
      <c r="M314" s="688">
        <v>0.2</v>
      </c>
      <c r="N314" s="688">
        <v>0</v>
      </c>
    </row>
    <row r="315" spans="1:14">
      <c r="A315" s="632">
        <v>14281</v>
      </c>
      <c r="B315" s="632" t="s">
        <v>62</v>
      </c>
      <c r="C315" s="632" t="s">
        <v>62</v>
      </c>
      <c r="D315" s="632" t="s">
        <v>128</v>
      </c>
      <c r="E315" s="633">
        <v>43418.779363425929</v>
      </c>
      <c r="F315" s="438">
        <v>43418.779363425929</v>
      </c>
      <c r="G315" s="634">
        <v>0.77916666666666667</v>
      </c>
      <c r="H315" s="688" t="s">
        <v>115</v>
      </c>
      <c r="I315" s="686" t="s">
        <v>115</v>
      </c>
      <c r="J315" s="688" t="s">
        <v>115</v>
      </c>
    </row>
    <row r="316" spans="1:14">
      <c r="A316" s="632">
        <v>14290</v>
      </c>
      <c r="B316" s="632" t="s">
        <v>78</v>
      </c>
      <c r="C316" s="632" t="s">
        <v>62</v>
      </c>
      <c r="D316" s="632" t="s">
        <v>125</v>
      </c>
      <c r="E316" s="633">
        <v>43419.376331018517</v>
      </c>
      <c r="F316" s="438">
        <v>43419.376331018517</v>
      </c>
      <c r="G316" s="634">
        <v>0.3756944444444445</v>
      </c>
      <c r="H316" s="688">
        <v>9.35</v>
      </c>
      <c r="I316" s="686">
        <v>7.85</v>
      </c>
      <c r="J316" s="688">
        <v>0.15000000000000036</v>
      </c>
    </row>
    <row r="317" spans="1:14">
      <c r="A317" s="632">
        <v>14292</v>
      </c>
      <c r="B317" s="632" t="s">
        <v>62</v>
      </c>
      <c r="C317" s="632" t="s">
        <v>62</v>
      </c>
      <c r="D317" s="632" t="s">
        <v>126</v>
      </c>
      <c r="E317" s="633">
        <v>43419.765798611108</v>
      </c>
      <c r="F317" s="438">
        <v>43419.765798611108</v>
      </c>
      <c r="G317" s="634">
        <v>0.76527777777777783</v>
      </c>
      <c r="H317" s="688" t="s">
        <v>115</v>
      </c>
      <c r="I317" s="686" t="s">
        <v>115</v>
      </c>
      <c r="J317" s="688" t="s">
        <v>115</v>
      </c>
    </row>
    <row r="318" spans="1:14">
      <c r="A318" s="632">
        <v>14293</v>
      </c>
      <c r="B318" s="632" t="s">
        <v>62</v>
      </c>
      <c r="C318" s="632" t="s">
        <v>62</v>
      </c>
      <c r="D318" s="632" t="s">
        <v>127</v>
      </c>
      <c r="E318" s="633">
        <v>43419.765810185185</v>
      </c>
      <c r="F318" s="438">
        <v>43419.765810185185</v>
      </c>
      <c r="G318" s="634">
        <v>0.76527777777777783</v>
      </c>
      <c r="H318" s="688" t="s">
        <v>115</v>
      </c>
      <c r="I318" s="686" t="s">
        <v>115</v>
      </c>
      <c r="J318" s="688" t="s">
        <v>115</v>
      </c>
      <c r="K318" s="688">
        <v>2.1669999999999998</v>
      </c>
      <c r="M318" s="688">
        <v>2</v>
      </c>
      <c r="N318" s="688">
        <v>0.16699999999999982</v>
      </c>
    </row>
    <row r="319" spans="1:14">
      <c r="A319" s="632">
        <v>14312</v>
      </c>
      <c r="B319" s="632" t="s">
        <v>62</v>
      </c>
      <c r="C319" s="632" t="s">
        <v>62</v>
      </c>
      <c r="D319" s="632" t="s">
        <v>128</v>
      </c>
      <c r="E319" s="633">
        <v>43419.86146990741</v>
      </c>
      <c r="F319" s="438">
        <v>43419.86146990741</v>
      </c>
      <c r="G319" s="634">
        <v>0.86111111111111116</v>
      </c>
      <c r="H319" s="688" t="s">
        <v>115</v>
      </c>
      <c r="I319" s="686" t="s">
        <v>115</v>
      </c>
      <c r="J319" s="688" t="s">
        <v>115</v>
      </c>
    </row>
    <row r="320" spans="1:14">
      <c r="A320" s="632">
        <v>14321</v>
      </c>
      <c r="B320" s="632" t="s">
        <v>62</v>
      </c>
      <c r="C320" s="632" t="s">
        <v>62</v>
      </c>
      <c r="D320" s="632" t="s">
        <v>125</v>
      </c>
      <c r="E320" s="633">
        <v>43420.362615740742</v>
      </c>
      <c r="F320" s="438">
        <v>43420.362615740742</v>
      </c>
      <c r="G320" s="634">
        <v>0.36249999999999999</v>
      </c>
      <c r="H320" s="688">
        <v>9.6170000000000009</v>
      </c>
      <c r="I320" s="686">
        <v>8</v>
      </c>
      <c r="J320" s="688" t="s">
        <v>115</v>
      </c>
    </row>
    <row r="321" spans="1:14">
      <c r="A321" s="632">
        <v>14327</v>
      </c>
      <c r="B321" s="632" t="s">
        <v>62</v>
      </c>
      <c r="C321" s="632" t="s">
        <v>62</v>
      </c>
      <c r="D321" s="632" t="s">
        <v>126</v>
      </c>
      <c r="E321" s="633">
        <v>43420.763449074075</v>
      </c>
      <c r="F321" s="438">
        <v>43420.763449074075</v>
      </c>
      <c r="G321" s="634">
        <v>0.7631944444444444</v>
      </c>
      <c r="H321" s="688" t="s">
        <v>115</v>
      </c>
      <c r="I321" s="686" t="s">
        <v>115</v>
      </c>
      <c r="J321" s="688" t="s">
        <v>115</v>
      </c>
    </row>
    <row r="322" spans="1:14">
      <c r="A322" s="632">
        <v>14328</v>
      </c>
      <c r="B322" s="632" t="s">
        <v>62</v>
      </c>
      <c r="C322" s="632" t="s">
        <v>62</v>
      </c>
      <c r="D322" s="632" t="s">
        <v>127</v>
      </c>
      <c r="E322" s="633">
        <v>43420.763460648152</v>
      </c>
      <c r="F322" s="438">
        <v>43420.763460648152</v>
      </c>
      <c r="G322" s="634">
        <v>0.7631944444444444</v>
      </c>
      <c r="H322" s="688" t="s">
        <v>115</v>
      </c>
      <c r="I322" s="686" t="s">
        <v>115</v>
      </c>
      <c r="J322" s="688" t="s">
        <v>115</v>
      </c>
      <c r="K322" s="688">
        <v>1.4830000000000001</v>
      </c>
      <c r="M322" s="688">
        <v>1.4830000000000001</v>
      </c>
      <c r="N322" s="688">
        <v>0</v>
      </c>
    </row>
    <row r="323" spans="1:14">
      <c r="A323" s="632">
        <v>14340</v>
      </c>
      <c r="B323" s="632" t="s">
        <v>78</v>
      </c>
      <c r="C323" s="632" t="s">
        <v>62</v>
      </c>
      <c r="D323" s="632" t="s">
        <v>128</v>
      </c>
      <c r="E323" s="633">
        <v>43420.825115740743</v>
      </c>
      <c r="F323" s="438">
        <v>43420.825115740743</v>
      </c>
      <c r="G323" s="634">
        <v>0.82500000000000007</v>
      </c>
      <c r="H323" s="688" t="s">
        <v>115</v>
      </c>
      <c r="I323" s="686" t="s">
        <v>115</v>
      </c>
      <c r="J323" s="688" t="s">
        <v>115</v>
      </c>
    </row>
    <row r="324" spans="1:14">
      <c r="A324" s="632">
        <v>14348</v>
      </c>
      <c r="B324" s="632" t="s">
        <v>62</v>
      </c>
      <c r="C324" s="632" t="s">
        <v>62</v>
      </c>
      <c r="D324" s="632" t="s">
        <v>125</v>
      </c>
      <c r="E324" s="633">
        <v>43423.405127314814</v>
      </c>
      <c r="F324" s="438">
        <v>43423.405127314814</v>
      </c>
      <c r="G324" s="634">
        <v>0.40486111111111112</v>
      </c>
      <c r="H324" s="688">
        <v>8.6999999999999993</v>
      </c>
      <c r="I324" s="686">
        <v>7.1999999999999993</v>
      </c>
      <c r="J324" s="688">
        <v>0.80000000000000071</v>
      </c>
    </row>
    <row r="325" spans="1:14">
      <c r="A325" s="632">
        <v>14353</v>
      </c>
      <c r="B325" s="632" t="s">
        <v>62</v>
      </c>
      <c r="C325" s="632" t="s">
        <v>62</v>
      </c>
      <c r="D325" s="632" t="s">
        <v>126</v>
      </c>
      <c r="E325" s="633">
        <v>43423.767731481479</v>
      </c>
      <c r="F325" s="438">
        <v>43423.767731481479</v>
      </c>
      <c r="G325" s="634">
        <v>0.76736111111111116</v>
      </c>
      <c r="H325" s="688" t="s">
        <v>115</v>
      </c>
      <c r="I325" s="686" t="s">
        <v>115</v>
      </c>
      <c r="J325" s="688" t="s">
        <v>115</v>
      </c>
    </row>
    <row r="326" spans="1:14">
      <c r="A326" s="632">
        <v>14354</v>
      </c>
      <c r="B326" s="632" t="s">
        <v>62</v>
      </c>
      <c r="C326" s="632" t="s">
        <v>62</v>
      </c>
      <c r="D326" s="632" t="s">
        <v>127</v>
      </c>
      <c r="E326" s="633">
        <v>43423.767743055556</v>
      </c>
      <c r="F326" s="438">
        <v>43423.767743055556</v>
      </c>
      <c r="G326" s="634">
        <v>0.76736111111111116</v>
      </c>
      <c r="H326" s="688" t="s">
        <v>115</v>
      </c>
      <c r="I326" s="686" t="s">
        <v>115</v>
      </c>
      <c r="J326" s="688" t="s">
        <v>115</v>
      </c>
      <c r="K326" s="688">
        <v>0.36699999999999999</v>
      </c>
      <c r="M326" s="688">
        <v>0.36699999999999999</v>
      </c>
      <c r="N326" s="688">
        <v>0</v>
      </c>
    </row>
    <row r="327" spans="1:14">
      <c r="A327" s="632">
        <v>14359</v>
      </c>
      <c r="B327" s="632" t="s">
        <v>62</v>
      </c>
      <c r="C327" s="632" t="s">
        <v>62</v>
      </c>
      <c r="D327" s="632" t="s">
        <v>128</v>
      </c>
      <c r="E327" s="633">
        <v>43423.786631944444</v>
      </c>
      <c r="F327" s="438">
        <v>43423.786631944444</v>
      </c>
      <c r="G327" s="634">
        <v>0.78611111111111109</v>
      </c>
      <c r="H327" s="688" t="s">
        <v>115</v>
      </c>
      <c r="I327" s="686" t="s">
        <v>115</v>
      </c>
      <c r="J327" s="688" t="s">
        <v>115</v>
      </c>
    </row>
    <row r="328" spans="1:14">
      <c r="A328" s="632">
        <v>14370</v>
      </c>
      <c r="B328" s="632" t="s">
        <v>62</v>
      </c>
      <c r="C328" s="632" t="s">
        <v>62</v>
      </c>
      <c r="D328" s="632" t="s">
        <v>125</v>
      </c>
      <c r="E328" s="633">
        <v>43424.362905092596</v>
      </c>
      <c r="F328" s="438">
        <v>43424.362905092596</v>
      </c>
      <c r="G328" s="634">
        <v>0.36249999999999999</v>
      </c>
      <c r="H328" s="688">
        <v>9.8000000000000007</v>
      </c>
      <c r="I328" s="686">
        <v>8</v>
      </c>
      <c r="J328" s="688" t="s">
        <v>115</v>
      </c>
    </row>
    <row r="329" spans="1:14">
      <c r="A329" s="632">
        <v>14383</v>
      </c>
      <c r="B329" s="632" t="s">
        <v>62</v>
      </c>
      <c r="C329" s="632" t="s">
        <v>62</v>
      </c>
      <c r="D329" s="632" t="s">
        <v>126</v>
      </c>
      <c r="E329" s="633">
        <v>43424.771053240744</v>
      </c>
      <c r="F329" s="438">
        <v>43424.771053240744</v>
      </c>
      <c r="G329" s="634">
        <v>0.77083333333333337</v>
      </c>
      <c r="H329" s="688" t="s">
        <v>115</v>
      </c>
      <c r="I329" s="686" t="s">
        <v>115</v>
      </c>
      <c r="J329" s="688" t="s">
        <v>115</v>
      </c>
    </row>
    <row r="330" spans="1:14">
      <c r="A330" s="632">
        <v>14399</v>
      </c>
      <c r="B330" s="632" t="s">
        <v>62</v>
      </c>
      <c r="C330" s="632" t="s">
        <v>62</v>
      </c>
      <c r="D330" s="632" t="s">
        <v>125</v>
      </c>
      <c r="E330" s="633">
        <v>43425.36310185185</v>
      </c>
      <c r="F330" s="438">
        <v>43425.36310185185</v>
      </c>
      <c r="G330" s="634">
        <v>0.36249999999999999</v>
      </c>
      <c r="H330" s="688">
        <v>9.75</v>
      </c>
      <c r="I330" s="686">
        <v>8</v>
      </c>
      <c r="J330" s="688" t="s">
        <v>115</v>
      </c>
    </row>
    <row r="331" spans="1:14">
      <c r="A331" s="632">
        <v>14409</v>
      </c>
      <c r="B331" s="632" t="s">
        <v>62</v>
      </c>
      <c r="C331" s="632" t="s">
        <v>62</v>
      </c>
      <c r="D331" s="632" t="s">
        <v>126</v>
      </c>
      <c r="E331" s="633">
        <v>43425.769201388888</v>
      </c>
      <c r="F331" s="438">
        <v>43425.769201388888</v>
      </c>
      <c r="G331" s="634">
        <v>0.76874999999999993</v>
      </c>
      <c r="H331" s="688" t="s">
        <v>115</v>
      </c>
      <c r="I331" s="686" t="s">
        <v>115</v>
      </c>
      <c r="J331" s="688" t="s">
        <v>115</v>
      </c>
    </row>
    <row r="332" spans="1:14">
      <c r="A332" s="632">
        <v>14410</v>
      </c>
      <c r="B332" s="632" t="s">
        <v>62</v>
      </c>
      <c r="C332" s="632" t="s">
        <v>62</v>
      </c>
      <c r="D332" s="632" t="s">
        <v>127</v>
      </c>
      <c r="E332" s="633">
        <v>43425.769212962965</v>
      </c>
      <c r="F332" s="438">
        <v>43425.769212962965</v>
      </c>
      <c r="G332" s="634">
        <v>0.76874999999999993</v>
      </c>
      <c r="H332" s="688" t="s">
        <v>115</v>
      </c>
      <c r="I332" s="686" t="s">
        <v>115</v>
      </c>
      <c r="J332" s="688" t="s">
        <v>115</v>
      </c>
      <c r="K332" s="688">
        <v>0.61699999999999999</v>
      </c>
      <c r="M332" s="688">
        <v>2</v>
      </c>
      <c r="N332" s="688">
        <v>0.56700000000000017</v>
      </c>
    </row>
    <row r="333" spans="1:14">
      <c r="A333" s="632">
        <v>14413</v>
      </c>
      <c r="B333" s="632" t="s">
        <v>62</v>
      </c>
      <c r="C333" s="632" t="s">
        <v>62</v>
      </c>
      <c r="D333" s="632" t="s">
        <v>128</v>
      </c>
      <c r="E333" s="633">
        <v>43425.796701388892</v>
      </c>
      <c r="F333" s="438">
        <v>43425.796701388892</v>
      </c>
      <c r="G333" s="634">
        <v>0.79652777777777783</v>
      </c>
      <c r="H333" s="688" t="s">
        <v>115</v>
      </c>
      <c r="I333" s="686" t="s">
        <v>115</v>
      </c>
      <c r="J333" s="688" t="s">
        <v>115</v>
      </c>
    </row>
    <row r="334" spans="1:14">
      <c r="A334" s="632">
        <v>14416</v>
      </c>
      <c r="B334" s="632" t="s">
        <v>62</v>
      </c>
      <c r="C334" s="632" t="s">
        <v>62</v>
      </c>
      <c r="D334" s="632" t="s">
        <v>127</v>
      </c>
      <c r="E334" s="633">
        <v>43425.81585648148</v>
      </c>
      <c r="F334" s="438">
        <v>43425.81585648148</v>
      </c>
      <c r="G334" s="634">
        <v>0.81527777777777777</v>
      </c>
      <c r="H334" s="688" t="s">
        <v>115</v>
      </c>
      <c r="I334" s="686" t="s">
        <v>115</v>
      </c>
      <c r="J334" s="688" t="s">
        <v>115</v>
      </c>
      <c r="K334" s="688">
        <v>1.95</v>
      </c>
    </row>
    <row r="335" spans="1:14">
      <c r="A335" s="632">
        <v>14419</v>
      </c>
      <c r="B335" s="632" t="s">
        <v>78</v>
      </c>
      <c r="C335" s="632" t="s">
        <v>62</v>
      </c>
      <c r="D335" s="632" t="s">
        <v>128</v>
      </c>
      <c r="E335" s="633">
        <v>43425.896770833337</v>
      </c>
      <c r="F335" s="438">
        <v>43425.896770833337</v>
      </c>
      <c r="G335" s="634">
        <v>0.8965277777777777</v>
      </c>
      <c r="H335" s="688" t="s">
        <v>115</v>
      </c>
      <c r="I335" s="686" t="s">
        <v>115</v>
      </c>
      <c r="J335" s="688" t="s">
        <v>115</v>
      </c>
    </row>
    <row r="336" spans="1:14">
      <c r="A336" s="632">
        <v>14428</v>
      </c>
      <c r="B336" s="632" t="s">
        <v>62</v>
      </c>
      <c r="C336" s="632" t="s">
        <v>62</v>
      </c>
      <c r="D336" s="632" t="s">
        <v>125</v>
      </c>
      <c r="E336" s="633">
        <v>43426.381226851852</v>
      </c>
      <c r="F336" s="438">
        <v>43426.381226851852</v>
      </c>
      <c r="G336" s="634">
        <v>0.38055555555555554</v>
      </c>
      <c r="H336" s="688">
        <v>9.1669999999999998</v>
      </c>
      <c r="I336" s="686">
        <v>7.6669999999999998</v>
      </c>
      <c r="J336" s="688">
        <v>0.33300000000000018</v>
      </c>
    </row>
    <row r="337" spans="1:14">
      <c r="A337" s="632">
        <v>14431</v>
      </c>
      <c r="B337" s="632" t="s">
        <v>78</v>
      </c>
      <c r="C337" s="632" t="s">
        <v>62</v>
      </c>
      <c r="D337" s="632" t="s">
        <v>126</v>
      </c>
      <c r="E337" s="633">
        <v>43426.763113425928</v>
      </c>
      <c r="F337" s="438">
        <v>43426.763113425928</v>
      </c>
      <c r="G337" s="634">
        <v>0.76250000000000007</v>
      </c>
      <c r="H337" s="688" t="s">
        <v>115</v>
      </c>
      <c r="I337" s="686" t="s">
        <v>115</v>
      </c>
      <c r="J337" s="688" t="s">
        <v>115</v>
      </c>
    </row>
    <row r="338" spans="1:14">
      <c r="A338" s="632">
        <v>14432</v>
      </c>
      <c r="B338" s="632" t="s">
        <v>78</v>
      </c>
      <c r="C338" s="632" t="s">
        <v>62</v>
      </c>
      <c r="D338" s="632" t="s">
        <v>127</v>
      </c>
      <c r="E338" s="633">
        <v>43426.763124999998</v>
      </c>
      <c r="F338" s="438">
        <v>43426.763124999998</v>
      </c>
      <c r="G338" s="634">
        <v>0.76250000000000007</v>
      </c>
      <c r="H338" s="688" t="s">
        <v>115</v>
      </c>
      <c r="I338" s="686" t="s">
        <v>115</v>
      </c>
      <c r="J338" s="688" t="s">
        <v>115</v>
      </c>
      <c r="K338" s="688">
        <v>1.9</v>
      </c>
      <c r="M338" s="688">
        <v>1.9</v>
      </c>
      <c r="N338" s="688">
        <v>0</v>
      </c>
    </row>
    <row r="339" spans="1:14">
      <c r="A339" s="632">
        <v>14447</v>
      </c>
      <c r="B339" s="632" t="s">
        <v>78</v>
      </c>
      <c r="C339" s="632" t="s">
        <v>62</v>
      </c>
      <c r="D339" s="632" t="s">
        <v>128</v>
      </c>
      <c r="E339" s="633">
        <v>43426.850613425922</v>
      </c>
      <c r="F339" s="438">
        <v>43426.850613425922</v>
      </c>
      <c r="G339" s="634">
        <v>0.85</v>
      </c>
      <c r="H339" s="688" t="s">
        <v>115</v>
      </c>
      <c r="I339" s="686" t="s">
        <v>115</v>
      </c>
      <c r="J339" s="688" t="s">
        <v>115</v>
      </c>
    </row>
    <row r="340" spans="1:14">
      <c r="A340" s="632">
        <v>14455</v>
      </c>
      <c r="B340" s="632" t="s">
        <v>78</v>
      </c>
      <c r="C340" s="632" t="s">
        <v>62</v>
      </c>
      <c r="D340" s="632" t="s">
        <v>125</v>
      </c>
      <c r="E340" s="633">
        <v>43427.362129629626</v>
      </c>
      <c r="F340" s="438">
        <v>43427.362129629626</v>
      </c>
      <c r="G340" s="634">
        <v>0.36180555555555555</v>
      </c>
      <c r="H340" s="688">
        <v>0</v>
      </c>
      <c r="I340" s="686">
        <v>-1.5</v>
      </c>
      <c r="J340" s="688">
        <v>9.5</v>
      </c>
    </row>
    <row r="341" spans="1:14">
      <c r="A341" s="632">
        <v>14456</v>
      </c>
      <c r="B341" s="632" t="s">
        <v>78</v>
      </c>
      <c r="C341" s="632" t="s">
        <v>62</v>
      </c>
      <c r="D341" s="632" t="s">
        <v>126</v>
      </c>
      <c r="E341" s="633">
        <v>43427.362268518518</v>
      </c>
      <c r="F341" s="438">
        <v>43427.362268518518</v>
      </c>
      <c r="G341" s="634">
        <v>0.36180555555555555</v>
      </c>
      <c r="H341" s="688" t="s">
        <v>115</v>
      </c>
      <c r="I341" s="686" t="s">
        <v>115</v>
      </c>
      <c r="J341" s="688" t="s">
        <v>115</v>
      </c>
    </row>
    <row r="342" spans="1:14">
      <c r="A342" s="632">
        <v>14458</v>
      </c>
      <c r="B342" s="632" t="s">
        <v>78</v>
      </c>
      <c r="C342" s="632" t="s">
        <v>62</v>
      </c>
      <c r="D342" s="632" t="s">
        <v>125</v>
      </c>
      <c r="E342" s="633">
        <v>43427.363310185188</v>
      </c>
      <c r="F342" s="438">
        <v>43427.363310185188</v>
      </c>
      <c r="G342" s="634">
        <v>0.36319444444444443</v>
      </c>
      <c r="H342" s="688">
        <v>9.65</v>
      </c>
      <c r="I342" s="686">
        <v>8</v>
      </c>
      <c r="J342" s="688" t="s">
        <v>115</v>
      </c>
    </row>
    <row r="343" spans="1:14">
      <c r="A343" s="632">
        <v>14468</v>
      </c>
      <c r="B343" s="632" t="s">
        <v>62</v>
      </c>
      <c r="C343" s="632" t="s">
        <v>62</v>
      </c>
      <c r="D343" s="632" t="s">
        <v>126</v>
      </c>
      <c r="E343" s="633">
        <v>43427.765949074077</v>
      </c>
      <c r="F343" s="438">
        <v>43427.765949074077</v>
      </c>
      <c r="G343" s="634">
        <v>0.76527777777777783</v>
      </c>
      <c r="H343" s="688" t="s">
        <v>115</v>
      </c>
      <c r="I343" s="686" t="s">
        <v>115</v>
      </c>
      <c r="J343" s="688" t="s">
        <v>115</v>
      </c>
    </row>
    <row r="344" spans="1:14">
      <c r="A344" s="632">
        <v>14469</v>
      </c>
      <c r="B344" s="632" t="s">
        <v>62</v>
      </c>
      <c r="C344" s="632" t="s">
        <v>62</v>
      </c>
      <c r="D344" s="632" t="s">
        <v>128</v>
      </c>
      <c r="E344" s="633">
        <v>43427.765960648147</v>
      </c>
      <c r="F344" s="438">
        <v>43427.765960648147</v>
      </c>
      <c r="G344" s="634">
        <v>0.76527777777777783</v>
      </c>
      <c r="H344" s="688" t="s">
        <v>115</v>
      </c>
      <c r="I344" s="686" t="s">
        <v>115</v>
      </c>
      <c r="J344" s="688" t="s">
        <v>115</v>
      </c>
    </row>
    <row r="345" spans="1:14">
      <c r="A345" s="632">
        <v>14474</v>
      </c>
      <c r="B345" s="632" t="s">
        <v>62</v>
      </c>
      <c r="C345" s="632" t="s">
        <v>62</v>
      </c>
      <c r="D345" s="632" t="s">
        <v>126</v>
      </c>
      <c r="E345" s="633">
        <v>43427.779513888891</v>
      </c>
      <c r="F345" s="438">
        <v>43427.779513888891</v>
      </c>
      <c r="G345" s="634">
        <v>0.77916666666666667</v>
      </c>
      <c r="H345" s="688" t="s">
        <v>115</v>
      </c>
      <c r="I345" s="686" t="s">
        <v>115</v>
      </c>
      <c r="J345" s="688" t="s">
        <v>115</v>
      </c>
    </row>
    <row r="346" spans="1:14">
      <c r="A346" s="632">
        <v>14475</v>
      </c>
      <c r="B346" s="632" t="s">
        <v>62</v>
      </c>
      <c r="C346" s="632" t="s">
        <v>62</v>
      </c>
      <c r="D346" s="632" t="s">
        <v>127</v>
      </c>
      <c r="E346" s="633">
        <v>43427.779537037037</v>
      </c>
      <c r="F346" s="438">
        <v>43427.779537037037</v>
      </c>
      <c r="G346" s="634">
        <v>0.77916666666666667</v>
      </c>
      <c r="H346" s="688" t="s">
        <v>115</v>
      </c>
      <c r="I346" s="686" t="s">
        <v>115</v>
      </c>
      <c r="J346" s="688" t="s">
        <v>115</v>
      </c>
      <c r="K346" s="688">
        <v>0.38300000000000001</v>
      </c>
      <c r="M346" s="688">
        <v>0.38300000000000001</v>
      </c>
      <c r="N346" s="688">
        <v>0</v>
      </c>
    </row>
    <row r="347" spans="1:14">
      <c r="A347" s="632">
        <v>14477</v>
      </c>
      <c r="B347" s="632" t="s">
        <v>62</v>
      </c>
      <c r="C347" s="632" t="s">
        <v>62</v>
      </c>
      <c r="D347" s="632" t="s">
        <v>128</v>
      </c>
      <c r="E347" s="633">
        <v>43427.795474537037</v>
      </c>
      <c r="F347" s="438">
        <v>43427.795474537037</v>
      </c>
      <c r="G347" s="634">
        <v>0.79513888888888884</v>
      </c>
      <c r="H347" s="688" t="s">
        <v>115</v>
      </c>
      <c r="I347" s="686" t="s">
        <v>115</v>
      </c>
      <c r="J347" s="688" t="s">
        <v>115</v>
      </c>
    </row>
    <row r="348" spans="1:14">
      <c r="B348" s="632" t="s">
        <v>62</v>
      </c>
      <c r="C348" s="632" t="s">
        <v>62</v>
      </c>
      <c r="D348" s="632" t="s">
        <v>127</v>
      </c>
      <c r="E348" s="633">
        <v>43428.75</v>
      </c>
      <c r="F348" s="438">
        <v>43428.75</v>
      </c>
      <c r="G348" s="634">
        <v>0.75</v>
      </c>
      <c r="H348" s="688" t="s">
        <v>115</v>
      </c>
      <c r="I348" s="686" t="s">
        <v>115</v>
      </c>
      <c r="J348" s="688" t="s">
        <v>115</v>
      </c>
      <c r="K348" s="688">
        <v>4</v>
      </c>
      <c r="M348" s="688">
        <v>2</v>
      </c>
      <c r="N348" s="688">
        <v>2</v>
      </c>
    </row>
    <row r="349" spans="1:14">
      <c r="B349" s="632" t="s">
        <v>62</v>
      </c>
      <c r="C349" s="632" t="s">
        <v>62</v>
      </c>
      <c r="D349" s="632" t="s">
        <v>128</v>
      </c>
      <c r="E349" s="633">
        <v>43428.916666666664</v>
      </c>
      <c r="F349" s="438">
        <v>43428.916666666664</v>
      </c>
      <c r="G349" s="634">
        <v>0.91666666666666663</v>
      </c>
      <c r="H349" s="688" t="s">
        <v>115</v>
      </c>
      <c r="I349" s="686" t="s">
        <v>115</v>
      </c>
      <c r="J349" s="688" t="s">
        <v>115</v>
      </c>
    </row>
    <row r="350" spans="1:14">
      <c r="A350" s="632">
        <v>14485</v>
      </c>
      <c r="B350" s="632" t="s">
        <v>62</v>
      </c>
      <c r="C350" s="632" t="s">
        <v>62</v>
      </c>
      <c r="D350" s="632" t="s">
        <v>125</v>
      </c>
      <c r="E350" s="633">
        <v>43430.365254629629</v>
      </c>
      <c r="F350" s="438">
        <v>43430.365254629629</v>
      </c>
      <c r="G350" s="634">
        <v>0.36458333333333331</v>
      </c>
      <c r="H350" s="688">
        <v>9.65</v>
      </c>
      <c r="I350" s="686">
        <v>8</v>
      </c>
      <c r="J350" s="688" t="s">
        <v>115</v>
      </c>
    </row>
    <row r="351" spans="1:14">
      <c r="A351" s="632">
        <v>14495</v>
      </c>
      <c r="B351" s="632" t="s">
        <v>62</v>
      </c>
      <c r="C351" s="632" t="s">
        <v>62</v>
      </c>
      <c r="D351" s="632" t="s">
        <v>126</v>
      </c>
      <c r="E351" s="633">
        <v>43430.76667824074</v>
      </c>
      <c r="F351" s="438">
        <v>43430.76667824074</v>
      </c>
      <c r="G351" s="634">
        <v>0.76666666666666661</v>
      </c>
      <c r="H351" s="688" t="s">
        <v>115</v>
      </c>
      <c r="I351" s="686" t="s">
        <v>115</v>
      </c>
      <c r="J351" s="688" t="s">
        <v>115</v>
      </c>
    </row>
    <row r="352" spans="1:14">
      <c r="A352" s="632">
        <v>14496</v>
      </c>
      <c r="B352" s="632" t="s">
        <v>62</v>
      </c>
      <c r="C352" s="632" t="s">
        <v>62</v>
      </c>
      <c r="D352" s="632" t="s">
        <v>127</v>
      </c>
      <c r="E352" s="633">
        <v>43430.766689814816</v>
      </c>
      <c r="F352" s="438">
        <v>43430.766689814816</v>
      </c>
      <c r="G352" s="634">
        <v>0.76666666666666661</v>
      </c>
      <c r="H352" s="688" t="s">
        <v>115</v>
      </c>
      <c r="I352" s="686" t="s">
        <v>115</v>
      </c>
      <c r="J352" s="688" t="s">
        <v>115</v>
      </c>
      <c r="K352" s="688">
        <v>0.26700000000000002</v>
      </c>
      <c r="M352" s="688">
        <v>0.26700000000000002</v>
      </c>
      <c r="N352" s="688">
        <v>0</v>
      </c>
    </row>
    <row r="353" spans="1:14">
      <c r="A353" s="632">
        <v>14501</v>
      </c>
      <c r="B353" s="632" t="s">
        <v>62</v>
      </c>
      <c r="C353" s="632" t="s">
        <v>62</v>
      </c>
      <c r="D353" s="632" t="s">
        <v>128</v>
      </c>
      <c r="E353" s="633">
        <v>43430.782129629632</v>
      </c>
      <c r="F353" s="438">
        <v>43430.782129629632</v>
      </c>
      <c r="G353" s="634">
        <v>0.78194444444444444</v>
      </c>
      <c r="H353" s="688" t="s">
        <v>115</v>
      </c>
      <c r="I353" s="686" t="s">
        <v>115</v>
      </c>
      <c r="J353" s="688" t="s">
        <v>115</v>
      </c>
    </row>
    <row r="354" spans="1:14">
      <c r="A354" s="632">
        <v>14512</v>
      </c>
      <c r="B354" s="632" t="s">
        <v>62</v>
      </c>
      <c r="C354" s="632" t="s">
        <v>62</v>
      </c>
      <c r="D354" s="632" t="s">
        <v>125</v>
      </c>
      <c r="E354" s="633">
        <v>43431.363287037035</v>
      </c>
      <c r="F354" s="438">
        <v>43431.363287037035</v>
      </c>
      <c r="G354" s="634">
        <v>0.36319444444444443</v>
      </c>
      <c r="H354" s="688">
        <v>9.7330000000000005</v>
      </c>
      <c r="I354" s="686">
        <v>8</v>
      </c>
      <c r="J354" s="688" t="s">
        <v>115</v>
      </c>
    </row>
    <row r="355" spans="1:14">
      <c r="A355" s="632">
        <v>14523</v>
      </c>
      <c r="B355" s="632" t="s">
        <v>62</v>
      </c>
      <c r="C355" s="632" t="s">
        <v>62</v>
      </c>
      <c r="D355" s="632" t="s">
        <v>126</v>
      </c>
      <c r="E355" s="633">
        <v>43431.769270833334</v>
      </c>
      <c r="F355" s="438">
        <v>43431.769270833334</v>
      </c>
      <c r="G355" s="634">
        <v>0.76874999999999993</v>
      </c>
      <c r="H355" s="688" t="s">
        <v>115</v>
      </c>
      <c r="I355" s="686" t="s">
        <v>115</v>
      </c>
      <c r="J355" s="688" t="s">
        <v>115</v>
      </c>
    </row>
    <row r="356" spans="1:14">
      <c r="A356" s="632">
        <v>14543</v>
      </c>
      <c r="B356" s="632" t="s">
        <v>62</v>
      </c>
      <c r="C356" s="632" t="s">
        <v>62</v>
      </c>
      <c r="D356" s="632" t="s">
        <v>125</v>
      </c>
      <c r="E356" s="633">
        <v>43432.369768518518</v>
      </c>
      <c r="F356" s="438">
        <v>43432.369768518518</v>
      </c>
      <c r="G356" s="634">
        <v>0.36944444444444446</v>
      </c>
      <c r="H356" s="688">
        <v>9.4670000000000005</v>
      </c>
      <c r="I356" s="686">
        <v>7.9670000000000005</v>
      </c>
      <c r="J356" s="688">
        <v>3.2999999999999474E-2</v>
      </c>
    </row>
    <row r="357" spans="1:14">
      <c r="A357" s="632">
        <v>14548</v>
      </c>
      <c r="B357" s="632" t="s">
        <v>62</v>
      </c>
      <c r="C357" s="632" t="s">
        <v>62</v>
      </c>
      <c r="D357" s="632" t="s">
        <v>126</v>
      </c>
      <c r="E357" s="633">
        <v>43432.764270833337</v>
      </c>
      <c r="F357" s="438">
        <v>43432.764270833337</v>
      </c>
      <c r="G357" s="634">
        <v>0.76388888888888884</v>
      </c>
      <c r="H357" s="688" t="s">
        <v>115</v>
      </c>
      <c r="I357" s="686" t="s">
        <v>115</v>
      </c>
      <c r="J357" s="688" t="s">
        <v>115</v>
      </c>
    </row>
    <row r="358" spans="1:14">
      <c r="A358" s="632">
        <v>14549</v>
      </c>
      <c r="B358" s="632" t="s">
        <v>62</v>
      </c>
      <c r="C358" s="632" t="s">
        <v>62</v>
      </c>
      <c r="D358" s="632" t="s">
        <v>127</v>
      </c>
      <c r="E358" s="633">
        <v>43432.764282407406</v>
      </c>
      <c r="F358" s="438">
        <v>43432.764282407406</v>
      </c>
      <c r="G358" s="634">
        <v>0.76388888888888884</v>
      </c>
      <c r="H358" s="688" t="s">
        <v>115</v>
      </c>
      <c r="I358" s="686" t="s">
        <v>115</v>
      </c>
      <c r="J358" s="688" t="s">
        <v>115</v>
      </c>
      <c r="K358" s="688">
        <v>0.65</v>
      </c>
      <c r="M358" s="688">
        <v>2</v>
      </c>
      <c r="N358" s="688">
        <v>0.78299999999999992</v>
      </c>
    </row>
    <row r="359" spans="1:14">
      <c r="A359" s="632">
        <v>14559</v>
      </c>
      <c r="B359" s="632" t="s">
        <v>62</v>
      </c>
      <c r="C359" s="632" t="s">
        <v>62</v>
      </c>
      <c r="D359" s="632" t="s">
        <v>128</v>
      </c>
      <c r="E359" s="633">
        <v>43432.798333333332</v>
      </c>
      <c r="F359" s="438">
        <v>43432.798333333332</v>
      </c>
      <c r="G359" s="634">
        <v>0.79791666666666661</v>
      </c>
      <c r="H359" s="688" t="s">
        <v>115</v>
      </c>
      <c r="I359" s="686" t="s">
        <v>115</v>
      </c>
      <c r="J359" s="688" t="s">
        <v>115</v>
      </c>
    </row>
    <row r="360" spans="1:14">
      <c r="A360" s="632">
        <v>14561</v>
      </c>
      <c r="B360" s="632" t="s">
        <v>62</v>
      </c>
      <c r="C360" s="632" t="s">
        <v>62</v>
      </c>
      <c r="D360" s="632" t="s">
        <v>127</v>
      </c>
      <c r="E360" s="633">
        <v>43432.810613425929</v>
      </c>
      <c r="F360" s="438">
        <v>43432.810613425929</v>
      </c>
      <c r="G360" s="634">
        <v>0.81041666666666667</v>
      </c>
      <c r="H360" s="688" t="s">
        <v>115</v>
      </c>
      <c r="I360" s="686" t="s">
        <v>115</v>
      </c>
      <c r="J360" s="688" t="s">
        <v>115</v>
      </c>
      <c r="K360" s="688">
        <v>2.133</v>
      </c>
    </row>
    <row r="361" spans="1:14">
      <c r="A361" s="632">
        <v>14566</v>
      </c>
      <c r="B361" s="632" t="s">
        <v>62</v>
      </c>
      <c r="C361" s="632" t="s">
        <v>62</v>
      </c>
      <c r="D361" s="632" t="s">
        <v>128</v>
      </c>
      <c r="E361" s="633">
        <v>43432.899745370371</v>
      </c>
      <c r="F361" s="438">
        <v>43432.899745370371</v>
      </c>
      <c r="G361" s="634">
        <v>0.89930555555555547</v>
      </c>
      <c r="H361" s="688" t="s">
        <v>115</v>
      </c>
      <c r="I361" s="686" t="s">
        <v>115</v>
      </c>
      <c r="J361" s="688" t="s">
        <v>115</v>
      </c>
    </row>
    <row r="362" spans="1:14">
      <c r="A362" s="632">
        <v>14575</v>
      </c>
      <c r="B362" s="632" t="s">
        <v>62</v>
      </c>
      <c r="C362" s="632" t="s">
        <v>62</v>
      </c>
      <c r="D362" s="632" t="s">
        <v>125</v>
      </c>
      <c r="E362" s="633">
        <v>43433.363645833335</v>
      </c>
      <c r="F362" s="438">
        <v>43433.363645833335</v>
      </c>
      <c r="G362" s="634">
        <v>0.36319444444444443</v>
      </c>
      <c r="H362" s="688">
        <v>9.65</v>
      </c>
      <c r="I362" s="686">
        <v>8</v>
      </c>
      <c r="J362" s="688" t="s">
        <v>115</v>
      </c>
    </row>
    <row r="363" spans="1:14">
      <c r="A363" s="632">
        <v>14577</v>
      </c>
      <c r="B363" s="632" t="s">
        <v>62</v>
      </c>
      <c r="C363" s="632" t="s">
        <v>62</v>
      </c>
      <c r="D363" s="632" t="s">
        <v>126</v>
      </c>
      <c r="E363" s="633">
        <v>43433.765868055554</v>
      </c>
      <c r="F363" s="438">
        <v>43433.765868055554</v>
      </c>
      <c r="G363" s="634">
        <v>0.76527777777777783</v>
      </c>
      <c r="H363" s="688" t="s">
        <v>115</v>
      </c>
      <c r="I363" s="686" t="s">
        <v>115</v>
      </c>
      <c r="J363" s="688" t="s">
        <v>115</v>
      </c>
    </row>
    <row r="364" spans="1:14">
      <c r="A364" s="632">
        <v>14578</v>
      </c>
      <c r="B364" s="632" t="s">
        <v>62</v>
      </c>
      <c r="C364" s="632" t="s">
        <v>62</v>
      </c>
      <c r="D364" s="632" t="s">
        <v>127</v>
      </c>
      <c r="E364" s="633">
        <v>43433.765879629631</v>
      </c>
      <c r="F364" s="438">
        <v>43433.765879629631</v>
      </c>
      <c r="G364" s="634">
        <v>0.76527777777777783</v>
      </c>
      <c r="H364" s="688" t="s">
        <v>115</v>
      </c>
      <c r="I364" s="686" t="s">
        <v>115</v>
      </c>
      <c r="J364" s="688" t="s">
        <v>115</v>
      </c>
      <c r="K364" s="688">
        <v>0.28299999999999997</v>
      </c>
      <c r="M364" s="688">
        <v>1.75</v>
      </c>
      <c r="N364" s="688">
        <v>0</v>
      </c>
    </row>
    <row r="365" spans="1:14">
      <c r="A365" s="632">
        <v>14589</v>
      </c>
      <c r="B365" s="632" t="s">
        <v>62</v>
      </c>
      <c r="C365" s="632" t="s">
        <v>62</v>
      </c>
      <c r="D365" s="632" t="s">
        <v>128</v>
      </c>
      <c r="E365" s="633">
        <v>43433.783217592594</v>
      </c>
      <c r="F365" s="438">
        <v>43433.783217592594</v>
      </c>
      <c r="G365" s="634">
        <v>0.78263888888888899</v>
      </c>
      <c r="H365" s="688" t="s">
        <v>115</v>
      </c>
      <c r="I365" s="686" t="s">
        <v>115</v>
      </c>
      <c r="J365" s="688" t="s">
        <v>115</v>
      </c>
    </row>
    <row r="366" spans="1:14">
      <c r="A366" s="632">
        <v>14591</v>
      </c>
      <c r="B366" s="632" t="s">
        <v>62</v>
      </c>
      <c r="C366" s="632" t="s">
        <v>62</v>
      </c>
      <c r="D366" s="632" t="s">
        <v>127</v>
      </c>
      <c r="E366" s="633">
        <v>43433.80431712963</v>
      </c>
      <c r="F366" s="438">
        <v>43433.80431712963</v>
      </c>
      <c r="G366" s="634">
        <v>0.8041666666666667</v>
      </c>
      <c r="H366" s="688" t="s">
        <v>115</v>
      </c>
      <c r="I366" s="686" t="s">
        <v>115</v>
      </c>
      <c r="J366" s="688" t="s">
        <v>115</v>
      </c>
      <c r="K366" s="688">
        <v>1.4670000000000001</v>
      </c>
    </row>
    <row r="367" spans="1:14">
      <c r="A367" s="632">
        <v>14595</v>
      </c>
      <c r="B367" s="632" t="s">
        <v>62</v>
      </c>
      <c r="C367" s="632" t="s">
        <v>62</v>
      </c>
      <c r="D367" s="632" t="s">
        <v>128</v>
      </c>
      <c r="E367" s="633">
        <v>43433.865810185183</v>
      </c>
      <c r="F367" s="438">
        <v>43433.865810185183</v>
      </c>
      <c r="G367" s="634">
        <v>0.8652777777777777</v>
      </c>
      <c r="H367" s="688" t="s">
        <v>115</v>
      </c>
      <c r="I367" s="686" t="s">
        <v>115</v>
      </c>
      <c r="J367" s="688" t="s">
        <v>115</v>
      </c>
    </row>
    <row r="368" spans="1:14">
      <c r="A368" s="632">
        <v>14604</v>
      </c>
      <c r="B368" s="632" t="s">
        <v>62</v>
      </c>
      <c r="C368" s="632" t="s">
        <v>62</v>
      </c>
      <c r="D368" s="632" t="s">
        <v>125</v>
      </c>
      <c r="E368" s="633">
        <v>43434.365520833337</v>
      </c>
      <c r="F368" s="438">
        <v>43434.365520833337</v>
      </c>
      <c r="G368" s="634">
        <v>0.36527777777777781</v>
      </c>
      <c r="H368" s="688">
        <v>9.7170000000000005</v>
      </c>
      <c r="I368" s="686">
        <v>8</v>
      </c>
      <c r="J368" s="688" t="s">
        <v>115</v>
      </c>
    </row>
    <row r="369" spans="1:14">
      <c r="A369" s="632">
        <v>14612</v>
      </c>
      <c r="B369" s="632" t="s">
        <v>62</v>
      </c>
      <c r="C369" s="632" t="s">
        <v>62</v>
      </c>
      <c r="D369" s="632" t="s">
        <v>126</v>
      </c>
      <c r="E369" s="633">
        <v>43434.770821759259</v>
      </c>
      <c r="F369" s="438">
        <v>43434.770821759259</v>
      </c>
      <c r="G369" s="634">
        <v>0.77013888888888893</v>
      </c>
      <c r="H369" s="688" t="s">
        <v>115</v>
      </c>
      <c r="I369" s="686" t="s">
        <v>115</v>
      </c>
      <c r="J369" s="688" t="s">
        <v>115</v>
      </c>
    </row>
    <row r="370" spans="1:14">
      <c r="A370" s="632">
        <v>14613</v>
      </c>
      <c r="B370" s="632" t="s">
        <v>62</v>
      </c>
      <c r="C370" s="632" t="s">
        <v>62</v>
      </c>
      <c r="D370" s="632" t="s">
        <v>127</v>
      </c>
      <c r="E370" s="633">
        <v>43434.770833333336</v>
      </c>
      <c r="F370" s="438">
        <v>43434.770833333336</v>
      </c>
      <c r="G370" s="634">
        <v>0.77083333333333337</v>
      </c>
      <c r="H370" s="688" t="s">
        <v>115</v>
      </c>
      <c r="I370" s="686" t="s">
        <v>115</v>
      </c>
      <c r="J370" s="688" t="s">
        <v>115</v>
      </c>
      <c r="K370" s="688">
        <v>0.51700000000000002</v>
      </c>
      <c r="M370" s="688">
        <v>0.51700000000000002</v>
      </c>
      <c r="N370" s="688">
        <v>0</v>
      </c>
    </row>
    <row r="371" spans="1:14">
      <c r="A371" s="632">
        <v>14621</v>
      </c>
      <c r="B371" s="632" t="s">
        <v>62</v>
      </c>
      <c r="C371" s="632" t="s">
        <v>62</v>
      </c>
      <c r="D371" s="632" t="s">
        <v>128</v>
      </c>
      <c r="E371" s="633">
        <v>43434.792870370373</v>
      </c>
      <c r="F371" s="438">
        <v>43434.792870370373</v>
      </c>
      <c r="G371" s="634">
        <v>0.79236111111111107</v>
      </c>
      <c r="H371" s="688" t="s">
        <v>115</v>
      </c>
      <c r="I371" s="686" t="s">
        <v>115</v>
      </c>
      <c r="J371" s="688" t="s">
        <v>115</v>
      </c>
    </row>
    <row r="372" spans="1:14">
      <c r="A372" s="632">
        <v>14057</v>
      </c>
      <c r="B372" s="632" t="s">
        <v>71</v>
      </c>
      <c r="C372" s="632" t="s">
        <v>71</v>
      </c>
      <c r="D372" s="632" t="s">
        <v>125</v>
      </c>
      <c r="E372" s="633">
        <v>43405.36042824074</v>
      </c>
      <c r="F372" s="438">
        <v>43405.36042824074</v>
      </c>
      <c r="G372" s="634">
        <v>0.36041666666666666</v>
      </c>
      <c r="H372" s="688">
        <v>9.75</v>
      </c>
      <c r="I372" s="686">
        <v>8</v>
      </c>
      <c r="J372" s="688" t="s">
        <v>115</v>
      </c>
    </row>
    <row r="373" spans="1:14">
      <c r="A373" s="632">
        <v>14067</v>
      </c>
      <c r="B373" s="632" t="s">
        <v>70</v>
      </c>
      <c r="C373" s="632" t="s">
        <v>71</v>
      </c>
      <c r="D373" s="632" t="s">
        <v>126</v>
      </c>
      <c r="E373" s="633">
        <v>43405.766782407409</v>
      </c>
      <c r="F373" s="438">
        <v>43405.766782407409</v>
      </c>
      <c r="G373" s="634">
        <v>0.76666666666666661</v>
      </c>
      <c r="H373" s="688" t="s">
        <v>115</v>
      </c>
      <c r="I373" s="686" t="s">
        <v>115</v>
      </c>
      <c r="J373" s="688" t="s">
        <v>115</v>
      </c>
    </row>
    <row r="374" spans="1:14">
      <c r="A374" s="632">
        <v>14074</v>
      </c>
      <c r="B374" s="632" t="s">
        <v>71</v>
      </c>
      <c r="C374" s="632" t="s">
        <v>71</v>
      </c>
      <c r="D374" s="632" t="s">
        <v>125</v>
      </c>
      <c r="E374" s="633">
        <v>43406.35974537037</v>
      </c>
      <c r="F374" s="438">
        <v>43406.35974537037</v>
      </c>
      <c r="G374" s="634">
        <v>0.35972222222222222</v>
      </c>
      <c r="H374" s="688">
        <v>9.8670000000000009</v>
      </c>
      <c r="I374" s="686">
        <v>8</v>
      </c>
      <c r="J374" s="688" t="s">
        <v>115</v>
      </c>
    </row>
    <row r="375" spans="1:14">
      <c r="A375" s="632">
        <v>14089</v>
      </c>
      <c r="B375" s="632" t="s">
        <v>70</v>
      </c>
      <c r="C375" s="632" t="s">
        <v>71</v>
      </c>
      <c r="D375" s="632" t="s">
        <v>126</v>
      </c>
      <c r="E375" s="633">
        <v>43406.77140046296</v>
      </c>
      <c r="F375" s="438">
        <v>43406.77140046296</v>
      </c>
      <c r="G375" s="634">
        <v>0.77083333333333337</v>
      </c>
      <c r="H375" s="688" t="s">
        <v>115</v>
      </c>
      <c r="I375" s="686" t="s">
        <v>115</v>
      </c>
      <c r="J375" s="688" t="s">
        <v>115</v>
      </c>
    </row>
    <row r="376" spans="1:14">
      <c r="A376" s="632">
        <v>14090</v>
      </c>
      <c r="B376" s="632" t="s">
        <v>70</v>
      </c>
      <c r="C376" s="632" t="s">
        <v>71</v>
      </c>
      <c r="D376" s="632" t="s">
        <v>127</v>
      </c>
      <c r="E376" s="633">
        <v>43406.771423611113</v>
      </c>
      <c r="F376" s="438">
        <v>43406.771423611113</v>
      </c>
      <c r="G376" s="634">
        <v>0.77083333333333337</v>
      </c>
      <c r="H376" s="688" t="s">
        <v>115</v>
      </c>
      <c r="I376" s="686" t="s">
        <v>115</v>
      </c>
      <c r="J376" s="688" t="s">
        <v>115</v>
      </c>
      <c r="K376" s="688">
        <v>0.28299999999999997</v>
      </c>
      <c r="M376" s="688">
        <v>0.28299999999999997</v>
      </c>
      <c r="N376" s="688">
        <v>0</v>
      </c>
    </row>
    <row r="377" spans="1:14">
      <c r="A377" s="632">
        <v>14096</v>
      </c>
      <c r="B377" s="632" t="s">
        <v>70</v>
      </c>
      <c r="C377" s="632" t="s">
        <v>71</v>
      </c>
      <c r="D377" s="632" t="s">
        <v>128</v>
      </c>
      <c r="E377" s="633">
        <v>43406.783159722225</v>
      </c>
      <c r="F377" s="438">
        <v>43406.783159722225</v>
      </c>
      <c r="G377" s="634">
        <v>0.78263888888888899</v>
      </c>
      <c r="H377" s="688" t="s">
        <v>115</v>
      </c>
      <c r="I377" s="686" t="s">
        <v>115</v>
      </c>
      <c r="J377" s="688" t="s">
        <v>115</v>
      </c>
    </row>
    <row r="378" spans="1:14">
      <c r="A378" s="632">
        <v>14100</v>
      </c>
      <c r="B378" s="632" t="s">
        <v>71</v>
      </c>
      <c r="C378" s="632" t="s">
        <v>71</v>
      </c>
      <c r="D378" s="632" t="s">
        <v>125</v>
      </c>
      <c r="E378" s="633">
        <v>43409.356041666666</v>
      </c>
      <c r="F378" s="438">
        <v>43409.356041666666</v>
      </c>
      <c r="G378" s="634">
        <v>0.35555555555555557</v>
      </c>
      <c r="H378" s="688">
        <v>10.050000000000001</v>
      </c>
      <c r="I378" s="686">
        <v>8</v>
      </c>
      <c r="J378" s="688" t="s">
        <v>115</v>
      </c>
    </row>
    <row r="379" spans="1:14">
      <c r="A379" s="632">
        <v>14117</v>
      </c>
      <c r="B379" s="632" t="s">
        <v>70</v>
      </c>
      <c r="C379" s="632" t="s">
        <v>71</v>
      </c>
      <c r="D379" s="632" t="s">
        <v>126</v>
      </c>
      <c r="E379" s="633">
        <v>43409.77449074074</v>
      </c>
      <c r="F379" s="438">
        <v>43409.77449074074</v>
      </c>
      <c r="G379" s="634">
        <v>0.77430555555555547</v>
      </c>
      <c r="H379" s="688" t="s">
        <v>115</v>
      </c>
      <c r="I379" s="686" t="s">
        <v>115</v>
      </c>
      <c r="J379" s="688" t="s">
        <v>115</v>
      </c>
    </row>
    <row r="380" spans="1:14">
      <c r="A380" s="632">
        <v>14125</v>
      </c>
      <c r="B380" s="632" t="s">
        <v>71</v>
      </c>
      <c r="C380" s="632" t="s">
        <v>71</v>
      </c>
      <c r="D380" s="632" t="s">
        <v>125</v>
      </c>
      <c r="E380" s="633">
        <v>43410.358622685184</v>
      </c>
      <c r="F380" s="438">
        <v>43410.358622685184</v>
      </c>
      <c r="G380" s="634">
        <v>0.35833333333333334</v>
      </c>
      <c r="H380" s="688">
        <v>10.050000000000001</v>
      </c>
      <c r="I380" s="686">
        <v>8</v>
      </c>
      <c r="J380" s="688" t="s">
        <v>115</v>
      </c>
    </row>
    <row r="381" spans="1:14">
      <c r="A381" s="632">
        <v>14141</v>
      </c>
      <c r="B381" s="632" t="s">
        <v>70</v>
      </c>
      <c r="C381" s="632" t="s">
        <v>71</v>
      </c>
      <c r="D381" s="632" t="s">
        <v>126</v>
      </c>
      <c r="E381" s="633">
        <v>43410.777592592596</v>
      </c>
      <c r="F381" s="438">
        <v>43410.777592592596</v>
      </c>
      <c r="G381" s="634">
        <v>0.77708333333333324</v>
      </c>
      <c r="H381" s="688" t="s">
        <v>115</v>
      </c>
      <c r="I381" s="686" t="s">
        <v>115</v>
      </c>
      <c r="J381" s="688" t="s">
        <v>115</v>
      </c>
    </row>
    <row r="382" spans="1:14">
      <c r="A382" s="632">
        <v>14148</v>
      </c>
      <c r="B382" s="632" t="s">
        <v>71</v>
      </c>
      <c r="C382" s="632" t="s">
        <v>71</v>
      </c>
      <c r="D382" s="632" t="s">
        <v>125</v>
      </c>
      <c r="E382" s="633">
        <v>43411.359953703701</v>
      </c>
      <c r="F382" s="438">
        <v>43411.359953703701</v>
      </c>
      <c r="G382" s="634">
        <v>0.35972222222222222</v>
      </c>
      <c r="H382" s="688">
        <v>9.9</v>
      </c>
      <c r="I382" s="686">
        <v>8</v>
      </c>
      <c r="J382" s="688" t="s">
        <v>115</v>
      </c>
    </row>
    <row r="383" spans="1:14">
      <c r="A383" s="632">
        <v>14160</v>
      </c>
      <c r="B383" s="632" t="s">
        <v>70</v>
      </c>
      <c r="C383" s="632" t="s">
        <v>71</v>
      </c>
      <c r="D383" s="632" t="s">
        <v>126</v>
      </c>
      <c r="E383" s="633">
        <v>43411.772800925923</v>
      </c>
      <c r="F383" s="438">
        <v>43411.772800925923</v>
      </c>
      <c r="G383" s="634">
        <v>0.77222222222222225</v>
      </c>
      <c r="H383" s="688" t="s">
        <v>115</v>
      </c>
      <c r="I383" s="686" t="s">
        <v>115</v>
      </c>
      <c r="J383" s="688" t="s">
        <v>115</v>
      </c>
    </row>
    <row r="384" spans="1:14">
      <c r="A384" s="632">
        <v>14165</v>
      </c>
      <c r="B384" s="632" t="s">
        <v>71</v>
      </c>
      <c r="C384" s="632" t="s">
        <v>71</v>
      </c>
      <c r="D384" s="632" t="s">
        <v>125</v>
      </c>
      <c r="E384" s="633">
        <v>43412.358888888892</v>
      </c>
      <c r="F384" s="438">
        <v>43412.358888888892</v>
      </c>
      <c r="G384" s="634">
        <v>0.35833333333333334</v>
      </c>
      <c r="H384" s="688">
        <v>9.9</v>
      </c>
      <c r="I384" s="686">
        <v>8</v>
      </c>
      <c r="J384" s="688" t="s">
        <v>115</v>
      </c>
    </row>
    <row r="385" spans="1:14">
      <c r="A385" s="632">
        <v>14178</v>
      </c>
      <c r="B385" s="632" t="s">
        <v>70</v>
      </c>
      <c r="C385" s="632" t="s">
        <v>71</v>
      </c>
      <c r="D385" s="632" t="s">
        <v>126</v>
      </c>
      <c r="E385" s="633">
        <v>43412.770949074074</v>
      </c>
      <c r="F385" s="438">
        <v>43412.770949074074</v>
      </c>
      <c r="G385" s="634">
        <v>0.77083333333333337</v>
      </c>
      <c r="H385" s="688" t="s">
        <v>115</v>
      </c>
      <c r="I385" s="686" t="s">
        <v>115</v>
      </c>
      <c r="J385" s="688" t="s">
        <v>115</v>
      </c>
    </row>
    <row r="386" spans="1:14">
      <c r="A386" s="632">
        <v>14180</v>
      </c>
      <c r="B386" s="632" t="s">
        <v>70</v>
      </c>
      <c r="C386" s="632" t="s">
        <v>71</v>
      </c>
      <c r="D386" s="632" t="s">
        <v>127</v>
      </c>
      <c r="E386" s="633">
        <v>43412.770995370367</v>
      </c>
      <c r="F386" s="438">
        <v>43412.770995370367</v>
      </c>
      <c r="G386" s="634">
        <v>0.77083333333333337</v>
      </c>
      <c r="H386" s="688" t="s">
        <v>115</v>
      </c>
      <c r="I386" s="686" t="s">
        <v>115</v>
      </c>
      <c r="J386" s="688" t="s">
        <v>115</v>
      </c>
      <c r="K386" s="688">
        <v>0.33300000000000002</v>
      </c>
      <c r="M386" s="688">
        <v>0.33300000000000002</v>
      </c>
      <c r="N386" s="688">
        <v>0</v>
      </c>
    </row>
    <row r="387" spans="1:14">
      <c r="A387" s="632">
        <v>14183</v>
      </c>
      <c r="B387" s="632" t="s">
        <v>70</v>
      </c>
      <c r="C387" s="632" t="s">
        <v>71</v>
      </c>
      <c r="D387" s="632" t="s">
        <v>128</v>
      </c>
      <c r="E387" s="633">
        <v>43412.785243055558</v>
      </c>
      <c r="F387" s="438">
        <v>43412.785243055558</v>
      </c>
      <c r="G387" s="634">
        <v>0.78472222222222221</v>
      </c>
      <c r="H387" s="688" t="s">
        <v>115</v>
      </c>
      <c r="I387" s="686" t="s">
        <v>115</v>
      </c>
      <c r="J387" s="688" t="s">
        <v>115</v>
      </c>
    </row>
    <row r="388" spans="1:14">
      <c r="A388" s="632">
        <v>14190</v>
      </c>
      <c r="B388" s="632" t="s">
        <v>71</v>
      </c>
      <c r="C388" s="632" t="s">
        <v>71</v>
      </c>
      <c r="D388" s="632" t="s">
        <v>125</v>
      </c>
      <c r="E388" s="633">
        <v>43413.355162037034</v>
      </c>
      <c r="F388" s="438">
        <v>43413.355162037034</v>
      </c>
      <c r="G388" s="634">
        <v>0.35486111111111113</v>
      </c>
      <c r="H388" s="688">
        <v>9.5169999999999995</v>
      </c>
      <c r="I388" s="686">
        <v>8</v>
      </c>
      <c r="J388" s="688" t="s">
        <v>115</v>
      </c>
    </row>
    <row r="389" spans="1:14">
      <c r="A389" s="632">
        <v>14199</v>
      </c>
      <c r="B389" s="632" t="s">
        <v>70</v>
      </c>
      <c r="C389" s="632" t="s">
        <v>71</v>
      </c>
      <c r="D389" s="632" t="s">
        <v>126</v>
      </c>
      <c r="E389" s="633">
        <v>43413.751817129632</v>
      </c>
      <c r="F389" s="438">
        <v>43413.751817129632</v>
      </c>
      <c r="G389" s="634">
        <v>0.75138888888888899</v>
      </c>
      <c r="H389" s="688" t="s">
        <v>115</v>
      </c>
      <c r="I389" s="686" t="s">
        <v>115</v>
      </c>
      <c r="J389" s="688" t="s">
        <v>115</v>
      </c>
    </row>
    <row r="390" spans="1:14">
      <c r="A390" s="632">
        <v>14215</v>
      </c>
      <c r="B390" s="632" t="s">
        <v>71</v>
      </c>
      <c r="C390" s="632" t="s">
        <v>71</v>
      </c>
      <c r="D390" s="632" t="s">
        <v>125</v>
      </c>
      <c r="E390" s="633">
        <v>43416.360277777778</v>
      </c>
      <c r="F390" s="438">
        <v>43416.360277777778</v>
      </c>
      <c r="G390" s="634">
        <v>0.35972222222222222</v>
      </c>
      <c r="H390" s="688">
        <v>9.8170000000000002</v>
      </c>
      <c r="I390" s="686">
        <v>8</v>
      </c>
      <c r="J390" s="688" t="s">
        <v>115</v>
      </c>
    </row>
    <row r="391" spans="1:14">
      <c r="A391" s="632">
        <v>14226</v>
      </c>
      <c r="B391" s="632" t="s">
        <v>70</v>
      </c>
      <c r="C391" s="632" t="s">
        <v>71</v>
      </c>
      <c r="D391" s="632" t="s">
        <v>126</v>
      </c>
      <c r="E391" s="633">
        <v>43416.769293981481</v>
      </c>
      <c r="F391" s="438">
        <v>43416.769293981481</v>
      </c>
      <c r="G391" s="634">
        <v>0.76874999999999993</v>
      </c>
      <c r="H391" s="688" t="s">
        <v>115</v>
      </c>
      <c r="I391" s="686" t="s">
        <v>115</v>
      </c>
      <c r="J391" s="688" t="s">
        <v>115</v>
      </c>
    </row>
    <row r="392" spans="1:14">
      <c r="A392" s="632">
        <v>14235</v>
      </c>
      <c r="B392" s="632" t="s">
        <v>71</v>
      </c>
      <c r="C392" s="632" t="s">
        <v>71</v>
      </c>
      <c r="D392" s="632" t="s">
        <v>125</v>
      </c>
      <c r="E392" s="633">
        <v>43417.359050925923</v>
      </c>
      <c r="F392" s="438">
        <v>43417.359050925923</v>
      </c>
      <c r="G392" s="634">
        <v>0.35902777777777778</v>
      </c>
      <c r="H392" s="688">
        <v>9.7669999999999995</v>
      </c>
      <c r="I392" s="686">
        <v>8</v>
      </c>
      <c r="J392" s="688" t="s">
        <v>115</v>
      </c>
    </row>
    <row r="393" spans="1:14">
      <c r="A393" s="632">
        <v>14253</v>
      </c>
      <c r="B393" s="632" t="s">
        <v>70</v>
      </c>
      <c r="C393" s="632" t="s">
        <v>71</v>
      </c>
      <c r="D393" s="632" t="s">
        <v>126</v>
      </c>
      <c r="E393" s="633">
        <v>43417.766597222224</v>
      </c>
      <c r="F393" s="438">
        <v>43417.766597222224</v>
      </c>
      <c r="G393" s="634">
        <v>0.76597222222222217</v>
      </c>
      <c r="H393" s="688" t="s">
        <v>115</v>
      </c>
      <c r="I393" s="686" t="s">
        <v>115</v>
      </c>
      <c r="J393" s="688" t="s">
        <v>115</v>
      </c>
    </row>
    <row r="394" spans="1:14">
      <c r="A394" s="632">
        <v>14256</v>
      </c>
      <c r="B394" s="632" t="s">
        <v>70</v>
      </c>
      <c r="C394" s="632" t="s">
        <v>71</v>
      </c>
      <c r="D394" s="632" t="s">
        <v>127</v>
      </c>
      <c r="E394" s="633">
        <v>43417.766724537039</v>
      </c>
      <c r="F394" s="438">
        <v>43417.766724537039</v>
      </c>
      <c r="G394" s="634">
        <v>0.76666666666666661</v>
      </c>
      <c r="H394" s="688" t="s">
        <v>115</v>
      </c>
      <c r="I394" s="686" t="s">
        <v>115</v>
      </c>
      <c r="J394" s="688" t="s">
        <v>115</v>
      </c>
      <c r="K394" s="688">
        <v>1.1499999999999999</v>
      </c>
      <c r="M394" s="688">
        <v>1.1499999999999999</v>
      </c>
      <c r="N394" s="688">
        <v>0</v>
      </c>
    </row>
    <row r="395" spans="1:14">
      <c r="A395" s="632">
        <v>14263</v>
      </c>
      <c r="B395" s="632" t="s">
        <v>70</v>
      </c>
      <c r="C395" s="632" t="s">
        <v>71</v>
      </c>
      <c r="D395" s="632" t="s">
        <v>128</v>
      </c>
      <c r="E395" s="633">
        <v>43417.819293981483</v>
      </c>
      <c r="F395" s="438">
        <v>43417.819293981483</v>
      </c>
      <c r="G395" s="634">
        <v>0.81874999999999998</v>
      </c>
      <c r="H395" s="688" t="s">
        <v>115</v>
      </c>
      <c r="I395" s="686" t="s">
        <v>115</v>
      </c>
      <c r="J395" s="688" t="s">
        <v>115</v>
      </c>
    </row>
    <row r="396" spans="1:14">
      <c r="A396" s="632">
        <v>14268</v>
      </c>
      <c r="B396" s="632" t="s">
        <v>70</v>
      </c>
      <c r="C396" s="632" t="s">
        <v>71</v>
      </c>
      <c r="D396" s="632" t="s">
        <v>125</v>
      </c>
      <c r="E396" s="633">
        <v>43418.360567129632</v>
      </c>
      <c r="F396" s="438">
        <v>43418.360567129632</v>
      </c>
      <c r="G396" s="634">
        <v>0.36041666666666666</v>
      </c>
      <c r="H396" s="688">
        <v>9.6329999999999991</v>
      </c>
      <c r="I396" s="686">
        <v>8</v>
      </c>
      <c r="J396" s="688" t="s">
        <v>115</v>
      </c>
    </row>
    <row r="397" spans="1:14">
      <c r="A397" s="632">
        <v>14274</v>
      </c>
      <c r="B397" s="632" t="s">
        <v>70</v>
      </c>
      <c r="C397" s="632" t="s">
        <v>71</v>
      </c>
      <c r="D397" s="632" t="s">
        <v>126</v>
      </c>
      <c r="E397" s="633">
        <v>43418.761886574073</v>
      </c>
      <c r="F397" s="438">
        <v>43418.761886574073</v>
      </c>
      <c r="G397" s="634">
        <v>0.76180555555555562</v>
      </c>
      <c r="H397" s="688" t="s">
        <v>115</v>
      </c>
      <c r="I397" s="686" t="s">
        <v>115</v>
      </c>
      <c r="J397" s="688" t="s">
        <v>115</v>
      </c>
    </row>
    <row r="398" spans="1:14">
      <c r="A398" s="632">
        <v>14285</v>
      </c>
      <c r="B398" s="632" t="s">
        <v>71</v>
      </c>
      <c r="C398" s="632" t="s">
        <v>71</v>
      </c>
      <c r="D398" s="632" t="s">
        <v>125</v>
      </c>
      <c r="E398" s="633">
        <v>43419.360219907408</v>
      </c>
      <c r="F398" s="438">
        <v>43419.360219907408</v>
      </c>
      <c r="G398" s="634">
        <v>0.35972222222222222</v>
      </c>
      <c r="H398" s="688">
        <v>9.85</v>
      </c>
      <c r="I398" s="686">
        <v>8</v>
      </c>
      <c r="J398" s="688" t="s">
        <v>115</v>
      </c>
    </row>
    <row r="399" spans="1:14">
      <c r="A399" s="632">
        <v>14300</v>
      </c>
      <c r="B399" s="632" t="s">
        <v>71</v>
      </c>
      <c r="C399" s="632" t="s">
        <v>71</v>
      </c>
      <c r="D399" s="632" t="s">
        <v>126</v>
      </c>
      <c r="E399" s="633">
        <v>43419.770601851851</v>
      </c>
      <c r="F399" s="438">
        <v>43419.770601851851</v>
      </c>
      <c r="G399" s="634">
        <v>0.77013888888888893</v>
      </c>
      <c r="H399" s="688" t="s">
        <v>115</v>
      </c>
      <c r="I399" s="686" t="s">
        <v>115</v>
      </c>
      <c r="J399" s="688" t="s">
        <v>115</v>
      </c>
    </row>
    <row r="400" spans="1:14">
      <c r="A400" s="632">
        <v>14301</v>
      </c>
      <c r="B400" s="632" t="s">
        <v>71</v>
      </c>
      <c r="C400" s="632" t="s">
        <v>71</v>
      </c>
      <c r="D400" s="632" t="s">
        <v>127</v>
      </c>
      <c r="E400" s="633">
        <v>43419.770648148151</v>
      </c>
      <c r="F400" s="438">
        <v>43419.770648148151</v>
      </c>
      <c r="G400" s="634">
        <v>0.77013888888888893</v>
      </c>
      <c r="H400" s="688" t="s">
        <v>115</v>
      </c>
      <c r="I400" s="686" t="s">
        <v>115</v>
      </c>
      <c r="J400" s="688" t="s">
        <v>115</v>
      </c>
      <c r="K400" s="688">
        <v>1.45</v>
      </c>
      <c r="M400" s="688">
        <v>1.45</v>
      </c>
      <c r="N400" s="688">
        <v>0</v>
      </c>
    </row>
    <row r="401" spans="1:14">
      <c r="A401" s="632">
        <v>14307</v>
      </c>
      <c r="B401" s="632" t="s">
        <v>70</v>
      </c>
      <c r="C401" s="632" t="s">
        <v>71</v>
      </c>
      <c r="D401" s="632" t="s">
        <v>128</v>
      </c>
      <c r="E401" s="633">
        <v>43419.831296296295</v>
      </c>
      <c r="F401" s="438">
        <v>43419.831296296295</v>
      </c>
      <c r="G401" s="634">
        <v>0.83124999999999993</v>
      </c>
      <c r="H401" s="688" t="s">
        <v>115</v>
      </c>
      <c r="I401" s="686" t="s">
        <v>115</v>
      </c>
      <c r="J401" s="688" t="s">
        <v>115</v>
      </c>
    </row>
    <row r="402" spans="1:14">
      <c r="A402" s="632">
        <v>14318</v>
      </c>
      <c r="B402" s="632" t="s">
        <v>71</v>
      </c>
      <c r="C402" s="632" t="s">
        <v>71</v>
      </c>
      <c r="D402" s="632" t="s">
        <v>125</v>
      </c>
      <c r="E402" s="633">
        <v>43420.359444444446</v>
      </c>
      <c r="F402" s="438">
        <v>43420.359444444446</v>
      </c>
      <c r="G402" s="634">
        <v>0.35902777777777778</v>
      </c>
      <c r="H402" s="688">
        <v>9.6999999999999993</v>
      </c>
      <c r="I402" s="686">
        <v>8</v>
      </c>
      <c r="J402" s="688" t="s">
        <v>115</v>
      </c>
    </row>
    <row r="403" spans="1:14">
      <c r="A403" s="632">
        <v>14329</v>
      </c>
      <c r="B403" s="632" t="s">
        <v>70</v>
      </c>
      <c r="C403" s="632" t="s">
        <v>71</v>
      </c>
      <c r="D403" s="632" t="s">
        <v>126</v>
      </c>
      <c r="E403" s="633">
        <v>43420.763645833336</v>
      </c>
      <c r="F403" s="438">
        <v>43420.763645833336</v>
      </c>
      <c r="G403" s="634">
        <v>0.7631944444444444</v>
      </c>
      <c r="H403" s="688" t="s">
        <v>115</v>
      </c>
      <c r="I403" s="686" t="s">
        <v>115</v>
      </c>
      <c r="J403" s="688" t="s">
        <v>115</v>
      </c>
    </row>
    <row r="404" spans="1:14">
      <c r="A404" s="632">
        <v>14331</v>
      </c>
      <c r="B404" s="632" t="s">
        <v>70</v>
      </c>
      <c r="C404" s="632" t="s">
        <v>71</v>
      </c>
      <c r="D404" s="632" t="s">
        <v>127</v>
      </c>
      <c r="E404" s="633">
        <v>43420.763738425929</v>
      </c>
      <c r="F404" s="438">
        <v>43420.763738425929</v>
      </c>
      <c r="G404" s="634">
        <v>0.7631944444444444</v>
      </c>
      <c r="H404" s="688" t="s">
        <v>115</v>
      </c>
      <c r="I404" s="686" t="s">
        <v>115</v>
      </c>
      <c r="J404" s="688" t="s">
        <v>115</v>
      </c>
      <c r="K404" s="688">
        <v>0.36699999999999999</v>
      </c>
      <c r="M404" s="688">
        <v>0.36699999999999999</v>
      </c>
      <c r="N404" s="688">
        <v>0</v>
      </c>
    </row>
    <row r="405" spans="1:14">
      <c r="A405" s="632">
        <v>14337</v>
      </c>
      <c r="B405" s="632" t="s">
        <v>70</v>
      </c>
      <c r="C405" s="632" t="s">
        <v>71</v>
      </c>
      <c r="D405" s="632" t="s">
        <v>128</v>
      </c>
      <c r="E405" s="633">
        <v>43420.778900462959</v>
      </c>
      <c r="F405" s="438">
        <v>43420.778900462959</v>
      </c>
      <c r="G405" s="634">
        <v>0.77847222222222223</v>
      </c>
      <c r="H405" s="688" t="s">
        <v>115</v>
      </c>
      <c r="I405" s="686" t="s">
        <v>115</v>
      </c>
      <c r="J405" s="688" t="s">
        <v>115</v>
      </c>
    </row>
    <row r="406" spans="1:14">
      <c r="A406" s="632">
        <v>14343</v>
      </c>
      <c r="B406" s="632" t="s">
        <v>71</v>
      </c>
      <c r="C406" s="632" t="s">
        <v>71</v>
      </c>
      <c r="D406" s="632" t="s">
        <v>125</v>
      </c>
      <c r="E406" s="633">
        <v>43423.359768518516</v>
      </c>
      <c r="F406" s="438">
        <v>43423.359768518516</v>
      </c>
      <c r="G406" s="634">
        <v>0.35972222222222222</v>
      </c>
      <c r="H406" s="688">
        <v>10.016999999999999</v>
      </c>
      <c r="I406" s="686">
        <v>8</v>
      </c>
      <c r="J406" s="688" t="s">
        <v>115</v>
      </c>
    </row>
    <row r="407" spans="1:14">
      <c r="A407" s="632">
        <v>14357</v>
      </c>
      <c r="B407" s="632" t="s">
        <v>70</v>
      </c>
      <c r="C407" s="632" t="s">
        <v>71</v>
      </c>
      <c r="D407" s="632" t="s">
        <v>126</v>
      </c>
      <c r="E407" s="633">
        <v>43423.777465277781</v>
      </c>
      <c r="F407" s="438">
        <v>43423.777465277781</v>
      </c>
      <c r="G407" s="634">
        <v>0.77708333333333324</v>
      </c>
      <c r="H407" s="688" t="s">
        <v>115</v>
      </c>
      <c r="I407" s="686" t="s">
        <v>115</v>
      </c>
      <c r="J407" s="688" t="s">
        <v>115</v>
      </c>
    </row>
    <row r="408" spans="1:14">
      <c r="A408" s="632">
        <v>14358</v>
      </c>
      <c r="B408" s="632" t="s">
        <v>70</v>
      </c>
      <c r="C408" s="632" t="s">
        <v>71</v>
      </c>
      <c r="D408" s="632" t="s">
        <v>127</v>
      </c>
      <c r="E408" s="633">
        <v>43423.777488425927</v>
      </c>
      <c r="F408" s="438">
        <v>43423.777488425927</v>
      </c>
      <c r="G408" s="634">
        <v>0.77708333333333324</v>
      </c>
      <c r="H408" s="688" t="s">
        <v>115</v>
      </c>
      <c r="I408" s="686" t="s">
        <v>115</v>
      </c>
      <c r="J408" s="688" t="s">
        <v>115</v>
      </c>
      <c r="K408" s="688">
        <v>0.63300000000000001</v>
      </c>
      <c r="M408" s="688">
        <v>0.63300000000000001</v>
      </c>
      <c r="N408" s="688">
        <v>0</v>
      </c>
    </row>
    <row r="409" spans="1:14">
      <c r="A409" s="632">
        <v>14361</v>
      </c>
      <c r="B409" s="632" t="s">
        <v>70</v>
      </c>
      <c r="C409" s="632" t="s">
        <v>71</v>
      </c>
      <c r="D409" s="632" t="s">
        <v>128</v>
      </c>
      <c r="E409" s="633">
        <v>43423.803773148145</v>
      </c>
      <c r="F409" s="438">
        <v>43423.803773148145</v>
      </c>
      <c r="G409" s="634">
        <v>0.80347222222222225</v>
      </c>
      <c r="H409" s="688" t="s">
        <v>115</v>
      </c>
      <c r="I409" s="686" t="s">
        <v>115</v>
      </c>
      <c r="J409" s="688" t="s">
        <v>115</v>
      </c>
    </row>
    <row r="410" spans="1:14">
      <c r="A410" s="632">
        <v>14367</v>
      </c>
      <c r="B410" s="632" t="s">
        <v>71</v>
      </c>
      <c r="C410" s="632" t="s">
        <v>71</v>
      </c>
      <c r="D410" s="632" t="s">
        <v>125</v>
      </c>
      <c r="E410" s="633">
        <v>43424.360150462962</v>
      </c>
      <c r="F410" s="438">
        <v>43424.360150462962</v>
      </c>
      <c r="G410" s="634">
        <v>0.35972222222222222</v>
      </c>
      <c r="H410" s="688">
        <v>9.85</v>
      </c>
      <c r="I410" s="686">
        <v>8</v>
      </c>
      <c r="J410" s="688" t="s">
        <v>115</v>
      </c>
    </row>
    <row r="411" spans="1:14">
      <c r="A411" s="632">
        <v>14381</v>
      </c>
      <c r="B411" s="632" t="s">
        <v>70</v>
      </c>
      <c r="C411" s="632" t="s">
        <v>71</v>
      </c>
      <c r="D411" s="632" t="s">
        <v>126</v>
      </c>
      <c r="E411" s="633">
        <v>43424.770266203705</v>
      </c>
      <c r="F411" s="438">
        <v>43424.770266203705</v>
      </c>
      <c r="G411" s="634">
        <v>0.77013888888888893</v>
      </c>
      <c r="H411" s="688" t="s">
        <v>115</v>
      </c>
      <c r="I411" s="686" t="s">
        <v>115</v>
      </c>
      <c r="J411" s="688" t="s">
        <v>115</v>
      </c>
    </row>
    <row r="412" spans="1:14">
      <c r="A412" s="632">
        <v>14382</v>
      </c>
      <c r="B412" s="632" t="s">
        <v>70</v>
      </c>
      <c r="C412" s="632" t="s">
        <v>71</v>
      </c>
      <c r="D412" s="632" t="s">
        <v>127</v>
      </c>
      <c r="E412" s="633">
        <v>43424.770300925928</v>
      </c>
      <c r="F412" s="438">
        <v>43424.770300925928</v>
      </c>
      <c r="G412" s="634">
        <v>0.77013888888888893</v>
      </c>
      <c r="H412" s="688" t="s">
        <v>115</v>
      </c>
      <c r="I412" s="686" t="s">
        <v>115</v>
      </c>
      <c r="J412" s="688" t="s">
        <v>115</v>
      </c>
      <c r="K412" s="688">
        <v>1.0169999999999999</v>
      </c>
      <c r="M412" s="688">
        <v>1.0169999999999999</v>
      </c>
      <c r="N412" s="688">
        <v>0</v>
      </c>
    </row>
    <row r="413" spans="1:14">
      <c r="A413" s="632">
        <v>14389</v>
      </c>
      <c r="B413" s="632" t="s">
        <v>70</v>
      </c>
      <c r="C413" s="632" t="s">
        <v>71</v>
      </c>
      <c r="D413" s="632" t="s">
        <v>128</v>
      </c>
      <c r="E413" s="633">
        <v>43424.813738425924</v>
      </c>
      <c r="F413" s="438">
        <v>43424.813738425924</v>
      </c>
      <c r="G413" s="634">
        <v>0.81319444444444444</v>
      </c>
      <c r="H413" s="688" t="s">
        <v>115</v>
      </c>
      <c r="I413" s="686" t="s">
        <v>115</v>
      </c>
      <c r="J413" s="688" t="s">
        <v>115</v>
      </c>
    </row>
    <row r="414" spans="1:14">
      <c r="A414" s="632">
        <v>14397</v>
      </c>
      <c r="B414" s="632" t="s">
        <v>71</v>
      </c>
      <c r="C414" s="632" t="s">
        <v>71</v>
      </c>
      <c r="D414" s="632" t="s">
        <v>125</v>
      </c>
      <c r="E414" s="633">
        <v>43425.360613425924</v>
      </c>
      <c r="F414" s="438">
        <v>43425.360613425924</v>
      </c>
      <c r="G414" s="634">
        <v>0.36041666666666666</v>
      </c>
      <c r="H414" s="688">
        <v>9.8000000000000007</v>
      </c>
      <c r="I414" s="686">
        <v>8</v>
      </c>
      <c r="J414" s="688" t="s">
        <v>115</v>
      </c>
    </row>
    <row r="415" spans="1:14">
      <c r="A415" s="632">
        <v>14405</v>
      </c>
      <c r="B415" s="632" t="s">
        <v>70</v>
      </c>
      <c r="C415" s="632" t="s">
        <v>71</v>
      </c>
      <c r="D415" s="632" t="s">
        <v>126</v>
      </c>
      <c r="E415" s="633">
        <v>43425.768761574072</v>
      </c>
      <c r="F415" s="438">
        <v>43425.768761574072</v>
      </c>
      <c r="G415" s="634">
        <v>0.76874999999999993</v>
      </c>
      <c r="H415" s="688" t="s">
        <v>115</v>
      </c>
      <c r="I415" s="686" t="s">
        <v>115</v>
      </c>
      <c r="J415" s="688" t="s">
        <v>115</v>
      </c>
    </row>
    <row r="416" spans="1:14">
      <c r="A416" s="632">
        <v>14421</v>
      </c>
      <c r="B416" s="632" t="s">
        <v>71</v>
      </c>
      <c r="C416" s="632" t="s">
        <v>71</v>
      </c>
      <c r="D416" s="632" t="s">
        <v>125</v>
      </c>
      <c r="E416" s="633">
        <v>43426.354259259257</v>
      </c>
      <c r="F416" s="438">
        <v>43426.354259259257</v>
      </c>
      <c r="G416" s="634">
        <v>0.35416666666666669</v>
      </c>
      <c r="H416" s="688">
        <v>10.167</v>
      </c>
      <c r="I416" s="686">
        <v>8</v>
      </c>
      <c r="J416" s="688" t="s">
        <v>115</v>
      </c>
    </row>
    <row r="417" spans="1:14">
      <c r="A417" s="632">
        <v>14440</v>
      </c>
      <c r="B417" s="632" t="s">
        <v>70</v>
      </c>
      <c r="C417" s="632" t="s">
        <v>71</v>
      </c>
      <c r="D417" s="632" t="s">
        <v>126</v>
      </c>
      <c r="E417" s="633">
        <v>43426.777789351851</v>
      </c>
      <c r="F417" s="438">
        <v>43426.777789351851</v>
      </c>
      <c r="G417" s="634">
        <v>0.77777777777777779</v>
      </c>
      <c r="H417" s="688" t="s">
        <v>115</v>
      </c>
      <c r="I417" s="686" t="s">
        <v>115</v>
      </c>
      <c r="J417" s="688" t="s">
        <v>115</v>
      </c>
    </row>
    <row r="418" spans="1:14">
      <c r="A418" s="632">
        <v>14441</v>
      </c>
      <c r="B418" s="632" t="s">
        <v>70</v>
      </c>
      <c r="C418" s="632" t="s">
        <v>71</v>
      </c>
      <c r="D418" s="632" t="s">
        <v>127</v>
      </c>
      <c r="E418" s="633">
        <v>43426.77783564815</v>
      </c>
      <c r="F418" s="438">
        <v>43426.77783564815</v>
      </c>
      <c r="G418" s="634">
        <v>0.77777777777777779</v>
      </c>
      <c r="H418" s="688" t="s">
        <v>115</v>
      </c>
      <c r="I418" s="686" t="s">
        <v>115</v>
      </c>
      <c r="J418" s="688" t="s">
        <v>115</v>
      </c>
      <c r="K418" s="688">
        <v>8.3000000000000004E-2</v>
      </c>
      <c r="M418" s="688">
        <v>8.3000000000000004E-2</v>
      </c>
      <c r="N418" s="688">
        <v>0</v>
      </c>
    </row>
    <row r="419" spans="1:14">
      <c r="A419" s="632">
        <v>14443</v>
      </c>
      <c r="B419" s="632" t="s">
        <v>70</v>
      </c>
      <c r="C419" s="632" t="s">
        <v>71</v>
      </c>
      <c r="D419" s="632" t="s">
        <v>128</v>
      </c>
      <c r="E419" s="633">
        <v>43426.781701388885</v>
      </c>
      <c r="F419" s="438">
        <v>43426.781701388885</v>
      </c>
      <c r="G419" s="634">
        <v>0.78125</v>
      </c>
      <c r="H419" s="688" t="s">
        <v>115</v>
      </c>
      <c r="I419" s="686" t="s">
        <v>115</v>
      </c>
      <c r="J419" s="688" t="s">
        <v>115</v>
      </c>
    </row>
    <row r="420" spans="1:14">
      <c r="A420" s="632">
        <v>14454</v>
      </c>
      <c r="B420" s="632" t="s">
        <v>71</v>
      </c>
      <c r="C420" s="632" t="s">
        <v>71</v>
      </c>
      <c r="D420" s="632" t="s">
        <v>125</v>
      </c>
      <c r="E420" s="633">
        <v>43427.359131944446</v>
      </c>
      <c r="F420" s="438">
        <v>43427.359131944446</v>
      </c>
      <c r="G420" s="634">
        <v>0.35902777777777778</v>
      </c>
      <c r="H420" s="688">
        <v>9.8170000000000002</v>
      </c>
      <c r="I420" s="686">
        <v>8</v>
      </c>
      <c r="J420" s="688" t="s">
        <v>115</v>
      </c>
    </row>
    <row r="421" spans="1:14">
      <c r="A421" s="632">
        <v>14471</v>
      </c>
      <c r="B421" s="632" t="s">
        <v>70</v>
      </c>
      <c r="C421" s="632" t="s">
        <v>71</v>
      </c>
      <c r="D421" s="632" t="s">
        <v>126</v>
      </c>
      <c r="E421" s="633">
        <v>43427.768379629626</v>
      </c>
      <c r="F421" s="438">
        <v>43427.768379629626</v>
      </c>
      <c r="G421" s="634">
        <v>0.7680555555555556</v>
      </c>
      <c r="H421" s="688" t="s">
        <v>115</v>
      </c>
      <c r="I421" s="686" t="s">
        <v>115</v>
      </c>
      <c r="J421" s="688" t="s">
        <v>115</v>
      </c>
    </row>
    <row r="422" spans="1:14">
      <c r="A422" s="632">
        <v>14509</v>
      </c>
      <c r="B422" s="632" t="s">
        <v>71</v>
      </c>
      <c r="C422" s="632" t="s">
        <v>71</v>
      </c>
      <c r="D422" s="632" t="s">
        <v>125</v>
      </c>
      <c r="E422" s="633">
        <v>43431.3590625</v>
      </c>
      <c r="F422" s="438">
        <v>43431.3590625</v>
      </c>
      <c r="G422" s="634">
        <v>0.35902777777777778</v>
      </c>
      <c r="H422" s="688">
        <v>9.8670000000000009</v>
      </c>
      <c r="I422" s="686">
        <v>8</v>
      </c>
      <c r="J422" s="688" t="s">
        <v>115</v>
      </c>
    </row>
    <row r="423" spans="1:14">
      <c r="A423" s="632">
        <v>14525</v>
      </c>
      <c r="B423" s="632" t="s">
        <v>70</v>
      </c>
      <c r="C423" s="632" t="s">
        <v>71</v>
      </c>
      <c r="D423" s="632" t="s">
        <v>126</v>
      </c>
      <c r="E423" s="633">
        <v>43431.770289351851</v>
      </c>
      <c r="F423" s="438">
        <v>43431.770289351851</v>
      </c>
      <c r="G423" s="634">
        <v>0.77013888888888893</v>
      </c>
      <c r="H423" s="688" t="s">
        <v>115</v>
      </c>
      <c r="I423" s="686" t="s">
        <v>115</v>
      </c>
      <c r="J423" s="688" t="s">
        <v>115</v>
      </c>
    </row>
    <row r="424" spans="1:14">
      <c r="A424" s="632">
        <v>14526</v>
      </c>
      <c r="B424" s="632" t="s">
        <v>70</v>
      </c>
      <c r="C424" s="632" t="s">
        <v>71</v>
      </c>
      <c r="D424" s="632" t="s">
        <v>127</v>
      </c>
      <c r="E424" s="633">
        <v>43431.770324074074</v>
      </c>
      <c r="F424" s="438">
        <v>43431.770324074074</v>
      </c>
      <c r="G424" s="634">
        <v>0.77013888888888893</v>
      </c>
      <c r="H424" s="688" t="s">
        <v>115</v>
      </c>
      <c r="I424" s="686" t="s">
        <v>115</v>
      </c>
      <c r="J424" s="688" t="s">
        <v>115</v>
      </c>
      <c r="K424" s="688">
        <v>0.23300000000000001</v>
      </c>
      <c r="M424" s="688">
        <v>0.23300000000000001</v>
      </c>
      <c r="N424" s="688">
        <v>0</v>
      </c>
    </row>
    <row r="425" spans="1:14">
      <c r="A425" s="632">
        <v>14528</v>
      </c>
      <c r="B425" s="632" t="s">
        <v>70</v>
      </c>
      <c r="C425" s="632" t="s">
        <v>71</v>
      </c>
      <c r="D425" s="632" t="s">
        <v>128</v>
      </c>
      <c r="E425" s="633">
        <v>43431.780590277776</v>
      </c>
      <c r="F425" s="438">
        <v>43431.780590277776</v>
      </c>
      <c r="G425" s="634">
        <v>0.78055555555555556</v>
      </c>
      <c r="H425" s="688" t="s">
        <v>115</v>
      </c>
      <c r="I425" s="686" t="s">
        <v>115</v>
      </c>
      <c r="J425" s="688" t="s">
        <v>115</v>
      </c>
    </row>
    <row r="426" spans="1:14">
      <c r="A426" s="632">
        <v>14540</v>
      </c>
      <c r="B426" s="632" t="s">
        <v>71</v>
      </c>
      <c r="C426" s="632" t="s">
        <v>71</v>
      </c>
      <c r="D426" s="632" t="s">
        <v>125</v>
      </c>
      <c r="E426" s="633">
        <v>43432.359629629631</v>
      </c>
      <c r="F426" s="438">
        <v>43432.359629629631</v>
      </c>
      <c r="G426" s="634">
        <v>0.35902777777777778</v>
      </c>
      <c r="H426" s="688">
        <v>9.8829999999999991</v>
      </c>
      <c r="I426" s="686">
        <v>8</v>
      </c>
      <c r="J426" s="688" t="s">
        <v>115</v>
      </c>
    </row>
    <row r="427" spans="1:14">
      <c r="A427" s="632">
        <v>14556</v>
      </c>
      <c r="B427" s="632" t="s">
        <v>70</v>
      </c>
      <c r="C427" s="632" t="s">
        <v>71</v>
      </c>
      <c r="D427" s="632" t="s">
        <v>126</v>
      </c>
      <c r="E427" s="633">
        <v>43432.771215277775</v>
      </c>
      <c r="F427" s="438">
        <v>43432.771215277775</v>
      </c>
      <c r="G427" s="634">
        <v>0.77083333333333337</v>
      </c>
      <c r="H427" s="688" t="s">
        <v>115</v>
      </c>
      <c r="I427" s="686" t="s">
        <v>115</v>
      </c>
      <c r="J427" s="688" t="s">
        <v>115</v>
      </c>
    </row>
    <row r="428" spans="1:14">
      <c r="A428" s="632">
        <v>14557</v>
      </c>
      <c r="B428" s="632" t="s">
        <v>70</v>
      </c>
      <c r="C428" s="632" t="s">
        <v>71</v>
      </c>
      <c r="D428" s="632" t="s">
        <v>127</v>
      </c>
      <c r="E428" s="633">
        <v>43432.771249999998</v>
      </c>
      <c r="F428" s="438">
        <v>43432.771249999998</v>
      </c>
      <c r="G428" s="634">
        <v>0.77083333333333337</v>
      </c>
      <c r="H428" s="688" t="s">
        <v>115</v>
      </c>
      <c r="I428" s="686" t="s">
        <v>115</v>
      </c>
      <c r="J428" s="688" t="s">
        <v>115</v>
      </c>
      <c r="K428" s="688">
        <v>0.8</v>
      </c>
      <c r="M428" s="688">
        <v>0.8</v>
      </c>
      <c r="N428" s="688">
        <v>0</v>
      </c>
    </row>
    <row r="429" spans="1:14">
      <c r="A429" s="632">
        <v>14560</v>
      </c>
      <c r="B429" s="632" t="s">
        <v>70</v>
      </c>
      <c r="C429" s="632" t="s">
        <v>71</v>
      </c>
      <c r="D429" s="632" t="s">
        <v>128</v>
      </c>
      <c r="E429" s="633">
        <v>43432.804629629631</v>
      </c>
      <c r="F429" s="438">
        <v>43432.804629629631</v>
      </c>
      <c r="G429" s="634">
        <v>0.8041666666666667</v>
      </c>
      <c r="H429" s="688" t="s">
        <v>115</v>
      </c>
      <c r="I429" s="686" t="s">
        <v>115</v>
      </c>
      <c r="J429" s="688" t="s">
        <v>115</v>
      </c>
    </row>
    <row r="430" spans="1:14">
      <c r="A430" s="632">
        <v>14570</v>
      </c>
      <c r="B430" s="632" t="s">
        <v>71</v>
      </c>
      <c r="C430" s="632" t="s">
        <v>71</v>
      </c>
      <c r="D430" s="632" t="s">
        <v>125</v>
      </c>
      <c r="E430" s="633">
        <v>43433.36</v>
      </c>
      <c r="F430" s="438">
        <v>43433.36</v>
      </c>
      <c r="G430" s="634">
        <v>0.35972222222222222</v>
      </c>
      <c r="H430" s="688">
        <v>9.75</v>
      </c>
      <c r="I430" s="686">
        <v>8</v>
      </c>
      <c r="J430" s="688" t="s">
        <v>115</v>
      </c>
    </row>
    <row r="431" spans="1:14">
      <c r="A431" s="632">
        <v>14582</v>
      </c>
      <c r="B431" s="632" t="s">
        <v>70</v>
      </c>
      <c r="C431" s="632" t="s">
        <v>71</v>
      </c>
      <c r="D431" s="632" t="s">
        <v>126</v>
      </c>
      <c r="E431" s="633">
        <v>43433.766504629632</v>
      </c>
      <c r="F431" s="438">
        <v>43433.766504629632</v>
      </c>
      <c r="G431" s="634">
        <v>0.76597222222222217</v>
      </c>
      <c r="H431" s="688" t="s">
        <v>115</v>
      </c>
      <c r="I431" s="686" t="s">
        <v>115</v>
      </c>
      <c r="J431" s="688" t="s">
        <v>115</v>
      </c>
    </row>
    <row r="432" spans="1:14">
      <c r="A432" s="632">
        <v>14583</v>
      </c>
      <c r="B432" s="632" t="s">
        <v>70</v>
      </c>
      <c r="C432" s="632" t="s">
        <v>71</v>
      </c>
      <c r="D432" s="632" t="s">
        <v>127</v>
      </c>
      <c r="E432" s="633">
        <v>43433.766550925924</v>
      </c>
      <c r="F432" s="438">
        <v>43433.766550925924</v>
      </c>
      <c r="G432" s="634">
        <v>0.76597222222222217</v>
      </c>
      <c r="H432" s="688" t="s">
        <v>115</v>
      </c>
      <c r="I432" s="686" t="s">
        <v>115</v>
      </c>
      <c r="J432" s="688" t="s">
        <v>115</v>
      </c>
      <c r="K432" s="688">
        <v>2.2000000000000002</v>
      </c>
      <c r="M432" s="688">
        <v>2</v>
      </c>
      <c r="N432" s="688">
        <v>0.20000000000000018</v>
      </c>
    </row>
    <row r="433" spans="1:14">
      <c r="A433" s="632">
        <v>14594</v>
      </c>
      <c r="B433" s="632" t="s">
        <v>70</v>
      </c>
      <c r="C433" s="632" t="s">
        <v>71</v>
      </c>
      <c r="D433" s="632" t="s">
        <v>128</v>
      </c>
      <c r="E433" s="633">
        <v>43433.862500000003</v>
      </c>
      <c r="F433" s="438">
        <v>43433.862500000003</v>
      </c>
      <c r="G433" s="634">
        <v>0.86249999999999993</v>
      </c>
      <c r="H433" s="688" t="s">
        <v>115</v>
      </c>
      <c r="I433" s="686" t="s">
        <v>115</v>
      </c>
      <c r="J433" s="688" t="s">
        <v>115</v>
      </c>
    </row>
    <row r="434" spans="1:14">
      <c r="A434" s="632">
        <v>14600</v>
      </c>
      <c r="B434" s="632" t="s">
        <v>71</v>
      </c>
      <c r="C434" s="632" t="s">
        <v>71</v>
      </c>
      <c r="D434" s="632" t="s">
        <v>125</v>
      </c>
      <c r="E434" s="633">
        <v>43434.359814814816</v>
      </c>
      <c r="F434" s="438">
        <v>43434.359814814816</v>
      </c>
      <c r="G434" s="634">
        <v>0.35972222222222222</v>
      </c>
      <c r="H434" s="688">
        <v>9.8829999999999991</v>
      </c>
      <c r="I434" s="686">
        <v>8</v>
      </c>
      <c r="J434" s="688" t="s">
        <v>115</v>
      </c>
    </row>
    <row r="435" spans="1:14">
      <c r="A435" s="632">
        <v>14618</v>
      </c>
      <c r="B435" s="632" t="s">
        <v>70</v>
      </c>
      <c r="C435" s="632" t="s">
        <v>71</v>
      </c>
      <c r="D435" s="632" t="s">
        <v>126</v>
      </c>
      <c r="E435" s="633">
        <v>43434.771932870368</v>
      </c>
      <c r="F435" s="438">
        <v>43434.771932870368</v>
      </c>
      <c r="G435" s="634">
        <v>0.7715277777777777</v>
      </c>
      <c r="H435" s="688" t="s">
        <v>115</v>
      </c>
      <c r="I435" s="686" t="s">
        <v>115</v>
      </c>
      <c r="J435" s="688" t="s">
        <v>115</v>
      </c>
    </row>
    <row r="436" spans="1:14">
      <c r="A436" s="632">
        <v>14619</v>
      </c>
      <c r="B436" s="632" t="s">
        <v>70</v>
      </c>
      <c r="C436" s="632" t="s">
        <v>71</v>
      </c>
      <c r="D436" s="632" t="s">
        <v>127</v>
      </c>
      <c r="E436" s="633">
        <v>43434.771990740737</v>
      </c>
      <c r="F436" s="438">
        <v>43434.771990740737</v>
      </c>
      <c r="G436" s="634">
        <v>0.7715277777777777</v>
      </c>
      <c r="H436" s="688" t="s">
        <v>115</v>
      </c>
      <c r="I436" s="686" t="s">
        <v>115</v>
      </c>
      <c r="J436" s="688" t="s">
        <v>115</v>
      </c>
      <c r="K436" s="688">
        <v>1.9</v>
      </c>
      <c r="M436" s="688">
        <v>1.9</v>
      </c>
      <c r="N436" s="688">
        <v>0</v>
      </c>
    </row>
    <row r="437" spans="1:14">
      <c r="A437" s="632">
        <v>14625</v>
      </c>
      <c r="B437" s="632" t="s">
        <v>70</v>
      </c>
      <c r="C437" s="632" t="s">
        <v>71</v>
      </c>
      <c r="D437" s="632" t="s">
        <v>128</v>
      </c>
      <c r="E437" s="633">
        <v>43434.851354166669</v>
      </c>
      <c r="F437" s="438">
        <v>43434.851354166669</v>
      </c>
      <c r="G437" s="634">
        <v>0.85069444444444453</v>
      </c>
      <c r="H437" s="688" t="s">
        <v>115</v>
      </c>
      <c r="I437" s="686" t="s">
        <v>115</v>
      </c>
      <c r="J437" s="688" t="s">
        <v>115</v>
      </c>
    </row>
    <row r="438" spans="1:14">
      <c r="A438" s="632">
        <v>14107</v>
      </c>
      <c r="B438" s="632" t="s">
        <v>11</v>
      </c>
      <c r="C438" s="632" t="s">
        <v>11</v>
      </c>
      <c r="D438" s="632" t="s">
        <v>125</v>
      </c>
      <c r="E438" s="633">
        <v>43409.37835648148</v>
      </c>
      <c r="F438" s="438">
        <v>43409.37835648148</v>
      </c>
      <c r="G438" s="634">
        <v>0.37777777777777777</v>
      </c>
      <c r="H438" s="688">
        <v>7.05</v>
      </c>
      <c r="I438" s="686">
        <v>5.55</v>
      </c>
      <c r="J438" s="688">
        <v>2.4500000000000002</v>
      </c>
    </row>
    <row r="439" spans="1:14">
      <c r="A439" s="632">
        <v>14108</v>
      </c>
      <c r="B439" s="632" t="s">
        <v>11</v>
      </c>
      <c r="C439" s="632" t="s">
        <v>11</v>
      </c>
      <c r="D439" s="632" t="s">
        <v>126</v>
      </c>
      <c r="E439" s="633">
        <v>43409.671643518515</v>
      </c>
      <c r="F439" s="438">
        <v>43409.671643518515</v>
      </c>
      <c r="G439" s="634">
        <v>0.67152777777777783</v>
      </c>
      <c r="H439" s="688" t="s">
        <v>115</v>
      </c>
      <c r="I439" s="686" t="s">
        <v>115</v>
      </c>
      <c r="J439" s="688" t="s">
        <v>115</v>
      </c>
    </row>
    <row r="440" spans="1:14">
      <c r="A440" s="632">
        <v>14213</v>
      </c>
      <c r="B440" s="632" t="s">
        <v>11</v>
      </c>
      <c r="C440" s="632" t="s">
        <v>11</v>
      </c>
      <c r="D440" s="632" t="s">
        <v>125</v>
      </c>
      <c r="E440" s="633">
        <v>43416.356365740743</v>
      </c>
      <c r="F440" s="438">
        <v>43416.356365740743</v>
      </c>
      <c r="G440" s="634">
        <v>0.35625000000000001</v>
      </c>
      <c r="H440" s="688">
        <v>8.0169999999999995</v>
      </c>
      <c r="I440" s="686">
        <v>6.5169999999999995</v>
      </c>
      <c r="J440" s="688">
        <v>1.4830000000000005</v>
      </c>
    </row>
    <row r="441" spans="1:14">
      <c r="A441" s="632">
        <v>14220</v>
      </c>
      <c r="B441" s="632" t="s">
        <v>11</v>
      </c>
      <c r="C441" s="632" t="s">
        <v>11</v>
      </c>
      <c r="D441" s="632" t="s">
        <v>126</v>
      </c>
      <c r="E441" s="633">
        <v>43416.690300925926</v>
      </c>
      <c r="F441" s="438">
        <v>43416.690300925926</v>
      </c>
      <c r="G441" s="634">
        <v>0.69027777777777777</v>
      </c>
      <c r="H441" s="688" t="s">
        <v>115</v>
      </c>
      <c r="I441" s="686" t="s">
        <v>115</v>
      </c>
      <c r="J441" s="688" t="s">
        <v>115</v>
      </c>
    </row>
    <row r="442" spans="1:14">
      <c r="A442" s="632">
        <v>14242</v>
      </c>
      <c r="B442" s="632" t="s">
        <v>11</v>
      </c>
      <c r="C442" s="632" t="s">
        <v>11</v>
      </c>
      <c r="D442" s="632" t="s">
        <v>125</v>
      </c>
      <c r="E442" s="633">
        <v>43417.374502314815</v>
      </c>
      <c r="F442" s="438">
        <v>43417.374502314815</v>
      </c>
      <c r="G442" s="634">
        <v>0.3743055555555555</v>
      </c>
      <c r="H442" s="688">
        <v>3.8330000000000002</v>
      </c>
      <c r="I442" s="686">
        <v>2.3330000000000002</v>
      </c>
      <c r="J442" s="688">
        <v>5.6669999999999998</v>
      </c>
    </row>
    <row r="443" spans="1:14">
      <c r="A443" s="632">
        <v>14244</v>
      </c>
      <c r="B443" s="632" t="s">
        <v>11</v>
      </c>
      <c r="C443" s="632" t="s">
        <v>11</v>
      </c>
      <c r="D443" s="632" t="s">
        <v>126</v>
      </c>
      <c r="E443" s="633">
        <v>43417.534629629627</v>
      </c>
      <c r="F443" s="438">
        <v>43417.534629629627</v>
      </c>
      <c r="G443" s="634">
        <v>0.53402777777777777</v>
      </c>
      <c r="H443" s="688" t="s">
        <v>115</v>
      </c>
      <c r="I443" s="686" t="s">
        <v>115</v>
      </c>
      <c r="J443" s="688" t="s">
        <v>115</v>
      </c>
    </row>
    <row r="444" spans="1:14">
      <c r="A444" s="632">
        <v>14452</v>
      </c>
      <c r="B444" s="632" t="s">
        <v>11</v>
      </c>
      <c r="C444" s="632" t="s">
        <v>11</v>
      </c>
      <c r="D444" s="632" t="s">
        <v>125</v>
      </c>
      <c r="E444" s="633">
        <v>43427.358171296299</v>
      </c>
      <c r="F444" s="438">
        <v>43427.358171296299</v>
      </c>
      <c r="G444" s="634">
        <v>0.3576388888888889</v>
      </c>
      <c r="H444" s="688">
        <v>9.25</v>
      </c>
      <c r="I444" s="686">
        <v>7.75</v>
      </c>
      <c r="J444" s="688">
        <v>0.25</v>
      </c>
    </row>
    <row r="445" spans="1:14">
      <c r="A445" s="632">
        <v>14464</v>
      </c>
      <c r="B445" s="632" t="s">
        <v>11</v>
      </c>
      <c r="C445" s="632" t="s">
        <v>11</v>
      </c>
      <c r="D445" s="632" t="s">
        <v>126</v>
      </c>
      <c r="E445" s="633">
        <v>43427.743611111109</v>
      </c>
      <c r="F445" s="438">
        <v>43427.743611111109</v>
      </c>
      <c r="G445" s="634">
        <v>0.74305555555555547</v>
      </c>
      <c r="H445" s="688" t="s">
        <v>115</v>
      </c>
      <c r="I445" s="686" t="s">
        <v>115</v>
      </c>
      <c r="J445" s="688" t="s">
        <v>115</v>
      </c>
    </row>
    <row r="446" spans="1:14">
      <c r="A446" s="632">
        <v>14480</v>
      </c>
      <c r="B446" s="632" t="s">
        <v>11</v>
      </c>
      <c r="C446" s="632" t="s">
        <v>11</v>
      </c>
      <c r="D446" s="632" t="s">
        <v>125</v>
      </c>
      <c r="E446" s="633">
        <v>43430.359444444446</v>
      </c>
      <c r="F446" s="438">
        <v>43430.359444444446</v>
      </c>
      <c r="G446" s="634">
        <v>0.35902777777777778</v>
      </c>
      <c r="H446" s="688">
        <v>9.8670000000000009</v>
      </c>
      <c r="I446" s="686">
        <v>8</v>
      </c>
      <c r="J446" s="688" t="s">
        <v>115</v>
      </c>
    </row>
    <row r="447" spans="1:14">
      <c r="A447" s="632">
        <v>14498</v>
      </c>
      <c r="B447" s="632" t="s">
        <v>11</v>
      </c>
      <c r="C447" s="632" t="s">
        <v>11</v>
      </c>
      <c r="D447" s="632" t="s">
        <v>126</v>
      </c>
      <c r="E447" s="633">
        <v>43430.770138888889</v>
      </c>
      <c r="F447" s="438">
        <v>43430.770138888889</v>
      </c>
      <c r="G447" s="634">
        <v>0.77013888888888893</v>
      </c>
      <c r="H447" s="688" t="s">
        <v>115</v>
      </c>
      <c r="I447" s="686" t="s">
        <v>115</v>
      </c>
      <c r="J447" s="688" t="s">
        <v>115</v>
      </c>
    </row>
    <row r="448" spans="1:14">
      <c r="A448" s="632">
        <v>14513</v>
      </c>
      <c r="B448" s="632" t="s">
        <v>11</v>
      </c>
      <c r="C448" s="632" t="s">
        <v>11</v>
      </c>
      <c r="D448" s="632" t="s">
        <v>125</v>
      </c>
      <c r="E448" s="633">
        <v>43431.368877314817</v>
      </c>
      <c r="F448" s="438">
        <v>43431.368877314817</v>
      </c>
      <c r="G448" s="634">
        <v>0.36874999999999997</v>
      </c>
      <c r="H448" s="688">
        <v>8.4169999999999998</v>
      </c>
      <c r="I448" s="686">
        <v>6.9169999999999998</v>
      </c>
      <c r="J448" s="688">
        <v>1.0830000000000002</v>
      </c>
    </row>
    <row r="449" spans="1:14">
      <c r="A449" s="632">
        <v>14516</v>
      </c>
      <c r="B449" s="632" t="s">
        <v>11</v>
      </c>
      <c r="C449" s="632" t="s">
        <v>11</v>
      </c>
      <c r="D449" s="632" t="s">
        <v>126</v>
      </c>
      <c r="E449" s="633">
        <v>43431.71979166667</v>
      </c>
      <c r="F449" s="438">
        <v>43431.71979166667</v>
      </c>
      <c r="G449" s="634">
        <v>0.71944444444444444</v>
      </c>
      <c r="H449" s="688" t="s">
        <v>115</v>
      </c>
      <c r="I449" s="686" t="s">
        <v>115</v>
      </c>
      <c r="J449" s="688" t="s">
        <v>115</v>
      </c>
    </row>
    <row r="450" spans="1:14">
      <c r="A450" s="632">
        <v>14055</v>
      </c>
      <c r="B450" s="632" t="s">
        <v>14</v>
      </c>
      <c r="C450" s="632" t="s">
        <v>14</v>
      </c>
      <c r="D450" s="632" t="s">
        <v>125</v>
      </c>
      <c r="E450" s="633">
        <v>43405.360335648147</v>
      </c>
      <c r="F450" s="438">
        <v>43405.360335648147</v>
      </c>
      <c r="G450" s="634">
        <v>0.35972222222222222</v>
      </c>
      <c r="H450" s="688">
        <v>9.6329999999999991</v>
      </c>
      <c r="I450" s="686">
        <v>8</v>
      </c>
      <c r="J450" s="688" t="s">
        <v>115</v>
      </c>
    </row>
    <row r="451" spans="1:14">
      <c r="A451" s="632">
        <v>14065</v>
      </c>
      <c r="B451" s="632" t="s">
        <v>14</v>
      </c>
      <c r="C451" s="632" t="s">
        <v>14</v>
      </c>
      <c r="D451" s="632" t="s">
        <v>126</v>
      </c>
      <c r="E451" s="633">
        <v>43405.761400462965</v>
      </c>
      <c r="F451" s="438">
        <v>43405.761400462965</v>
      </c>
      <c r="G451" s="634">
        <v>0.76111111111111107</v>
      </c>
      <c r="H451" s="688" t="s">
        <v>115</v>
      </c>
      <c r="I451" s="686" t="s">
        <v>115</v>
      </c>
      <c r="J451" s="688" t="s">
        <v>115</v>
      </c>
    </row>
    <row r="452" spans="1:14">
      <c r="A452" s="632">
        <v>14075</v>
      </c>
      <c r="B452" s="632" t="s">
        <v>14</v>
      </c>
      <c r="C452" s="632" t="s">
        <v>14</v>
      </c>
      <c r="D452" s="632" t="s">
        <v>125</v>
      </c>
      <c r="E452" s="633">
        <v>43406.360729166663</v>
      </c>
      <c r="F452" s="438">
        <v>43406.360729166663</v>
      </c>
      <c r="G452" s="634">
        <v>0.36041666666666666</v>
      </c>
      <c r="H452" s="688">
        <v>9.9329999999999998</v>
      </c>
      <c r="I452" s="686">
        <v>8</v>
      </c>
      <c r="J452" s="688" t="s">
        <v>115</v>
      </c>
    </row>
    <row r="453" spans="1:14">
      <c r="A453" s="632">
        <v>14092</v>
      </c>
      <c r="B453" s="632" t="s">
        <v>14</v>
      </c>
      <c r="C453" s="632" t="s">
        <v>14</v>
      </c>
      <c r="D453" s="632" t="s">
        <v>126</v>
      </c>
      <c r="E453" s="633">
        <v>43406.774942129632</v>
      </c>
      <c r="F453" s="438">
        <v>43406.774942129632</v>
      </c>
      <c r="G453" s="634">
        <v>0.77430555555555547</v>
      </c>
      <c r="H453" s="688" t="s">
        <v>115</v>
      </c>
      <c r="I453" s="686" t="s">
        <v>115</v>
      </c>
      <c r="J453" s="688" t="s">
        <v>115</v>
      </c>
    </row>
    <row r="454" spans="1:14">
      <c r="A454" s="632">
        <v>14101</v>
      </c>
      <c r="B454" s="632" t="s">
        <v>14</v>
      </c>
      <c r="C454" s="632" t="s">
        <v>14</v>
      </c>
      <c r="D454" s="632" t="s">
        <v>125</v>
      </c>
      <c r="E454" s="633">
        <v>43409.356087962966</v>
      </c>
      <c r="F454" s="438">
        <v>43409.356087962966</v>
      </c>
      <c r="G454" s="634">
        <v>0.35555555555555557</v>
      </c>
      <c r="H454" s="688">
        <v>9.9499999999999993</v>
      </c>
      <c r="I454" s="686">
        <v>8</v>
      </c>
      <c r="J454" s="688" t="s">
        <v>115</v>
      </c>
    </row>
    <row r="455" spans="1:14">
      <c r="A455" s="632">
        <v>14114</v>
      </c>
      <c r="B455" s="632" t="s">
        <v>14</v>
      </c>
      <c r="C455" s="632" t="s">
        <v>14</v>
      </c>
      <c r="D455" s="632" t="s">
        <v>126</v>
      </c>
      <c r="E455" s="633">
        <v>43409.770254629628</v>
      </c>
      <c r="F455" s="438">
        <v>43409.770254629628</v>
      </c>
      <c r="G455" s="634">
        <v>0.77013888888888893</v>
      </c>
      <c r="H455" s="688" t="s">
        <v>115</v>
      </c>
      <c r="I455" s="686" t="s">
        <v>115</v>
      </c>
      <c r="J455" s="688" t="s">
        <v>115</v>
      </c>
    </row>
    <row r="456" spans="1:14">
      <c r="A456" s="632">
        <v>14115</v>
      </c>
      <c r="B456" s="632" t="s">
        <v>14</v>
      </c>
      <c r="C456" s="632" t="s">
        <v>14</v>
      </c>
      <c r="D456" s="632" t="s">
        <v>127</v>
      </c>
      <c r="E456" s="633">
        <v>43409.770324074074</v>
      </c>
      <c r="F456" s="438">
        <v>43409.770324074074</v>
      </c>
      <c r="G456" s="634">
        <v>0.77013888888888893</v>
      </c>
      <c r="H456" s="688" t="s">
        <v>115</v>
      </c>
      <c r="I456" s="686" t="s">
        <v>115</v>
      </c>
      <c r="J456" s="688" t="s">
        <v>115</v>
      </c>
      <c r="K456" s="688">
        <v>0.16700000000000001</v>
      </c>
      <c r="M456" s="688">
        <v>0.16700000000000001</v>
      </c>
      <c r="N456" s="688">
        <v>0</v>
      </c>
    </row>
    <row r="457" spans="1:14">
      <c r="A457" s="632">
        <v>14118</v>
      </c>
      <c r="B457" s="632" t="s">
        <v>14</v>
      </c>
      <c r="C457" s="632" t="s">
        <v>14</v>
      </c>
      <c r="D457" s="632" t="s">
        <v>128</v>
      </c>
      <c r="E457" s="633">
        <v>43409.777997685182</v>
      </c>
      <c r="F457" s="438">
        <v>43409.777997685182</v>
      </c>
      <c r="G457" s="634">
        <v>0.77777777777777779</v>
      </c>
      <c r="H457" s="688" t="s">
        <v>115</v>
      </c>
      <c r="I457" s="686" t="s">
        <v>115</v>
      </c>
      <c r="J457" s="688" t="s">
        <v>115</v>
      </c>
    </row>
    <row r="458" spans="1:14">
      <c r="A458" s="632">
        <v>14128</v>
      </c>
      <c r="B458" s="632" t="s">
        <v>14</v>
      </c>
      <c r="C458" s="632" t="s">
        <v>14</v>
      </c>
      <c r="D458" s="632" t="s">
        <v>125</v>
      </c>
      <c r="E458" s="633">
        <v>43410.360266203701</v>
      </c>
      <c r="F458" s="438">
        <v>43410.360266203701</v>
      </c>
      <c r="G458" s="634">
        <v>0.35972222222222222</v>
      </c>
      <c r="H458" s="688">
        <v>9.7330000000000005</v>
      </c>
      <c r="I458" s="686">
        <v>8</v>
      </c>
      <c r="J458" s="688" t="s">
        <v>115</v>
      </c>
    </row>
    <row r="459" spans="1:14">
      <c r="A459" s="632">
        <v>14133</v>
      </c>
      <c r="B459" s="632" t="s">
        <v>14</v>
      </c>
      <c r="C459" s="632" t="s">
        <v>14</v>
      </c>
      <c r="D459" s="632" t="s">
        <v>126</v>
      </c>
      <c r="E459" s="633">
        <v>43410.765798611108</v>
      </c>
      <c r="F459" s="438">
        <v>43410.765798611108</v>
      </c>
      <c r="G459" s="634">
        <v>0.76527777777777783</v>
      </c>
      <c r="H459" s="688" t="s">
        <v>115</v>
      </c>
      <c r="I459" s="686" t="s">
        <v>115</v>
      </c>
      <c r="J459" s="688" t="s">
        <v>115</v>
      </c>
    </row>
    <row r="460" spans="1:14">
      <c r="A460" s="632">
        <v>14149</v>
      </c>
      <c r="B460" s="632" t="s">
        <v>92</v>
      </c>
      <c r="C460" s="632" t="s">
        <v>14</v>
      </c>
      <c r="D460" s="632" t="s">
        <v>125</v>
      </c>
      <c r="E460" s="633">
        <v>43411.361643518518</v>
      </c>
      <c r="F460" s="438">
        <v>43411.361643518518</v>
      </c>
      <c r="G460" s="634">
        <v>0.3611111111111111</v>
      </c>
      <c r="H460" s="688">
        <v>9.7330000000000005</v>
      </c>
      <c r="I460" s="686">
        <v>8</v>
      </c>
      <c r="J460" s="688" t="s">
        <v>115</v>
      </c>
    </row>
    <row r="461" spans="1:14">
      <c r="A461" s="632">
        <v>14154</v>
      </c>
      <c r="B461" s="632" t="s">
        <v>14</v>
      </c>
      <c r="C461" s="632" t="s">
        <v>14</v>
      </c>
      <c r="D461" s="632" t="s">
        <v>126</v>
      </c>
      <c r="E461" s="633">
        <v>43411.766979166663</v>
      </c>
      <c r="F461" s="438">
        <v>43411.766979166663</v>
      </c>
      <c r="G461" s="634">
        <v>0.76666666666666661</v>
      </c>
      <c r="H461" s="688" t="s">
        <v>115</v>
      </c>
      <c r="I461" s="686" t="s">
        <v>115</v>
      </c>
      <c r="J461" s="688" t="s">
        <v>115</v>
      </c>
    </row>
    <row r="462" spans="1:14">
      <c r="A462" s="632">
        <v>14166</v>
      </c>
      <c r="B462" s="632" t="s">
        <v>92</v>
      </c>
      <c r="C462" s="632" t="s">
        <v>14</v>
      </c>
      <c r="D462" s="632" t="s">
        <v>125</v>
      </c>
      <c r="E462" s="633">
        <v>43412.361550925925</v>
      </c>
      <c r="F462" s="438">
        <v>43412.361550925925</v>
      </c>
      <c r="G462" s="634">
        <v>0.3611111111111111</v>
      </c>
      <c r="H462" s="688">
        <v>9.7829999999999995</v>
      </c>
      <c r="I462" s="686">
        <v>8</v>
      </c>
      <c r="J462" s="688" t="s">
        <v>115</v>
      </c>
    </row>
    <row r="463" spans="1:14">
      <c r="A463" s="632">
        <v>14176</v>
      </c>
      <c r="B463" s="632" t="s">
        <v>14</v>
      </c>
      <c r="C463" s="632" t="s">
        <v>14</v>
      </c>
      <c r="D463" s="632" t="s">
        <v>126</v>
      </c>
      <c r="E463" s="633">
        <v>43412.768969907411</v>
      </c>
      <c r="F463" s="438">
        <v>43412.768969907411</v>
      </c>
      <c r="G463" s="634">
        <v>0.76874999999999993</v>
      </c>
      <c r="H463" s="688" t="s">
        <v>115</v>
      </c>
      <c r="I463" s="686" t="s">
        <v>115</v>
      </c>
      <c r="J463" s="688" t="s">
        <v>115</v>
      </c>
    </row>
    <row r="464" spans="1:14">
      <c r="A464" s="632">
        <v>14193</v>
      </c>
      <c r="B464" s="632" t="s">
        <v>92</v>
      </c>
      <c r="C464" s="632" t="s">
        <v>14</v>
      </c>
      <c r="D464" s="632" t="s">
        <v>125</v>
      </c>
      <c r="E464" s="633">
        <v>43413.358483796299</v>
      </c>
      <c r="F464" s="438">
        <v>43413.358483796299</v>
      </c>
      <c r="G464" s="634">
        <v>0.35833333333333334</v>
      </c>
      <c r="H464" s="688">
        <v>9.8670000000000009</v>
      </c>
      <c r="I464" s="686">
        <v>8</v>
      </c>
      <c r="J464" s="688" t="s">
        <v>115</v>
      </c>
    </row>
    <row r="465" spans="1:14">
      <c r="A465" s="632">
        <v>14203</v>
      </c>
      <c r="B465" s="632" t="s">
        <v>14</v>
      </c>
      <c r="C465" s="632" t="s">
        <v>14</v>
      </c>
      <c r="D465" s="632" t="s">
        <v>126</v>
      </c>
      <c r="E465" s="633">
        <v>43413.770046296297</v>
      </c>
      <c r="F465" s="438">
        <v>43413.770046296297</v>
      </c>
      <c r="G465" s="634">
        <v>0.76944444444444438</v>
      </c>
      <c r="H465" s="688" t="s">
        <v>115</v>
      </c>
      <c r="I465" s="686" t="s">
        <v>115</v>
      </c>
      <c r="J465" s="688" t="s">
        <v>115</v>
      </c>
    </row>
    <row r="466" spans="1:14">
      <c r="A466" s="632">
        <v>14204</v>
      </c>
      <c r="B466" s="632" t="s">
        <v>14</v>
      </c>
      <c r="C466" s="632" t="s">
        <v>14</v>
      </c>
      <c r="D466" s="632" t="s">
        <v>127</v>
      </c>
      <c r="E466" s="633">
        <v>43413.770092592589</v>
      </c>
      <c r="F466" s="438">
        <v>43413.770092592589</v>
      </c>
      <c r="G466" s="634">
        <v>0.76944444444444438</v>
      </c>
      <c r="H466" s="688" t="s">
        <v>115</v>
      </c>
      <c r="I466" s="686" t="s">
        <v>115</v>
      </c>
      <c r="J466" s="688" t="s">
        <v>115</v>
      </c>
      <c r="K466" s="688">
        <v>0.56699999999999995</v>
      </c>
      <c r="M466" s="688">
        <v>0.56699999999999995</v>
      </c>
      <c r="N466" s="688">
        <v>0</v>
      </c>
    </row>
    <row r="467" spans="1:14">
      <c r="A467" s="632">
        <v>14211</v>
      </c>
      <c r="B467" s="632" t="s">
        <v>14</v>
      </c>
      <c r="C467" s="632" t="s">
        <v>14</v>
      </c>
      <c r="D467" s="632" t="s">
        <v>128</v>
      </c>
      <c r="E467" s="633">
        <v>43413.793530092589</v>
      </c>
      <c r="F467" s="438">
        <v>43413.793530092589</v>
      </c>
      <c r="G467" s="634">
        <v>0.79305555555555562</v>
      </c>
      <c r="H467" s="688" t="s">
        <v>115</v>
      </c>
      <c r="I467" s="686" t="s">
        <v>115</v>
      </c>
      <c r="J467" s="688" t="s">
        <v>115</v>
      </c>
    </row>
    <row r="468" spans="1:14">
      <c r="A468" s="632">
        <v>14214</v>
      </c>
      <c r="B468" s="632" t="s">
        <v>14</v>
      </c>
      <c r="C468" s="632" t="s">
        <v>14</v>
      </c>
      <c r="D468" s="632" t="s">
        <v>125</v>
      </c>
      <c r="E468" s="633">
        <v>43416.356446759259</v>
      </c>
      <c r="F468" s="438">
        <v>43416.356446759259</v>
      </c>
      <c r="G468" s="634">
        <v>0.35625000000000001</v>
      </c>
      <c r="H468" s="688">
        <v>9.8330000000000002</v>
      </c>
      <c r="I468" s="686">
        <v>8</v>
      </c>
      <c r="J468" s="688" t="s">
        <v>115</v>
      </c>
    </row>
    <row r="469" spans="1:14">
      <c r="A469" s="632">
        <v>14223</v>
      </c>
      <c r="B469" s="632" t="s">
        <v>14</v>
      </c>
      <c r="C469" s="632" t="s">
        <v>14</v>
      </c>
      <c r="D469" s="632" t="s">
        <v>126</v>
      </c>
      <c r="E469" s="633">
        <v>43416.766018518516</v>
      </c>
      <c r="F469" s="438">
        <v>43416.766018518516</v>
      </c>
      <c r="G469" s="634">
        <v>0.76597222222222217</v>
      </c>
      <c r="H469" s="688" t="s">
        <v>115</v>
      </c>
      <c r="I469" s="686" t="s">
        <v>115</v>
      </c>
      <c r="J469" s="688" t="s">
        <v>115</v>
      </c>
    </row>
    <row r="470" spans="1:14">
      <c r="A470" s="632">
        <v>14227</v>
      </c>
      <c r="B470" s="632" t="s">
        <v>14</v>
      </c>
      <c r="C470" s="632" t="s">
        <v>14</v>
      </c>
      <c r="D470" s="632" t="s">
        <v>127</v>
      </c>
      <c r="E470" s="633">
        <v>43416.770046296297</v>
      </c>
      <c r="F470" s="438">
        <v>43416.770046296297</v>
      </c>
      <c r="G470" s="634">
        <v>0.76944444444444438</v>
      </c>
      <c r="H470" s="688" t="s">
        <v>115</v>
      </c>
      <c r="I470" s="686" t="s">
        <v>115</v>
      </c>
      <c r="J470" s="688" t="s">
        <v>115</v>
      </c>
      <c r="K470" s="688">
        <v>1.617</v>
      </c>
      <c r="M470" s="688">
        <v>1.617</v>
      </c>
      <c r="N470" s="688">
        <v>0</v>
      </c>
    </row>
    <row r="471" spans="1:14">
      <c r="A471" s="632">
        <v>14231</v>
      </c>
      <c r="B471" s="632" t="s">
        <v>14</v>
      </c>
      <c r="C471" s="632" t="s">
        <v>14</v>
      </c>
      <c r="D471" s="632" t="s">
        <v>128</v>
      </c>
      <c r="E471" s="633">
        <v>43416.838564814818</v>
      </c>
      <c r="F471" s="438">
        <v>43416.838564814818</v>
      </c>
      <c r="G471" s="634">
        <v>0.83819444444444446</v>
      </c>
      <c r="H471" s="688" t="s">
        <v>115</v>
      </c>
      <c r="I471" s="686" t="s">
        <v>115</v>
      </c>
      <c r="J471" s="688" t="s">
        <v>115</v>
      </c>
    </row>
    <row r="472" spans="1:14">
      <c r="A472" s="632">
        <v>14236</v>
      </c>
      <c r="B472" s="632" t="s">
        <v>14</v>
      </c>
      <c r="C472" s="632" t="s">
        <v>14</v>
      </c>
      <c r="D472" s="632" t="s">
        <v>125</v>
      </c>
      <c r="E472" s="633">
        <v>43417.360231481478</v>
      </c>
      <c r="F472" s="438">
        <v>43417.360231481478</v>
      </c>
      <c r="G472" s="634">
        <v>0.35972222222222222</v>
      </c>
      <c r="H472" s="688">
        <v>9.7170000000000005</v>
      </c>
      <c r="I472" s="686">
        <v>8</v>
      </c>
      <c r="J472" s="688" t="s">
        <v>115</v>
      </c>
    </row>
    <row r="473" spans="1:14">
      <c r="A473" s="632">
        <v>14249</v>
      </c>
      <c r="B473" s="632" t="s">
        <v>14</v>
      </c>
      <c r="C473" s="632" t="s">
        <v>14</v>
      </c>
      <c r="D473" s="632" t="s">
        <v>126</v>
      </c>
      <c r="E473" s="633">
        <v>43417.764710648145</v>
      </c>
      <c r="F473" s="438">
        <v>43417.764710648145</v>
      </c>
      <c r="G473" s="634">
        <v>0.76458333333333339</v>
      </c>
      <c r="H473" s="688" t="s">
        <v>115</v>
      </c>
      <c r="I473" s="686" t="s">
        <v>115</v>
      </c>
      <c r="J473" s="688" t="s">
        <v>115</v>
      </c>
    </row>
    <row r="474" spans="1:14">
      <c r="A474" s="632">
        <v>14269</v>
      </c>
      <c r="B474" s="632" t="s">
        <v>14</v>
      </c>
      <c r="C474" s="632" t="s">
        <v>14</v>
      </c>
      <c r="D474" s="632" t="s">
        <v>125</v>
      </c>
      <c r="E474" s="633">
        <v>43418.361134259256</v>
      </c>
      <c r="F474" s="438">
        <v>43418.361134259256</v>
      </c>
      <c r="G474" s="634">
        <v>0.3611111111111111</v>
      </c>
      <c r="H474" s="688">
        <v>9.5670000000000002</v>
      </c>
      <c r="I474" s="686">
        <v>8</v>
      </c>
      <c r="J474" s="688" t="s">
        <v>115</v>
      </c>
    </row>
    <row r="475" spans="1:14">
      <c r="A475" s="632">
        <v>14273</v>
      </c>
      <c r="B475" s="632" t="s">
        <v>14</v>
      </c>
      <c r="C475" s="632" t="s">
        <v>14</v>
      </c>
      <c r="D475" s="632" t="s">
        <v>126</v>
      </c>
      <c r="E475" s="633">
        <v>43418.75980324074</v>
      </c>
      <c r="F475" s="438">
        <v>43418.75980324074</v>
      </c>
      <c r="G475" s="634">
        <v>0.7597222222222223</v>
      </c>
      <c r="H475" s="688" t="s">
        <v>115</v>
      </c>
      <c r="I475" s="686" t="s">
        <v>115</v>
      </c>
      <c r="J475" s="688" t="s">
        <v>115</v>
      </c>
    </row>
    <row r="476" spans="1:14">
      <c r="A476" s="632">
        <v>14288</v>
      </c>
      <c r="B476" s="632" t="s">
        <v>172</v>
      </c>
      <c r="C476" s="632" t="s">
        <v>14</v>
      </c>
      <c r="D476" s="632" t="s">
        <v>125</v>
      </c>
      <c r="E476" s="633">
        <v>43419.362650462965</v>
      </c>
      <c r="F476" s="438">
        <v>43419.362650462965</v>
      </c>
      <c r="G476" s="634">
        <v>0.36249999999999999</v>
      </c>
      <c r="H476" s="688">
        <v>9.6999999999999993</v>
      </c>
      <c r="I476" s="686">
        <v>8</v>
      </c>
      <c r="J476" s="688" t="s">
        <v>115</v>
      </c>
    </row>
    <row r="477" spans="1:14">
      <c r="A477" s="632">
        <v>14296</v>
      </c>
      <c r="B477" s="632" t="s">
        <v>14</v>
      </c>
      <c r="C477" s="632" t="s">
        <v>14</v>
      </c>
      <c r="D477" s="632" t="s">
        <v>126</v>
      </c>
      <c r="E477" s="633">
        <v>43419.767256944448</v>
      </c>
      <c r="F477" s="438">
        <v>43419.767256944448</v>
      </c>
      <c r="G477" s="634">
        <v>0.76666666666666661</v>
      </c>
      <c r="H477" s="688" t="s">
        <v>115</v>
      </c>
      <c r="I477" s="686" t="s">
        <v>115</v>
      </c>
      <c r="J477" s="688" t="s">
        <v>115</v>
      </c>
    </row>
    <row r="478" spans="1:14">
      <c r="A478" s="632">
        <v>14320</v>
      </c>
      <c r="B478" s="632" t="s">
        <v>14</v>
      </c>
      <c r="C478" s="632" t="s">
        <v>14</v>
      </c>
      <c r="D478" s="632" t="s">
        <v>125</v>
      </c>
      <c r="E478" s="633">
        <v>43420.362013888887</v>
      </c>
      <c r="F478" s="438">
        <v>43420.362013888887</v>
      </c>
      <c r="G478" s="634">
        <v>0.36180555555555555</v>
      </c>
      <c r="H478" s="688">
        <v>9.5830000000000002</v>
      </c>
      <c r="I478" s="686">
        <v>8</v>
      </c>
      <c r="J478" s="688" t="s">
        <v>115</v>
      </c>
    </row>
    <row r="479" spans="1:14">
      <c r="A479" s="632">
        <v>14326</v>
      </c>
      <c r="B479" s="632" t="s">
        <v>14</v>
      </c>
      <c r="C479" s="632" t="s">
        <v>14</v>
      </c>
      <c r="D479" s="632" t="s">
        <v>126</v>
      </c>
      <c r="E479" s="633">
        <v>43420.761354166665</v>
      </c>
      <c r="F479" s="438">
        <v>43420.761354166665</v>
      </c>
      <c r="G479" s="634">
        <v>0.76111111111111107</v>
      </c>
      <c r="H479" s="688" t="s">
        <v>115</v>
      </c>
      <c r="I479" s="686" t="s">
        <v>115</v>
      </c>
      <c r="J479" s="688" t="s">
        <v>115</v>
      </c>
    </row>
    <row r="480" spans="1:14">
      <c r="A480" s="632">
        <v>14369</v>
      </c>
      <c r="B480" s="632" t="s">
        <v>14</v>
      </c>
      <c r="C480" s="632" t="s">
        <v>14</v>
      </c>
      <c r="D480" s="632" t="s">
        <v>125</v>
      </c>
      <c r="E480" s="633">
        <v>43424.362881944442</v>
      </c>
      <c r="F480" s="438">
        <v>43424.362881944442</v>
      </c>
      <c r="G480" s="634">
        <v>0.36249999999999999</v>
      </c>
      <c r="H480" s="688">
        <v>9.75</v>
      </c>
      <c r="I480" s="686">
        <v>8</v>
      </c>
      <c r="J480" s="688" t="s">
        <v>115</v>
      </c>
    </row>
    <row r="481" spans="1:10">
      <c r="A481" s="632">
        <v>14380</v>
      </c>
      <c r="B481" s="632" t="s">
        <v>14</v>
      </c>
      <c r="C481" s="632" t="s">
        <v>14</v>
      </c>
      <c r="D481" s="632" t="s">
        <v>126</v>
      </c>
      <c r="E481" s="633">
        <v>43424.769062500003</v>
      </c>
      <c r="F481" s="438">
        <v>43424.769062500003</v>
      </c>
      <c r="G481" s="634">
        <v>0.76874999999999993</v>
      </c>
      <c r="H481" s="688" t="s">
        <v>115</v>
      </c>
      <c r="I481" s="686" t="s">
        <v>115</v>
      </c>
      <c r="J481" s="688" t="s">
        <v>115</v>
      </c>
    </row>
    <row r="482" spans="1:10">
      <c r="A482" s="632">
        <v>14394</v>
      </c>
      <c r="B482" s="632" t="s">
        <v>14</v>
      </c>
      <c r="C482" s="632" t="s">
        <v>14</v>
      </c>
      <c r="D482" s="632" t="s">
        <v>125</v>
      </c>
      <c r="E482" s="633">
        <v>43425.357094907406</v>
      </c>
      <c r="F482" s="438">
        <v>43425.357094907406</v>
      </c>
      <c r="G482" s="634">
        <v>0.35694444444444445</v>
      </c>
      <c r="H482" s="688">
        <v>9.9329999999999998</v>
      </c>
      <c r="I482" s="686">
        <v>8</v>
      </c>
      <c r="J482" s="688" t="s">
        <v>115</v>
      </c>
    </row>
    <row r="483" spans="1:10">
      <c r="A483" s="632">
        <v>14411</v>
      </c>
      <c r="B483" s="632" t="s">
        <v>14</v>
      </c>
      <c r="C483" s="632" t="s">
        <v>14</v>
      </c>
      <c r="D483" s="632" t="s">
        <v>126</v>
      </c>
      <c r="E483" s="633">
        <v>43425.771516203706</v>
      </c>
      <c r="F483" s="438">
        <v>43425.771516203706</v>
      </c>
      <c r="G483" s="634">
        <v>0.77083333333333337</v>
      </c>
      <c r="H483" s="688" t="s">
        <v>115</v>
      </c>
      <c r="I483" s="686" t="s">
        <v>115</v>
      </c>
      <c r="J483" s="688" t="s">
        <v>115</v>
      </c>
    </row>
    <row r="484" spans="1:10">
      <c r="A484" s="632">
        <v>14423</v>
      </c>
      <c r="B484" s="632" t="s">
        <v>14</v>
      </c>
      <c r="C484" s="632" t="s">
        <v>14</v>
      </c>
      <c r="D484" s="632" t="s">
        <v>125</v>
      </c>
      <c r="E484" s="633">
        <v>43426.358159722222</v>
      </c>
      <c r="F484" s="438">
        <v>43426.358159722222</v>
      </c>
      <c r="G484" s="634">
        <v>0.3576388888888889</v>
      </c>
      <c r="H484" s="688">
        <v>3.5</v>
      </c>
      <c r="I484" s="686">
        <v>2</v>
      </c>
      <c r="J484" s="688">
        <v>6</v>
      </c>
    </row>
    <row r="485" spans="1:10">
      <c r="A485" s="632">
        <v>14429</v>
      </c>
      <c r="B485" s="632" t="s">
        <v>14</v>
      </c>
      <c r="C485" s="632" t="s">
        <v>14</v>
      </c>
      <c r="D485" s="632" t="s">
        <v>126</v>
      </c>
      <c r="E485" s="633">
        <v>43426.503831018519</v>
      </c>
      <c r="F485" s="438">
        <v>43426.503831018519</v>
      </c>
      <c r="G485" s="634">
        <v>0.50347222222222221</v>
      </c>
      <c r="H485" s="688" t="s">
        <v>115</v>
      </c>
      <c r="I485" s="686" t="s">
        <v>115</v>
      </c>
      <c r="J485" s="688" t="s">
        <v>115</v>
      </c>
    </row>
    <row r="486" spans="1:10">
      <c r="A486" s="632">
        <v>14457</v>
      </c>
      <c r="B486" s="632" t="s">
        <v>92</v>
      </c>
      <c r="C486" s="632" t="s">
        <v>14</v>
      </c>
      <c r="D486" s="632" t="s">
        <v>125</v>
      </c>
      <c r="E486" s="633">
        <v>43427.362326388888</v>
      </c>
      <c r="F486" s="438">
        <v>43427.362326388888</v>
      </c>
      <c r="G486" s="634">
        <v>0.36180555555555555</v>
      </c>
      <c r="H486" s="688">
        <v>9.6</v>
      </c>
      <c r="I486" s="686">
        <v>8</v>
      </c>
      <c r="J486" s="688" t="s">
        <v>115</v>
      </c>
    </row>
    <row r="487" spans="1:10">
      <c r="A487" s="632">
        <v>14467</v>
      </c>
      <c r="B487" s="632" t="s">
        <v>14</v>
      </c>
      <c r="C487" s="632" t="s">
        <v>14</v>
      </c>
      <c r="D487" s="632" t="s">
        <v>126</v>
      </c>
      <c r="E487" s="633">
        <v>43427.761874999997</v>
      </c>
      <c r="F487" s="438">
        <v>43427.761874999997</v>
      </c>
      <c r="G487" s="634">
        <v>0.76180555555555562</v>
      </c>
      <c r="H487" s="688" t="s">
        <v>115</v>
      </c>
      <c r="I487" s="686" t="s">
        <v>115</v>
      </c>
      <c r="J487" s="688" t="s">
        <v>115</v>
      </c>
    </row>
    <row r="488" spans="1:10">
      <c r="A488" s="632">
        <v>14481</v>
      </c>
      <c r="B488" s="632" t="s">
        <v>14</v>
      </c>
      <c r="C488" s="632" t="s">
        <v>14</v>
      </c>
      <c r="D488" s="632" t="s">
        <v>125</v>
      </c>
      <c r="E488" s="633">
        <v>43430.359768518516</v>
      </c>
      <c r="F488" s="438">
        <v>43430.359768518516</v>
      </c>
      <c r="G488" s="634">
        <v>0.35972222222222222</v>
      </c>
      <c r="H488" s="688">
        <v>9.9329999999999998</v>
      </c>
      <c r="I488" s="686">
        <v>8</v>
      </c>
      <c r="J488" s="688" t="s">
        <v>115</v>
      </c>
    </row>
    <row r="489" spans="1:10">
      <c r="A489" s="632">
        <v>14500</v>
      </c>
      <c r="B489" s="632" t="s">
        <v>14</v>
      </c>
      <c r="C489" s="632" t="s">
        <v>14</v>
      </c>
      <c r="D489" s="632" t="s">
        <v>126</v>
      </c>
      <c r="E489" s="633">
        <v>43430.774097222224</v>
      </c>
      <c r="F489" s="438">
        <v>43430.774097222224</v>
      </c>
      <c r="G489" s="634">
        <v>0.77361111111111114</v>
      </c>
      <c r="H489" s="688" t="s">
        <v>115</v>
      </c>
      <c r="I489" s="686" t="s">
        <v>115</v>
      </c>
      <c r="J489" s="688" t="s">
        <v>115</v>
      </c>
    </row>
    <row r="490" spans="1:10">
      <c r="A490" s="632">
        <v>14510</v>
      </c>
      <c r="B490" s="632" t="s">
        <v>14</v>
      </c>
      <c r="C490" s="632" t="s">
        <v>14</v>
      </c>
      <c r="D490" s="632" t="s">
        <v>125</v>
      </c>
      <c r="E490" s="633">
        <v>43431.362604166665</v>
      </c>
      <c r="F490" s="438">
        <v>43431.362604166665</v>
      </c>
      <c r="G490" s="634">
        <v>0.36249999999999999</v>
      </c>
      <c r="H490" s="688">
        <v>9.7170000000000005</v>
      </c>
      <c r="I490" s="686">
        <v>8</v>
      </c>
      <c r="J490" s="688" t="s">
        <v>115</v>
      </c>
    </row>
    <row r="491" spans="1:10">
      <c r="A491" s="632">
        <v>14521</v>
      </c>
      <c r="B491" s="632" t="s">
        <v>14</v>
      </c>
      <c r="C491" s="632" t="s">
        <v>14</v>
      </c>
      <c r="D491" s="632" t="s">
        <v>126</v>
      </c>
      <c r="E491" s="633">
        <v>43431.76761574074</v>
      </c>
      <c r="F491" s="438">
        <v>43431.76761574074</v>
      </c>
      <c r="G491" s="634">
        <v>0.76736111111111116</v>
      </c>
      <c r="H491" s="688" t="s">
        <v>115</v>
      </c>
      <c r="I491" s="686" t="s">
        <v>115</v>
      </c>
      <c r="J491" s="688" t="s">
        <v>115</v>
      </c>
    </row>
    <row r="492" spans="1:10">
      <c r="A492" s="632">
        <v>14542</v>
      </c>
      <c r="B492" s="632" t="s">
        <v>14</v>
      </c>
      <c r="C492" s="632" t="s">
        <v>14</v>
      </c>
      <c r="D492" s="632" t="s">
        <v>125</v>
      </c>
      <c r="E492" s="633">
        <v>43432.362118055556</v>
      </c>
      <c r="F492" s="438">
        <v>43432.362118055556</v>
      </c>
      <c r="G492" s="634">
        <v>0.36180555555555555</v>
      </c>
      <c r="H492" s="688">
        <v>9.75</v>
      </c>
      <c r="I492" s="686">
        <v>8</v>
      </c>
      <c r="J492" s="688" t="s">
        <v>115</v>
      </c>
    </row>
    <row r="493" spans="1:10">
      <c r="A493" s="632">
        <v>14552</v>
      </c>
      <c r="B493" s="632" t="s">
        <v>14</v>
      </c>
      <c r="C493" s="632" t="s">
        <v>14</v>
      </c>
      <c r="D493" s="632" t="s">
        <v>126</v>
      </c>
      <c r="E493" s="633">
        <v>43432.768159722225</v>
      </c>
      <c r="F493" s="438">
        <v>43432.768159722225</v>
      </c>
      <c r="G493" s="634">
        <v>0.7680555555555556</v>
      </c>
      <c r="H493" s="688" t="s">
        <v>115</v>
      </c>
      <c r="I493" s="686" t="s">
        <v>115</v>
      </c>
      <c r="J493" s="688" t="s">
        <v>115</v>
      </c>
    </row>
    <row r="494" spans="1:10">
      <c r="A494" s="632">
        <v>14573</v>
      </c>
      <c r="B494" s="632" t="s">
        <v>14</v>
      </c>
      <c r="C494" s="632" t="s">
        <v>14</v>
      </c>
      <c r="D494" s="632" t="s">
        <v>125</v>
      </c>
      <c r="E494" s="633">
        <v>43433.361296296294</v>
      </c>
      <c r="F494" s="438">
        <v>43433.361296296294</v>
      </c>
      <c r="G494" s="634">
        <v>0.3611111111111111</v>
      </c>
      <c r="H494" s="688">
        <v>9.6999999999999993</v>
      </c>
      <c r="I494" s="686">
        <v>8</v>
      </c>
      <c r="J494" s="688" t="s">
        <v>115</v>
      </c>
    </row>
    <row r="495" spans="1:10">
      <c r="A495" s="632">
        <v>14579</v>
      </c>
      <c r="B495" s="632" t="s">
        <v>14</v>
      </c>
      <c r="C495" s="632" t="s">
        <v>14</v>
      </c>
      <c r="D495" s="632" t="s">
        <v>126</v>
      </c>
      <c r="E495" s="633">
        <v>43433.765914351854</v>
      </c>
      <c r="F495" s="438">
        <v>43433.765914351854</v>
      </c>
      <c r="G495" s="634">
        <v>0.76527777777777783</v>
      </c>
      <c r="H495" s="688" t="s">
        <v>115</v>
      </c>
      <c r="I495" s="686" t="s">
        <v>115</v>
      </c>
      <c r="J495" s="688" t="s">
        <v>115</v>
      </c>
    </row>
    <row r="496" spans="1:10">
      <c r="A496" s="632">
        <v>14601</v>
      </c>
      <c r="B496" s="632" t="s">
        <v>14</v>
      </c>
      <c r="C496" s="632" t="s">
        <v>14</v>
      </c>
      <c r="D496" s="632" t="s">
        <v>125</v>
      </c>
      <c r="E496" s="633">
        <v>43434.360474537039</v>
      </c>
      <c r="F496" s="438">
        <v>43434.360474537039</v>
      </c>
      <c r="G496" s="634">
        <v>0.36041666666666666</v>
      </c>
      <c r="H496" s="688">
        <v>9.85</v>
      </c>
      <c r="I496" s="686">
        <v>8</v>
      </c>
      <c r="J496" s="688" t="s">
        <v>115</v>
      </c>
    </row>
    <row r="497" spans="1:14">
      <c r="A497" s="632">
        <v>14614</v>
      </c>
      <c r="B497" s="632" t="s">
        <v>14</v>
      </c>
      <c r="C497" s="632" t="s">
        <v>14</v>
      </c>
      <c r="D497" s="632" t="s">
        <v>126</v>
      </c>
      <c r="E497" s="633">
        <v>43434.770879629628</v>
      </c>
      <c r="F497" s="438">
        <v>43434.770879629628</v>
      </c>
      <c r="G497" s="634">
        <v>0.77083333333333337</v>
      </c>
      <c r="H497" s="688" t="s">
        <v>115</v>
      </c>
      <c r="I497" s="686" t="s">
        <v>115</v>
      </c>
      <c r="J497" s="688" t="s">
        <v>115</v>
      </c>
    </row>
    <row r="498" spans="1:14">
      <c r="A498" s="632">
        <v>14615</v>
      </c>
      <c r="B498" s="632" t="s">
        <v>14</v>
      </c>
      <c r="C498" s="632" t="s">
        <v>14</v>
      </c>
      <c r="D498" s="632" t="s">
        <v>127</v>
      </c>
      <c r="E498" s="633">
        <v>43434.770914351851</v>
      </c>
      <c r="F498" s="438">
        <v>43434.770914351851</v>
      </c>
      <c r="G498" s="634">
        <v>0.77083333333333337</v>
      </c>
      <c r="H498" s="688" t="s">
        <v>115</v>
      </c>
      <c r="I498" s="686" t="s">
        <v>115</v>
      </c>
      <c r="J498" s="688" t="s">
        <v>115</v>
      </c>
      <c r="K498" s="688">
        <v>0.6</v>
      </c>
      <c r="M498" s="688">
        <v>0.6</v>
      </c>
      <c r="N498" s="688">
        <v>0</v>
      </c>
    </row>
    <row r="499" spans="1:14">
      <c r="A499" s="632">
        <v>14623</v>
      </c>
      <c r="B499" s="632" t="s">
        <v>14</v>
      </c>
      <c r="C499" s="632" t="s">
        <v>14</v>
      </c>
      <c r="D499" s="632" t="s">
        <v>128</v>
      </c>
      <c r="E499" s="633">
        <v>43434.796030092592</v>
      </c>
      <c r="F499" s="438">
        <v>43434.796030092592</v>
      </c>
      <c r="G499" s="634">
        <v>0.79583333333333339</v>
      </c>
      <c r="H499" s="688" t="s">
        <v>115</v>
      </c>
      <c r="I499" s="686" t="s">
        <v>115</v>
      </c>
      <c r="J499" s="688" t="s">
        <v>115</v>
      </c>
    </row>
    <row r="500" spans="1:14">
      <c r="A500" s="632">
        <v>14078</v>
      </c>
      <c r="B500" s="632" t="s">
        <v>88</v>
      </c>
      <c r="C500" s="632" t="s">
        <v>88</v>
      </c>
      <c r="D500" s="632" t="s">
        <v>125</v>
      </c>
      <c r="E500" s="633">
        <v>43406.367789351854</v>
      </c>
      <c r="F500" s="438">
        <v>43406.367789351854</v>
      </c>
      <c r="G500" s="634">
        <v>0.36736111111111108</v>
      </c>
      <c r="H500" s="688">
        <v>4.0830000000000002</v>
      </c>
      <c r="I500" s="686">
        <v>2.5830000000000002</v>
      </c>
      <c r="J500" s="688">
        <v>5.4169999999999998</v>
      </c>
    </row>
    <row r="501" spans="1:14">
      <c r="A501" s="632">
        <v>14081</v>
      </c>
      <c r="B501" s="632" t="s">
        <v>88</v>
      </c>
      <c r="C501" s="632" t="s">
        <v>88</v>
      </c>
      <c r="D501" s="632" t="s">
        <v>126</v>
      </c>
      <c r="E501" s="633">
        <v>43406.53765046296</v>
      </c>
      <c r="F501" s="438">
        <v>43406.53765046296</v>
      </c>
      <c r="G501" s="634">
        <v>0.53749999999999998</v>
      </c>
      <c r="H501" s="688" t="s">
        <v>115</v>
      </c>
      <c r="I501" s="686" t="s">
        <v>115</v>
      </c>
      <c r="J501" s="688" t="s">
        <v>115</v>
      </c>
    </row>
    <row r="502" spans="1:14">
      <c r="A502" s="632">
        <v>14130</v>
      </c>
      <c r="B502" s="632" t="s">
        <v>88</v>
      </c>
      <c r="C502" s="632" t="s">
        <v>88</v>
      </c>
      <c r="D502" s="632" t="s">
        <v>125</v>
      </c>
      <c r="E502" s="633">
        <v>43410.36378472222</v>
      </c>
      <c r="F502" s="438">
        <v>43410.36378472222</v>
      </c>
      <c r="G502" s="634">
        <v>0.36319444444444443</v>
      </c>
      <c r="H502" s="688">
        <v>8.8829999999999991</v>
      </c>
      <c r="I502" s="686">
        <v>7.3829999999999991</v>
      </c>
      <c r="J502" s="688">
        <v>0.61700000000000088</v>
      </c>
    </row>
    <row r="503" spans="1:14">
      <c r="A503" s="632">
        <v>14132</v>
      </c>
      <c r="B503" s="632" t="s">
        <v>88</v>
      </c>
      <c r="C503" s="632" t="s">
        <v>88</v>
      </c>
      <c r="D503" s="632" t="s">
        <v>126</v>
      </c>
      <c r="E503" s="633">
        <v>43410.733576388891</v>
      </c>
      <c r="F503" s="438">
        <v>43410.733576388891</v>
      </c>
      <c r="G503" s="634">
        <v>0.73333333333333339</v>
      </c>
      <c r="H503" s="688" t="s">
        <v>115</v>
      </c>
      <c r="I503" s="686" t="s">
        <v>115</v>
      </c>
      <c r="J503" s="688" t="s">
        <v>115</v>
      </c>
    </row>
    <row r="504" spans="1:14">
      <c r="A504" s="632">
        <v>14197</v>
      </c>
      <c r="B504" s="632" t="s">
        <v>88</v>
      </c>
      <c r="C504" s="632" t="s">
        <v>88</v>
      </c>
      <c r="D504" s="632" t="s">
        <v>125</v>
      </c>
      <c r="E504" s="633">
        <v>43413.377106481479</v>
      </c>
      <c r="F504" s="438">
        <v>43413.377106481479</v>
      </c>
      <c r="G504" s="634">
        <v>0.37708333333333338</v>
      </c>
      <c r="H504" s="688">
        <v>3.5</v>
      </c>
      <c r="I504" s="686">
        <v>2</v>
      </c>
      <c r="J504" s="688">
        <v>6</v>
      </c>
    </row>
    <row r="505" spans="1:14">
      <c r="A505" s="632">
        <v>14198</v>
      </c>
      <c r="B505" s="632" t="s">
        <v>88</v>
      </c>
      <c r="C505" s="632" t="s">
        <v>88</v>
      </c>
      <c r="D505" s="632" t="s">
        <v>126</v>
      </c>
      <c r="E505" s="633">
        <v>43413.523587962962</v>
      </c>
      <c r="F505" s="438">
        <v>43413.523587962962</v>
      </c>
      <c r="G505" s="634">
        <v>0.5229166666666667</v>
      </c>
      <c r="H505" s="688" t="s">
        <v>115</v>
      </c>
      <c r="I505" s="686" t="s">
        <v>115</v>
      </c>
      <c r="J505" s="688" t="s">
        <v>115</v>
      </c>
    </row>
    <row r="506" spans="1:14">
      <c r="A506" s="632">
        <v>14240</v>
      </c>
      <c r="B506" s="632" t="s">
        <v>88</v>
      </c>
      <c r="C506" s="632" t="s">
        <v>88</v>
      </c>
      <c r="D506" s="632" t="s">
        <v>125</v>
      </c>
      <c r="E506" s="633">
        <v>43417.364259259259</v>
      </c>
      <c r="F506" s="438">
        <v>43417.364259259259</v>
      </c>
      <c r="G506" s="634">
        <v>0.36388888888888887</v>
      </c>
      <c r="H506" s="688">
        <v>3.9169999999999998</v>
      </c>
      <c r="I506" s="686">
        <v>2.4169999999999998</v>
      </c>
      <c r="J506" s="688">
        <v>5.5830000000000002</v>
      </c>
    </row>
    <row r="507" spans="1:14">
      <c r="A507" s="632">
        <v>14243</v>
      </c>
      <c r="B507" s="632" t="s">
        <v>88</v>
      </c>
      <c r="C507" s="632" t="s">
        <v>88</v>
      </c>
      <c r="D507" s="632" t="s">
        <v>126</v>
      </c>
      <c r="E507" s="633">
        <v>43417.527129629627</v>
      </c>
      <c r="F507" s="438">
        <v>43417.527129629627</v>
      </c>
      <c r="G507" s="634">
        <v>0.52708333333333335</v>
      </c>
      <c r="H507" s="688" t="s">
        <v>115</v>
      </c>
      <c r="I507" s="686" t="s">
        <v>115</v>
      </c>
      <c r="J507" s="688" t="s">
        <v>115</v>
      </c>
    </row>
    <row r="508" spans="1:14">
      <c r="A508" s="632">
        <v>14322</v>
      </c>
      <c r="B508" s="632" t="s">
        <v>88</v>
      </c>
      <c r="C508" s="632" t="s">
        <v>88</v>
      </c>
      <c r="D508" s="632" t="s">
        <v>125</v>
      </c>
      <c r="E508" s="633">
        <v>43420.367175925923</v>
      </c>
      <c r="F508" s="438">
        <v>43420.367175925923</v>
      </c>
      <c r="G508" s="634">
        <v>0.3666666666666667</v>
      </c>
      <c r="H508" s="688">
        <v>3.2330000000000001</v>
      </c>
      <c r="I508" s="686">
        <v>1.7330000000000001</v>
      </c>
      <c r="J508" s="688">
        <v>6.2669999999999995</v>
      </c>
    </row>
    <row r="509" spans="1:14">
      <c r="A509" s="632">
        <v>14323</v>
      </c>
      <c r="B509" s="632" t="s">
        <v>88</v>
      </c>
      <c r="C509" s="632" t="s">
        <v>88</v>
      </c>
      <c r="D509" s="632" t="s">
        <v>126</v>
      </c>
      <c r="E509" s="633">
        <v>43420.501539351855</v>
      </c>
      <c r="F509" s="438">
        <v>43420.501539351855</v>
      </c>
      <c r="G509" s="634">
        <v>0.50138888888888888</v>
      </c>
      <c r="H509" s="688" t="s">
        <v>115</v>
      </c>
      <c r="I509" s="686" t="s">
        <v>115</v>
      </c>
      <c r="J509" s="688" t="s">
        <v>115</v>
      </c>
    </row>
    <row r="510" spans="1:14">
      <c r="A510" s="632">
        <v>14347</v>
      </c>
      <c r="B510" s="632" t="s">
        <v>88</v>
      </c>
      <c r="C510" s="632" t="s">
        <v>88</v>
      </c>
      <c r="D510" s="632" t="s">
        <v>125</v>
      </c>
      <c r="E510" s="633">
        <v>43423.371493055558</v>
      </c>
      <c r="F510" s="438">
        <v>43423.371493055558</v>
      </c>
      <c r="G510" s="634">
        <v>0.37083333333333335</v>
      </c>
      <c r="H510" s="688">
        <v>3.6</v>
      </c>
      <c r="I510" s="686">
        <v>2.1</v>
      </c>
      <c r="J510" s="688">
        <v>5.9</v>
      </c>
    </row>
    <row r="511" spans="1:14">
      <c r="B511" s="632" t="s">
        <v>88</v>
      </c>
      <c r="C511" s="632" t="s">
        <v>88</v>
      </c>
      <c r="D511" s="632" t="s">
        <v>126</v>
      </c>
      <c r="E511" s="633">
        <v>43423.520833333336</v>
      </c>
      <c r="F511" s="438">
        <v>43423.520833333336</v>
      </c>
      <c r="G511" s="634">
        <v>0.52083333333333337</v>
      </c>
      <c r="H511" s="688" t="s">
        <v>115</v>
      </c>
      <c r="I511" s="686" t="s">
        <v>115</v>
      </c>
      <c r="J511" s="688" t="s">
        <v>115</v>
      </c>
    </row>
    <row r="512" spans="1:14">
      <c r="A512" s="585"/>
      <c r="B512" s="585" t="s">
        <v>88</v>
      </c>
      <c r="C512" s="585" t="s">
        <v>88</v>
      </c>
      <c r="D512" s="585" t="s">
        <v>141</v>
      </c>
      <c r="E512" s="534">
        <v>43424.375</v>
      </c>
      <c r="F512" s="438">
        <v>43424.375</v>
      </c>
      <c r="G512" s="634">
        <v>0.375</v>
      </c>
      <c r="H512" s="688">
        <v>3.6669999999999998</v>
      </c>
      <c r="I512" s="686">
        <v>2.1669999999999998</v>
      </c>
      <c r="J512" s="688">
        <v>5.8330000000000002</v>
      </c>
    </row>
    <row r="513" spans="1:14">
      <c r="A513" s="632">
        <v>14373</v>
      </c>
      <c r="B513" s="632" t="s">
        <v>88</v>
      </c>
      <c r="C513" s="632" t="s">
        <v>88</v>
      </c>
      <c r="D513" s="632" t="s">
        <v>126</v>
      </c>
      <c r="E513" s="633">
        <v>43424.527928240743</v>
      </c>
      <c r="F513" s="438">
        <v>43424.527928240743</v>
      </c>
      <c r="G513" s="634">
        <v>0.52777777777777779</v>
      </c>
      <c r="H513" s="688" t="s">
        <v>115</v>
      </c>
      <c r="I513" s="686" t="s">
        <v>115</v>
      </c>
      <c r="J513" s="688" t="s">
        <v>115</v>
      </c>
    </row>
    <row r="514" spans="1:14">
      <c r="B514" s="632" t="s">
        <v>88</v>
      </c>
      <c r="C514" s="632" t="s">
        <v>88</v>
      </c>
      <c r="D514" s="632" t="s">
        <v>127</v>
      </c>
      <c r="E514" s="633">
        <v>43425.833333333336</v>
      </c>
      <c r="F514" s="438">
        <v>43425.833333333336</v>
      </c>
      <c r="G514" s="634">
        <v>0.83333333333333337</v>
      </c>
      <c r="H514" s="688" t="s">
        <v>115</v>
      </c>
      <c r="I514" s="686" t="s">
        <v>115</v>
      </c>
      <c r="J514" s="688" t="s">
        <v>115</v>
      </c>
      <c r="K514" s="688">
        <v>3</v>
      </c>
      <c r="M514" s="688">
        <v>2</v>
      </c>
      <c r="N514" s="688">
        <v>1</v>
      </c>
    </row>
    <row r="515" spans="1:14">
      <c r="B515" s="632" t="s">
        <v>88</v>
      </c>
      <c r="C515" s="632" t="s">
        <v>88</v>
      </c>
      <c r="D515" s="632" t="s">
        <v>128</v>
      </c>
      <c r="E515" s="633">
        <v>43425.958333333336</v>
      </c>
      <c r="F515" s="438">
        <v>43425.958333333336</v>
      </c>
      <c r="G515" s="634">
        <v>0.95833333333333337</v>
      </c>
      <c r="H515" s="688" t="s">
        <v>115</v>
      </c>
      <c r="I515" s="686" t="s">
        <v>115</v>
      </c>
      <c r="J515" s="688" t="s">
        <v>115</v>
      </c>
    </row>
    <row r="516" spans="1:14">
      <c r="A516" s="632">
        <v>14460</v>
      </c>
      <c r="B516" s="632" t="s">
        <v>88</v>
      </c>
      <c r="C516" s="632" t="s">
        <v>88</v>
      </c>
      <c r="D516" s="632" t="s">
        <v>125</v>
      </c>
      <c r="E516" s="633">
        <v>43427.37</v>
      </c>
      <c r="F516" s="438">
        <v>43427.37</v>
      </c>
      <c r="G516" s="634">
        <v>0.36944444444444446</v>
      </c>
      <c r="H516" s="688">
        <v>3.2330000000000001</v>
      </c>
      <c r="I516" s="686">
        <v>1.7330000000000001</v>
      </c>
      <c r="J516" s="688">
        <v>6.2669999999999995</v>
      </c>
    </row>
    <row r="517" spans="1:14">
      <c r="A517" s="632">
        <v>14461</v>
      </c>
      <c r="B517" s="632" t="s">
        <v>88</v>
      </c>
      <c r="C517" s="632" t="s">
        <v>88</v>
      </c>
      <c r="D517" s="632" t="s">
        <v>126</v>
      </c>
      <c r="E517" s="633">
        <v>43427.504479166666</v>
      </c>
      <c r="F517" s="438">
        <v>43427.504479166666</v>
      </c>
      <c r="G517" s="634">
        <v>0.50416666666666665</v>
      </c>
      <c r="H517" s="688" t="s">
        <v>115</v>
      </c>
      <c r="I517" s="686" t="s">
        <v>115</v>
      </c>
      <c r="J517" s="688" t="s">
        <v>115</v>
      </c>
    </row>
    <row r="518" spans="1:14">
      <c r="A518" s="632">
        <v>14487</v>
      </c>
      <c r="B518" s="632" t="s">
        <v>88</v>
      </c>
      <c r="C518" s="632" t="s">
        <v>88</v>
      </c>
      <c r="D518" s="632" t="s">
        <v>125</v>
      </c>
      <c r="E518" s="633">
        <v>43430.372094907405</v>
      </c>
      <c r="F518" s="438">
        <v>43430.372094907405</v>
      </c>
      <c r="G518" s="634">
        <v>0.37152777777777773</v>
      </c>
      <c r="H518" s="688">
        <v>3.133</v>
      </c>
      <c r="I518" s="686">
        <v>1.633</v>
      </c>
      <c r="J518" s="688">
        <v>6.367</v>
      </c>
    </row>
    <row r="519" spans="1:14">
      <c r="A519" s="632">
        <v>14488</v>
      </c>
      <c r="B519" s="632" t="s">
        <v>88</v>
      </c>
      <c r="C519" s="632" t="s">
        <v>88</v>
      </c>
      <c r="D519" s="632" t="s">
        <v>126</v>
      </c>
      <c r="E519" s="633">
        <v>43430.502754629626</v>
      </c>
      <c r="F519" s="438">
        <v>43430.502754629626</v>
      </c>
      <c r="G519" s="634">
        <v>0.50208333333333333</v>
      </c>
      <c r="H519" s="688" t="s">
        <v>115</v>
      </c>
      <c r="I519" s="686" t="s">
        <v>115</v>
      </c>
      <c r="J519" s="688" t="s">
        <v>115</v>
      </c>
    </row>
    <row r="520" spans="1:14">
      <c r="A520" s="632">
        <v>14514</v>
      </c>
      <c r="B520" s="632" t="s">
        <v>88</v>
      </c>
      <c r="C520" s="632" t="s">
        <v>88</v>
      </c>
      <c r="D520" s="632" t="s">
        <v>125</v>
      </c>
      <c r="E520" s="633">
        <v>43431.376504629632</v>
      </c>
      <c r="F520" s="438">
        <v>43431.376504629632</v>
      </c>
      <c r="G520" s="634">
        <v>0.37638888888888888</v>
      </c>
      <c r="H520" s="688">
        <v>3.4670000000000001</v>
      </c>
      <c r="I520" s="686">
        <v>1.9670000000000001</v>
      </c>
      <c r="J520" s="688">
        <v>6.0329999999999995</v>
      </c>
    </row>
    <row r="521" spans="1:14">
      <c r="A521" s="632">
        <v>14515</v>
      </c>
      <c r="B521" s="632" t="s">
        <v>88</v>
      </c>
      <c r="C521" s="632" t="s">
        <v>88</v>
      </c>
      <c r="D521" s="632" t="s">
        <v>126</v>
      </c>
      <c r="E521" s="633">
        <v>43431.521516203706</v>
      </c>
      <c r="F521" s="438">
        <v>43431.521516203706</v>
      </c>
      <c r="G521" s="634">
        <v>0.52083333333333337</v>
      </c>
      <c r="H521" s="688" t="s">
        <v>115</v>
      </c>
      <c r="I521" s="686" t="s">
        <v>115</v>
      </c>
      <c r="J521" s="688" t="s">
        <v>115</v>
      </c>
    </row>
    <row r="522" spans="1:14">
      <c r="A522" s="632">
        <v>14605</v>
      </c>
      <c r="B522" s="632" t="s">
        <v>88</v>
      </c>
      <c r="C522" s="632" t="s">
        <v>88</v>
      </c>
      <c r="D522" s="632" t="s">
        <v>125</v>
      </c>
      <c r="E522" s="633">
        <v>43434.375578703701</v>
      </c>
      <c r="F522" s="438">
        <v>43434.375578703701</v>
      </c>
      <c r="G522" s="634">
        <v>0.375</v>
      </c>
      <c r="H522" s="688">
        <v>3.117</v>
      </c>
      <c r="I522" s="686">
        <v>1.617</v>
      </c>
      <c r="J522" s="688">
        <v>6.383</v>
      </c>
    </row>
    <row r="523" spans="1:14">
      <c r="A523" s="632">
        <v>14606</v>
      </c>
      <c r="B523" s="632" t="s">
        <v>88</v>
      </c>
      <c r="C523" s="632" t="s">
        <v>88</v>
      </c>
      <c r="D523" s="632" t="s">
        <v>126</v>
      </c>
      <c r="E523" s="633">
        <v>43434.504907407405</v>
      </c>
      <c r="F523" s="438">
        <v>43434.504907407405</v>
      </c>
      <c r="G523" s="634">
        <v>0.50486111111111109</v>
      </c>
      <c r="H523" s="688" t="s">
        <v>115</v>
      </c>
      <c r="I523" s="686" t="s">
        <v>115</v>
      </c>
      <c r="J523" s="688" t="s">
        <v>115</v>
      </c>
    </row>
    <row r="524" spans="1:14">
      <c r="A524" s="632">
        <v>14053</v>
      </c>
      <c r="B524" s="632" t="s">
        <v>120</v>
      </c>
      <c r="C524" s="632" t="s">
        <v>120</v>
      </c>
      <c r="D524" s="632" t="s">
        <v>125</v>
      </c>
      <c r="E524" s="633">
        <v>43405.34684027778</v>
      </c>
      <c r="F524" s="438">
        <v>43405.34684027778</v>
      </c>
      <c r="G524" s="634">
        <v>0.34652777777777777</v>
      </c>
      <c r="H524" s="688">
        <v>9.9670000000000005</v>
      </c>
      <c r="I524" s="686">
        <v>8</v>
      </c>
      <c r="J524" s="688" t="s">
        <v>115</v>
      </c>
    </row>
    <row r="525" spans="1:14">
      <c r="A525" s="632">
        <v>14066</v>
      </c>
      <c r="B525" s="632" t="s">
        <v>121</v>
      </c>
      <c r="C525" s="632" t="s">
        <v>120</v>
      </c>
      <c r="D525" s="632" t="s">
        <v>126</v>
      </c>
      <c r="E525" s="633">
        <v>43405.761840277781</v>
      </c>
      <c r="F525" s="438">
        <v>43405.761840277781</v>
      </c>
      <c r="G525" s="634">
        <v>0.76180555555555562</v>
      </c>
      <c r="H525" s="688" t="s">
        <v>115</v>
      </c>
      <c r="I525" s="686" t="s">
        <v>115</v>
      </c>
      <c r="J525" s="688" t="s">
        <v>115</v>
      </c>
    </row>
    <row r="526" spans="1:14">
      <c r="A526" s="632">
        <v>14071</v>
      </c>
      <c r="B526" s="632" t="s">
        <v>120</v>
      </c>
      <c r="C526" s="632" t="s">
        <v>120</v>
      </c>
      <c r="D526" s="632" t="s">
        <v>125</v>
      </c>
      <c r="E526" s="633">
        <v>43406.347395833334</v>
      </c>
      <c r="F526" s="438">
        <v>43406.347395833334</v>
      </c>
      <c r="G526" s="634">
        <v>0.34722222222222227</v>
      </c>
      <c r="H526" s="688">
        <v>10.233000000000001</v>
      </c>
      <c r="I526" s="686">
        <v>8</v>
      </c>
      <c r="J526" s="688" t="s">
        <v>115</v>
      </c>
    </row>
    <row r="527" spans="1:14">
      <c r="A527" s="632">
        <v>14091</v>
      </c>
      <c r="B527" s="632" t="s">
        <v>121</v>
      </c>
      <c r="C527" s="632" t="s">
        <v>120</v>
      </c>
      <c r="D527" s="632" t="s">
        <v>126</v>
      </c>
      <c r="E527" s="633">
        <v>43406.77380787037</v>
      </c>
      <c r="F527" s="438">
        <v>43406.77380787037</v>
      </c>
      <c r="G527" s="634">
        <v>0.77361111111111114</v>
      </c>
      <c r="H527" s="688" t="s">
        <v>115</v>
      </c>
      <c r="I527" s="686" t="s">
        <v>115</v>
      </c>
      <c r="J527" s="688" t="s">
        <v>115</v>
      </c>
    </row>
    <row r="528" spans="1:14">
      <c r="A528" s="632">
        <v>14097</v>
      </c>
      <c r="B528" s="632" t="s">
        <v>120</v>
      </c>
      <c r="C528" s="632" t="s">
        <v>120</v>
      </c>
      <c r="D528" s="632" t="s">
        <v>125</v>
      </c>
      <c r="E528" s="633">
        <v>43409.348900462966</v>
      </c>
      <c r="F528" s="438">
        <v>43409.348900462966</v>
      </c>
      <c r="G528" s="634">
        <v>0.34861111111111115</v>
      </c>
      <c r="H528" s="688">
        <v>10.016999999999999</v>
      </c>
      <c r="I528" s="686">
        <v>8</v>
      </c>
      <c r="J528" s="688" t="s">
        <v>115</v>
      </c>
    </row>
    <row r="529" spans="1:14">
      <c r="A529" s="632">
        <v>14112</v>
      </c>
      <c r="B529" s="632" t="s">
        <v>121</v>
      </c>
      <c r="C529" s="632" t="s">
        <v>120</v>
      </c>
      <c r="D529" s="632" t="s">
        <v>126</v>
      </c>
      <c r="E529" s="633">
        <v>43409.765983796293</v>
      </c>
      <c r="F529" s="438">
        <v>43409.765983796293</v>
      </c>
      <c r="G529" s="634">
        <v>0.76597222222222217</v>
      </c>
      <c r="H529" s="688" t="s">
        <v>115</v>
      </c>
      <c r="I529" s="686" t="s">
        <v>115</v>
      </c>
      <c r="J529" s="688" t="s">
        <v>115</v>
      </c>
    </row>
    <row r="530" spans="1:14">
      <c r="A530" s="632">
        <v>14122</v>
      </c>
      <c r="B530" s="632" t="s">
        <v>120</v>
      </c>
      <c r="C530" s="632" t="s">
        <v>120</v>
      </c>
      <c r="D530" s="632" t="s">
        <v>125</v>
      </c>
      <c r="E530" s="633">
        <v>43410.345879629633</v>
      </c>
      <c r="F530" s="438">
        <v>43410.345879629633</v>
      </c>
      <c r="G530" s="634">
        <v>0.34583333333333338</v>
      </c>
      <c r="H530" s="688">
        <v>10.25</v>
      </c>
      <c r="I530" s="686">
        <v>8</v>
      </c>
      <c r="J530" s="688" t="s">
        <v>115</v>
      </c>
    </row>
    <row r="531" spans="1:14">
      <c r="A531" s="632">
        <v>14137</v>
      </c>
      <c r="B531" s="632" t="s">
        <v>121</v>
      </c>
      <c r="C531" s="632" t="s">
        <v>120</v>
      </c>
      <c r="D531" s="632" t="s">
        <v>126</v>
      </c>
      <c r="E531" s="633">
        <v>43410.772951388892</v>
      </c>
      <c r="F531" s="438">
        <v>43410.772951388892</v>
      </c>
      <c r="G531" s="634">
        <v>0.7729166666666667</v>
      </c>
      <c r="H531" s="688" t="s">
        <v>115</v>
      </c>
      <c r="I531" s="686" t="s">
        <v>115</v>
      </c>
      <c r="J531" s="688" t="s">
        <v>115</v>
      </c>
    </row>
    <row r="532" spans="1:14">
      <c r="A532" s="632">
        <v>14146</v>
      </c>
      <c r="B532" s="632" t="s">
        <v>120</v>
      </c>
      <c r="C532" s="632" t="s">
        <v>120</v>
      </c>
      <c r="D532" s="632" t="s">
        <v>125</v>
      </c>
      <c r="E532" s="633">
        <v>43411.350173611114</v>
      </c>
      <c r="F532" s="438">
        <v>43411.350173611114</v>
      </c>
      <c r="G532" s="634">
        <v>0.35000000000000003</v>
      </c>
      <c r="H532" s="688">
        <v>10.083</v>
      </c>
      <c r="I532" s="686">
        <v>8</v>
      </c>
      <c r="J532" s="688" t="s">
        <v>115</v>
      </c>
    </row>
    <row r="533" spans="1:14">
      <c r="A533" s="632">
        <v>14158</v>
      </c>
      <c r="B533" s="632" t="s">
        <v>121</v>
      </c>
      <c r="C533" s="632" t="s">
        <v>120</v>
      </c>
      <c r="D533" s="632" t="s">
        <v>126</v>
      </c>
      <c r="E533" s="633">
        <v>43411.770185185182</v>
      </c>
      <c r="F533" s="438">
        <v>43411.770185185182</v>
      </c>
      <c r="G533" s="634">
        <v>0.77013888888888893</v>
      </c>
      <c r="H533" s="688" t="s">
        <v>115</v>
      </c>
      <c r="I533" s="686" t="s">
        <v>115</v>
      </c>
      <c r="J533" s="688" t="s">
        <v>115</v>
      </c>
    </row>
    <row r="534" spans="1:14">
      <c r="A534" s="632">
        <v>14162</v>
      </c>
      <c r="B534" s="632" t="s">
        <v>120</v>
      </c>
      <c r="C534" s="632" t="s">
        <v>120</v>
      </c>
      <c r="D534" s="632" t="s">
        <v>125</v>
      </c>
      <c r="E534" s="633">
        <v>43412.347361111111</v>
      </c>
      <c r="F534" s="438">
        <v>43412.347361111111</v>
      </c>
      <c r="G534" s="634">
        <v>0.34722222222222227</v>
      </c>
      <c r="H534" s="688">
        <v>10.117000000000001</v>
      </c>
      <c r="I534" s="686">
        <v>8</v>
      </c>
      <c r="J534" s="688" t="s">
        <v>115</v>
      </c>
    </row>
    <row r="535" spans="1:14">
      <c r="A535" s="632">
        <v>14177</v>
      </c>
      <c r="B535" s="632" t="s">
        <v>120</v>
      </c>
      <c r="C535" s="632" t="s">
        <v>120</v>
      </c>
      <c r="D535" s="632" t="s">
        <v>126</v>
      </c>
      <c r="E535" s="633">
        <v>43412.769259259258</v>
      </c>
      <c r="F535" s="438">
        <v>43412.769259259258</v>
      </c>
      <c r="G535" s="634">
        <v>0.76874999999999993</v>
      </c>
      <c r="H535" s="688" t="s">
        <v>115</v>
      </c>
      <c r="I535" s="686" t="s">
        <v>115</v>
      </c>
      <c r="J535" s="688" t="s">
        <v>115</v>
      </c>
    </row>
    <row r="536" spans="1:14">
      <c r="A536" s="632">
        <v>14188</v>
      </c>
      <c r="B536" s="632" t="s">
        <v>120</v>
      </c>
      <c r="C536" s="632" t="s">
        <v>120</v>
      </c>
      <c r="D536" s="632" t="s">
        <v>125</v>
      </c>
      <c r="E536" s="633">
        <v>43413.349189814813</v>
      </c>
      <c r="F536" s="438">
        <v>43413.349189814813</v>
      </c>
      <c r="G536" s="634">
        <v>0.34861111111111115</v>
      </c>
      <c r="H536" s="688">
        <v>10.167</v>
      </c>
      <c r="I536" s="686">
        <v>8</v>
      </c>
      <c r="J536" s="688" t="s">
        <v>115</v>
      </c>
    </row>
    <row r="537" spans="1:14">
      <c r="A537" s="632">
        <v>14205</v>
      </c>
      <c r="B537" s="632" t="s">
        <v>121</v>
      </c>
      <c r="C537" s="632" t="s">
        <v>120</v>
      </c>
      <c r="D537" s="632" t="s">
        <v>126</v>
      </c>
      <c r="E537" s="633">
        <v>43413.772407407407</v>
      </c>
      <c r="F537" s="438">
        <v>43413.772407407407</v>
      </c>
      <c r="G537" s="634">
        <v>0.77222222222222225</v>
      </c>
      <c r="H537" s="688" t="s">
        <v>115</v>
      </c>
      <c r="I537" s="686" t="s">
        <v>115</v>
      </c>
      <c r="J537" s="688" t="s">
        <v>115</v>
      </c>
    </row>
    <row r="538" spans="1:14">
      <c r="A538" s="632">
        <v>14212</v>
      </c>
      <c r="B538" s="632" t="s">
        <v>120</v>
      </c>
      <c r="C538" s="632" t="s">
        <v>120</v>
      </c>
      <c r="D538" s="632" t="s">
        <v>125</v>
      </c>
      <c r="E538" s="633">
        <v>43416.348553240743</v>
      </c>
      <c r="F538" s="438">
        <v>43416.348553240743</v>
      </c>
      <c r="G538" s="634">
        <v>0.34791666666666665</v>
      </c>
      <c r="H538" s="688">
        <v>10.167</v>
      </c>
      <c r="I538" s="686">
        <v>8</v>
      </c>
      <c r="J538" s="688" t="s">
        <v>115</v>
      </c>
    </row>
    <row r="539" spans="1:14">
      <c r="A539" s="632">
        <v>14228</v>
      </c>
      <c r="B539" s="632" t="s">
        <v>121</v>
      </c>
      <c r="C539" s="632" t="s">
        <v>120</v>
      </c>
      <c r="D539" s="632" t="s">
        <v>126</v>
      </c>
      <c r="E539" s="633">
        <v>43416.771886574075</v>
      </c>
      <c r="F539" s="438">
        <v>43416.771886574075</v>
      </c>
      <c r="G539" s="634">
        <v>0.7715277777777777</v>
      </c>
      <c r="H539" s="688" t="s">
        <v>115</v>
      </c>
      <c r="I539" s="686" t="s">
        <v>115</v>
      </c>
      <c r="J539" s="688" t="s">
        <v>115</v>
      </c>
    </row>
    <row r="540" spans="1:14">
      <c r="A540" s="632">
        <v>14232</v>
      </c>
      <c r="B540" s="632" t="s">
        <v>120</v>
      </c>
      <c r="C540" s="632" t="s">
        <v>120</v>
      </c>
      <c r="D540" s="632" t="s">
        <v>125</v>
      </c>
      <c r="E540" s="633">
        <v>43417.349606481483</v>
      </c>
      <c r="F540" s="438">
        <v>43417.349606481483</v>
      </c>
      <c r="G540" s="634">
        <v>0.34930555555555554</v>
      </c>
      <c r="H540" s="688">
        <v>10</v>
      </c>
      <c r="I540" s="686">
        <v>8</v>
      </c>
      <c r="J540" s="688" t="s">
        <v>115</v>
      </c>
    </row>
    <row r="541" spans="1:14">
      <c r="A541" s="632">
        <v>14251</v>
      </c>
      <c r="B541" s="632" t="s">
        <v>121</v>
      </c>
      <c r="C541" s="632" t="s">
        <v>120</v>
      </c>
      <c r="D541" s="632" t="s">
        <v>126</v>
      </c>
      <c r="E541" s="633">
        <v>43417.766342592593</v>
      </c>
      <c r="F541" s="438">
        <v>43417.766342592593</v>
      </c>
      <c r="G541" s="634">
        <v>0.76597222222222217</v>
      </c>
      <c r="H541" s="688" t="s">
        <v>115</v>
      </c>
      <c r="I541" s="686" t="s">
        <v>115</v>
      </c>
      <c r="J541" s="688" t="s">
        <v>115</v>
      </c>
    </row>
    <row r="542" spans="1:14">
      <c r="A542" s="632">
        <v>14252</v>
      </c>
      <c r="B542" s="632" t="s">
        <v>121</v>
      </c>
      <c r="C542" s="632" t="s">
        <v>120</v>
      </c>
      <c r="D542" s="632" t="s">
        <v>127</v>
      </c>
      <c r="E542" s="633">
        <v>43417.766400462962</v>
      </c>
      <c r="F542" s="438">
        <v>43417.766400462962</v>
      </c>
      <c r="G542" s="634">
        <v>0.76597222222222217</v>
      </c>
      <c r="H542" s="688" t="s">
        <v>115</v>
      </c>
      <c r="I542" s="686" t="s">
        <v>115</v>
      </c>
      <c r="J542" s="688" t="s">
        <v>115</v>
      </c>
      <c r="K542" s="688">
        <v>1.3</v>
      </c>
      <c r="M542" s="688">
        <v>1.3</v>
      </c>
      <c r="N542" s="688">
        <v>0</v>
      </c>
    </row>
    <row r="543" spans="1:14">
      <c r="A543" s="632">
        <v>14264</v>
      </c>
      <c r="B543" s="632" t="s">
        <v>121</v>
      </c>
      <c r="C543" s="632" t="s">
        <v>120</v>
      </c>
      <c r="D543" s="632" t="s">
        <v>128</v>
      </c>
      <c r="E543" s="633">
        <v>43417.825648148151</v>
      </c>
      <c r="F543" s="438">
        <v>43417.825648148151</v>
      </c>
      <c r="G543" s="634">
        <v>0.82500000000000007</v>
      </c>
      <c r="H543" s="688" t="s">
        <v>115</v>
      </c>
      <c r="I543" s="686" t="s">
        <v>115</v>
      </c>
      <c r="J543" s="688" t="s">
        <v>115</v>
      </c>
    </row>
    <row r="544" spans="1:14">
      <c r="A544" s="632">
        <v>14266</v>
      </c>
      <c r="B544" s="632" t="s">
        <v>120</v>
      </c>
      <c r="C544" s="632" t="s">
        <v>120</v>
      </c>
      <c r="D544" s="632" t="s">
        <v>125</v>
      </c>
      <c r="E544" s="633">
        <v>43418.347349537034</v>
      </c>
      <c r="F544" s="438">
        <v>43418.347349537034</v>
      </c>
      <c r="G544" s="634">
        <v>0.34722222222222227</v>
      </c>
      <c r="H544" s="688">
        <v>10.233000000000001</v>
      </c>
      <c r="I544" s="686">
        <v>8</v>
      </c>
      <c r="J544" s="688" t="s">
        <v>115</v>
      </c>
    </row>
    <row r="545" spans="1:14">
      <c r="A545" s="632">
        <v>14280</v>
      </c>
      <c r="B545" s="632" t="s">
        <v>120</v>
      </c>
      <c r="C545" s="632" t="s">
        <v>120</v>
      </c>
      <c r="D545" s="632" t="s">
        <v>126</v>
      </c>
      <c r="E545" s="633">
        <v>43418.774143518516</v>
      </c>
      <c r="F545" s="438">
        <v>43418.774143518516</v>
      </c>
      <c r="G545" s="634">
        <v>0.77361111111111114</v>
      </c>
      <c r="H545" s="688" t="s">
        <v>115</v>
      </c>
      <c r="I545" s="686" t="s">
        <v>115</v>
      </c>
      <c r="J545" s="688" t="s">
        <v>115</v>
      </c>
    </row>
    <row r="546" spans="1:14">
      <c r="A546" s="632">
        <v>14282</v>
      </c>
      <c r="B546" s="632" t="s">
        <v>121</v>
      </c>
      <c r="C546" s="632" t="s">
        <v>120</v>
      </c>
      <c r="D546" s="632" t="s">
        <v>125</v>
      </c>
      <c r="E546" s="633">
        <v>43419.348981481482</v>
      </c>
      <c r="F546" s="438">
        <v>43419.348981481482</v>
      </c>
      <c r="G546" s="634">
        <v>0.34861111111111115</v>
      </c>
      <c r="H546" s="688">
        <v>10.067</v>
      </c>
      <c r="I546" s="686">
        <v>8</v>
      </c>
      <c r="J546" s="688" t="s">
        <v>115</v>
      </c>
    </row>
    <row r="547" spans="1:14">
      <c r="A547" s="632">
        <v>14298</v>
      </c>
      <c r="B547" s="632" t="s">
        <v>121</v>
      </c>
      <c r="C547" s="632" t="s">
        <v>120</v>
      </c>
      <c r="D547" s="632" t="s">
        <v>126</v>
      </c>
      <c r="E547" s="633">
        <v>43419.76834490741</v>
      </c>
      <c r="F547" s="438">
        <v>43419.76834490741</v>
      </c>
      <c r="G547" s="634">
        <v>0.7680555555555556</v>
      </c>
      <c r="H547" s="688" t="s">
        <v>115</v>
      </c>
      <c r="I547" s="686" t="s">
        <v>115</v>
      </c>
      <c r="J547" s="688" t="s">
        <v>115</v>
      </c>
    </row>
    <row r="548" spans="1:14">
      <c r="A548" s="632">
        <v>14299</v>
      </c>
      <c r="B548" s="632" t="s">
        <v>121</v>
      </c>
      <c r="C548" s="632" t="s">
        <v>120</v>
      </c>
      <c r="D548" s="632" t="s">
        <v>127</v>
      </c>
      <c r="E548" s="633">
        <v>43419.768379629626</v>
      </c>
      <c r="F548" s="438">
        <v>43419.768379629626</v>
      </c>
      <c r="G548" s="634">
        <v>0.7680555555555556</v>
      </c>
      <c r="H548" s="688" t="s">
        <v>115</v>
      </c>
      <c r="I548" s="686" t="s">
        <v>115</v>
      </c>
      <c r="J548" s="688" t="s">
        <v>115</v>
      </c>
      <c r="K548" s="688">
        <v>1.5169999999999999</v>
      </c>
      <c r="M548" s="688">
        <v>1.5169999999999999</v>
      </c>
      <c r="N548" s="688">
        <v>0</v>
      </c>
    </row>
    <row r="549" spans="1:14">
      <c r="A549" s="632">
        <v>14309</v>
      </c>
      <c r="B549" s="632" t="s">
        <v>121</v>
      </c>
      <c r="C549" s="632" t="s">
        <v>120</v>
      </c>
      <c r="D549" s="632" t="s">
        <v>128</v>
      </c>
      <c r="E549" s="633">
        <v>43419.834062499998</v>
      </c>
      <c r="F549" s="438">
        <v>43419.834062499998</v>
      </c>
      <c r="G549" s="634">
        <v>0.8340277777777777</v>
      </c>
      <c r="H549" s="688" t="s">
        <v>115</v>
      </c>
      <c r="I549" s="686" t="s">
        <v>115</v>
      </c>
      <c r="J549" s="688" t="s">
        <v>115</v>
      </c>
    </row>
    <row r="550" spans="1:14">
      <c r="A550" s="632">
        <v>14313</v>
      </c>
      <c r="B550" s="632" t="s">
        <v>120</v>
      </c>
      <c r="C550" s="632" t="s">
        <v>120</v>
      </c>
      <c r="D550" s="632" t="s">
        <v>125</v>
      </c>
      <c r="E550" s="633">
        <v>43420.35125</v>
      </c>
      <c r="F550" s="438">
        <v>43420.35125</v>
      </c>
      <c r="G550" s="634">
        <v>0.35069444444444442</v>
      </c>
      <c r="H550" s="688">
        <v>10.183</v>
      </c>
      <c r="I550" s="686">
        <v>8</v>
      </c>
      <c r="J550" s="688" t="s">
        <v>115</v>
      </c>
    </row>
    <row r="551" spans="1:14">
      <c r="A551" s="632">
        <v>14336</v>
      </c>
      <c r="B551" s="632" t="s">
        <v>121</v>
      </c>
      <c r="C551" s="632" t="s">
        <v>120</v>
      </c>
      <c r="D551" s="632" t="s">
        <v>126</v>
      </c>
      <c r="E551" s="633">
        <v>43420.775057870371</v>
      </c>
      <c r="F551" s="438">
        <v>43420.775057870371</v>
      </c>
      <c r="G551" s="634">
        <v>0.77500000000000002</v>
      </c>
      <c r="H551" s="688" t="s">
        <v>115</v>
      </c>
      <c r="I551" s="686" t="s">
        <v>115</v>
      </c>
      <c r="J551" s="688" t="s">
        <v>115</v>
      </c>
    </row>
    <row r="552" spans="1:14">
      <c r="A552" s="632">
        <v>14341</v>
      </c>
      <c r="B552" s="632" t="s">
        <v>120</v>
      </c>
      <c r="C552" s="632" t="s">
        <v>120</v>
      </c>
      <c r="D552" s="632" t="s">
        <v>125</v>
      </c>
      <c r="E552" s="633">
        <v>43423.349548611113</v>
      </c>
      <c r="F552" s="438">
        <v>43423.349548611113</v>
      </c>
      <c r="G552" s="634">
        <v>0.34930555555555554</v>
      </c>
      <c r="H552" s="688">
        <v>10.083</v>
      </c>
      <c r="I552" s="686">
        <v>8</v>
      </c>
      <c r="J552" s="688" t="s">
        <v>115</v>
      </c>
    </row>
    <row r="553" spans="1:14">
      <c r="A553" s="632">
        <v>14355</v>
      </c>
      <c r="B553" s="632" t="s">
        <v>121</v>
      </c>
      <c r="C553" s="632" t="s">
        <v>120</v>
      </c>
      <c r="D553" s="632" t="s">
        <v>126</v>
      </c>
      <c r="E553" s="633">
        <v>43423.769837962966</v>
      </c>
      <c r="F553" s="438">
        <v>43423.769837962966</v>
      </c>
      <c r="G553" s="634">
        <v>0.76944444444444438</v>
      </c>
      <c r="H553" s="688" t="s">
        <v>115</v>
      </c>
      <c r="I553" s="686" t="s">
        <v>115</v>
      </c>
      <c r="J553" s="688" t="s">
        <v>115</v>
      </c>
    </row>
    <row r="554" spans="1:14">
      <c r="A554" s="632">
        <v>14364</v>
      </c>
      <c r="B554" s="632" t="s">
        <v>120</v>
      </c>
      <c r="C554" s="632" t="s">
        <v>120</v>
      </c>
      <c r="D554" s="632" t="s">
        <v>125</v>
      </c>
      <c r="E554" s="633">
        <v>43424.348217592589</v>
      </c>
      <c r="F554" s="438">
        <v>43424.348217592589</v>
      </c>
      <c r="G554" s="634">
        <v>0.34791666666666665</v>
      </c>
      <c r="H554" s="688">
        <v>10.15</v>
      </c>
      <c r="I554" s="686">
        <v>8</v>
      </c>
      <c r="J554" s="688" t="s">
        <v>115</v>
      </c>
    </row>
    <row r="555" spans="1:14">
      <c r="A555" s="632">
        <v>14385</v>
      </c>
      <c r="B555" s="632" t="s">
        <v>121</v>
      </c>
      <c r="C555" s="632" t="s">
        <v>120</v>
      </c>
      <c r="D555" s="632" t="s">
        <v>126</v>
      </c>
      <c r="E555" s="633">
        <v>43424.771354166667</v>
      </c>
      <c r="F555" s="438">
        <v>43424.771354166667</v>
      </c>
      <c r="G555" s="634">
        <v>0.77083333333333337</v>
      </c>
      <c r="H555" s="688" t="s">
        <v>115</v>
      </c>
      <c r="I555" s="686" t="s">
        <v>115</v>
      </c>
      <c r="J555" s="688" t="s">
        <v>115</v>
      </c>
    </row>
    <row r="556" spans="1:14">
      <c r="A556" s="632">
        <v>14391</v>
      </c>
      <c r="B556" s="632" t="s">
        <v>120</v>
      </c>
      <c r="C556" s="632" t="s">
        <v>120</v>
      </c>
      <c r="D556" s="632" t="s">
        <v>125</v>
      </c>
      <c r="E556" s="633">
        <v>43425.34584490741</v>
      </c>
      <c r="F556" s="438">
        <v>43425.34584490741</v>
      </c>
      <c r="G556" s="634">
        <v>0.34583333333333338</v>
      </c>
      <c r="H556" s="688">
        <v>10.032999999999999</v>
      </c>
      <c r="I556" s="686">
        <v>8</v>
      </c>
      <c r="J556" s="688" t="s">
        <v>115</v>
      </c>
    </row>
    <row r="557" spans="1:14">
      <c r="A557" s="632">
        <v>14402</v>
      </c>
      <c r="B557" s="632" t="s">
        <v>121</v>
      </c>
      <c r="C557" s="632" t="s">
        <v>120</v>
      </c>
      <c r="D557" s="632" t="s">
        <v>126</v>
      </c>
      <c r="E557" s="633">
        <v>43425.764062499999</v>
      </c>
      <c r="F557" s="438">
        <v>43425.764062499999</v>
      </c>
      <c r="G557" s="634">
        <v>0.76388888888888884</v>
      </c>
      <c r="H557" s="688" t="s">
        <v>115</v>
      </c>
      <c r="I557" s="686" t="s">
        <v>115</v>
      </c>
      <c r="J557" s="688" t="s">
        <v>115</v>
      </c>
    </row>
    <row r="558" spans="1:14">
      <c r="A558" s="632">
        <v>14420</v>
      </c>
      <c r="B558" s="632" t="s">
        <v>120</v>
      </c>
      <c r="C558" s="632" t="s">
        <v>120</v>
      </c>
      <c r="D558" s="632" t="s">
        <v>125</v>
      </c>
      <c r="E558" s="633">
        <v>43426.351643518516</v>
      </c>
      <c r="F558" s="438">
        <v>43426.351643518516</v>
      </c>
      <c r="G558" s="634">
        <v>0.35138888888888892</v>
      </c>
      <c r="H558" s="688">
        <v>10.067</v>
      </c>
      <c r="I558" s="686">
        <v>8</v>
      </c>
      <c r="J558" s="688" t="s">
        <v>115</v>
      </c>
    </row>
    <row r="559" spans="1:14">
      <c r="A559" s="632">
        <v>14437</v>
      </c>
      <c r="B559" s="632" t="s">
        <v>121</v>
      </c>
      <c r="C559" s="632" t="s">
        <v>120</v>
      </c>
      <c r="D559" s="632" t="s">
        <v>126</v>
      </c>
      <c r="E559" s="633">
        <v>43426.771006944444</v>
      </c>
      <c r="F559" s="438">
        <v>43426.771006944444</v>
      </c>
      <c r="G559" s="634">
        <v>0.77083333333333337</v>
      </c>
      <c r="H559" s="688" t="s">
        <v>115</v>
      </c>
      <c r="I559" s="686" t="s">
        <v>115</v>
      </c>
      <c r="J559" s="688" t="s">
        <v>115</v>
      </c>
    </row>
    <row r="560" spans="1:14">
      <c r="A560" s="632">
        <v>14448</v>
      </c>
      <c r="B560" s="632" t="s">
        <v>120</v>
      </c>
      <c r="C560" s="632" t="s">
        <v>120</v>
      </c>
      <c r="D560" s="632" t="s">
        <v>125</v>
      </c>
      <c r="E560" s="633">
        <v>43427.344976851855</v>
      </c>
      <c r="F560" s="438">
        <v>43427.344976851855</v>
      </c>
      <c r="G560" s="634">
        <v>0.3444444444444445</v>
      </c>
      <c r="H560" s="688">
        <v>10.132999999999999</v>
      </c>
      <c r="I560" s="686">
        <v>8</v>
      </c>
      <c r="J560" s="688" t="s">
        <v>115</v>
      </c>
    </row>
    <row r="561" spans="1:14">
      <c r="A561" s="632">
        <v>14470</v>
      </c>
      <c r="B561" s="632" t="s">
        <v>121</v>
      </c>
      <c r="C561" s="632" t="s">
        <v>120</v>
      </c>
      <c r="D561" s="632" t="s">
        <v>126</v>
      </c>
      <c r="E561" s="633">
        <v>43427.766793981478</v>
      </c>
      <c r="F561" s="438">
        <v>43427.766793981478</v>
      </c>
      <c r="G561" s="634">
        <v>0.76666666666666661</v>
      </c>
      <c r="H561" s="688" t="s">
        <v>115</v>
      </c>
      <c r="I561" s="686" t="s">
        <v>115</v>
      </c>
      <c r="J561" s="688" t="s">
        <v>115</v>
      </c>
    </row>
    <row r="562" spans="1:14">
      <c r="A562" s="632">
        <v>14478</v>
      </c>
      <c r="B562" s="632" t="s">
        <v>120</v>
      </c>
      <c r="C562" s="632" t="s">
        <v>120</v>
      </c>
      <c r="D562" s="632" t="s">
        <v>125</v>
      </c>
      <c r="E562" s="633">
        <v>43430.348402777781</v>
      </c>
      <c r="F562" s="438">
        <v>43430.348402777781</v>
      </c>
      <c r="G562" s="634">
        <v>0.34791666666666665</v>
      </c>
      <c r="H562" s="688">
        <v>10.067</v>
      </c>
      <c r="I562" s="686">
        <v>8</v>
      </c>
      <c r="J562" s="688" t="s">
        <v>115</v>
      </c>
    </row>
    <row r="563" spans="1:14">
      <c r="A563" s="632">
        <v>14497</v>
      </c>
      <c r="B563" s="632" t="s">
        <v>121</v>
      </c>
      <c r="C563" s="632" t="s">
        <v>120</v>
      </c>
      <c r="D563" s="632" t="s">
        <v>126</v>
      </c>
      <c r="E563" s="633">
        <v>43430.767465277779</v>
      </c>
      <c r="F563" s="438">
        <v>43430.767465277779</v>
      </c>
      <c r="G563" s="634">
        <v>0.76736111111111116</v>
      </c>
      <c r="H563" s="688" t="s">
        <v>115</v>
      </c>
      <c r="I563" s="686" t="s">
        <v>115</v>
      </c>
      <c r="J563" s="688" t="s">
        <v>115</v>
      </c>
    </row>
    <row r="564" spans="1:14">
      <c r="A564" s="632">
        <v>14504</v>
      </c>
      <c r="B564" s="632" t="s">
        <v>120</v>
      </c>
      <c r="C564" s="632" t="s">
        <v>120</v>
      </c>
      <c r="D564" s="632" t="s">
        <v>125</v>
      </c>
      <c r="E564" s="633">
        <v>43431.348935185182</v>
      </c>
      <c r="F564" s="438">
        <v>43431.348935185182</v>
      </c>
      <c r="G564" s="634">
        <v>0.34861111111111115</v>
      </c>
      <c r="H564" s="688">
        <v>9.9670000000000005</v>
      </c>
      <c r="I564" s="686">
        <v>8</v>
      </c>
      <c r="J564" s="688" t="s">
        <v>115</v>
      </c>
    </row>
    <row r="565" spans="1:14">
      <c r="A565" s="632">
        <v>14519</v>
      </c>
      <c r="B565" s="632" t="s">
        <v>121</v>
      </c>
      <c r="C565" s="632" t="s">
        <v>120</v>
      </c>
      <c r="D565" s="632" t="s">
        <v>126</v>
      </c>
      <c r="E565" s="633">
        <v>43431.764016203706</v>
      </c>
      <c r="F565" s="438">
        <v>43431.764016203706</v>
      </c>
      <c r="G565" s="634">
        <v>0.76388888888888884</v>
      </c>
      <c r="H565" s="688" t="s">
        <v>115</v>
      </c>
      <c r="I565" s="686" t="s">
        <v>115</v>
      </c>
      <c r="J565" s="688" t="s">
        <v>115</v>
      </c>
    </row>
    <row r="566" spans="1:14">
      <c r="A566" s="632">
        <v>14535</v>
      </c>
      <c r="B566" s="632" t="s">
        <v>120</v>
      </c>
      <c r="C566" s="632" t="s">
        <v>120</v>
      </c>
      <c r="D566" s="632" t="s">
        <v>125</v>
      </c>
      <c r="E566" s="633">
        <v>43432.348240740743</v>
      </c>
      <c r="F566" s="438">
        <v>43432.348240740743</v>
      </c>
      <c r="G566" s="634">
        <v>0.34791666666666665</v>
      </c>
      <c r="H566" s="688">
        <v>10.016999999999999</v>
      </c>
      <c r="I566" s="686">
        <v>8</v>
      </c>
      <c r="J566" s="688" t="s">
        <v>115</v>
      </c>
    </row>
    <row r="567" spans="1:14">
      <c r="A567" s="632">
        <v>14551</v>
      </c>
      <c r="B567" s="632" t="s">
        <v>121</v>
      </c>
      <c r="C567" s="632" t="s">
        <v>120</v>
      </c>
      <c r="D567" s="632" t="s">
        <v>126</v>
      </c>
      <c r="E567" s="633">
        <v>43432.765324074076</v>
      </c>
      <c r="F567" s="438">
        <v>43432.765324074076</v>
      </c>
      <c r="G567" s="634">
        <v>0.76527777777777783</v>
      </c>
      <c r="H567" s="688" t="s">
        <v>115</v>
      </c>
      <c r="I567" s="686" t="s">
        <v>115</v>
      </c>
      <c r="J567" s="688" t="s">
        <v>115</v>
      </c>
    </row>
    <row r="568" spans="1:14">
      <c r="A568" s="632">
        <v>14567</v>
      </c>
      <c r="B568" s="632" t="s">
        <v>120</v>
      </c>
      <c r="C568" s="632" t="s">
        <v>120</v>
      </c>
      <c r="D568" s="632" t="s">
        <v>125</v>
      </c>
      <c r="E568" s="633">
        <v>43433.349259259259</v>
      </c>
      <c r="F568" s="438">
        <v>43433.349259259259</v>
      </c>
      <c r="G568" s="634">
        <v>0.34861111111111115</v>
      </c>
      <c r="H568" s="688">
        <v>10.15</v>
      </c>
      <c r="I568" s="686">
        <v>8</v>
      </c>
      <c r="J568" s="688" t="s">
        <v>115</v>
      </c>
    </row>
    <row r="569" spans="1:14">
      <c r="A569" s="632">
        <v>14588</v>
      </c>
      <c r="B569" s="632" t="s">
        <v>121</v>
      </c>
      <c r="C569" s="632" t="s">
        <v>120</v>
      </c>
      <c r="D569" s="632" t="s">
        <v>126</v>
      </c>
      <c r="E569" s="633">
        <v>43433.772141203706</v>
      </c>
      <c r="F569" s="438">
        <v>43433.772141203706</v>
      </c>
      <c r="G569" s="634">
        <v>0.7715277777777777</v>
      </c>
      <c r="H569" s="688" t="s">
        <v>115</v>
      </c>
      <c r="I569" s="686" t="s">
        <v>115</v>
      </c>
      <c r="J569" s="688" t="s">
        <v>115</v>
      </c>
    </row>
    <row r="570" spans="1:14">
      <c r="A570" s="632">
        <v>14596</v>
      </c>
      <c r="B570" s="632" t="s">
        <v>120</v>
      </c>
      <c r="C570" s="632" t="s">
        <v>120</v>
      </c>
      <c r="D570" s="632" t="s">
        <v>125</v>
      </c>
      <c r="E570" s="633">
        <v>43434.347326388888</v>
      </c>
      <c r="F570" s="438">
        <v>43434.347326388888</v>
      </c>
      <c r="G570" s="634">
        <v>0.34722222222222227</v>
      </c>
      <c r="H570" s="688">
        <v>10.183</v>
      </c>
      <c r="I570" s="686">
        <v>8</v>
      </c>
      <c r="J570" s="688" t="s">
        <v>115</v>
      </c>
    </row>
    <row r="571" spans="1:14">
      <c r="A571" s="632">
        <v>14616</v>
      </c>
      <c r="B571" s="632" t="s">
        <v>121</v>
      </c>
      <c r="C571" s="632" t="s">
        <v>120</v>
      </c>
      <c r="D571" s="632" t="s">
        <v>126</v>
      </c>
      <c r="E571" s="633">
        <v>43434.771828703706</v>
      </c>
      <c r="F571" s="438">
        <v>43434.771828703706</v>
      </c>
      <c r="G571" s="634">
        <v>0.7715277777777777</v>
      </c>
      <c r="H571" s="688" t="s">
        <v>115</v>
      </c>
      <c r="I571" s="686" t="s">
        <v>115</v>
      </c>
      <c r="J571" s="688" t="s">
        <v>115</v>
      </c>
    </row>
    <row r="572" spans="1:14">
      <c r="A572" s="632">
        <v>14617</v>
      </c>
      <c r="B572" s="632" t="s">
        <v>121</v>
      </c>
      <c r="C572" s="632" t="s">
        <v>120</v>
      </c>
      <c r="D572" s="632" t="s">
        <v>127</v>
      </c>
      <c r="E572" s="633">
        <v>43434.771863425929</v>
      </c>
      <c r="F572" s="438">
        <v>43434.771863425929</v>
      </c>
      <c r="G572" s="634">
        <v>0.7715277777777777</v>
      </c>
      <c r="H572" s="688" t="s">
        <v>115</v>
      </c>
      <c r="I572" s="686" t="s">
        <v>115</v>
      </c>
      <c r="J572" s="688" t="s">
        <v>115</v>
      </c>
      <c r="K572" s="688">
        <v>2.0169999999999999</v>
      </c>
      <c r="M572" s="688">
        <v>2</v>
      </c>
      <c r="N572" s="688">
        <v>1.6999999999999904E-2</v>
      </c>
    </row>
    <row r="573" spans="1:14">
      <c r="A573" s="632">
        <v>14626</v>
      </c>
      <c r="B573" s="632" t="s">
        <v>121</v>
      </c>
      <c r="C573" s="632" t="s">
        <v>120</v>
      </c>
      <c r="D573" s="632" t="s">
        <v>128</v>
      </c>
      <c r="E573" s="633">
        <v>43434.855891203704</v>
      </c>
      <c r="F573" s="438">
        <v>43434.855891203704</v>
      </c>
      <c r="G573" s="634">
        <v>0.85555555555555562</v>
      </c>
    </row>
    <row r="574" spans="1:14">
      <c r="E574" s="633"/>
    </row>
    <row r="575" spans="1:14">
      <c r="E575" s="633"/>
    </row>
    <row r="576" spans="1:14">
      <c r="A576" s="585"/>
      <c r="B576" s="585"/>
      <c r="C576" s="585"/>
      <c r="D576" s="585"/>
      <c r="E576" s="534"/>
    </row>
    <row r="577" spans="1:5">
      <c r="A577" s="640"/>
      <c r="B577" s="640"/>
      <c r="C577" s="640"/>
      <c r="D577" s="640"/>
      <c r="E577" s="641"/>
    </row>
    <row r="578" spans="1:5">
      <c r="E578" s="633"/>
    </row>
    <row r="579" spans="1:5">
      <c r="E579" s="633"/>
    </row>
    <row r="580" spans="1:5">
      <c r="E580" s="633"/>
    </row>
    <row r="581" spans="1:5">
      <c r="E581" s="633"/>
    </row>
    <row r="582" spans="1:5">
      <c r="E582" s="633"/>
    </row>
    <row r="583" spans="1:5">
      <c r="E583" s="633"/>
    </row>
    <row r="584" spans="1:5">
      <c r="E584" s="633"/>
    </row>
    <row r="585" spans="1:5">
      <c r="E585" s="633"/>
    </row>
    <row r="586" spans="1:5">
      <c r="E586" s="633"/>
    </row>
    <row r="587" spans="1:5">
      <c r="E587" s="633"/>
    </row>
    <row r="588" spans="1:5">
      <c r="E588" s="633"/>
    </row>
    <row r="589" spans="1:5">
      <c r="E589" s="633"/>
    </row>
    <row r="590" spans="1:5">
      <c r="E590" s="633"/>
    </row>
    <row r="591" spans="1:5">
      <c r="E591" s="633"/>
    </row>
    <row r="592" spans="1:5">
      <c r="E592" s="633"/>
    </row>
    <row r="593" spans="5:5">
      <c r="E593" s="633"/>
    </row>
    <row r="594" spans="5:5">
      <c r="E594" s="633"/>
    </row>
    <row r="595" spans="5:5">
      <c r="E595" s="633"/>
    </row>
    <row r="596" spans="5:5">
      <c r="E596" s="633"/>
    </row>
    <row r="597" spans="5:5">
      <c r="E597" s="633"/>
    </row>
    <row r="598" spans="5:5">
      <c r="E598" s="633"/>
    </row>
    <row r="599" spans="5:5">
      <c r="E599" s="633"/>
    </row>
    <row r="600" spans="5:5">
      <c r="E600" s="633"/>
    </row>
    <row r="601" spans="5:5">
      <c r="E601" s="633"/>
    </row>
    <row r="602" spans="5:5">
      <c r="E602" s="633"/>
    </row>
    <row r="603" spans="5:5">
      <c r="E603" s="633"/>
    </row>
    <row r="604" spans="5:5">
      <c r="E604" s="633"/>
    </row>
    <row r="605" spans="5:5">
      <c r="E605" s="633"/>
    </row>
    <row r="606" spans="5:5">
      <c r="E606" s="633"/>
    </row>
    <row r="607" spans="5:5">
      <c r="E607" s="633"/>
    </row>
    <row r="608" spans="5:5">
      <c r="E608" s="633"/>
    </row>
    <row r="609" spans="1:5">
      <c r="E609" s="633"/>
    </row>
    <row r="610" spans="1:5">
      <c r="E610" s="633"/>
    </row>
    <row r="611" spans="1:5">
      <c r="E611" s="633"/>
    </row>
    <row r="612" spans="1:5">
      <c r="E612" s="633"/>
    </row>
    <row r="613" spans="1:5">
      <c r="E613" s="633"/>
    </row>
    <row r="614" spans="1:5">
      <c r="E614" s="633"/>
    </row>
    <row r="615" spans="1:5">
      <c r="E615" s="633"/>
    </row>
    <row r="616" spans="1:5">
      <c r="E616" s="633"/>
    </row>
    <row r="617" spans="1:5">
      <c r="A617" s="640"/>
      <c r="B617" s="640"/>
      <c r="C617" s="640"/>
      <c r="D617" s="640"/>
      <c r="E617" s="641"/>
    </row>
    <row r="618" spans="1:5">
      <c r="E618" s="633"/>
    </row>
    <row r="619" spans="1:5">
      <c r="E619" s="633"/>
    </row>
    <row r="620" spans="1:5">
      <c r="E620" s="633"/>
    </row>
    <row r="621" spans="1:5">
      <c r="E621" s="633"/>
    </row>
    <row r="622" spans="1:5">
      <c r="E622" s="633"/>
    </row>
    <row r="623" spans="1:5">
      <c r="E623" s="633"/>
    </row>
    <row r="624" spans="1:5">
      <c r="E624" s="633"/>
    </row>
    <row r="625" spans="5:5">
      <c r="E625" s="633"/>
    </row>
    <row r="626" spans="5:5">
      <c r="E626" s="633"/>
    </row>
    <row r="627" spans="5:5">
      <c r="E627" s="633"/>
    </row>
    <row r="628" spans="5:5">
      <c r="E628" s="633"/>
    </row>
    <row r="629" spans="5:5">
      <c r="E629" s="633"/>
    </row>
    <row r="630" spans="5:5">
      <c r="E630" s="633"/>
    </row>
    <row r="631" spans="5:5">
      <c r="E631" s="633"/>
    </row>
    <row r="632" spans="5:5">
      <c r="E632" s="633"/>
    </row>
    <row r="633" spans="5:5">
      <c r="E633" s="633"/>
    </row>
    <row r="634" spans="5:5">
      <c r="E634" s="633"/>
    </row>
    <row r="635" spans="5:5">
      <c r="E635" s="633"/>
    </row>
    <row r="636" spans="5:5">
      <c r="E636" s="633"/>
    </row>
    <row r="637" spans="5:5">
      <c r="E637" s="633"/>
    </row>
    <row r="638" spans="5:5">
      <c r="E638" s="633"/>
    </row>
    <row r="639" spans="5:5">
      <c r="E639" s="633"/>
    </row>
    <row r="640" spans="5:5">
      <c r="E640" s="633"/>
    </row>
    <row r="687" spans="9:9">
      <c r="I687" s="687"/>
    </row>
  </sheetData>
  <phoneticPr fontId="18" type="noConversion"/>
  <conditionalFormatting sqref="I1:I1048576">
    <cfRule type="cellIs" dxfId="39" priority="1" operator="lessThan">
      <formula>4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>
    <tabColor theme="4"/>
    <pageSetUpPr fitToPage="1"/>
  </sheetPr>
  <dimension ref="A1:V77"/>
  <sheetViews>
    <sheetView view="pageBreakPreview" zoomScaleNormal="100" zoomScaleSheetLayoutView="100" workbookViewId="0">
      <selection activeCell="K3" sqref="K3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" style="3"/>
    <col min="5" max="5" width="17.875" style="3" customWidth="1"/>
    <col min="6" max="6" width="6.25" style="16" customWidth="1"/>
    <col min="7" max="7" width="8.625" style="17" customWidth="1" outlineLevel="1"/>
    <col min="8" max="8" width="11.125" style="51" customWidth="1" outlineLevel="1"/>
    <col min="9" max="9" width="10.25" style="21" customWidth="1"/>
    <col min="10" max="10" width="10" style="21" customWidth="1"/>
    <col min="11" max="11" width="11.125" style="22" customWidth="1" outlineLevel="1"/>
    <col min="12" max="12" width="8.375" style="22" customWidth="1"/>
    <col min="13" max="13" width="10.5" style="22" customWidth="1"/>
    <col min="14" max="14" width="8.75" style="22" customWidth="1"/>
    <col min="15" max="15" width="16.125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</cols>
  <sheetData>
    <row r="1" spans="1:22" s="4" customFormat="1" ht="28.5" thickBot="1">
      <c r="C1" s="5"/>
      <c r="D1" s="6"/>
      <c r="E1" s="6"/>
      <c r="F1" s="10"/>
      <c r="G1" s="11"/>
      <c r="H1" s="12"/>
      <c r="I1" s="13" t="str">
        <f>B31</f>
        <v>jason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</row>
    <row r="2" spans="1:22">
      <c r="D2" s="133" t="s">
        <v>74</v>
      </c>
      <c r="E2" s="184">
        <f>80-39.5-8-7-8.5</f>
        <v>17</v>
      </c>
      <c r="F2" s="83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2" ht="17.25" thickBot="1">
      <c r="D3" s="24" t="s">
        <v>76</v>
      </c>
      <c r="E3" s="644">
        <v>800</v>
      </c>
      <c r="F3" s="25"/>
      <c r="G3" s="26"/>
      <c r="H3" s="26"/>
      <c r="I3" s="88"/>
      <c r="J3" s="54">
        <f>D5+E5</f>
        <v>0</v>
      </c>
      <c r="K3" s="53">
        <f>SUM(K7:K200)</f>
        <v>7.0666666666666655</v>
      </c>
      <c r="L3" s="53">
        <f>J3</f>
        <v>0</v>
      </c>
      <c r="M3" s="53">
        <f>M6-J3</f>
        <v>7.0666666666666655</v>
      </c>
      <c r="N3" s="53">
        <f>N6</f>
        <v>0</v>
      </c>
      <c r="O3" s="50"/>
    </row>
    <row r="4" spans="1:22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184</v>
      </c>
    </row>
    <row r="5" spans="1:22">
      <c r="D5" s="87">
        <v>0</v>
      </c>
      <c r="E5" s="86">
        <v>0</v>
      </c>
      <c r="F5" s="86">
        <v>8.5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4.416666666666666E-2</v>
      </c>
    </row>
    <row r="6" spans="1:22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SUM(I7:I200)</f>
        <v>167.5</v>
      </c>
      <c r="J6" s="78">
        <f t="shared" ref="J6:N6" si="0">SUM(J7:J200)</f>
        <v>16.5</v>
      </c>
      <c r="K6" s="78">
        <f t="shared" si="0"/>
        <v>7.0666666666666655</v>
      </c>
      <c r="L6" s="78">
        <f t="shared" si="0"/>
        <v>0</v>
      </c>
      <c r="M6" s="78">
        <f t="shared" si="0"/>
        <v>7.0666666666666655</v>
      </c>
      <c r="N6" s="78">
        <f t="shared" si="0"/>
        <v>0</v>
      </c>
      <c r="O6" s="45"/>
      <c r="T6" s="345"/>
    </row>
    <row r="7" spans="1:22" s="16" customFormat="1">
      <c r="A7" s="632">
        <v>13464</v>
      </c>
      <c r="B7" s="632" t="s">
        <v>72</v>
      </c>
      <c r="C7" s="632" t="s">
        <v>72</v>
      </c>
      <c r="D7" s="632" t="s">
        <v>125</v>
      </c>
      <c r="E7" s="633">
        <v>43374.369363425925</v>
      </c>
      <c r="F7" s="638">
        <v>43374.369363425925</v>
      </c>
      <c r="G7" s="634">
        <v>0.36874999999999997</v>
      </c>
      <c r="H7" s="635">
        <v>9.7333333333333343</v>
      </c>
      <c r="I7" s="635">
        <v>8</v>
      </c>
      <c r="J7" s="635" t="s">
        <v>115</v>
      </c>
      <c r="K7" s="635"/>
      <c r="L7" s="635"/>
      <c r="M7" s="635"/>
      <c r="N7" s="635"/>
      <c r="O7" s="20"/>
      <c r="P7" s="345"/>
      <c r="Q7" s="453"/>
      <c r="R7" s="137"/>
      <c r="S7" s="137"/>
    </row>
    <row r="8" spans="1:22" s="16" customFormat="1">
      <c r="A8" s="632">
        <v>13480</v>
      </c>
      <c r="B8" s="632" t="s">
        <v>72</v>
      </c>
      <c r="C8" s="632" t="s">
        <v>72</v>
      </c>
      <c r="D8" s="632" t="s">
        <v>126</v>
      </c>
      <c r="E8" s="633">
        <v>43374.774409722224</v>
      </c>
      <c r="F8" s="638">
        <v>43374.774409722224</v>
      </c>
      <c r="G8" s="634">
        <v>0.77430555555555547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20"/>
      <c r="P8" s="345"/>
      <c r="Q8" s="369"/>
      <c r="R8" s="149"/>
      <c r="S8" s="149"/>
      <c r="T8" s="130"/>
      <c r="U8" s="130"/>
      <c r="V8" s="130"/>
    </row>
    <row r="9" spans="1:22" s="2" customFormat="1">
      <c r="A9" s="632">
        <v>13500</v>
      </c>
      <c r="B9" s="632" t="s">
        <v>86</v>
      </c>
      <c r="C9" s="632" t="s">
        <v>72</v>
      </c>
      <c r="D9" s="632" t="s">
        <v>125</v>
      </c>
      <c r="E9" s="633">
        <v>43375.371701388889</v>
      </c>
      <c r="F9" s="638">
        <v>43375.371701388889</v>
      </c>
      <c r="G9" s="634">
        <v>0.37152777777777773</v>
      </c>
      <c r="H9" s="635">
        <v>9.6666666666666679</v>
      </c>
      <c r="I9" s="635">
        <v>8</v>
      </c>
      <c r="J9" s="635" t="s">
        <v>115</v>
      </c>
      <c r="K9" s="635"/>
      <c r="L9" s="635"/>
      <c r="M9" s="635"/>
      <c r="N9" s="635"/>
      <c r="O9" s="20"/>
      <c r="P9" s="345"/>
      <c r="Q9" s="373"/>
      <c r="R9" s="372"/>
      <c r="S9" s="372"/>
      <c r="T9" s="373"/>
      <c r="U9" s="373"/>
      <c r="V9" s="373"/>
    </row>
    <row r="10" spans="1:22">
      <c r="A10" s="632">
        <v>13517</v>
      </c>
      <c r="B10" s="632" t="s">
        <v>72</v>
      </c>
      <c r="C10" s="632" t="s">
        <v>72</v>
      </c>
      <c r="D10" s="632" t="s">
        <v>126</v>
      </c>
      <c r="E10" s="633">
        <v>43375.774340277778</v>
      </c>
      <c r="F10" s="638">
        <v>43375.774340277778</v>
      </c>
      <c r="G10" s="634">
        <v>0.77430555555555547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20"/>
      <c r="Q10" s="63"/>
      <c r="R10" s="18"/>
      <c r="S10" s="18"/>
      <c r="T10" s="63"/>
      <c r="U10" s="63"/>
      <c r="V10" s="63"/>
    </row>
    <row r="11" spans="1:22" s="421" customFormat="1">
      <c r="A11" s="632">
        <v>13529</v>
      </c>
      <c r="B11" s="632" t="s">
        <v>72</v>
      </c>
      <c r="C11" s="632" t="s">
        <v>72</v>
      </c>
      <c r="D11" s="632" t="s">
        <v>125</v>
      </c>
      <c r="E11" s="633">
        <v>43376.372974537036</v>
      </c>
      <c r="F11" s="638">
        <v>43376.372974537036</v>
      </c>
      <c r="G11" s="634">
        <v>0.37291666666666662</v>
      </c>
      <c r="H11" s="635">
        <v>9.5833333333333339</v>
      </c>
      <c r="I11" s="635">
        <v>8</v>
      </c>
      <c r="J11" s="635" t="s">
        <v>115</v>
      </c>
      <c r="K11" s="635"/>
      <c r="L11" s="635"/>
      <c r="M11" s="635"/>
      <c r="N11" s="635"/>
      <c r="O11" s="20"/>
      <c r="P11" s="345"/>
      <c r="Q11" s="369"/>
      <c r="R11" s="18"/>
      <c r="S11" s="18"/>
      <c r="T11" s="63"/>
      <c r="U11" s="63"/>
      <c r="V11" s="63"/>
    </row>
    <row r="12" spans="1:22" s="389" customFormat="1">
      <c r="A12" s="632">
        <v>13543</v>
      </c>
      <c r="B12" s="632" t="s">
        <v>72</v>
      </c>
      <c r="C12" s="632" t="s">
        <v>72</v>
      </c>
      <c r="D12" s="632" t="s">
        <v>126</v>
      </c>
      <c r="E12" s="633">
        <v>43376.772847222222</v>
      </c>
      <c r="F12" s="638">
        <v>43376.772847222222</v>
      </c>
      <c r="G12" s="634">
        <v>0.77222222222222225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20"/>
      <c r="P12" s="345"/>
      <c r="Q12" s="369"/>
      <c r="R12" s="372"/>
      <c r="S12" s="372"/>
      <c r="T12" s="373"/>
      <c r="U12" s="373"/>
      <c r="V12" s="373"/>
    </row>
    <row r="13" spans="1:22" s="16" customFormat="1">
      <c r="A13" s="632">
        <v>13544</v>
      </c>
      <c r="B13" s="632" t="s">
        <v>72</v>
      </c>
      <c r="C13" s="632" t="s">
        <v>72</v>
      </c>
      <c r="D13" s="632" t="s">
        <v>127</v>
      </c>
      <c r="E13" s="633">
        <v>43376.772893518515</v>
      </c>
      <c r="F13" s="638">
        <v>43376.772893518515</v>
      </c>
      <c r="G13" s="634">
        <v>0.77222222222222225</v>
      </c>
      <c r="H13" s="635" t="s">
        <v>115</v>
      </c>
      <c r="I13" s="635" t="s">
        <v>115</v>
      </c>
      <c r="J13" s="635" t="s">
        <v>115</v>
      </c>
      <c r="K13" s="635">
        <v>0.71666666666666679</v>
      </c>
      <c r="L13" s="635"/>
      <c r="M13" s="635">
        <v>0.71666666666666679</v>
      </c>
      <c r="N13" s="635">
        <v>0</v>
      </c>
      <c r="O13" s="20"/>
      <c r="P13" s="137"/>
      <c r="Q13" s="397"/>
      <c r="R13" s="137"/>
      <c r="S13" s="137"/>
    </row>
    <row r="14" spans="1:22" s="16" customFormat="1">
      <c r="A14" s="632">
        <v>13548</v>
      </c>
      <c r="B14" s="632" t="s">
        <v>72</v>
      </c>
      <c r="C14" s="632" t="s">
        <v>72</v>
      </c>
      <c r="D14" s="632" t="s">
        <v>128</v>
      </c>
      <c r="E14" s="633">
        <v>43376.802615740744</v>
      </c>
      <c r="F14" s="638">
        <v>43376.802615740744</v>
      </c>
      <c r="G14" s="634">
        <v>0.80208333333333337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20"/>
      <c r="P14" s="137"/>
      <c r="Q14" s="397"/>
      <c r="R14" s="137"/>
      <c r="S14" s="137"/>
    </row>
    <row r="15" spans="1:22" s="398" customFormat="1">
      <c r="A15" s="632">
        <v>13558</v>
      </c>
      <c r="B15" s="632" t="s">
        <v>72</v>
      </c>
      <c r="C15" s="632" t="s">
        <v>72</v>
      </c>
      <c r="D15" s="632" t="s">
        <v>125</v>
      </c>
      <c r="E15" s="633">
        <v>43377.370972222219</v>
      </c>
      <c r="F15" s="638">
        <v>43377.370972222219</v>
      </c>
      <c r="G15" s="634">
        <v>0.37083333333333335</v>
      </c>
      <c r="H15" s="635">
        <v>9.6333333333333329</v>
      </c>
      <c r="I15" s="635">
        <v>8</v>
      </c>
      <c r="J15" s="635" t="s">
        <v>115</v>
      </c>
      <c r="K15" s="635"/>
      <c r="L15" s="635"/>
      <c r="M15" s="635"/>
      <c r="N15" s="635"/>
      <c r="O15" s="20" t="s">
        <v>159</v>
      </c>
      <c r="P15" s="137"/>
      <c r="Q15" s="397"/>
      <c r="R15" s="137"/>
      <c r="S15" s="137"/>
      <c r="T15" s="16"/>
      <c r="U15" s="16"/>
      <c r="V15" s="16"/>
    </row>
    <row r="16" spans="1:22">
      <c r="A16" s="632">
        <v>13569</v>
      </c>
      <c r="B16" s="632" t="s">
        <v>86</v>
      </c>
      <c r="C16" s="632" t="s">
        <v>72</v>
      </c>
      <c r="D16" s="632" t="s">
        <v>126</v>
      </c>
      <c r="E16" s="633">
        <v>43377.772905092592</v>
      </c>
      <c r="F16" s="638">
        <v>43377.772905092592</v>
      </c>
      <c r="G16" s="634">
        <v>0.77222222222222225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20"/>
      <c r="P16" s="137"/>
      <c r="Q16" s="397"/>
      <c r="R16" s="137"/>
      <c r="S16" s="137"/>
      <c r="T16" s="16"/>
      <c r="U16" s="16"/>
      <c r="V16" s="16"/>
    </row>
    <row r="17" spans="1:22" s="16" customFormat="1">
      <c r="A17" s="632">
        <v>13570</v>
      </c>
      <c r="B17" s="632" t="s">
        <v>86</v>
      </c>
      <c r="C17" s="632" t="s">
        <v>72</v>
      </c>
      <c r="D17" s="632" t="s">
        <v>127</v>
      </c>
      <c r="E17" s="633">
        <v>43377.772916666669</v>
      </c>
      <c r="F17" s="638">
        <v>43377.772916666669</v>
      </c>
      <c r="G17" s="634">
        <v>0.7729166666666667</v>
      </c>
      <c r="H17" s="635" t="s">
        <v>115</v>
      </c>
      <c r="I17" s="635" t="s">
        <v>115</v>
      </c>
      <c r="J17" s="635" t="s">
        <v>115</v>
      </c>
      <c r="K17" s="635">
        <v>0.54999999999999805</v>
      </c>
      <c r="L17" s="635"/>
      <c r="M17" s="635">
        <v>0.54999999999999805</v>
      </c>
      <c r="N17" s="635">
        <v>0</v>
      </c>
      <c r="O17" s="20"/>
      <c r="P17" s="345"/>
      <c r="Q17" s="369"/>
      <c r="R17" s="372"/>
      <c r="S17" s="372"/>
      <c r="T17" s="373"/>
      <c r="U17" s="373"/>
      <c r="V17" s="373"/>
    </row>
    <row r="18" spans="1:22" s="16" customFormat="1">
      <c r="A18" s="632">
        <v>13576</v>
      </c>
      <c r="B18" s="632" t="s">
        <v>72</v>
      </c>
      <c r="C18" s="632" t="s">
        <v>72</v>
      </c>
      <c r="D18" s="632" t="s">
        <v>128</v>
      </c>
      <c r="E18" s="633">
        <v>43377.796111111114</v>
      </c>
      <c r="F18" s="638">
        <v>43377.796111111114</v>
      </c>
      <c r="G18" s="634">
        <v>0.79583333333333339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20"/>
      <c r="P18" s="345"/>
      <c r="Q18" s="369"/>
      <c r="R18" s="372"/>
      <c r="S18" s="372"/>
      <c r="T18" s="373"/>
      <c r="U18" s="373"/>
      <c r="V18" s="373"/>
    </row>
    <row r="19" spans="1:22" s="63" customFormat="1">
      <c r="A19" s="632">
        <v>13592</v>
      </c>
      <c r="B19" s="632" t="s">
        <v>72</v>
      </c>
      <c r="C19" s="632" t="s">
        <v>72</v>
      </c>
      <c r="D19" s="632" t="s">
        <v>125</v>
      </c>
      <c r="E19" s="633">
        <v>43378.372766203705</v>
      </c>
      <c r="F19" s="638">
        <v>43378.372766203705</v>
      </c>
      <c r="G19" s="634">
        <v>0.37222222222222223</v>
      </c>
      <c r="H19" s="635">
        <v>9.8333333333333321</v>
      </c>
      <c r="I19" s="635">
        <v>8</v>
      </c>
      <c r="J19" s="635" t="s">
        <v>115</v>
      </c>
      <c r="K19" s="635"/>
      <c r="L19" s="635"/>
      <c r="M19" s="635"/>
      <c r="N19" s="635"/>
      <c r="O19" s="20"/>
      <c r="P19" s="9"/>
      <c r="Q19" s="345"/>
      <c r="R19" s="372"/>
      <c r="S19" s="372"/>
      <c r="T19" s="373"/>
      <c r="U19" s="373"/>
      <c r="V19" s="373"/>
    </row>
    <row r="20" spans="1:22" s="63" customFormat="1">
      <c r="A20" s="632">
        <v>13609</v>
      </c>
      <c r="B20" s="632" t="s">
        <v>72</v>
      </c>
      <c r="C20" s="632" t="s">
        <v>72</v>
      </c>
      <c r="D20" s="632" t="s">
        <v>126</v>
      </c>
      <c r="E20" s="633">
        <v>43378.782060185185</v>
      </c>
      <c r="F20" s="638">
        <v>43378.782060185185</v>
      </c>
      <c r="G20" s="634">
        <v>0.78194444444444444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20"/>
      <c r="P20" s="9"/>
      <c r="Q20" s="345"/>
      <c r="R20" s="372"/>
      <c r="S20" s="372"/>
      <c r="T20" s="373"/>
      <c r="U20" s="373"/>
      <c r="V20" s="373"/>
    </row>
    <row r="21" spans="1:22" s="323" customFormat="1">
      <c r="A21" s="632">
        <v>13617</v>
      </c>
      <c r="B21" s="632" t="s">
        <v>72</v>
      </c>
      <c r="C21" s="632" t="s">
        <v>72</v>
      </c>
      <c r="D21" s="632" t="s">
        <v>125</v>
      </c>
      <c r="E21" s="633">
        <v>43381.368263888886</v>
      </c>
      <c r="F21" s="638">
        <v>43381.368263888886</v>
      </c>
      <c r="G21" s="634">
        <v>0.36805555555555558</v>
      </c>
      <c r="H21" s="635">
        <v>9.8333333333333321</v>
      </c>
      <c r="I21" s="635">
        <v>8</v>
      </c>
      <c r="J21" s="635" t="s">
        <v>115</v>
      </c>
      <c r="K21" s="635"/>
      <c r="L21" s="635"/>
      <c r="M21" s="635"/>
      <c r="N21" s="635"/>
      <c r="O21" s="20"/>
      <c r="P21" s="9"/>
      <c r="Q21" s="345"/>
      <c r="R21" s="372"/>
      <c r="S21" s="372"/>
      <c r="T21" s="373"/>
      <c r="U21" s="373"/>
      <c r="V21" s="373"/>
    </row>
    <row r="22" spans="1:22" s="63" customFormat="1">
      <c r="A22" s="632">
        <v>13636</v>
      </c>
      <c r="B22" s="632" t="s">
        <v>72</v>
      </c>
      <c r="C22" s="632" t="s">
        <v>72</v>
      </c>
      <c r="D22" s="632" t="s">
        <v>126</v>
      </c>
      <c r="E22" s="633">
        <v>43381.778148148151</v>
      </c>
      <c r="F22" s="638">
        <v>43381.778148148151</v>
      </c>
      <c r="G22" s="634">
        <v>0.77777777777777779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20"/>
      <c r="P22" s="9"/>
      <c r="Q22" s="345"/>
      <c r="R22" s="372"/>
      <c r="S22" s="372"/>
      <c r="T22" s="373"/>
      <c r="U22" s="373"/>
      <c r="V22" s="373"/>
    </row>
    <row r="23" spans="1:22" s="63" customFormat="1">
      <c r="A23" s="632">
        <v>13649</v>
      </c>
      <c r="B23" s="632" t="s">
        <v>72</v>
      </c>
      <c r="C23" s="632" t="s">
        <v>72</v>
      </c>
      <c r="D23" s="632" t="s">
        <v>125</v>
      </c>
      <c r="E23" s="633">
        <v>43382.389826388891</v>
      </c>
      <c r="F23" s="638">
        <v>43382.389826388891</v>
      </c>
      <c r="G23" s="634">
        <v>0.38958333333333334</v>
      </c>
      <c r="H23" s="635">
        <v>9.2333333333333343</v>
      </c>
      <c r="I23" s="635">
        <v>7.5</v>
      </c>
      <c r="J23" s="635">
        <v>0.5</v>
      </c>
      <c r="K23" s="635"/>
      <c r="L23" s="635"/>
      <c r="M23" s="635"/>
      <c r="N23" s="635"/>
      <c r="O23" s="643" t="s">
        <v>160</v>
      </c>
      <c r="P23" s="9"/>
      <c r="Q23" s="345"/>
      <c r="R23" s="372"/>
      <c r="S23" s="372"/>
      <c r="T23" s="373"/>
      <c r="U23" s="373"/>
      <c r="V23" s="373"/>
    </row>
    <row r="24" spans="1:22" s="63" customFormat="1">
      <c r="A24" s="632">
        <v>13681</v>
      </c>
      <c r="B24" s="632" t="s">
        <v>72</v>
      </c>
      <c r="C24" s="632" t="s">
        <v>72</v>
      </c>
      <c r="D24" s="632" t="s">
        <v>126</v>
      </c>
      <c r="E24" s="633">
        <v>43382.774907407409</v>
      </c>
      <c r="F24" s="638">
        <v>43382.774907407409</v>
      </c>
      <c r="G24" s="634">
        <v>0.77430555555555547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20"/>
      <c r="P24" s="9"/>
      <c r="Q24" s="345"/>
      <c r="R24" s="372"/>
      <c r="S24" s="372"/>
      <c r="T24" s="373"/>
      <c r="U24" s="373"/>
      <c r="V24" s="373"/>
    </row>
    <row r="25" spans="1:22" s="63" customFormat="1">
      <c r="A25" s="632"/>
      <c r="B25" s="632"/>
      <c r="C25" s="632"/>
      <c r="D25" s="632" t="s">
        <v>125</v>
      </c>
      <c r="E25" s="633">
        <v>43383.354409722226</v>
      </c>
      <c r="F25" s="638">
        <v>43383.354409722226</v>
      </c>
      <c r="G25" s="634">
        <v>0.38958333333333334</v>
      </c>
      <c r="H25" s="635"/>
      <c r="I25" s="635">
        <v>0</v>
      </c>
      <c r="J25" s="635">
        <v>8</v>
      </c>
      <c r="K25" s="635"/>
      <c r="L25" s="635"/>
      <c r="M25" s="635"/>
      <c r="N25" s="635"/>
      <c r="O25" s="628" t="s">
        <v>161</v>
      </c>
      <c r="P25" s="627"/>
      <c r="Q25" s="345"/>
      <c r="R25" s="372"/>
      <c r="S25" s="372"/>
      <c r="T25" s="373"/>
      <c r="U25" s="373"/>
      <c r="V25" s="373"/>
    </row>
    <row r="26" spans="1:22" s="63" customFormat="1">
      <c r="A26" s="632"/>
      <c r="B26" s="632"/>
      <c r="C26" s="632"/>
      <c r="D26" s="632" t="s">
        <v>126</v>
      </c>
      <c r="E26" s="633">
        <v>43383.771435185183</v>
      </c>
      <c r="F26" s="638">
        <v>43383.771435185183</v>
      </c>
      <c r="G26" s="634">
        <v>0.77430555555555547</v>
      </c>
      <c r="H26" s="635"/>
      <c r="I26" s="635"/>
      <c r="J26" s="635"/>
      <c r="K26" s="635"/>
      <c r="L26" s="635"/>
      <c r="M26" s="635"/>
      <c r="N26" s="635"/>
      <c r="O26" s="628"/>
      <c r="P26" s="627"/>
      <c r="Q26" s="345"/>
      <c r="R26" s="372"/>
      <c r="S26" s="372"/>
      <c r="T26" s="373"/>
      <c r="U26" s="373"/>
      <c r="V26" s="373"/>
    </row>
    <row r="27" spans="1:22" s="2" customFormat="1">
      <c r="A27" s="632">
        <v>13667</v>
      </c>
      <c r="B27" s="632" t="s">
        <v>72</v>
      </c>
      <c r="C27" s="632" t="s">
        <v>72</v>
      </c>
      <c r="D27" s="632" t="s">
        <v>125</v>
      </c>
      <c r="E27" s="633">
        <v>43384.369571759256</v>
      </c>
      <c r="F27" s="638">
        <v>43384.369571759256</v>
      </c>
      <c r="G27" s="634">
        <v>0.36944444444444446</v>
      </c>
      <c r="H27" s="635">
        <v>9.7166666666666668</v>
      </c>
      <c r="I27" s="635">
        <v>8</v>
      </c>
      <c r="J27" s="635" t="s">
        <v>115</v>
      </c>
      <c r="K27" s="635"/>
      <c r="L27" s="635"/>
      <c r="M27" s="635"/>
      <c r="N27" s="635"/>
      <c r="O27" s="20"/>
      <c r="P27" s="9"/>
      <c r="Q27" s="345"/>
      <c r="R27" s="372"/>
      <c r="S27" s="372"/>
      <c r="T27" s="373"/>
      <c r="U27" s="373"/>
      <c r="V27" s="373"/>
    </row>
    <row r="28" spans="1:22">
      <c r="A28" s="632">
        <v>13681</v>
      </c>
      <c r="B28" s="632" t="s">
        <v>72</v>
      </c>
      <c r="C28" s="632" t="s">
        <v>72</v>
      </c>
      <c r="D28" s="632" t="s">
        <v>126</v>
      </c>
      <c r="E28" s="633">
        <v>43384.774907407409</v>
      </c>
      <c r="F28" s="638">
        <v>43384.774907407409</v>
      </c>
      <c r="G28" s="634">
        <v>0.77430555555555547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20"/>
      <c r="P28" s="9"/>
      <c r="R28" s="372"/>
      <c r="S28" s="372"/>
      <c r="T28" s="373"/>
      <c r="U28" s="373"/>
      <c r="V28" s="373"/>
    </row>
    <row r="29" spans="1:22" s="16" customFormat="1">
      <c r="A29" s="632">
        <v>13684</v>
      </c>
      <c r="B29" s="632" t="s">
        <v>72</v>
      </c>
      <c r="C29" s="632" t="s">
        <v>72</v>
      </c>
      <c r="D29" s="632" t="s">
        <v>127</v>
      </c>
      <c r="E29" s="633">
        <v>43384.784305555557</v>
      </c>
      <c r="F29" s="638">
        <v>43384.784305555557</v>
      </c>
      <c r="G29" s="634">
        <v>0.78402777777777777</v>
      </c>
      <c r="H29" s="635" t="s">
        <v>115</v>
      </c>
      <c r="I29" s="635" t="s">
        <v>115</v>
      </c>
      <c r="J29" s="635" t="s">
        <v>115</v>
      </c>
      <c r="K29" s="635">
        <v>1.3333333333333339</v>
      </c>
      <c r="L29" s="635"/>
      <c r="M29" s="635">
        <v>1.3333333333333339</v>
      </c>
      <c r="N29" s="635">
        <v>0</v>
      </c>
      <c r="O29" s="20"/>
      <c r="P29" s="9"/>
      <c r="Q29" s="345"/>
      <c r="R29" s="372"/>
      <c r="S29" s="372"/>
      <c r="T29" s="373"/>
      <c r="U29" s="373"/>
      <c r="V29" s="373"/>
    </row>
    <row r="30" spans="1:22">
      <c r="A30" s="632">
        <v>13689</v>
      </c>
      <c r="B30" s="632" t="s">
        <v>72</v>
      </c>
      <c r="C30" s="632" t="s">
        <v>72</v>
      </c>
      <c r="D30" s="632" t="s">
        <v>128</v>
      </c>
      <c r="E30" s="633">
        <v>43384.839641203704</v>
      </c>
      <c r="F30" s="638">
        <v>43384.839641203704</v>
      </c>
      <c r="G30" s="634">
        <v>0.83958333333333324</v>
      </c>
      <c r="H30" s="635" t="s">
        <v>115</v>
      </c>
      <c r="I30" s="635" t="s">
        <v>115</v>
      </c>
      <c r="J30" s="635" t="s">
        <v>115</v>
      </c>
      <c r="K30" s="635"/>
      <c r="L30" s="635"/>
      <c r="M30" s="635"/>
      <c r="N30" s="635"/>
      <c r="O30" s="20"/>
      <c r="P30" s="9"/>
      <c r="R30" s="372"/>
      <c r="S30" s="372"/>
      <c r="T30" s="373"/>
      <c r="U30" s="373"/>
      <c r="V30" s="373"/>
    </row>
    <row r="31" spans="1:22" s="444" customFormat="1">
      <c r="A31" s="632">
        <v>13698</v>
      </c>
      <c r="B31" s="632" t="s">
        <v>72</v>
      </c>
      <c r="C31" s="632" t="s">
        <v>72</v>
      </c>
      <c r="D31" s="632" t="s">
        <v>125</v>
      </c>
      <c r="E31" s="633">
        <v>43385.370289351849</v>
      </c>
      <c r="F31" s="638">
        <v>43385.370289351849</v>
      </c>
      <c r="G31" s="634">
        <v>0.37013888888888885</v>
      </c>
      <c r="H31" s="635">
        <v>9.7666666666666657</v>
      </c>
      <c r="I31" s="635">
        <v>8</v>
      </c>
      <c r="J31" s="635" t="s">
        <v>115</v>
      </c>
      <c r="K31" s="635"/>
      <c r="L31" s="635"/>
      <c r="M31" s="635"/>
      <c r="N31" s="635"/>
      <c r="O31" s="20"/>
      <c r="R31" s="137"/>
      <c r="S31" s="137"/>
      <c r="T31" s="137"/>
      <c r="U31" s="137"/>
      <c r="V31" s="137"/>
    </row>
    <row r="32" spans="1:22" s="444" customFormat="1">
      <c r="A32" s="632">
        <v>13708</v>
      </c>
      <c r="B32" s="632" t="s">
        <v>72</v>
      </c>
      <c r="C32" s="632" t="s">
        <v>72</v>
      </c>
      <c r="D32" s="632" t="s">
        <v>126</v>
      </c>
      <c r="E32" s="633">
        <v>43385.777766203704</v>
      </c>
      <c r="F32" s="638">
        <v>43385.777766203704</v>
      </c>
      <c r="G32" s="634">
        <v>0.77708333333333324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20"/>
      <c r="R32" s="137"/>
      <c r="S32" s="137"/>
      <c r="T32" s="137"/>
      <c r="U32" s="137"/>
      <c r="V32" s="137"/>
    </row>
    <row r="33" spans="1:22" s="63" customFormat="1">
      <c r="A33" s="632">
        <v>13713</v>
      </c>
      <c r="B33" s="632" t="s">
        <v>72</v>
      </c>
      <c r="C33" s="632" t="s">
        <v>72</v>
      </c>
      <c r="D33" s="632" t="s">
        <v>127</v>
      </c>
      <c r="E33" s="633">
        <v>43385.785636574074</v>
      </c>
      <c r="F33" s="638">
        <v>43385.785636574074</v>
      </c>
      <c r="G33" s="634">
        <v>0.78541666666666676</v>
      </c>
      <c r="H33" s="635" t="s">
        <v>115</v>
      </c>
      <c r="I33" s="635" t="s">
        <v>115</v>
      </c>
      <c r="J33" s="635" t="s">
        <v>115</v>
      </c>
      <c r="K33" s="635">
        <v>0.48333333333333428</v>
      </c>
      <c r="L33" s="635"/>
      <c r="M33" s="635">
        <v>0.48333333333333428</v>
      </c>
      <c r="N33" s="635">
        <v>0</v>
      </c>
      <c r="O33" s="20"/>
      <c r="P33" s="9"/>
      <c r="Q33" s="345"/>
      <c r="R33" s="372"/>
      <c r="S33" s="401"/>
      <c r="T33" s="401"/>
      <c r="U33" s="401"/>
      <c r="V33" s="401"/>
    </row>
    <row r="34" spans="1:22">
      <c r="A34" s="632">
        <v>13717</v>
      </c>
      <c r="B34" s="632" t="s">
        <v>72</v>
      </c>
      <c r="C34" s="632" t="s">
        <v>72</v>
      </c>
      <c r="D34" s="632" t="s">
        <v>128</v>
      </c>
      <c r="E34" s="633">
        <v>43385.805752314816</v>
      </c>
      <c r="F34" s="638">
        <v>43385.805752314816</v>
      </c>
      <c r="G34" s="634">
        <v>0.80555555555555547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20"/>
      <c r="P34" s="9"/>
      <c r="R34" s="372"/>
      <c r="S34" s="372"/>
      <c r="T34" s="373"/>
      <c r="U34" s="373"/>
      <c r="V34" s="373"/>
    </row>
    <row r="35" spans="1:22" s="63" customFormat="1">
      <c r="A35" s="632"/>
      <c r="B35" s="632"/>
      <c r="C35" s="632"/>
      <c r="D35" s="632" t="s">
        <v>125</v>
      </c>
      <c r="E35" s="633">
        <v>43383.354409722226</v>
      </c>
      <c r="F35" s="638">
        <v>43383.354409722226</v>
      </c>
      <c r="G35" s="634">
        <v>0.35416666666666669</v>
      </c>
      <c r="H35" s="635"/>
      <c r="I35" s="635">
        <v>0</v>
      </c>
      <c r="J35" s="635">
        <v>8</v>
      </c>
      <c r="K35" s="635"/>
      <c r="L35" s="635"/>
      <c r="M35" s="635"/>
      <c r="N35" s="635"/>
      <c r="O35" s="628" t="s">
        <v>161</v>
      </c>
      <c r="P35" s="627"/>
      <c r="Q35" s="345"/>
      <c r="R35" s="372"/>
      <c r="S35" s="372"/>
      <c r="T35" s="373"/>
      <c r="U35" s="373"/>
      <c r="V35" s="373"/>
    </row>
    <row r="36" spans="1:22" s="63" customFormat="1">
      <c r="A36" s="632"/>
      <c r="B36" s="632"/>
      <c r="C36" s="632"/>
      <c r="D36" s="632" t="s">
        <v>126</v>
      </c>
      <c r="E36" s="633">
        <v>43383.75</v>
      </c>
      <c r="F36" s="638">
        <v>43383.771435185183</v>
      </c>
      <c r="G36" s="634">
        <v>0.75</v>
      </c>
      <c r="H36" s="635"/>
      <c r="I36" s="635"/>
      <c r="J36" s="635"/>
      <c r="K36" s="635"/>
      <c r="L36" s="635"/>
      <c r="M36" s="635"/>
      <c r="N36" s="635"/>
      <c r="O36" s="628"/>
      <c r="P36" s="627"/>
      <c r="Q36" s="345"/>
      <c r="R36" s="372"/>
      <c r="S36" s="372"/>
      <c r="T36" s="373"/>
      <c r="U36" s="373"/>
      <c r="V36" s="373"/>
    </row>
    <row r="37" spans="1:22" s="2" customFormat="1">
      <c r="A37" s="632">
        <v>13752</v>
      </c>
      <c r="B37" s="632" t="s">
        <v>72</v>
      </c>
      <c r="C37" s="632" t="s">
        <v>72</v>
      </c>
      <c r="D37" s="632" t="s">
        <v>125</v>
      </c>
      <c r="E37" s="633">
        <v>43389.369293981479</v>
      </c>
      <c r="F37" s="638">
        <v>43389.369293981479</v>
      </c>
      <c r="G37" s="634">
        <v>0.36874999999999997</v>
      </c>
      <c r="H37" s="635">
        <v>9.65</v>
      </c>
      <c r="I37" s="635">
        <v>8</v>
      </c>
      <c r="J37" s="635" t="s">
        <v>115</v>
      </c>
      <c r="K37" s="635"/>
      <c r="L37" s="635"/>
      <c r="M37" s="635"/>
      <c r="N37" s="635"/>
      <c r="O37" s="20"/>
      <c r="P37" s="9"/>
      <c r="Q37" s="345"/>
      <c r="R37" s="372"/>
      <c r="S37" s="372"/>
      <c r="T37" s="373"/>
      <c r="U37" s="373"/>
      <c r="V37" s="373"/>
    </row>
    <row r="38" spans="1:22">
      <c r="A38" s="632">
        <v>13766</v>
      </c>
      <c r="B38" s="632" t="s">
        <v>86</v>
      </c>
      <c r="C38" s="632" t="s">
        <v>72</v>
      </c>
      <c r="D38" s="632" t="s">
        <v>126</v>
      </c>
      <c r="E38" s="633">
        <v>43389.770891203705</v>
      </c>
      <c r="F38" s="638">
        <v>43389.770891203705</v>
      </c>
      <c r="G38" s="634">
        <v>0.77083333333333337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20"/>
      <c r="P38" s="9"/>
      <c r="R38" s="372"/>
      <c r="S38" s="372"/>
      <c r="T38" s="373"/>
      <c r="U38" s="373"/>
      <c r="V38" s="373"/>
    </row>
    <row r="39" spans="1:22" s="2" customFormat="1">
      <c r="A39" s="632">
        <v>13767</v>
      </c>
      <c r="B39" s="632" t="s">
        <v>86</v>
      </c>
      <c r="C39" s="632" t="s">
        <v>72</v>
      </c>
      <c r="D39" s="632" t="s">
        <v>127</v>
      </c>
      <c r="E39" s="633">
        <v>43389.772743055553</v>
      </c>
      <c r="F39" s="638">
        <v>43389.772743055553</v>
      </c>
      <c r="G39" s="634">
        <v>0.77222222222222225</v>
      </c>
      <c r="H39" s="635" t="s">
        <v>115</v>
      </c>
      <c r="I39" s="635" t="s">
        <v>115</v>
      </c>
      <c r="J39" s="635" t="s">
        <v>115</v>
      </c>
      <c r="K39" s="635">
        <v>1.0166666666666657</v>
      </c>
      <c r="L39" s="635"/>
      <c r="M39" s="635">
        <v>1.0166666666666657</v>
      </c>
      <c r="N39" s="635">
        <v>0</v>
      </c>
      <c r="O39" s="20"/>
      <c r="P39" s="9"/>
      <c r="Q39" s="345"/>
      <c r="R39" s="372"/>
      <c r="S39" s="374"/>
      <c r="T39" s="375"/>
      <c r="U39" s="375"/>
      <c r="V39" s="375"/>
    </row>
    <row r="40" spans="1:22">
      <c r="A40" s="632">
        <v>13773</v>
      </c>
      <c r="B40" s="632" t="s">
        <v>86</v>
      </c>
      <c r="C40" s="632" t="s">
        <v>72</v>
      </c>
      <c r="D40" s="632" t="s">
        <v>128</v>
      </c>
      <c r="E40" s="633">
        <v>43389.814722222225</v>
      </c>
      <c r="F40" s="638">
        <v>43389.814722222225</v>
      </c>
      <c r="G40" s="634">
        <v>0.81458333333333333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20"/>
      <c r="P40" s="9"/>
      <c r="R40" s="372"/>
    </row>
    <row r="41" spans="1:22" s="2" customFormat="1">
      <c r="A41" s="632">
        <v>13781</v>
      </c>
      <c r="B41" s="632" t="s">
        <v>72</v>
      </c>
      <c r="C41" s="632" t="s">
        <v>72</v>
      </c>
      <c r="D41" s="632" t="s">
        <v>125</v>
      </c>
      <c r="E41" s="633">
        <v>43390.369826388887</v>
      </c>
      <c r="F41" s="638">
        <v>43390.369826388887</v>
      </c>
      <c r="G41" s="634">
        <v>0.36944444444444446</v>
      </c>
      <c r="H41" s="635">
        <v>9.9499999999999993</v>
      </c>
      <c r="I41" s="635">
        <v>8</v>
      </c>
      <c r="J41" s="635" t="s">
        <v>115</v>
      </c>
      <c r="K41" s="635"/>
      <c r="L41" s="635"/>
      <c r="M41" s="635"/>
      <c r="N41" s="635"/>
      <c r="O41" s="628"/>
      <c r="P41" s="9"/>
      <c r="Q41" s="345"/>
      <c r="R41" s="372"/>
      <c r="S41" s="372"/>
      <c r="T41" s="373"/>
      <c r="U41" s="373"/>
      <c r="V41" s="373"/>
    </row>
    <row r="42" spans="1:22">
      <c r="A42" s="632">
        <v>13796</v>
      </c>
      <c r="B42" s="632" t="s">
        <v>86</v>
      </c>
      <c r="C42" s="632" t="s">
        <v>72</v>
      </c>
      <c r="D42" s="632" t="s">
        <v>126</v>
      </c>
      <c r="E42" s="633">
        <v>43390.784687500003</v>
      </c>
      <c r="F42" s="638">
        <v>43390.784687500003</v>
      </c>
      <c r="G42" s="634">
        <v>0.78402777777777777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28"/>
      <c r="P42" s="9"/>
      <c r="R42" s="372"/>
      <c r="S42" s="18"/>
      <c r="T42" s="63"/>
      <c r="U42" s="63"/>
      <c r="V42" s="63"/>
    </row>
    <row r="43" spans="1:22" s="2" customFormat="1">
      <c r="A43" s="632">
        <v>13797</v>
      </c>
      <c r="B43" s="632" t="s">
        <v>86</v>
      </c>
      <c r="C43" s="632" t="s">
        <v>72</v>
      </c>
      <c r="D43" s="632" t="s">
        <v>127</v>
      </c>
      <c r="E43" s="633">
        <v>43390.786041666666</v>
      </c>
      <c r="F43" s="638">
        <v>43390.786041666666</v>
      </c>
      <c r="G43" s="634">
        <v>0.78541666666666676</v>
      </c>
      <c r="H43" s="635" t="s">
        <v>115</v>
      </c>
      <c r="I43" s="635" t="s">
        <v>115</v>
      </c>
      <c r="J43" s="635" t="s">
        <v>115</v>
      </c>
      <c r="K43" s="635">
        <v>0.58333333333333393</v>
      </c>
      <c r="L43" s="635"/>
      <c r="M43" s="635">
        <v>0.58333333333333393</v>
      </c>
      <c r="N43" s="635">
        <v>0</v>
      </c>
      <c r="O43" s="20"/>
      <c r="P43" s="9"/>
      <c r="Q43" s="345"/>
      <c r="R43" s="372"/>
      <c r="S43" s="16"/>
      <c r="T43" s="16"/>
      <c r="U43" s="16"/>
      <c r="V43" s="16"/>
    </row>
    <row r="44" spans="1:22">
      <c r="A44" s="632">
        <v>13801</v>
      </c>
      <c r="B44" s="632" t="s">
        <v>86</v>
      </c>
      <c r="C44" s="632" t="s">
        <v>72</v>
      </c>
      <c r="D44" s="632" t="s">
        <v>128</v>
      </c>
      <c r="E44" s="633">
        <v>43390.810243055559</v>
      </c>
      <c r="F44" s="638">
        <v>43390.810243055559</v>
      </c>
      <c r="G44" s="634">
        <v>0.80972222222222223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20"/>
      <c r="P44" s="9"/>
      <c r="R44" s="372"/>
      <c r="S44" s="16"/>
      <c r="T44" s="16"/>
      <c r="U44" s="16"/>
      <c r="V44" s="16"/>
    </row>
    <row r="45" spans="1:22" s="2" customFormat="1">
      <c r="A45" s="632">
        <v>13812</v>
      </c>
      <c r="B45" s="632" t="s">
        <v>72</v>
      </c>
      <c r="C45" s="632" t="s">
        <v>72</v>
      </c>
      <c r="D45" s="632" t="s">
        <v>125</v>
      </c>
      <c r="E45" s="633">
        <v>43391.370694444442</v>
      </c>
      <c r="F45" s="638">
        <v>43391.370694444442</v>
      </c>
      <c r="G45" s="634">
        <v>0.37013888888888885</v>
      </c>
      <c r="H45" s="635">
        <v>9.6000000000000014</v>
      </c>
      <c r="I45" s="635">
        <v>8</v>
      </c>
      <c r="J45" s="635" t="s">
        <v>115</v>
      </c>
      <c r="K45" s="635"/>
      <c r="L45" s="635"/>
      <c r="M45" s="635"/>
      <c r="N45" s="635"/>
      <c r="O45" s="20"/>
      <c r="P45" s="9"/>
      <c r="Q45" s="345"/>
      <c r="R45" s="372"/>
      <c r="S45" s="370"/>
      <c r="T45" s="371"/>
      <c r="U45" s="371"/>
      <c r="V45" s="371"/>
    </row>
    <row r="46" spans="1:22">
      <c r="A46" s="632">
        <v>13818</v>
      </c>
      <c r="B46" s="632" t="s">
        <v>72</v>
      </c>
      <c r="C46" s="632" t="s">
        <v>72</v>
      </c>
      <c r="D46" s="632" t="s">
        <v>126</v>
      </c>
      <c r="E46" s="633">
        <v>43391.770416666666</v>
      </c>
      <c r="F46" s="638">
        <v>43391.770416666666</v>
      </c>
      <c r="G46" s="634">
        <v>0.77013888888888893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20"/>
      <c r="P46" s="9"/>
      <c r="R46" s="372"/>
      <c r="S46" s="18"/>
      <c r="T46" s="63"/>
      <c r="U46" s="63"/>
      <c r="V46" s="63"/>
    </row>
    <row r="47" spans="1:22" s="2" customFormat="1">
      <c r="A47" s="632">
        <v>13831</v>
      </c>
      <c r="B47" s="632" t="s">
        <v>72</v>
      </c>
      <c r="C47" s="632" t="s">
        <v>72</v>
      </c>
      <c r="D47" s="632" t="s">
        <v>125</v>
      </c>
      <c r="E47" s="633">
        <v>43392.368379629632</v>
      </c>
      <c r="F47" s="638">
        <v>43392.368379629632</v>
      </c>
      <c r="G47" s="634">
        <v>0.36805555555555558</v>
      </c>
      <c r="H47" s="635">
        <v>11.883333333333333</v>
      </c>
      <c r="I47" s="635">
        <v>8</v>
      </c>
      <c r="J47" s="635" t="s">
        <v>115</v>
      </c>
      <c r="K47" s="635"/>
      <c r="L47" s="635"/>
      <c r="M47" s="635"/>
      <c r="N47" s="635"/>
      <c r="O47" s="20"/>
      <c r="P47" s="9"/>
      <c r="Q47" s="345"/>
      <c r="R47" s="372"/>
      <c r="S47" s="18"/>
      <c r="T47" s="63"/>
      <c r="U47" s="63"/>
      <c r="V47" s="63"/>
    </row>
    <row r="48" spans="1:22" s="63" customFormat="1">
      <c r="A48" s="632">
        <v>13843</v>
      </c>
      <c r="B48" s="632" t="s">
        <v>86</v>
      </c>
      <c r="C48" s="632" t="s">
        <v>72</v>
      </c>
      <c r="D48" s="632" t="s">
        <v>126</v>
      </c>
      <c r="E48" s="633">
        <v>43392.863692129627</v>
      </c>
      <c r="F48" s="638">
        <v>43392.863692129627</v>
      </c>
      <c r="G48" s="634">
        <v>0.86319444444444438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20"/>
      <c r="P48" s="9"/>
      <c r="Q48" s="345"/>
      <c r="R48" s="372"/>
      <c r="S48" s="370"/>
      <c r="T48" s="371"/>
      <c r="U48" s="371"/>
      <c r="V48" s="371"/>
    </row>
    <row r="49" spans="1:22" s="2" customFormat="1">
      <c r="A49" s="632">
        <v>13849</v>
      </c>
      <c r="B49" s="632" t="s">
        <v>86</v>
      </c>
      <c r="C49" s="632" t="s">
        <v>72</v>
      </c>
      <c r="D49" s="632" t="s">
        <v>125</v>
      </c>
      <c r="E49" s="633">
        <v>43395.367291666669</v>
      </c>
      <c r="F49" s="638">
        <v>43395.367291666669</v>
      </c>
      <c r="G49" s="634">
        <v>0.3666666666666667</v>
      </c>
      <c r="H49" s="635">
        <v>9.7166666666666686</v>
      </c>
      <c r="I49" s="635">
        <v>8</v>
      </c>
      <c r="J49" s="635" t="s">
        <v>115</v>
      </c>
      <c r="K49" s="635"/>
      <c r="L49" s="635"/>
      <c r="M49" s="635"/>
      <c r="N49" s="635"/>
      <c r="O49" s="20"/>
      <c r="P49" s="9"/>
      <c r="Q49" s="345"/>
      <c r="R49" s="372"/>
      <c r="S49" s="374"/>
      <c r="T49" s="375"/>
      <c r="U49" s="375"/>
      <c r="V49" s="375"/>
    </row>
    <row r="50" spans="1:22">
      <c r="A50" s="632">
        <v>13863</v>
      </c>
      <c r="B50" s="632" t="s">
        <v>72</v>
      </c>
      <c r="C50" s="632" t="s">
        <v>72</v>
      </c>
      <c r="D50" s="632" t="s">
        <v>126</v>
      </c>
      <c r="E50" s="633">
        <v>43395.772175925929</v>
      </c>
      <c r="F50" s="638">
        <v>43395.772175925929</v>
      </c>
      <c r="G50" s="634">
        <v>0.7715277777777777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20"/>
      <c r="P50" s="9"/>
      <c r="R50" s="372"/>
    </row>
    <row r="51" spans="1:22" s="444" customFormat="1">
      <c r="A51" s="632">
        <v>13864</v>
      </c>
      <c r="B51" s="632" t="s">
        <v>72</v>
      </c>
      <c r="C51" s="632" t="s">
        <v>72</v>
      </c>
      <c r="D51" s="632" t="s">
        <v>127</v>
      </c>
      <c r="E51" s="633">
        <v>43395.772210648145</v>
      </c>
      <c r="F51" s="638">
        <v>43395.772210648145</v>
      </c>
      <c r="G51" s="634">
        <v>0.7715277777777777</v>
      </c>
      <c r="H51" s="635" t="s">
        <v>115</v>
      </c>
      <c r="I51" s="635" t="s">
        <v>115</v>
      </c>
      <c r="J51" s="635" t="s">
        <v>115</v>
      </c>
      <c r="K51" s="635">
        <v>0.91666666666666607</v>
      </c>
      <c r="L51" s="635"/>
      <c r="M51" s="635">
        <v>0.91666666666666607</v>
      </c>
      <c r="N51" s="635">
        <v>0</v>
      </c>
      <c r="O51" s="20"/>
      <c r="R51" s="137"/>
      <c r="S51" s="137"/>
      <c r="T51" s="137"/>
      <c r="U51" s="137"/>
      <c r="V51" s="137"/>
    </row>
    <row r="52" spans="1:22" s="9" customFormat="1">
      <c r="A52" s="632">
        <v>13872</v>
      </c>
      <c r="B52" s="632" t="s">
        <v>72</v>
      </c>
      <c r="C52" s="632" t="s">
        <v>72</v>
      </c>
      <c r="D52" s="632" t="s">
        <v>128</v>
      </c>
      <c r="E52" s="633">
        <v>43395.809803240743</v>
      </c>
      <c r="F52" s="638">
        <v>43395.809803240743</v>
      </c>
      <c r="G52" s="634">
        <v>0.80972222222222223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O52" s="20"/>
      <c r="Q52" s="345"/>
      <c r="R52" s="372"/>
      <c r="S52" s="137"/>
      <c r="T52" s="137"/>
      <c r="U52" s="137"/>
      <c r="V52" s="137"/>
    </row>
    <row r="53" spans="1:22" s="9" customFormat="1">
      <c r="A53" s="632">
        <v>13880</v>
      </c>
      <c r="B53" s="632" t="s">
        <v>72</v>
      </c>
      <c r="C53" s="632" t="s">
        <v>72</v>
      </c>
      <c r="D53" s="632" t="s">
        <v>125</v>
      </c>
      <c r="E53" s="633">
        <v>43396.363553240742</v>
      </c>
      <c r="F53" s="638">
        <v>43396.363553240742</v>
      </c>
      <c r="G53" s="634">
        <v>0.36319444444444443</v>
      </c>
      <c r="H53" s="635">
        <v>9.6333333333333329</v>
      </c>
      <c r="I53" s="635">
        <v>8</v>
      </c>
      <c r="J53" s="635" t="s">
        <v>115</v>
      </c>
      <c r="K53" s="635"/>
      <c r="L53" s="635"/>
      <c r="M53" s="635"/>
      <c r="N53" s="635"/>
      <c r="O53" s="20"/>
      <c r="Q53" s="345"/>
      <c r="R53" s="372"/>
      <c r="S53" s="137"/>
      <c r="T53" s="137"/>
      <c r="U53" s="137"/>
      <c r="V53" s="137"/>
    </row>
    <row r="54" spans="1:22" s="18" customFormat="1">
      <c r="A54" s="632">
        <v>13892</v>
      </c>
      <c r="B54" s="632" t="s">
        <v>72</v>
      </c>
      <c r="C54" s="632" t="s">
        <v>72</v>
      </c>
      <c r="D54" s="632" t="s">
        <v>126</v>
      </c>
      <c r="E54" s="633">
        <v>43396.764826388891</v>
      </c>
      <c r="F54" s="638">
        <v>43396.764826388891</v>
      </c>
      <c r="G54" s="634">
        <v>0.76458333333333339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  <c r="O54" s="20"/>
      <c r="P54" s="9"/>
      <c r="Q54" s="345"/>
      <c r="R54" s="372"/>
      <c r="S54" s="137"/>
      <c r="T54" s="137"/>
      <c r="U54" s="137"/>
      <c r="V54" s="137"/>
    </row>
    <row r="55" spans="1:22" s="18" customFormat="1">
      <c r="A55" s="632">
        <v>13917</v>
      </c>
      <c r="B55" s="632" t="s">
        <v>72</v>
      </c>
      <c r="C55" s="632" t="s">
        <v>72</v>
      </c>
      <c r="D55" s="632" t="s">
        <v>125</v>
      </c>
      <c r="E55" s="633">
        <v>43397.373229166667</v>
      </c>
      <c r="F55" s="638">
        <v>43397.373229166667</v>
      </c>
      <c r="G55" s="634">
        <v>0.37291666666666662</v>
      </c>
      <c r="H55" s="635">
        <v>9.533333333333335</v>
      </c>
      <c r="I55" s="635">
        <v>8</v>
      </c>
      <c r="J55" s="635" t="s">
        <v>115</v>
      </c>
      <c r="K55" s="635"/>
      <c r="L55" s="635"/>
      <c r="M55" s="635"/>
      <c r="N55" s="635"/>
      <c r="O55" s="20"/>
      <c r="P55" s="9"/>
      <c r="Q55" s="345"/>
      <c r="R55" s="372"/>
      <c r="S55" s="137"/>
      <c r="T55" s="137"/>
      <c r="U55" s="137"/>
      <c r="V55" s="137"/>
    </row>
    <row r="56" spans="1:22">
      <c r="A56" s="632">
        <v>13923</v>
      </c>
      <c r="B56" s="632" t="s">
        <v>72</v>
      </c>
      <c r="C56" s="632" t="s">
        <v>72</v>
      </c>
      <c r="D56" s="632" t="s">
        <v>126</v>
      </c>
      <c r="E56" s="633">
        <v>43397.770509259259</v>
      </c>
      <c r="F56" s="638">
        <v>43397.770509259259</v>
      </c>
      <c r="G56" s="634">
        <v>0.77013888888888893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  <c r="O56" s="20"/>
      <c r="P56" s="9"/>
      <c r="R56" s="372"/>
      <c r="S56" s="137"/>
      <c r="T56" s="137"/>
      <c r="U56" s="137"/>
      <c r="V56" s="137"/>
    </row>
    <row r="57" spans="1:22">
      <c r="A57" s="632">
        <v>13941</v>
      </c>
      <c r="B57" s="632" t="s">
        <v>72</v>
      </c>
      <c r="C57" s="632" t="s">
        <v>72</v>
      </c>
      <c r="D57" s="632" t="s">
        <v>125</v>
      </c>
      <c r="E57" s="633">
        <v>43398.374212962961</v>
      </c>
      <c r="F57" s="638">
        <v>43398.374212962961</v>
      </c>
      <c r="G57" s="634">
        <v>0.37361111111111112</v>
      </c>
      <c r="H57" s="635">
        <v>9.5833333333333339</v>
      </c>
      <c r="I57" s="635">
        <v>8</v>
      </c>
      <c r="J57" s="635" t="s">
        <v>115</v>
      </c>
      <c r="K57" s="635"/>
      <c r="L57" s="635"/>
      <c r="M57" s="635"/>
      <c r="N57" s="635"/>
      <c r="O57" s="20"/>
      <c r="P57" s="9"/>
      <c r="R57" s="372"/>
      <c r="S57" s="18"/>
      <c r="T57" s="63"/>
      <c r="U57" s="63"/>
      <c r="V57" s="63"/>
    </row>
    <row r="58" spans="1:22">
      <c r="A58" s="632">
        <v>13951</v>
      </c>
      <c r="B58" s="632" t="s">
        <v>72</v>
      </c>
      <c r="C58" s="632" t="s">
        <v>72</v>
      </c>
      <c r="D58" s="632" t="s">
        <v>126</v>
      </c>
      <c r="E58" s="633">
        <v>43398.773206018515</v>
      </c>
      <c r="F58" s="638">
        <v>43398.773206018515</v>
      </c>
      <c r="G58" s="634">
        <v>0.7729166666666667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  <c r="O58" s="20"/>
      <c r="P58" s="9"/>
      <c r="R58" s="372"/>
    </row>
    <row r="59" spans="1:22">
      <c r="A59" s="632">
        <v>13952</v>
      </c>
      <c r="B59" s="632" t="s">
        <v>72</v>
      </c>
      <c r="C59" s="632" t="s">
        <v>72</v>
      </c>
      <c r="D59" s="632" t="s">
        <v>127</v>
      </c>
      <c r="E59" s="633">
        <v>43398.773252314815</v>
      </c>
      <c r="F59" s="638">
        <v>43398.773252314815</v>
      </c>
      <c r="G59" s="634">
        <v>0.7729166666666667</v>
      </c>
      <c r="H59" s="635" t="s">
        <v>115</v>
      </c>
      <c r="I59" s="635" t="s">
        <v>115</v>
      </c>
      <c r="J59" s="635" t="s">
        <v>115</v>
      </c>
      <c r="K59" s="635">
        <v>1.4666666666666668</v>
      </c>
      <c r="L59" s="635"/>
      <c r="M59" s="635">
        <v>1.4666666666666668</v>
      </c>
      <c r="N59" s="635">
        <v>0</v>
      </c>
      <c r="O59" s="20"/>
      <c r="P59" s="9"/>
      <c r="R59" s="372"/>
      <c r="S59" s="374"/>
      <c r="T59" s="375"/>
      <c r="U59" s="375"/>
      <c r="V59" s="375"/>
    </row>
    <row r="60" spans="1:22">
      <c r="A60" s="632">
        <v>13955</v>
      </c>
      <c r="B60" s="632" t="s">
        <v>72</v>
      </c>
      <c r="C60" s="632" t="s">
        <v>72</v>
      </c>
      <c r="D60" s="632" t="s">
        <v>128</v>
      </c>
      <c r="E60" s="633">
        <v>43398.834421296298</v>
      </c>
      <c r="F60" s="638">
        <v>43398.834421296298</v>
      </c>
      <c r="G60" s="634">
        <v>0.8340277777777777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  <c r="O60" s="20"/>
      <c r="P60" s="9"/>
      <c r="R60" s="372"/>
    </row>
    <row r="61" spans="1:22">
      <c r="A61" s="632">
        <v>13964</v>
      </c>
      <c r="B61" s="632" t="s">
        <v>72</v>
      </c>
      <c r="C61" s="632" t="s">
        <v>72</v>
      </c>
      <c r="D61" s="632" t="s">
        <v>125</v>
      </c>
      <c r="E61" s="633">
        <v>43399.370370370372</v>
      </c>
      <c r="F61" s="638">
        <v>43399.370370370372</v>
      </c>
      <c r="G61" s="634">
        <v>0.37013888888888885</v>
      </c>
      <c r="H61" s="635">
        <v>10.25</v>
      </c>
      <c r="I61" s="635">
        <v>8</v>
      </c>
      <c r="J61" s="635" t="s">
        <v>115</v>
      </c>
      <c r="K61" s="635"/>
      <c r="L61" s="635"/>
      <c r="M61" s="635"/>
      <c r="N61" s="635"/>
      <c r="O61" s="20"/>
      <c r="P61" s="9"/>
      <c r="R61" s="372"/>
      <c r="S61" s="370"/>
      <c r="T61" s="371"/>
      <c r="U61" s="371"/>
      <c r="V61" s="371"/>
    </row>
    <row r="62" spans="1:22">
      <c r="A62" s="632">
        <v>13975</v>
      </c>
      <c r="B62" s="632" t="s">
        <v>72</v>
      </c>
      <c r="C62" s="632" t="s">
        <v>72</v>
      </c>
      <c r="D62" s="632" t="s">
        <v>126</v>
      </c>
      <c r="E62" s="633">
        <v>43399.797789351855</v>
      </c>
      <c r="F62" s="638">
        <v>43399.797789351855</v>
      </c>
      <c r="G62" s="634">
        <v>0.79722222222222217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  <c r="O62" s="20"/>
      <c r="P62" s="9"/>
      <c r="R62" s="372"/>
    </row>
    <row r="63" spans="1:22">
      <c r="A63" s="632">
        <v>13981</v>
      </c>
      <c r="B63" s="632" t="s">
        <v>72</v>
      </c>
      <c r="C63" s="632" t="s">
        <v>72</v>
      </c>
      <c r="D63" s="632" t="s">
        <v>125</v>
      </c>
      <c r="E63" s="633">
        <v>43402.366446759261</v>
      </c>
      <c r="F63" s="638">
        <v>43402.366446759261</v>
      </c>
      <c r="G63" s="634">
        <v>0.3659722222222222</v>
      </c>
      <c r="H63" s="635">
        <v>9.7333333333333343</v>
      </c>
      <c r="I63" s="635">
        <v>8</v>
      </c>
      <c r="J63" s="635" t="s">
        <v>115</v>
      </c>
      <c r="K63" s="635"/>
      <c r="L63" s="635"/>
      <c r="M63" s="635"/>
      <c r="N63" s="635"/>
      <c r="O63" s="20"/>
      <c r="P63" s="9"/>
      <c r="R63" s="372"/>
      <c r="S63" s="137"/>
      <c r="T63" s="16"/>
      <c r="U63" s="16"/>
      <c r="V63" s="16"/>
    </row>
    <row r="64" spans="1:22" s="63" customFormat="1">
      <c r="A64" s="632">
        <v>13996</v>
      </c>
      <c r="B64" s="632" t="s">
        <v>72</v>
      </c>
      <c r="C64" s="632" t="s">
        <v>72</v>
      </c>
      <c r="D64" s="632" t="s">
        <v>126</v>
      </c>
      <c r="E64" s="633">
        <v>43402.771805555552</v>
      </c>
      <c r="F64" s="638">
        <v>43402.771805555552</v>
      </c>
      <c r="G64" s="634">
        <v>0.7715277777777777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  <c r="O64" s="20"/>
      <c r="P64" s="9"/>
      <c r="Q64" s="345"/>
      <c r="R64" s="372"/>
      <c r="S64" s="345"/>
      <c r="T64" s="335"/>
      <c r="U64" s="335"/>
      <c r="V64" s="335"/>
    </row>
    <row r="65" spans="1:22" s="398" customFormat="1">
      <c r="A65" s="632">
        <v>14015</v>
      </c>
      <c r="B65" s="632" t="s">
        <v>72</v>
      </c>
      <c r="C65" s="632" t="s">
        <v>72</v>
      </c>
      <c r="D65" s="632" t="s">
        <v>125</v>
      </c>
      <c r="E65" s="633">
        <v>43403.371747685182</v>
      </c>
      <c r="F65" s="638">
        <v>43403.371747685182</v>
      </c>
      <c r="G65" s="634">
        <v>0.37152777777777773</v>
      </c>
      <c r="H65" s="635">
        <v>10.183333333333332</v>
      </c>
      <c r="I65" s="635">
        <v>8</v>
      </c>
      <c r="J65" s="635" t="s">
        <v>115</v>
      </c>
      <c r="K65" s="635"/>
      <c r="L65" s="635"/>
      <c r="M65" s="635"/>
      <c r="N65" s="635"/>
      <c r="O65" s="20"/>
      <c r="P65" s="444"/>
      <c r="Q65" s="444"/>
      <c r="R65" s="137"/>
      <c r="S65" s="137"/>
      <c r="T65" s="16"/>
      <c r="U65" s="16"/>
      <c r="V65" s="16"/>
    </row>
    <row r="66" spans="1:22" s="398" customFormat="1">
      <c r="A66" s="632">
        <v>14028</v>
      </c>
      <c r="B66" s="632" t="s">
        <v>72</v>
      </c>
      <c r="C66" s="632" t="s">
        <v>72</v>
      </c>
      <c r="D66" s="632" t="s">
        <v>126</v>
      </c>
      <c r="E66" s="633">
        <v>43403.796076388891</v>
      </c>
      <c r="F66" s="638">
        <v>43403.796076388891</v>
      </c>
      <c r="G66" s="634">
        <v>0.79583333333333339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  <c r="O66" s="20"/>
      <c r="P66" s="444"/>
      <c r="Q66" s="444"/>
      <c r="R66" s="137"/>
      <c r="S66" s="444"/>
    </row>
    <row r="67" spans="1:22" s="63" customFormat="1">
      <c r="A67" s="632">
        <v>14037</v>
      </c>
      <c r="B67" s="632" t="s">
        <v>72</v>
      </c>
      <c r="C67" s="632" t="s">
        <v>72</v>
      </c>
      <c r="D67" s="632" t="s">
        <v>125</v>
      </c>
      <c r="E67" s="633">
        <v>43404.368738425925</v>
      </c>
      <c r="F67" s="638">
        <v>43404.368738425925</v>
      </c>
      <c r="G67" s="634">
        <v>0.36805555555555558</v>
      </c>
      <c r="H67" s="635">
        <v>9.6999999999999993</v>
      </c>
      <c r="I67" s="635">
        <v>8</v>
      </c>
      <c r="J67" s="635" t="s">
        <v>115</v>
      </c>
      <c r="K67" s="635"/>
      <c r="L67" s="635"/>
      <c r="M67" s="635"/>
      <c r="N67" s="635"/>
      <c r="O67" s="20"/>
      <c r="P67" s="9"/>
      <c r="Q67" s="345"/>
      <c r="R67" s="372"/>
      <c r="S67" s="374"/>
      <c r="T67" s="375"/>
      <c r="U67" s="375"/>
      <c r="V67" s="375"/>
    </row>
    <row r="68" spans="1:22" s="63" customFormat="1">
      <c r="A68" s="632">
        <v>14047</v>
      </c>
      <c r="B68" s="632" t="s">
        <v>72</v>
      </c>
      <c r="C68" s="632" t="s">
        <v>72</v>
      </c>
      <c r="D68" s="632" t="s">
        <v>126</v>
      </c>
      <c r="E68" s="633">
        <v>43404.772696759261</v>
      </c>
      <c r="F68" s="638">
        <v>43404.772696759261</v>
      </c>
      <c r="G68" s="634">
        <v>0.77222222222222225</v>
      </c>
      <c r="H68" s="635" t="s">
        <v>115</v>
      </c>
      <c r="I68" s="635" t="s">
        <v>115</v>
      </c>
      <c r="J68" s="635" t="s">
        <v>115</v>
      </c>
      <c r="K68" s="635"/>
      <c r="L68" s="635"/>
      <c r="M68" s="635"/>
      <c r="N68" s="635"/>
      <c r="O68" s="20"/>
      <c r="P68" s="9"/>
      <c r="Q68" s="345"/>
      <c r="R68" s="372"/>
      <c r="S68" s="345"/>
      <c r="T68" s="335"/>
      <c r="U68" s="335"/>
      <c r="V68" s="335"/>
    </row>
    <row r="69" spans="1:22">
      <c r="D69" s="9" t="s">
        <v>36</v>
      </c>
      <c r="O69" s="454"/>
    </row>
    <row r="70" spans="1:22">
      <c r="D70" s="9" t="s">
        <v>35</v>
      </c>
      <c r="O70" s="454"/>
    </row>
    <row r="71" spans="1:22">
      <c r="D71" s="172" t="s">
        <v>63</v>
      </c>
      <c r="O71" s="454"/>
      <c r="S71" s="444"/>
      <c r="T71" s="398"/>
      <c r="U71" s="398"/>
      <c r="V71" s="398"/>
    </row>
    <row r="72" spans="1:22">
      <c r="D72" s="458" t="s">
        <v>135</v>
      </c>
      <c r="O72" s="454"/>
    </row>
    <row r="73" spans="1:22">
      <c r="D73" s="458" t="s">
        <v>64</v>
      </c>
      <c r="E73" s="504"/>
      <c r="O73" s="454"/>
    </row>
    <row r="74" spans="1:22">
      <c r="D74" s="458" t="s">
        <v>68</v>
      </c>
      <c r="E74" s="504"/>
      <c r="O74" s="454"/>
    </row>
    <row r="75" spans="1:22">
      <c r="D75" s="458" t="s">
        <v>69</v>
      </c>
      <c r="E75" s="504"/>
      <c r="O75" s="454"/>
    </row>
    <row r="76" spans="1:22">
      <c r="D76" s="458" t="s">
        <v>116</v>
      </c>
      <c r="E76" s="504"/>
    </row>
    <row r="77" spans="1:22">
      <c r="D77" s="458" t="s">
        <v>136</v>
      </c>
      <c r="E77" s="504"/>
    </row>
  </sheetData>
  <phoneticPr fontId="18" type="noConversion"/>
  <conditionalFormatting sqref="I7:I34 I37:I68">
    <cfRule type="cellIs" dxfId="38" priority="2" operator="lessThan">
      <formula>4</formula>
    </cfRule>
  </conditionalFormatting>
  <conditionalFormatting sqref="I35:I36">
    <cfRule type="cellIs" dxfId="37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77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>
    <tabColor theme="4"/>
    <pageSetUpPr fitToPage="1"/>
  </sheetPr>
  <dimension ref="A1:V82"/>
  <sheetViews>
    <sheetView view="pageBreakPreview" zoomScaleNormal="100" zoomScaleSheetLayoutView="100" workbookViewId="0">
      <selection activeCell="K3" sqref="K3"/>
    </sheetView>
  </sheetViews>
  <sheetFormatPr defaultRowHeight="16.5" outlineLevelCol="1"/>
  <cols>
    <col min="1" max="1" width="6.75" customWidth="1" outlineLevel="1"/>
    <col min="2" max="2" width="6.875" customWidth="1" outlineLevel="1"/>
    <col min="3" max="3" width="6.5" style="3" customWidth="1" outlineLevel="1"/>
    <col min="4" max="4" width="9.75" style="3" customWidth="1"/>
    <col min="5" max="5" width="17.875" style="3" customWidth="1"/>
    <col min="6" max="6" width="12.625" style="16" customWidth="1"/>
    <col min="7" max="7" width="8.625" style="17" customWidth="1" outlineLevel="1"/>
    <col min="8" max="8" width="11.125" style="51" customWidth="1" outlineLevel="1"/>
    <col min="9" max="9" width="9.37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8.75" style="22" customWidth="1"/>
    <col min="15" max="15" width="16.37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jessie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386">
        <v>0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SUM(K7:K200)</f>
        <v>12.216666666666661</v>
      </c>
      <c r="L3" s="53">
        <f>J3</f>
        <v>0</v>
      </c>
      <c r="M3" s="53">
        <f>M6-J3</f>
        <v>11.433333333333334</v>
      </c>
      <c r="N3" s="53">
        <f>N6</f>
        <v>0.78333333333333233</v>
      </c>
      <c r="O3" s="50"/>
    </row>
    <row r="4" spans="1:21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7.6354166666666654E-2</v>
      </c>
    </row>
    <row r="6" spans="1:21" ht="17.25" thickBot="1">
      <c r="A6" t="s">
        <v>0</v>
      </c>
      <c r="B6" t="s">
        <v>1</v>
      </c>
      <c r="C6" s="3" t="s">
        <v>2</v>
      </c>
      <c r="D6" s="524" t="s">
        <v>3</v>
      </c>
      <c r="E6" s="525" t="s">
        <v>4</v>
      </c>
      <c r="F6" s="507"/>
      <c r="G6" s="523"/>
      <c r="H6" s="525" t="s">
        <v>22</v>
      </c>
      <c r="I6" s="509">
        <f>SUM(I7:I200)</f>
        <v>176</v>
      </c>
      <c r="J6" s="509">
        <f t="shared" ref="J6:N6" si="0">SUM(J7:J200)</f>
        <v>8</v>
      </c>
      <c r="K6" s="509">
        <f t="shared" si="0"/>
        <v>12.216666666666661</v>
      </c>
      <c r="L6" s="509">
        <f t="shared" si="0"/>
        <v>0</v>
      </c>
      <c r="M6" s="509">
        <f t="shared" si="0"/>
        <v>11.433333333333334</v>
      </c>
      <c r="N6" s="509">
        <f t="shared" si="0"/>
        <v>0.78333333333333233</v>
      </c>
      <c r="O6" s="498"/>
      <c r="Q6" s="47"/>
    </row>
    <row r="7" spans="1:21" s="2" customFormat="1">
      <c r="A7" s="632">
        <v>13457</v>
      </c>
      <c r="B7" s="632" t="s">
        <v>113</v>
      </c>
      <c r="C7" s="632" t="s">
        <v>113</v>
      </c>
      <c r="D7" s="632" t="s">
        <v>125</v>
      </c>
      <c r="E7" s="633">
        <v>43374.351967592593</v>
      </c>
      <c r="F7" s="638">
        <v>43374.351967592593</v>
      </c>
      <c r="G7" s="634">
        <v>0.35138888888888892</v>
      </c>
      <c r="H7" s="635">
        <v>9.6833333333333336</v>
      </c>
      <c r="I7" s="635">
        <v>8</v>
      </c>
      <c r="J7" s="635" t="s">
        <v>115</v>
      </c>
      <c r="K7" s="635"/>
      <c r="L7" s="635"/>
      <c r="M7" s="635"/>
      <c r="N7" s="635"/>
      <c r="O7" s="519"/>
      <c r="P7" s="8"/>
      <c r="Q7" s="8"/>
      <c r="R7" s="8"/>
      <c r="S7" s="8"/>
    </row>
    <row r="8" spans="1:21">
      <c r="A8" s="632">
        <v>13471</v>
      </c>
      <c r="B8" s="632" t="s">
        <v>113</v>
      </c>
      <c r="C8" s="632" t="s">
        <v>113</v>
      </c>
      <c r="D8" s="632" t="s">
        <v>126</v>
      </c>
      <c r="E8" s="633">
        <v>43374.754895833335</v>
      </c>
      <c r="F8" s="638">
        <v>43374.754895833335</v>
      </c>
      <c r="G8" s="634">
        <v>0.75486111111111109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518"/>
    </row>
    <row r="9" spans="1:21" s="187" customFormat="1">
      <c r="A9" s="632">
        <v>13495</v>
      </c>
      <c r="B9" s="632" t="s">
        <v>153</v>
      </c>
      <c r="C9" s="632" t="s">
        <v>113</v>
      </c>
      <c r="D9" s="632" t="s">
        <v>125</v>
      </c>
      <c r="E9" s="633">
        <v>43375.351400462961</v>
      </c>
      <c r="F9" s="638">
        <v>43375.351400462961</v>
      </c>
      <c r="G9" s="634">
        <v>0.35138888888888892</v>
      </c>
      <c r="H9" s="635">
        <v>9.65</v>
      </c>
      <c r="I9" s="635">
        <v>8</v>
      </c>
      <c r="J9" s="635" t="s">
        <v>115</v>
      </c>
      <c r="K9" s="635"/>
      <c r="L9" s="635"/>
      <c r="M9" s="635"/>
      <c r="N9" s="635"/>
      <c r="O9" s="526"/>
    </row>
    <row r="10" spans="1:21" s="187" customFormat="1">
      <c r="A10" s="632">
        <v>13508</v>
      </c>
      <c r="B10" s="632" t="s">
        <v>113</v>
      </c>
      <c r="C10" s="632" t="s">
        <v>113</v>
      </c>
      <c r="D10" s="632" t="s">
        <v>126</v>
      </c>
      <c r="E10" s="633">
        <v>43375.753645833334</v>
      </c>
      <c r="F10" s="638">
        <v>43375.753645833334</v>
      </c>
      <c r="G10" s="634">
        <v>0.75347222222222221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526"/>
    </row>
    <row r="11" spans="1:21" s="2" customFormat="1">
      <c r="A11" s="632">
        <v>13509</v>
      </c>
      <c r="B11" s="632" t="s">
        <v>113</v>
      </c>
      <c r="C11" s="632" t="s">
        <v>113</v>
      </c>
      <c r="D11" s="632" t="s">
        <v>127</v>
      </c>
      <c r="E11" s="633">
        <v>43375.753703703704</v>
      </c>
      <c r="F11" s="638">
        <v>43375.753703703704</v>
      </c>
      <c r="G11" s="634">
        <v>0.75347222222222221</v>
      </c>
      <c r="H11" s="635" t="s">
        <v>115</v>
      </c>
      <c r="I11" s="635" t="s">
        <v>115</v>
      </c>
      <c r="J11" s="635" t="s">
        <v>115</v>
      </c>
      <c r="K11" s="635">
        <v>1.6166666666666663</v>
      </c>
      <c r="L11" s="635"/>
      <c r="M11" s="635">
        <v>1.6166666666666663</v>
      </c>
      <c r="N11" s="635">
        <v>0</v>
      </c>
      <c r="O11" s="526"/>
      <c r="P11" s="8"/>
      <c r="Q11" s="8"/>
      <c r="R11" s="8"/>
      <c r="S11" s="8"/>
    </row>
    <row r="12" spans="1:21" s="2" customFormat="1">
      <c r="A12" s="632">
        <v>13519</v>
      </c>
      <c r="B12" s="632" t="s">
        <v>113</v>
      </c>
      <c r="C12" s="632" t="s">
        <v>113</v>
      </c>
      <c r="D12" s="632" t="s">
        <v>128</v>
      </c>
      <c r="E12" s="633">
        <v>43375.821076388886</v>
      </c>
      <c r="F12" s="638">
        <v>43375.821076388886</v>
      </c>
      <c r="G12" s="634">
        <v>0.8208333333333333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526"/>
      <c r="P12" s="8"/>
      <c r="Q12" s="8"/>
      <c r="R12" s="8"/>
      <c r="S12" s="8"/>
    </row>
    <row r="13" spans="1:21" s="63" customFormat="1">
      <c r="A13" s="632">
        <v>13524</v>
      </c>
      <c r="B13" s="632" t="s">
        <v>154</v>
      </c>
      <c r="C13" s="632" t="s">
        <v>113</v>
      </c>
      <c r="D13" s="632" t="s">
        <v>125</v>
      </c>
      <c r="E13" s="633">
        <v>43376.353055555555</v>
      </c>
      <c r="F13" s="638">
        <v>43376.353055555555</v>
      </c>
      <c r="G13" s="634">
        <v>0.3527777777777778</v>
      </c>
      <c r="H13" s="635">
        <v>9.8999999999999986</v>
      </c>
      <c r="I13" s="635">
        <v>8</v>
      </c>
      <c r="J13" s="635" t="s">
        <v>115</v>
      </c>
      <c r="K13" s="635"/>
      <c r="L13" s="635"/>
      <c r="M13" s="635"/>
      <c r="N13" s="635"/>
      <c r="O13" s="526"/>
      <c r="P13" s="18"/>
      <c r="Q13" s="18"/>
      <c r="R13" s="18"/>
      <c r="S13" s="18"/>
    </row>
    <row r="14" spans="1:21" s="63" customFormat="1">
      <c r="A14" s="632">
        <v>13532</v>
      </c>
      <c r="B14" s="632" t="s">
        <v>113</v>
      </c>
      <c r="C14" s="632" t="s">
        <v>113</v>
      </c>
      <c r="D14" s="632" t="s">
        <v>126</v>
      </c>
      <c r="E14" s="633">
        <v>43376.765833333331</v>
      </c>
      <c r="F14" s="638">
        <v>43376.765833333331</v>
      </c>
      <c r="G14" s="634">
        <v>0.76527777777777783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526"/>
      <c r="P14" s="18"/>
      <c r="Q14" s="18"/>
      <c r="R14" s="18"/>
      <c r="S14" s="18"/>
    </row>
    <row r="15" spans="1:21" s="2" customFormat="1">
      <c r="A15" s="632">
        <v>13533</v>
      </c>
      <c r="B15" s="632" t="s">
        <v>113</v>
      </c>
      <c r="C15" s="632" t="s">
        <v>113</v>
      </c>
      <c r="D15" s="632" t="s">
        <v>127</v>
      </c>
      <c r="E15" s="633">
        <v>43376.7658912037</v>
      </c>
      <c r="F15" s="638">
        <v>43376.7658912037</v>
      </c>
      <c r="G15" s="634">
        <v>0.76527777777777783</v>
      </c>
      <c r="H15" s="635" t="s">
        <v>115</v>
      </c>
      <c r="I15" s="635" t="s">
        <v>115</v>
      </c>
      <c r="J15" s="635" t="s">
        <v>115</v>
      </c>
      <c r="K15" s="635">
        <v>0.88333333333333552</v>
      </c>
      <c r="L15" s="635"/>
      <c r="M15" s="635">
        <v>0.88333333333333552</v>
      </c>
      <c r="N15" s="635">
        <v>0</v>
      </c>
      <c r="O15" s="526"/>
      <c r="P15" s="8"/>
      <c r="Q15" s="8"/>
      <c r="R15" s="8"/>
      <c r="S15" s="8"/>
    </row>
    <row r="16" spans="1:21" s="2" customFormat="1">
      <c r="A16" s="632">
        <v>13547</v>
      </c>
      <c r="B16" s="632" t="s">
        <v>113</v>
      </c>
      <c r="C16" s="632" t="s">
        <v>113</v>
      </c>
      <c r="D16" s="632" t="s">
        <v>128</v>
      </c>
      <c r="E16" s="633">
        <v>43376.802152777775</v>
      </c>
      <c r="F16" s="638">
        <v>43376.802152777775</v>
      </c>
      <c r="G16" s="634">
        <v>0.80208333333333337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526"/>
      <c r="P16" s="8"/>
      <c r="Q16" s="8"/>
      <c r="R16" s="8"/>
      <c r="S16" s="8"/>
    </row>
    <row r="17" spans="1:22" s="2" customFormat="1">
      <c r="A17" s="632">
        <v>13554</v>
      </c>
      <c r="B17" s="632" t="s">
        <v>113</v>
      </c>
      <c r="C17" s="632" t="s">
        <v>113</v>
      </c>
      <c r="D17" s="632" t="s">
        <v>125</v>
      </c>
      <c r="E17" s="633">
        <v>43377.352337962962</v>
      </c>
      <c r="F17" s="638">
        <v>43377.352337962962</v>
      </c>
      <c r="G17" s="634">
        <v>0.3520833333333333</v>
      </c>
      <c r="H17" s="635">
        <v>9.7666666666666657</v>
      </c>
      <c r="I17" s="635">
        <v>8</v>
      </c>
      <c r="J17" s="635" t="s">
        <v>115</v>
      </c>
      <c r="K17" s="635"/>
      <c r="L17" s="635"/>
      <c r="M17" s="635"/>
      <c r="N17" s="635"/>
      <c r="O17" s="526"/>
      <c r="P17" s="8"/>
      <c r="Q17" s="8"/>
      <c r="R17" s="8"/>
      <c r="S17" s="8"/>
    </row>
    <row r="18" spans="1:22" s="63" customFormat="1">
      <c r="A18" s="632">
        <v>13562</v>
      </c>
      <c r="B18" s="632" t="s">
        <v>113</v>
      </c>
      <c r="C18" s="632" t="s">
        <v>113</v>
      </c>
      <c r="D18" s="632" t="s">
        <v>126</v>
      </c>
      <c r="E18" s="633">
        <v>43377.759062500001</v>
      </c>
      <c r="F18" s="638">
        <v>43377.759062500001</v>
      </c>
      <c r="G18" s="634">
        <v>0.75902777777777775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526"/>
      <c r="P18" s="18"/>
      <c r="Q18" s="18"/>
      <c r="R18" s="18"/>
      <c r="S18" s="18"/>
    </row>
    <row r="19" spans="1:22" s="63" customFormat="1">
      <c r="A19" s="632">
        <v>13563</v>
      </c>
      <c r="B19" s="632" t="s">
        <v>113</v>
      </c>
      <c r="C19" s="632" t="s">
        <v>113</v>
      </c>
      <c r="D19" s="632" t="s">
        <v>127</v>
      </c>
      <c r="E19" s="633">
        <v>43377.759247685186</v>
      </c>
      <c r="F19" s="638">
        <v>43377.759247685186</v>
      </c>
      <c r="G19" s="634">
        <v>0.75902777777777775</v>
      </c>
      <c r="H19" s="635" t="s">
        <v>115</v>
      </c>
      <c r="I19" s="635" t="s">
        <v>115</v>
      </c>
      <c r="J19" s="635" t="s">
        <v>115</v>
      </c>
      <c r="K19" s="635">
        <v>0.93333333333333535</v>
      </c>
      <c r="L19" s="635"/>
      <c r="M19" s="635">
        <v>0.93333333333333535</v>
      </c>
      <c r="N19" s="635">
        <v>0</v>
      </c>
      <c r="O19" s="518"/>
      <c r="P19" s="18"/>
      <c r="Q19" s="18"/>
      <c r="R19" s="18"/>
      <c r="S19" s="18"/>
    </row>
    <row r="20" spans="1:22" s="63" customFormat="1">
      <c r="A20" s="632">
        <v>13577</v>
      </c>
      <c r="B20" s="632" t="s">
        <v>113</v>
      </c>
      <c r="C20" s="632" t="s">
        <v>113</v>
      </c>
      <c r="D20" s="632" t="s">
        <v>128</v>
      </c>
      <c r="E20" s="633">
        <v>43377.798564814817</v>
      </c>
      <c r="F20" s="638">
        <v>43377.798564814817</v>
      </c>
      <c r="G20" s="634">
        <v>0.79791666666666661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518"/>
      <c r="P20" s="18"/>
      <c r="Q20" s="18"/>
      <c r="R20" s="18"/>
      <c r="S20" s="18"/>
    </row>
    <row r="21" spans="1:22" s="63" customFormat="1">
      <c r="A21" s="632">
        <v>13584</v>
      </c>
      <c r="B21" s="632" t="s">
        <v>113</v>
      </c>
      <c r="C21" s="632" t="s">
        <v>113</v>
      </c>
      <c r="D21" s="632" t="s">
        <v>125</v>
      </c>
      <c r="E21" s="633">
        <v>43378.350752314815</v>
      </c>
      <c r="F21" s="638">
        <v>43378.350752314815</v>
      </c>
      <c r="G21" s="634">
        <v>0.35069444444444442</v>
      </c>
      <c r="H21" s="635">
        <v>10.033333333333335</v>
      </c>
      <c r="I21" s="635">
        <v>8</v>
      </c>
      <c r="J21" s="635" t="s">
        <v>115</v>
      </c>
      <c r="K21" s="635"/>
      <c r="L21" s="635"/>
      <c r="M21" s="635"/>
      <c r="N21" s="635"/>
      <c r="O21" s="526"/>
      <c r="P21" s="18"/>
      <c r="Q21" s="18"/>
      <c r="R21" s="18"/>
      <c r="S21" s="18"/>
    </row>
    <row r="22" spans="1:22" s="2" customFormat="1">
      <c r="A22" s="632">
        <v>13595</v>
      </c>
      <c r="B22" s="632" t="s">
        <v>113</v>
      </c>
      <c r="C22" s="632" t="s">
        <v>113</v>
      </c>
      <c r="D22" s="632" t="s">
        <v>126</v>
      </c>
      <c r="E22" s="633">
        <v>43378.768807870372</v>
      </c>
      <c r="F22" s="638">
        <v>43378.768807870372</v>
      </c>
      <c r="G22" s="634">
        <v>0.76874999999999993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526"/>
      <c r="P22" s="8"/>
      <c r="Q22" s="8"/>
      <c r="R22" s="8"/>
      <c r="S22" s="8"/>
    </row>
    <row r="23" spans="1:22" s="63" customFormat="1">
      <c r="A23" s="632">
        <v>13615</v>
      </c>
      <c r="B23" s="632" t="s">
        <v>113</v>
      </c>
      <c r="C23" s="632" t="s">
        <v>113</v>
      </c>
      <c r="D23" s="632" t="s">
        <v>125</v>
      </c>
      <c r="E23" s="633">
        <v>43381.352962962963</v>
      </c>
      <c r="F23" s="638">
        <v>43381.352962962963</v>
      </c>
      <c r="G23" s="634">
        <v>0.3527777777777778</v>
      </c>
      <c r="H23" s="635">
        <v>9.5666666666666664</v>
      </c>
      <c r="I23" s="635">
        <v>8</v>
      </c>
      <c r="J23" s="635" t="s">
        <v>115</v>
      </c>
      <c r="K23" s="635"/>
      <c r="L23" s="635"/>
      <c r="M23" s="635"/>
      <c r="N23" s="635"/>
      <c r="O23" s="526"/>
      <c r="P23" s="18"/>
      <c r="Q23" s="18"/>
      <c r="R23" s="18"/>
      <c r="S23" s="18"/>
    </row>
    <row r="24" spans="1:22" s="2" customFormat="1">
      <c r="A24" s="632">
        <v>13624</v>
      </c>
      <c r="B24" s="632" t="s">
        <v>113</v>
      </c>
      <c r="C24" s="632" t="s">
        <v>113</v>
      </c>
      <c r="D24" s="632" t="s">
        <v>126</v>
      </c>
      <c r="E24" s="633">
        <v>43381.752060185187</v>
      </c>
      <c r="F24" s="638">
        <v>43381.752060185187</v>
      </c>
      <c r="G24" s="634">
        <v>0.75138888888888899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526"/>
      <c r="P24" s="8"/>
      <c r="Q24" s="8"/>
      <c r="R24" s="8"/>
      <c r="S24" s="8"/>
    </row>
    <row r="25" spans="1:22" s="2" customFormat="1">
      <c r="A25" s="632">
        <v>13630</v>
      </c>
      <c r="B25" s="632" t="s">
        <v>113</v>
      </c>
      <c r="C25" s="632" t="s">
        <v>113</v>
      </c>
      <c r="D25" s="632" t="s">
        <v>127</v>
      </c>
      <c r="E25" s="633">
        <v>43381.769293981481</v>
      </c>
      <c r="F25" s="638">
        <v>43381.769293981481</v>
      </c>
      <c r="G25" s="634">
        <v>0.76874999999999993</v>
      </c>
      <c r="H25" s="635" t="s">
        <v>115</v>
      </c>
      <c r="I25" s="635" t="s">
        <v>115</v>
      </c>
      <c r="J25" s="635" t="s">
        <v>115</v>
      </c>
      <c r="K25" s="635">
        <v>2.5666666666666655</v>
      </c>
      <c r="L25" s="635"/>
      <c r="M25" s="635">
        <v>2</v>
      </c>
      <c r="N25" s="635">
        <v>0.56666666666666554</v>
      </c>
      <c r="O25" s="526"/>
      <c r="P25" s="8"/>
      <c r="Q25" s="8"/>
      <c r="R25" s="8"/>
      <c r="S25" s="8"/>
    </row>
    <row r="26" spans="1:22" s="2" customFormat="1">
      <c r="A26" s="632">
        <v>13640</v>
      </c>
      <c r="B26" s="632" t="s">
        <v>113</v>
      </c>
      <c r="C26" s="632" t="s">
        <v>113</v>
      </c>
      <c r="D26" s="632" t="s">
        <v>128</v>
      </c>
      <c r="E26" s="633">
        <v>43381.876145833332</v>
      </c>
      <c r="F26" s="638">
        <v>43381.876145833332</v>
      </c>
      <c r="G26" s="634">
        <v>0.87569444444444444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526"/>
      <c r="P26" s="8"/>
      <c r="Q26" s="8"/>
      <c r="R26" s="8"/>
      <c r="S26" s="8"/>
    </row>
    <row r="27" spans="1:22" s="63" customFormat="1">
      <c r="A27" s="632">
        <v>13644</v>
      </c>
      <c r="B27" s="632" t="s">
        <v>113</v>
      </c>
      <c r="C27" s="632" t="s">
        <v>113</v>
      </c>
      <c r="D27" s="632" t="s">
        <v>125</v>
      </c>
      <c r="E27" s="633">
        <v>43382.354490740741</v>
      </c>
      <c r="F27" s="638">
        <v>43382.354490740741</v>
      </c>
      <c r="G27" s="634">
        <v>0.35416666666666669</v>
      </c>
      <c r="H27" s="635">
        <v>9.6333333333333329</v>
      </c>
      <c r="I27" s="635">
        <v>8</v>
      </c>
      <c r="J27" s="635" t="s">
        <v>115</v>
      </c>
      <c r="K27" s="635"/>
      <c r="L27" s="635"/>
      <c r="M27" s="635"/>
      <c r="N27" s="635"/>
      <c r="O27" s="526"/>
      <c r="P27" s="18"/>
      <c r="Q27" s="18"/>
      <c r="R27" s="18"/>
      <c r="S27" s="18"/>
    </row>
    <row r="28" spans="1:22" s="63" customFormat="1">
      <c r="A28" s="632">
        <v>13655</v>
      </c>
      <c r="B28" s="632" t="s">
        <v>113</v>
      </c>
      <c r="C28" s="632" t="s">
        <v>113</v>
      </c>
      <c r="D28" s="632" t="s">
        <v>126</v>
      </c>
      <c r="E28" s="633">
        <v>43382.756053240744</v>
      </c>
      <c r="F28" s="638">
        <v>43382.756053240744</v>
      </c>
      <c r="G28" s="634">
        <v>0.75555555555555554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526"/>
      <c r="P28" s="18"/>
      <c r="Q28" s="18"/>
      <c r="R28" s="18"/>
      <c r="S28" s="18"/>
    </row>
    <row r="29" spans="1:22" s="63" customFormat="1">
      <c r="A29" s="632"/>
      <c r="B29" s="632"/>
      <c r="C29" s="632"/>
      <c r="D29" s="632" t="s">
        <v>125</v>
      </c>
      <c r="E29" s="633">
        <v>43383.354409722226</v>
      </c>
      <c r="F29" s="638">
        <v>43383.354409722226</v>
      </c>
      <c r="G29" s="634">
        <v>0.35416666666666669</v>
      </c>
      <c r="H29" s="635"/>
      <c r="I29" s="635">
        <v>0</v>
      </c>
      <c r="J29" s="635">
        <v>8</v>
      </c>
      <c r="K29" s="635"/>
      <c r="L29" s="635"/>
      <c r="M29" s="635"/>
      <c r="N29" s="635"/>
      <c r="O29" s="628" t="s">
        <v>161</v>
      </c>
      <c r="P29" s="627"/>
      <c r="Q29" s="345"/>
      <c r="R29" s="372"/>
      <c r="S29" s="372"/>
      <c r="T29" s="373"/>
      <c r="U29" s="373"/>
      <c r="V29" s="373"/>
    </row>
    <row r="30" spans="1:22" s="63" customFormat="1">
      <c r="A30" s="632"/>
      <c r="B30" s="632"/>
      <c r="C30" s="632"/>
      <c r="D30" s="632" t="s">
        <v>126</v>
      </c>
      <c r="E30" s="633">
        <v>43383.75</v>
      </c>
      <c r="F30" s="638">
        <v>43383.771435185183</v>
      </c>
      <c r="G30" s="634">
        <v>0.75</v>
      </c>
      <c r="H30" s="635"/>
      <c r="I30" s="635"/>
      <c r="J30" s="635"/>
      <c r="K30" s="635"/>
      <c r="L30" s="635"/>
      <c r="M30" s="635"/>
      <c r="N30" s="635"/>
      <c r="O30" s="628"/>
      <c r="P30" s="627"/>
      <c r="Q30" s="345"/>
      <c r="R30" s="372"/>
      <c r="S30" s="372"/>
      <c r="T30" s="373"/>
      <c r="U30" s="373"/>
      <c r="V30" s="373"/>
    </row>
    <row r="31" spans="1:22" s="63" customFormat="1">
      <c r="A31" s="632">
        <v>13662</v>
      </c>
      <c r="B31" s="632" t="s">
        <v>113</v>
      </c>
      <c r="C31" s="632" t="s">
        <v>113</v>
      </c>
      <c r="D31" s="632" t="s">
        <v>125</v>
      </c>
      <c r="E31" s="633">
        <v>43384.352627314816</v>
      </c>
      <c r="F31" s="638">
        <v>43384.352627314816</v>
      </c>
      <c r="G31" s="634">
        <v>0.3520833333333333</v>
      </c>
      <c r="H31" s="635">
        <v>10.016666666666667</v>
      </c>
      <c r="I31" s="635">
        <v>8</v>
      </c>
      <c r="J31" s="635" t="s">
        <v>115</v>
      </c>
      <c r="K31" s="635"/>
      <c r="L31" s="635"/>
      <c r="M31" s="635"/>
      <c r="N31" s="635"/>
      <c r="O31" s="520"/>
      <c r="P31" s="18"/>
      <c r="Q31" s="18"/>
      <c r="R31" s="18"/>
      <c r="S31" s="18"/>
    </row>
    <row r="32" spans="1:22" s="63" customFormat="1">
      <c r="A32" s="632">
        <v>13676</v>
      </c>
      <c r="B32" s="632" t="s">
        <v>113</v>
      </c>
      <c r="C32" s="632" t="s">
        <v>113</v>
      </c>
      <c r="D32" s="632" t="s">
        <v>126</v>
      </c>
      <c r="E32" s="633">
        <v>43384.769884259258</v>
      </c>
      <c r="F32" s="638">
        <v>43384.769884259258</v>
      </c>
      <c r="G32" s="634">
        <v>0.76944444444444438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520"/>
      <c r="P32" s="18"/>
      <c r="Q32" s="18"/>
      <c r="R32" s="18"/>
      <c r="S32" s="18"/>
    </row>
    <row r="33" spans="1:21" s="16" customFormat="1">
      <c r="A33" s="632">
        <v>13683</v>
      </c>
      <c r="B33" s="632" t="s">
        <v>113</v>
      </c>
      <c r="C33" s="632" t="s">
        <v>113</v>
      </c>
      <c r="D33" s="632" t="s">
        <v>127</v>
      </c>
      <c r="E33" s="633">
        <v>43384.781099537038</v>
      </c>
      <c r="F33" s="638">
        <v>43384.781099537038</v>
      </c>
      <c r="G33" s="634">
        <v>0.78055555555555556</v>
      </c>
      <c r="H33" s="635" t="s">
        <v>115</v>
      </c>
      <c r="I33" s="635" t="s">
        <v>115</v>
      </c>
      <c r="J33" s="635" t="s">
        <v>115</v>
      </c>
      <c r="K33" s="635">
        <v>2.2166666666666668</v>
      </c>
      <c r="L33" s="635"/>
      <c r="M33" s="635">
        <v>2</v>
      </c>
      <c r="N33" s="635">
        <v>0.21666666666666679</v>
      </c>
      <c r="O33" s="520"/>
      <c r="P33" s="137"/>
      <c r="Q33" s="137"/>
      <c r="R33" s="137"/>
      <c r="S33" s="137"/>
    </row>
    <row r="34" spans="1:21" s="16" customFormat="1">
      <c r="A34" s="632">
        <v>13691</v>
      </c>
      <c r="B34" s="632" t="s">
        <v>113</v>
      </c>
      <c r="C34" s="632" t="s">
        <v>113</v>
      </c>
      <c r="D34" s="632" t="s">
        <v>128</v>
      </c>
      <c r="E34" s="633">
        <v>43384.872928240744</v>
      </c>
      <c r="F34" s="638">
        <v>43384.872928240744</v>
      </c>
      <c r="G34" s="634">
        <v>0.87291666666666667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520"/>
      <c r="P34" s="137"/>
      <c r="Q34" s="137"/>
      <c r="R34" s="137"/>
      <c r="S34" s="137"/>
    </row>
    <row r="35" spans="1:21" s="63" customFormat="1">
      <c r="A35" s="632">
        <v>13694</v>
      </c>
      <c r="B35" s="632" t="s">
        <v>113</v>
      </c>
      <c r="C35" s="632" t="s">
        <v>113</v>
      </c>
      <c r="D35" s="632" t="s">
        <v>125</v>
      </c>
      <c r="E35" s="633">
        <v>43385.356134259258</v>
      </c>
      <c r="F35" s="638">
        <v>43385.356134259258</v>
      </c>
      <c r="G35" s="634">
        <v>0.35555555555555557</v>
      </c>
      <c r="H35" s="635">
        <v>9.9</v>
      </c>
      <c r="I35" s="635">
        <v>8</v>
      </c>
      <c r="J35" s="635" t="s">
        <v>115</v>
      </c>
      <c r="K35" s="635"/>
      <c r="L35" s="635"/>
      <c r="M35" s="635"/>
      <c r="N35" s="635"/>
      <c r="O35" s="526"/>
      <c r="P35" s="18"/>
      <c r="Q35" s="18"/>
      <c r="R35" s="18"/>
      <c r="S35" s="18"/>
    </row>
    <row r="36" spans="1:21" s="63" customFormat="1">
      <c r="A36" s="632">
        <v>13703</v>
      </c>
      <c r="B36" s="632" t="s">
        <v>113</v>
      </c>
      <c r="C36" s="632" t="s">
        <v>113</v>
      </c>
      <c r="D36" s="632" t="s">
        <v>126</v>
      </c>
      <c r="E36" s="633">
        <v>43385.768148148149</v>
      </c>
      <c r="F36" s="638">
        <v>43385.768148148149</v>
      </c>
      <c r="G36" s="634">
        <v>0.7680555555555556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526"/>
      <c r="P36" s="18"/>
      <c r="Q36" s="18"/>
      <c r="R36" s="18"/>
      <c r="S36" s="18"/>
    </row>
    <row r="37" spans="1:21">
      <c r="A37" s="632">
        <v>13720</v>
      </c>
      <c r="B37" s="632" t="s">
        <v>113</v>
      </c>
      <c r="C37" s="632" t="s">
        <v>113</v>
      </c>
      <c r="D37" s="632" t="s">
        <v>125</v>
      </c>
      <c r="E37" s="633">
        <v>43388.353750000002</v>
      </c>
      <c r="F37" s="638">
        <v>43388.353750000002</v>
      </c>
      <c r="G37" s="634">
        <v>0.35347222222222219</v>
      </c>
      <c r="H37" s="635">
        <v>9.7666666666666657</v>
      </c>
      <c r="I37" s="635">
        <v>8</v>
      </c>
      <c r="J37" s="635" t="s">
        <v>115</v>
      </c>
      <c r="K37" s="635"/>
      <c r="L37" s="635"/>
      <c r="M37" s="635"/>
      <c r="N37" s="635"/>
      <c r="O37" s="520"/>
    </row>
    <row r="38" spans="1:21">
      <c r="A38" s="632">
        <v>13732</v>
      </c>
      <c r="B38" s="632" t="s">
        <v>113</v>
      </c>
      <c r="C38" s="632" t="s">
        <v>113</v>
      </c>
      <c r="D38" s="632" t="s">
        <v>126</v>
      </c>
      <c r="E38" s="633">
        <v>43388.761041666665</v>
      </c>
      <c r="F38" s="638">
        <v>43388.761041666665</v>
      </c>
      <c r="G38" s="634">
        <v>0.76041666666666663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520"/>
    </row>
    <row r="39" spans="1:21">
      <c r="A39" s="632">
        <v>13736</v>
      </c>
      <c r="B39" s="632" t="s">
        <v>113</v>
      </c>
      <c r="C39" s="632" t="s">
        <v>113</v>
      </c>
      <c r="D39" s="632" t="s">
        <v>127</v>
      </c>
      <c r="E39" s="633">
        <v>43388.770520833335</v>
      </c>
      <c r="F39" s="638">
        <v>43388.770520833335</v>
      </c>
      <c r="G39" s="634">
        <v>0.77013888888888893</v>
      </c>
      <c r="H39" s="635" t="s">
        <v>115</v>
      </c>
      <c r="I39" s="635" t="s">
        <v>115</v>
      </c>
      <c r="J39" s="635" t="s">
        <v>115</v>
      </c>
      <c r="K39" s="635">
        <v>0.54999999999999805</v>
      </c>
      <c r="L39" s="635"/>
      <c r="M39" s="635">
        <v>0.54999999999999805</v>
      </c>
      <c r="N39" s="635">
        <v>0</v>
      </c>
      <c r="O39" s="520"/>
    </row>
    <row r="40" spans="1:21">
      <c r="A40" s="632">
        <v>13742</v>
      </c>
      <c r="B40" s="632" t="s">
        <v>113</v>
      </c>
      <c r="C40" s="632" t="s">
        <v>113</v>
      </c>
      <c r="D40" s="632" t="s">
        <v>128</v>
      </c>
      <c r="E40" s="633">
        <v>43388.793368055558</v>
      </c>
      <c r="F40" s="638">
        <v>43388.793368055558</v>
      </c>
      <c r="G40" s="634">
        <v>0.79305555555555562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520"/>
    </row>
    <row r="41" spans="1:21" s="3" customFormat="1">
      <c r="A41" s="632">
        <v>13747</v>
      </c>
      <c r="B41" s="632" t="s">
        <v>113</v>
      </c>
      <c r="C41" s="632" t="s">
        <v>113</v>
      </c>
      <c r="D41" s="632" t="s">
        <v>125</v>
      </c>
      <c r="E41" s="633">
        <v>43389.356620370374</v>
      </c>
      <c r="F41" s="638">
        <v>43389.356620370374</v>
      </c>
      <c r="G41" s="634">
        <v>0.35625000000000001</v>
      </c>
      <c r="H41" s="635">
        <v>9.6833333333333318</v>
      </c>
      <c r="I41" s="635">
        <v>8</v>
      </c>
      <c r="J41" s="635" t="s">
        <v>115</v>
      </c>
      <c r="K41" s="635"/>
      <c r="L41" s="635"/>
      <c r="M41" s="635"/>
      <c r="N41" s="635"/>
      <c r="O41" s="520"/>
      <c r="P41" s="9"/>
      <c r="Q41" s="9"/>
      <c r="R41" s="9"/>
      <c r="S41" s="9"/>
      <c r="T41"/>
      <c r="U41"/>
    </row>
    <row r="42" spans="1:21" s="3" customFormat="1">
      <c r="A42" s="632">
        <v>13759</v>
      </c>
      <c r="B42" s="632" t="s">
        <v>113</v>
      </c>
      <c r="C42" s="632" t="s">
        <v>113</v>
      </c>
      <c r="D42" s="632" t="s">
        <v>126</v>
      </c>
      <c r="E42" s="633">
        <v>43389.759953703702</v>
      </c>
      <c r="F42" s="638">
        <v>43389.759953703702</v>
      </c>
      <c r="G42" s="634">
        <v>0.7597222222222223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520"/>
      <c r="P42" s="9"/>
      <c r="Q42" s="9"/>
      <c r="R42" s="9"/>
      <c r="S42" s="9"/>
      <c r="T42"/>
      <c r="U42"/>
    </row>
    <row r="43" spans="1:21" s="3" customFormat="1">
      <c r="A43" s="632">
        <v>13776</v>
      </c>
      <c r="B43" s="632" t="s">
        <v>113</v>
      </c>
      <c r="C43" s="632" t="s">
        <v>113</v>
      </c>
      <c r="D43" s="632" t="s">
        <v>125</v>
      </c>
      <c r="E43" s="633">
        <v>43390.350868055553</v>
      </c>
      <c r="F43" s="638">
        <v>43390.350868055553</v>
      </c>
      <c r="G43" s="634">
        <v>0.35069444444444442</v>
      </c>
      <c r="H43" s="635">
        <v>10.083333333333336</v>
      </c>
      <c r="I43" s="635">
        <v>8</v>
      </c>
      <c r="J43" s="635" t="s">
        <v>115</v>
      </c>
      <c r="K43" s="635"/>
      <c r="L43" s="635"/>
      <c r="M43" s="635"/>
      <c r="N43" s="635"/>
      <c r="O43" s="516"/>
      <c r="P43" s="9"/>
      <c r="Q43" s="9"/>
      <c r="R43" s="9"/>
      <c r="S43" s="9"/>
      <c r="T43"/>
      <c r="U43"/>
    </row>
    <row r="44" spans="1:21" s="3" customFormat="1">
      <c r="A44" s="632">
        <v>13789</v>
      </c>
      <c r="B44" s="632" t="s">
        <v>113</v>
      </c>
      <c r="C44" s="632" t="s">
        <v>113</v>
      </c>
      <c r="D44" s="632" t="s">
        <v>126</v>
      </c>
      <c r="E44" s="633">
        <v>43390.771273148152</v>
      </c>
      <c r="F44" s="638">
        <v>43390.771273148152</v>
      </c>
      <c r="G44" s="634">
        <v>0.77083333333333337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516"/>
      <c r="P44" s="9"/>
      <c r="Q44" s="9"/>
      <c r="R44" s="9"/>
      <c r="S44" s="9"/>
      <c r="T44"/>
      <c r="U44"/>
    </row>
    <row r="45" spans="1:21" s="3" customFormat="1">
      <c r="A45" s="632">
        <v>13790</v>
      </c>
      <c r="B45" s="632" t="s">
        <v>113</v>
      </c>
      <c r="C45" s="632" t="s">
        <v>113</v>
      </c>
      <c r="D45" s="632" t="s">
        <v>127</v>
      </c>
      <c r="E45" s="633">
        <v>43390.771319444444</v>
      </c>
      <c r="F45" s="638">
        <v>43390.771319444444</v>
      </c>
      <c r="G45" s="634">
        <v>0.77083333333333337</v>
      </c>
      <c r="H45" s="635" t="s">
        <v>115</v>
      </c>
      <c r="I45" s="635" t="s">
        <v>115</v>
      </c>
      <c r="J45" s="635" t="s">
        <v>115</v>
      </c>
      <c r="K45" s="635">
        <v>1.1166666666666654</v>
      </c>
      <c r="L45" s="635"/>
      <c r="M45" s="635">
        <v>1.1166666666666654</v>
      </c>
      <c r="N45" s="635">
        <v>0</v>
      </c>
      <c r="O45" s="516"/>
      <c r="P45" s="9"/>
      <c r="Q45" s="9"/>
      <c r="R45" s="9"/>
      <c r="S45" s="9"/>
      <c r="T45"/>
      <c r="U45"/>
    </row>
    <row r="46" spans="1:21" s="3" customFormat="1">
      <c r="A46" s="632">
        <v>13803</v>
      </c>
      <c r="B46" s="632" t="s">
        <v>113</v>
      </c>
      <c r="C46" s="632" t="s">
        <v>113</v>
      </c>
      <c r="D46" s="632" t="s">
        <v>128</v>
      </c>
      <c r="E46" s="633">
        <v>43390.817372685182</v>
      </c>
      <c r="F46" s="638">
        <v>43390.817372685182</v>
      </c>
      <c r="G46" s="634">
        <v>0.81736111111111109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516"/>
      <c r="P46" s="9"/>
      <c r="Q46" s="9"/>
      <c r="R46" s="9"/>
      <c r="S46" s="9"/>
      <c r="T46"/>
      <c r="U46"/>
    </row>
    <row r="47" spans="1:21" s="165" customFormat="1">
      <c r="A47" s="632">
        <v>13807</v>
      </c>
      <c r="B47" s="632" t="s">
        <v>113</v>
      </c>
      <c r="C47" s="632" t="s">
        <v>113</v>
      </c>
      <c r="D47" s="632" t="s">
        <v>125</v>
      </c>
      <c r="E47" s="633">
        <v>43391.350914351853</v>
      </c>
      <c r="F47" s="638">
        <v>43391.350914351853</v>
      </c>
      <c r="G47" s="634">
        <v>0.35069444444444442</v>
      </c>
      <c r="H47" s="635">
        <v>9.6833333333333336</v>
      </c>
      <c r="I47" s="635">
        <v>8</v>
      </c>
      <c r="J47" s="635" t="s">
        <v>115</v>
      </c>
      <c r="K47" s="635"/>
      <c r="L47" s="635"/>
      <c r="M47" s="635"/>
      <c r="N47" s="635"/>
      <c r="O47" s="526"/>
      <c r="P47" s="8"/>
      <c r="Q47" s="8"/>
      <c r="R47" s="8"/>
      <c r="S47" s="8"/>
      <c r="T47" s="2"/>
      <c r="U47" s="2"/>
    </row>
    <row r="48" spans="1:21" s="2" customFormat="1">
      <c r="A48" s="632">
        <v>13816</v>
      </c>
      <c r="B48" s="632" t="s">
        <v>113</v>
      </c>
      <c r="C48" s="632" t="s">
        <v>113</v>
      </c>
      <c r="D48" s="632" t="s">
        <v>126</v>
      </c>
      <c r="E48" s="633">
        <v>43391.754571759258</v>
      </c>
      <c r="F48" s="638">
        <v>43391.754571759258</v>
      </c>
      <c r="G48" s="634">
        <v>0.75416666666666676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526"/>
      <c r="P48" s="8"/>
      <c r="Q48" s="8"/>
      <c r="R48" s="8"/>
      <c r="S48" s="8"/>
    </row>
    <row r="49" spans="1:19" s="2" customFormat="1">
      <c r="A49" s="632">
        <v>13827</v>
      </c>
      <c r="B49" s="632" t="s">
        <v>113</v>
      </c>
      <c r="C49" s="632" t="s">
        <v>113</v>
      </c>
      <c r="D49" s="632" t="s">
        <v>125</v>
      </c>
      <c r="E49" s="633">
        <v>43392.354710648149</v>
      </c>
      <c r="F49" s="638">
        <v>43392.354710648149</v>
      </c>
      <c r="G49" s="634">
        <v>0.35416666666666669</v>
      </c>
      <c r="H49" s="635">
        <v>9.6166666666666654</v>
      </c>
      <c r="I49" s="635">
        <v>8</v>
      </c>
      <c r="J49" s="635" t="s">
        <v>115</v>
      </c>
      <c r="K49" s="635"/>
      <c r="L49" s="635"/>
      <c r="M49" s="635"/>
      <c r="N49" s="635"/>
      <c r="O49" s="526"/>
      <c r="P49" s="8"/>
      <c r="Q49" s="8"/>
      <c r="R49" s="8"/>
      <c r="S49" s="8"/>
    </row>
    <row r="50" spans="1:19" s="2" customFormat="1">
      <c r="A50" s="632">
        <v>13837</v>
      </c>
      <c r="B50" s="632" t="s">
        <v>113</v>
      </c>
      <c r="C50" s="632" t="s">
        <v>113</v>
      </c>
      <c r="D50" s="632" t="s">
        <v>126</v>
      </c>
      <c r="E50" s="633">
        <v>43392.755162037036</v>
      </c>
      <c r="F50" s="638">
        <v>43392.755162037036</v>
      </c>
      <c r="G50" s="634">
        <v>0.75486111111111109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526"/>
      <c r="P50" s="8"/>
      <c r="Q50" s="8"/>
      <c r="R50" s="8"/>
      <c r="S50" s="8"/>
    </row>
    <row r="51" spans="1:19">
      <c r="A51" s="632">
        <v>13846</v>
      </c>
      <c r="B51" s="632" t="s">
        <v>113</v>
      </c>
      <c r="C51" s="632" t="s">
        <v>113</v>
      </c>
      <c r="D51" s="632" t="s">
        <v>125</v>
      </c>
      <c r="E51" s="633">
        <v>43395.351307870369</v>
      </c>
      <c r="F51" s="638">
        <v>43395.351307870369</v>
      </c>
      <c r="G51" s="634">
        <v>0.35069444444444442</v>
      </c>
      <c r="H51" s="635">
        <v>10.083333333333336</v>
      </c>
      <c r="I51" s="635">
        <v>8</v>
      </c>
      <c r="J51" s="635" t="s">
        <v>115</v>
      </c>
      <c r="K51" s="635"/>
      <c r="L51" s="635"/>
      <c r="M51" s="635"/>
      <c r="N51" s="635"/>
      <c r="O51" s="520"/>
    </row>
    <row r="52" spans="1:19">
      <c r="A52" s="632">
        <v>13859</v>
      </c>
      <c r="B52" s="632" t="s">
        <v>113</v>
      </c>
      <c r="C52" s="632" t="s">
        <v>113</v>
      </c>
      <c r="D52" s="632" t="s">
        <v>126</v>
      </c>
      <c r="E52" s="633">
        <v>43395.771469907406</v>
      </c>
      <c r="F52" s="638">
        <v>43395.771469907406</v>
      </c>
      <c r="G52" s="634">
        <v>0.77083333333333337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O52" s="520"/>
    </row>
    <row r="53" spans="1:19">
      <c r="A53" s="632">
        <v>13860</v>
      </c>
      <c r="B53" s="632" t="s">
        <v>113</v>
      </c>
      <c r="C53" s="632" t="s">
        <v>113</v>
      </c>
      <c r="D53" s="632" t="s">
        <v>127</v>
      </c>
      <c r="E53" s="633">
        <v>43395.771516203706</v>
      </c>
      <c r="F53" s="638">
        <v>43395.771516203706</v>
      </c>
      <c r="G53" s="634">
        <v>0.77083333333333337</v>
      </c>
      <c r="H53" s="635" t="s">
        <v>115</v>
      </c>
      <c r="I53" s="635" t="s">
        <v>115</v>
      </c>
      <c r="J53" s="635" t="s">
        <v>115</v>
      </c>
      <c r="K53" s="635">
        <v>0.58333333333333126</v>
      </c>
      <c r="L53" s="635"/>
      <c r="M53" s="635">
        <v>0.58333333333333126</v>
      </c>
      <c r="N53" s="635">
        <v>0</v>
      </c>
      <c r="O53" s="520"/>
    </row>
    <row r="54" spans="1:19">
      <c r="A54" s="632">
        <v>13869</v>
      </c>
      <c r="B54" s="632" t="s">
        <v>113</v>
      </c>
      <c r="C54" s="632" t="s">
        <v>113</v>
      </c>
      <c r="D54" s="632" t="s">
        <v>128</v>
      </c>
      <c r="E54" s="633">
        <v>43395.795347222222</v>
      </c>
      <c r="F54" s="638">
        <v>43395.795347222222</v>
      </c>
      <c r="G54" s="634">
        <v>0.79513888888888884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  <c r="O54" s="520"/>
    </row>
    <row r="55" spans="1:19">
      <c r="A55" s="632">
        <v>13877</v>
      </c>
      <c r="B55" s="632" t="s">
        <v>113</v>
      </c>
      <c r="C55" s="632" t="s">
        <v>113</v>
      </c>
      <c r="D55" s="632" t="s">
        <v>125</v>
      </c>
      <c r="E55" s="633">
        <v>43396.349317129629</v>
      </c>
      <c r="F55" s="638">
        <v>43396.349317129629</v>
      </c>
      <c r="G55" s="634">
        <v>0.34930555555555554</v>
      </c>
      <c r="H55" s="635">
        <v>9.6666666666666679</v>
      </c>
      <c r="I55" s="635">
        <v>8</v>
      </c>
      <c r="J55" s="635" t="s">
        <v>115</v>
      </c>
      <c r="K55" s="635"/>
      <c r="L55" s="635"/>
      <c r="M55" s="635"/>
      <c r="N55" s="635"/>
      <c r="O55" s="520"/>
    </row>
    <row r="56" spans="1:19">
      <c r="A56" s="632">
        <v>13891</v>
      </c>
      <c r="B56" s="632" t="s">
        <v>113</v>
      </c>
      <c r="C56" s="632" t="s">
        <v>113</v>
      </c>
      <c r="D56" s="632" t="s">
        <v>126</v>
      </c>
      <c r="E56" s="633">
        <v>43396.752615740741</v>
      </c>
      <c r="F56" s="638">
        <v>43396.752615740741</v>
      </c>
      <c r="G56" s="634">
        <v>0.75208333333333333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  <c r="O56" s="520"/>
    </row>
    <row r="57" spans="1:19">
      <c r="A57" s="632">
        <v>13895</v>
      </c>
      <c r="B57" s="632" t="s">
        <v>113</v>
      </c>
      <c r="C57" s="632" t="s">
        <v>113</v>
      </c>
      <c r="D57" s="632" t="s">
        <v>127</v>
      </c>
      <c r="E57" s="633">
        <v>43396.770995370367</v>
      </c>
      <c r="F57" s="638">
        <v>43396.770995370367</v>
      </c>
      <c r="G57" s="634">
        <v>0.77083333333333337</v>
      </c>
      <c r="H57" s="635" t="s">
        <v>115</v>
      </c>
      <c r="I57" s="635" t="s">
        <v>115</v>
      </c>
      <c r="J57" s="635" t="s">
        <v>115</v>
      </c>
      <c r="K57" s="635">
        <v>1.0166666666666657</v>
      </c>
      <c r="L57" s="635"/>
      <c r="M57" s="635">
        <v>1.0166666666666657</v>
      </c>
      <c r="N57" s="635">
        <v>0</v>
      </c>
      <c r="O57" s="520"/>
    </row>
    <row r="58" spans="1:19">
      <c r="A58" s="632">
        <v>13906</v>
      </c>
      <c r="B58" s="632" t="s">
        <v>113</v>
      </c>
      <c r="C58" s="632" t="s">
        <v>113</v>
      </c>
      <c r="D58" s="632" t="s">
        <v>128</v>
      </c>
      <c r="E58" s="633">
        <v>43396.813726851855</v>
      </c>
      <c r="F58" s="638">
        <v>43396.813726851855</v>
      </c>
      <c r="G58" s="634">
        <v>0.81319444444444444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  <c r="O58" s="520"/>
    </row>
    <row r="59" spans="1:19">
      <c r="A59" s="632">
        <v>13913</v>
      </c>
      <c r="B59" s="632" t="s">
        <v>113</v>
      </c>
      <c r="C59" s="632" t="s">
        <v>113</v>
      </c>
      <c r="D59" s="632" t="s">
        <v>125</v>
      </c>
      <c r="E59" s="633">
        <v>43397.35324074074</v>
      </c>
      <c r="F59" s="638">
        <v>43397.35324074074</v>
      </c>
      <c r="G59" s="634">
        <v>0.3527777777777778</v>
      </c>
      <c r="H59" s="635">
        <v>9.6166666666666654</v>
      </c>
      <c r="I59" s="635">
        <v>8</v>
      </c>
      <c r="J59" s="635" t="s">
        <v>115</v>
      </c>
      <c r="K59" s="635"/>
      <c r="L59" s="635"/>
      <c r="M59" s="635"/>
      <c r="N59" s="635"/>
      <c r="O59" s="520"/>
    </row>
    <row r="60" spans="1:19">
      <c r="A60" s="632">
        <v>13919</v>
      </c>
      <c r="B60" s="632" t="s">
        <v>113</v>
      </c>
      <c r="C60" s="632" t="s">
        <v>113</v>
      </c>
      <c r="D60" s="632" t="s">
        <v>126</v>
      </c>
      <c r="E60" s="633">
        <v>43397.753819444442</v>
      </c>
      <c r="F60" s="638">
        <v>43397.753819444442</v>
      </c>
      <c r="G60" s="634">
        <v>0.75347222222222221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  <c r="O60" s="520"/>
    </row>
    <row r="61" spans="1:19">
      <c r="A61" s="632">
        <v>13935</v>
      </c>
      <c r="B61" s="632" t="s">
        <v>113</v>
      </c>
      <c r="C61" s="632" t="s">
        <v>113</v>
      </c>
      <c r="D61" s="632" t="s">
        <v>125</v>
      </c>
      <c r="E61" s="633">
        <v>43398.353391203702</v>
      </c>
      <c r="F61" s="638">
        <v>43398.353391203702</v>
      </c>
      <c r="G61" s="634">
        <v>0.3527777777777778</v>
      </c>
      <c r="H61" s="635">
        <v>9.5833333333333321</v>
      </c>
      <c r="I61" s="635">
        <v>8</v>
      </c>
      <c r="J61" s="635" t="s">
        <v>115</v>
      </c>
      <c r="K61" s="635"/>
      <c r="L61" s="635"/>
      <c r="M61" s="635"/>
      <c r="N61" s="635"/>
      <c r="O61" s="520"/>
    </row>
    <row r="62" spans="1:19">
      <c r="A62" s="632">
        <v>13943</v>
      </c>
      <c r="B62" s="632" t="s">
        <v>113</v>
      </c>
      <c r="C62" s="632" t="s">
        <v>113</v>
      </c>
      <c r="D62" s="632" t="s">
        <v>126</v>
      </c>
      <c r="E62" s="633">
        <v>43398.752754629626</v>
      </c>
      <c r="F62" s="638">
        <v>43398.752754629626</v>
      </c>
      <c r="G62" s="634">
        <v>0.75208333333333333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  <c r="O62" s="520"/>
    </row>
    <row r="63" spans="1:19">
      <c r="A63" s="632">
        <v>13960</v>
      </c>
      <c r="B63" s="632" t="s">
        <v>113</v>
      </c>
      <c r="C63" s="632" t="s">
        <v>113</v>
      </c>
      <c r="D63" s="632" t="s">
        <v>125</v>
      </c>
      <c r="E63" s="633">
        <v>43399.355613425927</v>
      </c>
      <c r="F63" s="638">
        <v>43399.355613425927</v>
      </c>
      <c r="G63" s="634">
        <v>0.35555555555555557</v>
      </c>
      <c r="H63" s="635">
        <v>10.066666666666666</v>
      </c>
      <c r="I63" s="635">
        <v>8</v>
      </c>
      <c r="J63" s="635" t="s">
        <v>115</v>
      </c>
      <c r="K63" s="635"/>
      <c r="L63" s="635"/>
      <c r="M63" s="635"/>
      <c r="N63" s="635"/>
      <c r="O63" s="520"/>
    </row>
    <row r="64" spans="1:19">
      <c r="A64" s="632">
        <v>13971</v>
      </c>
      <c r="B64" s="632" t="s">
        <v>153</v>
      </c>
      <c r="C64" s="632" t="s">
        <v>113</v>
      </c>
      <c r="D64" s="632" t="s">
        <v>126</v>
      </c>
      <c r="E64" s="633">
        <v>43399.775358796294</v>
      </c>
      <c r="F64" s="638">
        <v>43399.775358796294</v>
      </c>
      <c r="G64" s="634">
        <v>0.77500000000000002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  <c r="O64" s="520"/>
    </row>
    <row r="65" spans="1:15">
      <c r="A65" s="632">
        <v>13978</v>
      </c>
      <c r="B65" s="632" t="s">
        <v>113</v>
      </c>
      <c r="C65" s="632" t="s">
        <v>113</v>
      </c>
      <c r="D65" s="632" t="s">
        <v>125</v>
      </c>
      <c r="E65" s="633">
        <v>43402.353402777779</v>
      </c>
      <c r="F65" s="638">
        <v>43402.353402777779</v>
      </c>
      <c r="G65" s="634">
        <v>0.3527777777777778</v>
      </c>
      <c r="H65" s="635">
        <v>9.7833333333333314</v>
      </c>
      <c r="I65" s="635">
        <v>8</v>
      </c>
      <c r="J65" s="635" t="s">
        <v>115</v>
      </c>
      <c r="K65" s="635"/>
      <c r="L65" s="635"/>
      <c r="M65" s="635"/>
      <c r="N65" s="635"/>
      <c r="O65" s="520"/>
    </row>
    <row r="66" spans="1:15">
      <c r="A66" s="632">
        <v>13991</v>
      </c>
      <c r="B66" s="632" t="s">
        <v>113</v>
      </c>
      <c r="C66" s="632" t="s">
        <v>113</v>
      </c>
      <c r="D66" s="632" t="s">
        <v>126</v>
      </c>
      <c r="E66" s="633">
        <v>43402.760451388887</v>
      </c>
      <c r="F66" s="638">
        <v>43402.760451388887</v>
      </c>
      <c r="G66" s="634">
        <v>0.76041666666666663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  <c r="O66" s="520"/>
    </row>
    <row r="67" spans="1:15">
      <c r="A67" s="632">
        <v>13992</v>
      </c>
      <c r="B67" s="632" t="s">
        <v>113</v>
      </c>
      <c r="C67" s="632" t="s">
        <v>113</v>
      </c>
      <c r="D67" s="632" t="s">
        <v>127</v>
      </c>
      <c r="E67" s="633">
        <v>43402.768946759257</v>
      </c>
      <c r="F67" s="638">
        <v>43402.768946759257</v>
      </c>
      <c r="G67" s="634">
        <v>0.76874999999999993</v>
      </c>
      <c r="H67" s="635" t="s">
        <v>115</v>
      </c>
      <c r="I67" s="635" t="s">
        <v>115</v>
      </c>
      <c r="J67" s="635" t="s">
        <v>115</v>
      </c>
      <c r="K67" s="635">
        <v>0.73333333333333339</v>
      </c>
      <c r="L67" s="635"/>
      <c r="M67" s="635">
        <v>0.73333333333333339</v>
      </c>
      <c r="N67" s="635">
        <v>0</v>
      </c>
      <c r="O67" s="520"/>
    </row>
    <row r="68" spans="1:15">
      <c r="A68" s="632">
        <v>14003</v>
      </c>
      <c r="B68" s="632" t="s">
        <v>113</v>
      </c>
      <c r="C68" s="632" t="s">
        <v>113</v>
      </c>
      <c r="D68" s="632" t="s">
        <v>128</v>
      </c>
      <c r="E68" s="633">
        <v>43402.799490740741</v>
      </c>
      <c r="F68" s="638">
        <v>43402.799490740741</v>
      </c>
      <c r="G68" s="634">
        <v>0.7993055555555556</v>
      </c>
      <c r="H68" s="635" t="s">
        <v>115</v>
      </c>
      <c r="I68" s="635" t="s">
        <v>115</v>
      </c>
      <c r="J68" s="635" t="s">
        <v>115</v>
      </c>
      <c r="K68" s="635"/>
      <c r="L68" s="635"/>
      <c r="M68" s="635"/>
      <c r="N68" s="635"/>
      <c r="O68" s="520"/>
    </row>
    <row r="69" spans="1:15">
      <c r="A69" s="632">
        <v>14008</v>
      </c>
      <c r="B69" s="632" t="s">
        <v>113</v>
      </c>
      <c r="C69" s="632" t="s">
        <v>113</v>
      </c>
      <c r="D69" s="632" t="s">
        <v>125</v>
      </c>
      <c r="E69" s="633">
        <v>43403.354513888888</v>
      </c>
      <c r="F69" s="638">
        <v>43403.354513888888</v>
      </c>
      <c r="G69" s="634">
        <v>0.35416666666666669</v>
      </c>
      <c r="H69" s="635">
        <v>9.716666666666665</v>
      </c>
      <c r="I69" s="635">
        <v>8</v>
      </c>
      <c r="J69" s="635" t="s">
        <v>115</v>
      </c>
      <c r="K69" s="635"/>
      <c r="L69" s="635"/>
      <c r="M69" s="635"/>
      <c r="N69" s="635"/>
      <c r="O69" s="520"/>
    </row>
    <row r="70" spans="1:15">
      <c r="A70" s="632">
        <v>14019</v>
      </c>
      <c r="B70" s="632" t="s">
        <v>113</v>
      </c>
      <c r="C70" s="632" t="s">
        <v>113</v>
      </c>
      <c r="D70" s="632" t="s">
        <v>126</v>
      </c>
      <c r="E70" s="633">
        <v>43403.759317129632</v>
      </c>
      <c r="F70" s="638">
        <v>43403.759317129632</v>
      </c>
      <c r="G70" s="634">
        <v>0.75902777777777775</v>
      </c>
      <c r="H70" s="635" t="s">
        <v>115</v>
      </c>
      <c r="I70" s="635" t="s">
        <v>115</v>
      </c>
      <c r="J70" s="635" t="s">
        <v>115</v>
      </c>
      <c r="K70" s="635"/>
      <c r="L70" s="635"/>
      <c r="M70" s="635"/>
      <c r="N70" s="635"/>
      <c r="O70" s="520"/>
    </row>
    <row r="71" spans="1:15">
      <c r="A71" s="632">
        <v>14033</v>
      </c>
      <c r="B71" s="632" t="s">
        <v>113</v>
      </c>
      <c r="C71" s="632" t="s">
        <v>113</v>
      </c>
      <c r="D71" s="632" t="s">
        <v>125</v>
      </c>
      <c r="E71" s="633">
        <v>43404.351643518516</v>
      </c>
      <c r="F71" s="638">
        <v>43404.351643518516</v>
      </c>
      <c r="G71" s="634">
        <v>0.35138888888888892</v>
      </c>
      <c r="H71" s="635">
        <v>9.5833333333333339</v>
      </c>
      <c r="I71" s="635">
        <v>8</v>
      </c>
      <c r="J71" s="635" t="s">
        <v>115</v>
      </c>
      <c r="K71" s="635"/>
      <c r="L71" s="635"/>
      <c r="M71" s="635"/>
      <c r="N71" s="635"/>
      <c r="O71" s="520"/>
    </row>
    <row r="72" spans="1:15">
      <c r="A72" s="632">
        <v>14040</v>
      </c>
      <c r="B72" s="632" t="s">
        <v>113</v>
      </c>
      <c r="C72" s="632" t="s">
        <v>113</v>
      </c>
      <c r="D72" s="632" t="s">
        <v>126</v>
      </c>
      <c r="E72" s="633">
        <v>43404.750960648147</v>
      </c>
      <c r="F72" s="638">
        <v>43404.750960648147</v>
      </c>
      <c r="G72" s="634">
        <v>0.75069444444444444</v>
      </c>
      <c r="H72" s="635" t="s">
        <v>115</v>
      </c>
      <c r="I72" s="635" t="s">
        <v>115</v>
      </c>
      <c r="J72" s="635" t="s">
        <v>115</v>
      </c>
      <c r="K72" s="635"/>
      <c r="L72" s="635"/>
      <c r="M72" s="635"/>
      <c r="N72" s="635"/>
      <c r="O72" s="520"/>
    </row>
    <row r="74" spans="1:15">
      <c r="D74" s="9" t="s">
        <v>36</v>
      </c>
      <c r="O74" s="454"/>
    </row>
    <row r="75" spans="1:15">
      <c r="D75" s="9" t="s">
        <v>35</v>
      </c>
      <c r="O75" s="454"/>
    </row>
    <row r="76" spans="1:15">
      <c r="D76" s="172" t="s">
        <v>63</v>
      </c>
      <c r="O76" s="454"/>
    </row>
    <row r="77" spans="1:15">
      <c r="D77" s="458" t="s">
        <v>66</v>
      </c>
      <c r="O77" s="454"/>
    </row>
    <row r="78" spans="1:15">
      <c r="D78" s="458" t="s">
        <v>64</v>
      </c>
      <c r="E78" s="336"/>
      <c r="F78" s="373"/>
      <c r="G78" s="376"/>
      <c r="H78" s="377"/>
      <c r="I78" s="378"/>
      <c r="J78" s="378"/>
      <c r="K78" s="379"/>
      <c r="L78" s="379"/>
      <c r="M78" s="379"/>
      <c r="N78" s="379"/>
      <c r="O78" s="454"/>
    </row>
    <row r="79" spans="1:15">
      <c r="D79" s="458" t="s">
        <v>68</v>
      </c>
      <c r="E79" s="336"/>
      <c r="F79" s="373"/>
      <c r="G79" s="376"/>
      <c r="H79" s="377"/>
      <c r="I79" s="378"/>
      <c r="J79" s="378"/>
      <c r="K79" s="379"/>
      <c r="L79" s="379"/>
      <c r="M79" s="379"/>
      <c r="N79" s="379"/>
      <c r="O79" s="454"/>
    </row>
    <row r="80" spans="1:15">
      <c r="D80" s="458" t="s">
        <v>69</v>
      </c>
      <c r="E80" s="336"/>
      <c r="F80" s="373"/>
      <c r="G80" s="376"/>
      <c r="H80" s="377"/>
      <c r="I80" s="378"/>
      <c r="J80" s="378"/>
      <c r="K80" s="379"/>
      <c r="L80" s="379"/>
      <c r="M80" s="379"/>
      <c r="N80" s="379"/>
      <c r="O80" s="454"/>
    </row>
    <row r="81" spans="4:14">
      <c r="D81" s="458" t="s">
        <v>116</v>
      </c>
      <c r="E81" s="336"/>
      <c r="F81" s="373"/>
      <c r="G81" s="376"/>
      <c r="H81" s="377"/>
      <c r="I81" s="378"/>
      <c r="J81" s="378"/>
      <c r="K81" s="379"/>
      <c r="L81" s="379"/>
      <c r="M81" s="379"/>
      <c r="N81" s="379"/>
    </row>
    <row r="82" spans="4:14">
      <c r="D82" s="458" t="s">
        <v>67</v>
      </c>
      <c r="E82" s="336"/>
      <c r="F82" s="373"/>
      <c r="G82" s="376"/>
      <c r="H82" s="377"/>
      <c r="I82" s="378"/>
      <c r="J82" s="378"/>
      <c r="K82" s="379"/>
      <c r="L82" s="379"/>
      <c r="M82" s="379"/>
      <c r="N82" s="379"/>
    </row>
  </sheetData>
  <phoneticPr fontId="18" type="noConversion"/>
  <conditionalFormatting sqref="I7:I28 I31:I72">
    <cfRule type="cellIs" dxfId="36" priority="3" operator="lessThan">
      <formula>4</formula>
    </cfRule>
  </conditionalFormatting>
  <conditionalFormatting sqref="I29:I30">
    <cfRule type="cellIs" dxfId="35" priority="1" operator="lessThan">
      <formula>4</formula>
    </cfRule>
  </conditionalFormatting>
  <printOptions horizontalCentered="1"/>
  <pageMargins left="0.23622047244094491" right="0.23622047244094491" top="0.35433070866141736" bottom="0.35433070866141736" header="0.31496062992125984" footer="0.31496062992125984"/>
  <pageSetup paperSize="9" scale="75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>
    <tabColor theme="4"/>
  </sheetPr>
  <dimension ref="A1:Z62"/>
  <sheetViews>
    <sheetView view="pageBreakPreview" zoomScaleNormal="100" zoomScaleSheetLayoutView="100" workbookViewId="0">
      <selection activeCell="K3" sqref="K3"/>
    </sheetView>
  </sheetViews>
  <sheetFormatPr defaultColWidth="9" defaultRowHeight="16.5" outlineLevelCol="1"/>
  <cols>
    <col min="1" max="1" width="5.875" style="261" customWidth="1" outlineLevel="1"/>
    <col min="2" max="2" width="6.875" style="261" customWidth="1" outlineLevel="1"/>
    <col min="3" max="3" width="6.5" style="262" customWidth="1" outlineLevel="1"/>
    <col min="4" max="4" width="10.125" style="262" customWidth="1"/>
    <col min="5" max="5" width="16.375" style="262" customWidth="1"/>
    <col min="6" max="6" width="6.25" style="303" customWidth="1"/>
    <col min="7" max="7" width="8.625" style="309" customWidth="1" outlineLevel="1"/>
    <col min="8" max="8" width="10.625" style="310" customWidth="1" outlineLevel="1"/>
    <col min="9" max="9" width="11.75" style="311" customWidth="1"/>
    <col min="10" max="10" width="9" style="311" customWidth="1"/>
    <col min="11" max="11" width="8.375" style="307" customWidth="1" outlineLevel="1"/>
    <col min="12" max="12" width="8.375" style="307" customWidth="1"/>
    <col min="13" max="13" width="10.5" style="307" customWidth="1"/>
    <col min="14" max="14" width="10.25" style="307" customWidth="1"/>
    <col min="15" max="15" width="14" style="628" customWidth="1"/>
    <col min="16" max="16" width="9" style="9"/>
    <col min="17" max="17" width="9.875" style="9" customWidth="1"/>
    <col min="18" max="18" width="2.5" style="9" bestFit="1" customWidth="1"/>
    <col min="19" max="19" width="9" style="9"/>
    <col min="20" max="20" width="3" style="458" customWidth="1"/>
    <col min="21" max="21" width="10.25" style="458" customWidth="1"/>
    <col min="22" max="23" width="8.875" style="458" customWidth="1"/>
    <col min="24" max="26" width="9" style="391"/>
    <col min="27" max="16384" width="9" style="261"/>
  </cols>
  <sheetData>
    <row r="1" spans="1:26" s="251" customFormat="1" ht="28.5" thickBot="1">
      <c r="C1" s="252"/>
      <c r="D1" s="253"/>
      <c r="E1" s="253"/>
      <c r="F1" s="254"/>
      <c r="G1" s="255"/>
      <c r="H1" s="256"/>
      <c r="I1" s="257" t="str">
        <f>B17</f>
        <v>justin</v>
      </c>
      <c r="J1" s="258" t="s">
        <v>29</v>
      </c>
      <c r="K1" s="259"/>
      <c r="L1" s="259"/>
      <c r="M1" s="259"/>
      <c r="N1" s="259"/>
      <c r="O1" s="628"/>
      <c r="P1" s="19"/>
      <c r="Q1" s="19"/>
      <c r="R1" s="19"/>
      <c r="S1" s="19"/>
      <c r="T1" s="4"/>
      <c r="U1" s="4"/>
      <c r="V1" s="4"/>
      <c r="W1" s="4"/>
      <c r="X1" s="4"/>
      <c r="Y1" s="4"/>
      <c r="Z1" s="4"/>
    </row>
    <row r="2" spans="1:26">
      <c r="D2" s="263" t="s">
        <v>74</v>
      </c>
      <c r="E2" s="459">
        <f>80-24-14-17-13.5</f>
        <v>11.5</v>
      </c>
      <c r="F2" s="269" t="s">
        <v>75</v>
      </c>
      <c r="G2" s="266"/>
      <c r="H2" s="266"/>
      <c r="I2" s="267"/>
      <c r="J2" s="267" t="s">
        <v>34</v>
      </c>
      <c r="K2" s="268"/>
      <c r="L2" s="269" t="s">
        <v>20</v>
      </c>
      <c r="M2" s="270" t="s">
        <v>17</v>
      </c>
      <c r="N2" s="270" t="s">
        <v>18</v>
      </c>
      <c r="O2" s="628" t="s">
        <v>162</v>
      </c>
    </row>
    <row r="3" spans="1:26" ht="17.25" thickBot="1">
      <c r="D3" s="272" t="s">
        <v>76</v>
      </c>
      <c r="E3" s="645">
        <v>0</v>
      </c>
      <c r="F3" s="274"/>
      <c r="G3" s="275"/>
      <c r="H3" s="275"/>
      <c r="I3" s="276"/>
      <c r="J3" s="277">
        <v>0</v>
      </c>
      <c r="K3" s="278">
        <f>SUM(K7:K200)</f>
        <v>0</v>
      </c>
      <c r="L3" s="278">
        <v>0</v>
      </c>
      <c r="M3" s="278">
        <v>1</v>
      </c>
      <c r="N3" s="278">
        <v>0</v>
      </c>
    </row>
    <row r="4" spans="1:26">
      <c r="D4" s="280" t="s">
        <v>45</v>
      </c>
      <c r="E4" s="281" t="s">
        <v>44</v>
      </c>
      <c r="F4" s="281" t="s">
        <v>46</v>
      </c>
      <c r="G4" s="282"/>
      <c r="H4" s="282"/>
      <c r="I4" s="283" t="s">
        <v>33</v>
      </c>
      <c r="J4" s="283" t="s">
        <v>32</v>
      </c>
      <c r="K4" s="283"/>
      <c r="L4" s="283" t="s">
        <v>21</v>
      </c>
      <c r="M4" s="283" t="s">
        <v>21</v>
      </c>
      <c r="N4" s="283" t="s">
        <v>21</v>
      </c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6">
      <c r="D5" s="285">
        <v>0</v>
      </c>
      <c r="E5" s="286">
        <v>0</v>
      </c>
      <c r="F5" s="460">
        <v>13.5</v>
      </c>
      <c r="G5" s="288"/>
      <c r="H5" s="288"/>
      <c r="I5" s="289" t="s">
        <v>47</v>
      </c>
      <c r="J5" s="289" t="s">
        <v>47</v>
      </c>
      <c r="K5" s="289" t="s">
        <v>16</v>
      </c>
      <c r="L5" s="73"/>
      <c r="M5" s="73"/>
      <c r="N5" s="73"/>
      <c r="Q5" s="9" t="s">
        <v>40</v>
      </c>
      <c r="S5" s="57">
        <f>(Q6)/160</f>
        <v>0</v>
      </c>
      <c r="U5" s="49"/>
      <c r="V5" s="405"/>
    </row>
    <row r="6" spans="1:26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22</v>
      </c>
      <c r="I6" s="295">
        <f>SUM(I7:I200)</f>
        <v>162.5</v>
      </c>
      <c r="J6" s="295">
        <f t="shared" ref="J6:N6" si="0">SUM(J7:J200)</f>
        <v>21.5</v>
      </c>
      <c r="K6" s="295">
        <f t="shared" si="0"/>
        <v>0</v>
      </c>
      <c r="L6" s="295">
        <f t="shared" si="0"/>
        <v>0</v>
      </c>
      <c r="M6" s="295">
        <f t="shared" si="0"/>
        <v>0</v>
      </c>
      <c r="N6" s="295">
        <f t="shared" si="0"/>
        <v>0</v>
      </c>
      <c r="Q6" s="381"/>
      <c r="R6" s="8"/>
      <c r="S6" s="8"/>
      <c r="U6" s="381"/>
      <c r="V6" s="381"/>
      <c r="W6" s="8"/>
      <c r="X6" s="500"/>
    </row>
    <row r="7" spans="1:26" s="16" customFormat="1">
      <c r="A7" s="632">
        <v>13465</v>
      </c>
      <c r="B7" s="632" t="s">
        <v>10</v>
      </c>
      <c r="C7" s="632" t="s">
        <v>10</v>
      </c>
      <c r="D7" s="632" t="s">
        <v>125</v>
      </c>
      <c r="E7" s="633">
        <v>43374.371249999997</v>
      </c>
      <c r="F7" s="638">
        <v>43374.371249999997</v>
      </c>
      <c r="G7" s="634">
        <v>0.37083333333333335</v>
      </c>
      <c r="H7" s="635">
        <v>10.766666666666666</v>
      </c>
      <c r="I7" s="635">
        <v>8</v>
      </c>
      <c r="J7" s="635" t="s">
        <v>115</v>
      </c>
      <c r="K7" s="635"/>
      <c r="L7" s="635"/>
      <c r="M7" s="635"/>
      <c r="N7" s="635"/>
      <c r="O7" s="628"/>
      <c r="P7" s="137"/>
      <c r="Q7" s="382"/>
      <c r="R7" s="137"/>
      <c r="U7" s="406"/>
      <c r="V7" s="406"/>
    </row>
    <row r="8" spans="1:26" s="303" customFormat="1">
      <c r="A8" s="632">
        <v>13486</v>
      </c>
      <c r="B8" s="632" t="s">
        <v>10</v>
      </c>
      <c r="C8" s="632" t="s">
        <v>10</v>
      </c>
      <c r="D8" s="632" t="s">
        <v>126</v>
      </c>
      <c r="E8" s="633">
        <v>43374.819687499999</v>
      </c>
      <c r="F8" s="638">
        <v>43374.819687499999</v>
      </c>
      <c r="G8" s="634">
        <v>0.81944444444444453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28"/>
      <c r="P8" s="137"/>
      <c r="Q8" s="382"/>
      <c r="R8" s="137"/>
      <c r="S8" s="16"/>
      <c r="T8" s="16"/>
      <c r="U8" s="406"/>
      <c r="V8" s="406"/>
      <c r="W8" s="16"/>
      <c r="X8" s="16"/>
      <c r="Y8" s="16"/>
      <c r="Z8" s="16"/>
    </row>
    <row r="9" spans="1:26" s="16" customFormat="1">
      <c r="A9" s="632">
        <v>13503</v>
      </c>
      <c r="B9" s="632" t="s">
        <v>77</v>
      </c>
      <c r="C9" s="632" t="s">
        <v>10</v>
      </c>
      <c r="D9" s="632" t="s">
        <v>125</v>
      </c>
      <c r="E9" s="633">
        <v>43375.372847222221</v>
      </c>
      <c r="F9" s="638">
        <v>43375.372847222221</v>
      </c>
      <c r="G9" s="634">
        <v>0.37222222222222223</v>
      </c>
      <c r="H9" s="635">
        <v>10.416666666666668</v>
      </c>
      <c r="I9" s="635">
        <v>8</v>
      </c>
      <c r="J9" s="635" t="s">
        <v>115</v>
      </c>
      <c r="K9" s="635"/>
      <c r="L9" s="635"/>
      <c r="M9" s="635"/>
      <c r="N9" s="635"/>
      <c r="O9" s="628"/>
      <c r="P9" s="137"/>
      <c r="Q9" s="382"/>
      <c r="R9" s="137"/>
      <c r="S9" s="63"/>
      <c r="U9" s="406"/>
      <c r="V9" s="406"/>
      <c r="X9" s="63"/>
    </row>
    <row r="10" spans="1:26" s="16" customFormat="1">
      <c r="A10" s="632">
        <v>13518</v>
      </c>
      <c r="B10" s="632" t="s">
        <v>10</v>
      </c>
      <c r="C10" s="632" t="s">
        <v>10</v>
      </c>
      <c r="D10" s="632" t="s">
        <v>126</v>
      </c>
      <c r="E10" s="633">
        <v>43375.806481481479</v>
      </c>
      <c r="F10" s="638">
        <v>43375.806481481479</v>
      </c>
      <c r="G10" s="634">
        <v>0.80625000000000002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628"/>
      <c r="P10" s="137"/>
      <c r="Q10" s="382"/>
      <c r="R10" s="137"/>
      <c r="S10" s="63"/>
      <c r="U10" s="406"/>
      <c r="V10" s="406"/>
      <c r="X10" s="63"/>
    </row>
    <row r="11" spans="1:26" s="63" customFormat="1">
      <c r="A11" s="632">
        <v>13530</v>
      </c>
      <c r="B11" s="632" t="s">
        <v>10</v>
      </c>
      <c r="C11" s="632" t="s">
        <v>10</v>
      </c>
      <c r="D11" s="632" t="s">
        <v>125</v>
      </c>
      <c r="E11" s="633">
        <v>43376.373715277776</v>
      </c>
      <c r="F11" s="638">
        <v>43376.373715277776</v>
      </c>
      <c r="G11" s="634">
        <v>0.37361111111111112</v>
      </c>
      <c r="H11" s="635">
        <v>10.3</v>
      </c>
      <c r="I11" s="635">
        <v>8</v>
      </c>
      <c r="J11" s="635" t="s">
        <v>115</v>
      </c>
      <c r="K11" s="635"/>
      <c r="L11" s="635"/>
      <c r="M11" s="635"/>
      <c r="N11" s="635"/>
      <c r="O11" s="628"/>
      <c r="P11" s="137"/>
      <c r="Q11" s="382"/>
      <c r="R11" s="137"/>
      <c r="S11" s="16"/>
      <c r="T11" s="16"/>
      <c r="U11" s="406"/>
      <c r="V11" s="406"/>
      <c r="W11" s="16"/>
      <c r="X11" s="16"/>
      <c r="Y11" s="16"/>
    </row>
    <row r="12" spans="1:26" s="63" customFormat="1">
      <c r="A12" s="632">
        <v>13550</v>
      </c>
      <c r="B12" s="632" t="s">
        <v>10</v>
      </c>
      <c r="C12" s="632" t="s">
        <v>10</v>
      </c>
      <c r="D12" s="632" t="s">
        <v>126</v>
      </c>
      <c r="E12" s="633">
        <v>43376.803240740737</v>
      </c>
      <c r="F12" s="638">
        <v>43376.803240740737</v>
      </c>
      <c r="G12" s="634">
        <v>0.8027777777777777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628"/>
      <c r="P12" s="137"/>
      <c r="Q12" s="382"/>
      <c r="R12" s="137"/>
      <c r="S12" s="16"/>
      <c r="T12" s="16"/>
      <c r="U12" s="406"/>
      <c r="V12" s="406"/>
      <c r="W12" s="16"/>
      <c r="X12" s="16"/>
      <c r="Y12" s="16"/>
    </row>
    <row r="13" spans="1:26" s="303" customFormat="1">
      <c r="A13" s="632">
        <v>13559</v>
      </c>
      <c r="B13" s="632" t="s">
        <v>10</v>
      </c>
      <c r="C13" s="632" t="s">
        <v>10</v>
      </c>
      <c r="D13" s="632" t="s">
        <v>125</v>
      </c>
      <c r="E13" s="633">
        <v>43377.37127314815</v>
      </c>
      <c r="F13" s="638">
        <v>43377.37127314815</v>
      </c>
      <c r="G13" s="634">
        <v>0.37083333333333335</v>
      </c>
      <c r="H13" s="635">
        <v>10.516666666666666</v>
      </c>
      <c r="I13" s="635">
        <v>8</v>
      </c>
      <c r="J13" s="635" t="s">
        <v>115</v>
      </c>
      <c r="K13" s="635"/>
      <c r="L13" s="635"/>
      <c r="M13" s="635"/>
      <c r="N13" s="635"/>
      <c r="O13" s="628"/>
      <c r="P13" s="137"/>
      <c r="Q13" s="382"/>
      <c r="R13" s="137"/>
      <c r="S13" s="16"/>
      <c r="T13" s="16"/>
      <c r="U13" s="406"/>
      <c r="V13" s="406"/>
      <c r="W13" s="16"/>
      <c r="X13" s="16"/>
      <c r="Y13" s="16"/>
      <c r="Z13" s="16"/>
    </row>
    <row r="14" spans="1:26" s="305" customFormat="1">
      <c r="A14" s="632">
        <v>13580</v>
      </c>
      <c r="B14" s="632" t="s">
        <v>10</v>
      </c>
      <c r="C14" s="632" t="s">
        <v>10</v>
      </c>
      <c r="D14" s="632" t="s">
        <v>126</v>
      </c>
      <c r="E14" s="633">
        <v>43377.809155092589</v>
      </c>
      <c r="F14" s="638">
        <v>43377.809155092589</v>
      </c>
      <c r="G14" s="634">
        <v>0.80902777777777779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628"/>
      <c r="P14" s="137"/>
      <c r="Q14" s="382"/>
      <c r="R14" s="18"/>
      <c r="S14" s="63"/>
      <c r="T14" s="63"/>
      <c r="U14" s="406"/>
      <c r="V14" s="406"/>
      <c r="W14" s="63"/>
      <c r="X14" s="63"/>
      <c r="Y14" s="63"/>
      <c r="Z14" s="63"/>
    </row>
    <row r="15" spans="1:26" s="305" customFormat="1">
      <c r="A15" s="632">
        <v>13585</v>
      </c>
      <c r="B15" s="632" t="s">
        <v>10</v>
      </c>
      <c r="C15" s="632" t="s">
        <v>10</v>
      </c>
      <c r="D15" s="632" t="s">
        <v>125</v>
      </c>
      <c r="E15" s="633">
        <v>43378.361168981479</v>
      </c>
      <c r="F15" s="638">
        <v>43378.361168981479</v>
      </c>
      <c r="G15" s="634">
        <v>0.3611111111111111</v>
      </c>
      <c r="H15" s="635">
        <v>9.8666666666666671</v>
      </c>
      <c r="I15" s="635">
        <v>8</v>
      </c>
      <c r="J15" s="635" t="s">
        <v>115</v>
      </c>
      <c r="K15" s="635"/>
      <c r="L15" s="635"/>
      <c r="M15" s="635"/>
      <c r="N15" s="635"/>
      <c r="O15" s="628"/>
      <c r="P15" s="588"/>
      <c r="Q15" s="550"/>
      <c r="R15" s="18"/>
      <c r="S15" s="63"/>
      <c r="T15" s="63"/>
      <c r="U15" s="552"/>
      <c r="V15" s="552"/>
      <c r="W15" s="63"/>
      <c r="X15" s="63"/>
      <c r="Y15" s="63"/>
      <c r="Z15" s="63"/>
    </row>
    <row r="16" spans="1:26" s="305" customFormat="1">
      <c r="A16" s="632">
        <v>13603</v>
      </c>
      <c r="B16" s="632" t="s">
        <v>10</v>
      </c>
      <c r="C16" s="632" t="s">
        <v>10</v>
      </c>
      <c r="D16" s="632" t="s">
        <v>126</v>
      </c>
      <c r="E16" s="633">
        <v>43378.772361111114</v>
      </c>
      <c r="F16" s="638">
        <v>43378.772361111114</v>
      </c>
      <c r="G16" s="634">
        <v>0.77222222222222225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628"/>
      <c r="P16" s="588"/>
      <c r="Q16" s="550"/>
      <c r="R16" s="18"/>
      <c r="S16" s="63"/>
      <c r="T16" s="63"/>
      <c r="U16" s="552"/>
      <c r="V16" s="552"/>
      <c r="W16" s="63"/>
      <c r="X16" s="63"/>
      <c r="Y16" s="63"/>
      <c r="Z16" s="63"/>
    </row>
    <row r="17" spans="1:26">
      <c r="A17" s="632">
        <v>13616</v>
      </c>
      <c r="B17" s="632" t="s">
        <v>10</v>
      </c>
      <c r="C17" s="632" t="s">
        <v>10</v>
      </c>
      <c r="D17" s="632" t="s">
        <v>125</v>
      </c>
      <c r="E17" s="633">
        <v>43381.365034722221</v>
      </c>
      <c r="F17" s="638">
        <v>43381.365034722221</v>
      </c>
      <c r="G17" s="634">
        <v>0.36458333333333331</v>
      </c>
      <c r="H17" s="635">
        <v>9.7000000000000011</v>
      </c>
      <c r="I17" s="635">
        <v>8</v>
      </c>
      <c r="J17" s="635" t="s">
        <v>115</v>
      </c>
      <c r="K17" s="635"/>
      <c r="L17" s="635"/>
      <c r="M17" s="635"/>
      <c r="N17" s="635"/>
      <c r="P17" s="137"/>
      <c r="Q17" s="382"/>
      <c r="U17" s="406"/>
      <c r="V17" s="406"/>
    </row>
    <row r="18" spans="1:26" s="63" customFormat="1">
      <c r="A18" s="632">
        <v>13627</v>
      </c>
      <c r="B18" s="632" t="s">
        <v>10</v>
      </c>
      <c r="C18" s="632" t="s">
        <v>10</v>
      </c>
      <c r="D18" s="632" t="s">
        <v>126</v>
      </c>
      <c r="E18" s="633">
        <v>43381.768877314818</v>
      </c>
      <c r="F18" s="638">
        <v>43381.768877314818</v>
      </c>
      <c r="G18" s="634">
        <v>0.76874999999999993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628"/>
      <c r="P18" s="137"/>
      <c r="Q18" s="382"/>
      <c r="R18" s="9"/>
      <c r="S18" s="9"/>
      <c r="T18" s="458"/>
      <c r="U18" s="406"/>
      <c r="V18" s="406"/>
      <c r="W18" s="458"/>
      <c r="X18" s="391"/>
    </row>
    <row r="19" spans="1:26">
      <c r="A19" s="632">
        <v>13643</v>
      </c>
      <c r="B19" s="632" t="s">
        <v>10</v>
      </c>
      <c r="C19" s="632" t="s">
        <v>10</v>
      </c>
      <c r="D19" s="632" t="s">
        <v>125</v>
      </c>
      <c r="E19" s="633">
        <v>43382.351990740739</v>
      </c>
      <c r="F19" s="638">
        <v>43382.351990740739</v>
      </c>
      <c r="G19" s="634">
        <v>0.35138888888888892</v>
      </c>
      <c r="H19" s="635">
        <v>3.6833333333333336</v>
      </c>
      <c r="I19" s="635">
        <v>3.5</v>
      </c>
      <c r="J19" s="635">
        <v>4.5</v>
      </c>
      <c r="K19" s="635"/>
      <c r="L19" s="635"/>
      <c r="M19" s="635"/>
      <c r="N19" s="635"/>
      <c r="O19" s="628" t="s">
        <v>160</v>
      </c>
      <c r="P19" s="137"/>
      <c r="Q19" s="382"/>
      <c r="R19" s="8"/>
      <c r="S19" s="63"/>
      <c r="T19" s="2"/>
      <c r="U19" s="406"/>
      <c r="V19" s="406"/>
      <c r="W19" s="63"/>
      <c r="X19" s="63"/>
    </row>
    <row r="20" spans="1:26">
      <c r="A20" s="632">
        <v>13651</v>
      </c>
      <c r="B20" s="632" t="s">
        <v>10</v>
      </c>
      <c r="C20" s="632" t="s">
        <v>10</v>
      </c>
      <c r="D20" s="632" t="s">
        <v>126</v>
      </c>
      <c r="E20" s="633">
        <v>43382.504976851851</v>
      </c>
      <c r="F20" s="638">
        <v>43382.504976851851</v>
      </c>
      <c r="G20" s="634">
        <v>0.50486111111111109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P20" s="137"/>
      <c r="Q20" s="382"/>
      <c r="U20" s="406"/>
      <c r="V20" s="406"/>
    </row>
    <row r="21" spans="1:26" s="63" customFormat="1">
      <c r="A21" s="632"/>
      <c r="B21" s="632"/>
      <c r="C21" s="632"/>
      <c r="D21" s="632" t="s">
        <v>125</v>
      </c>
      <c r="E21" s="633">
        <v>43383.354409722226</v>
      </c>
      <c r="F21" s="638">
        <v>43383.354409722226</v>
      </c>
      <c r="G21" s="634">
        <v>0.35416666666666669</v>
      </c>
      <c r="H21" s="635"/>
      <c r="I21" s="635">
        <v>0</v>
      </c>
      <c r="J21" s="635">
        <v>8</v>
      </c>
      <c r="K21" s="635"/>
      <c r="L21" s="635"/>
      <c r="M21" s="635"/>
      <c r="N21" s="635"/>
      <c r="O21" s="628" t="s">
        <v>161</v>
      </c>
      <c r="P21" s="627"/>
      <c r="Q21" s="345"/>
      <c r="R21" s="372"/>
      <c r="S21" s="372"/>
      <c r="T21" s="373"/>
      <c r="U21" s="373"/>
      <c r="V21" s="373"/>
    </row>
    <row r="22" spans="1:26" s="63" customFormat="1">
      <c r="A22" s="632"/>
      <c r="B22" s="632"/>
      <c r="C22" s="632"/>
      <c r="D22" s="632" t="s">
        <v>126</v>
      </c>
      <c r="E22" s="633">
        <v>43383.75</v>
      </c>
      <c r="F22" s="638">
        <v>43383.771435185183</v>
      </c>
      <c r="G22" s="634">
        <v>0.75</v>
      </c>
      <c r="H22" s="635"/>
      <c r="I22" s="635"/>
      <c r="J22" s="635"/>
      <c r="K22" s="635"/>
      <c r="L22" s="635"/>
      <c r="M22" s="635"/>
      <c r="N22" s="635"/>
      <c r="O22" s="628"/>
      <c r="P22" s="627"/>
      <c r="Q22" s="345"/>
      <c r="R22" s="372"/>
      <c r="S22" s="372"/>
      <c r="T22" s="373"/>
      <c r="U22" s="373"/>
      <c r="V22" s="373"/>
    </row>
    <row r="23" spans="1:26" s="543" customFormat="1">
      <c r="A23" s="632">
        <v>13666</v>
      </c>
      <c r="B23" s="632" t="s">
        <v>10</v>
      </c>
      <c r="C23" s="632" t="s">
        <v>10</v>
      </c>
      <c r="D23" s="632" t="s">
        <v>125</v>
      </c>
      <c r="E23" s="633">
        <v>43384.369131944448</v>
      </c>
      <c r="F23" s="638">
        <v>43384.369131944448</v>
      </c>
      <c r="G23" s="634">
        <v>0.36874999999999997</v>
      </c>
      <c r="H23" s="635">
        <v>9.7833333333333332</v>
      </c>
      <c r="I23" s="635">
        <v>8</v>
      </c>
      <c r="J23" s="635" t="s">
        <v>115</v>
      </c>
      <c r="K23" s="635"/>
      <c r="L23" s="635"/>
      <c r="M23" s="635"/>
      <c r="N23" s="635"/>
      <c r="O23" s="628"/>
      <c r="P23" s="548"/>
      <c r="Q23" s="550"/>
      <c r="R23" s="444"/>
      <c r="S23" s="444"/>
      <c r="T23" s="551"/>
      <c r="U23" s="552"/>
      <c r="V23" s="552"/>
      <c r="W23" s="551"/>
    </row>
    <row r="24" spans="1:26" s="543" customFormat="1">
      <c r="A24" s="632">
        <v>13682</v>
      </c>
      <c r="B24" s="632" t="s">
        <v>10</v>
      </c>
      <c r="C24" s="632" t="s">
        <v>10</v>
      </c>
      <c r="D24" s="632" t="s">
        <v>126</v>
      </c>
      <c r="E24" s="633">
        <v>43384.776435185187</v>
      </c>
      <c r="F24" s="638">
        <v>43384.776435185187</v>
      </c>
      <c r="G24" s="634">
        <v>0.77638888888888891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628"/>
      <c r="P24" s="548"/>
      <c r="Q24" s="550"/>
      <c r="R24" s="444"/>
      <c r="S24" s="444"/>
      <c r="T24" s="551"/>
      <c r="U24" s="552"/>
      <c r="V24" s="552"/>
      <c r="W24" s="551"/>
    </row>
    <row r="25" spans="1:26" s="16" customFormat="1">
      <c r="A25" s="632">
        <v>13699</v>
      </c>
      <c r="B25" s="632" t="s">
        <v>10</v>
      </c>
      <c r="C25" s="632" t="s">
        <v>10</v>
      </c>
      <c r="D25" s="632" t="s">
        <v>125</v>
      </c>
      <c r="E25" s="633">
        <v>43385.371967592589</v>
      </c>
      <c r="F25" s="638">
        <v>43385.371967592589</v>
      </c>
      <c r="G25" s="634">
        <v>0.37152777777777773</v>
      </c>
      <c r="H25" s="635">
        <v>10.3</v>
      </c>
      <c r="I25" s="635">
        <v>8</v>
      </c>
      <c r="J25" s="635" t="s">
        <v>115</v>
      </c>
      <c r="K25" s="635"/>
      <c r="L25" s="635"/>
      <c r="M25" s="635"/>
      <c r="N25" s="635"/>
      <c r="O25" s="628"/>
      <c r="P25" s="137"/>
      <c r="Q25" s="382"/>
      <c r="R25" s="9"/>
      <c r="S25" s="9"/>
      <c r="T25" s="458"/>
      <c r="U25" s="406"/>
      <c r="V25" s="406"/>
      <c r="W25" s="458"/>
    </row>
    <row r="26" spans="1:26" s="398" customFormat="1">
      <c r="A26" s="632">
        <v>13716</v>
      </c>
      <c r="B26" s="632" t="s">
        <v>10</v>
      </c>
      <c r="C26" s="632" t="s">
        <v>10</v>
      </c>
      <c r="D26" s="632" t="s">
        <v>126</v>
      </c>
      <c r="E26" s="633">
        <v>43385.801145833335</v>
      </c>
      <c r="F26" s="638">
        <v>43385.801145833335</v>
      </c>
      <c r="G26" s="634">
        <v>0.80069444444444438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628"/>
      <c r="P26" s="137"/>
      <c r="Q26" s="382"/>
      <c r="R26" s="9"/>
      <c r="S26" s="9"/>
      <c r="T26" s="458"/>
      <c r="U26" s="406"/>
      <c r="V26" s="406"/>
      <c r="W26" s="458"/>
      <c r="X26" s="16"/>
      <c r="Y26" s="16"/>
      <c r="Z26" s="16"/>
    </row>
    <row r="27" spans="1:26" s="422" customFormat="1">
      <c r="A27" s="632">
        <v>13721</v>
      </c>
      <c r="B27" s="632" t="s">
        <v>10</v>
      </c>
      <c r="C27" s="632" t="s">
        <v>10</v>
      </c>
      <c r="D27" s="632" t="s">
        <v>125</v>
      </c>
      <c r="E27" s="633">
        <v>43388.354826388888</v>
      </c>
      <c r="F27" s="638">
        <v>43388.354826388888</v>
      </c>
      <c r="G27" s="634">
        <v>0.35416666666666669</v>
      </c>
      <c r="H27" s="635">
        <v>3.9166666666666674</v>
      </c>
      <c r="I27" s="635">
        <v>3.5</v>
      </c>
      <c r="J27" s="635">
        <v>4.5</v>
      </c>
      <c r="K27" s="635"/>
      <c r="L27" s="635"/>
      <c r="M27" s="635"/>
      <c r="N27" s="635"/>
      <c r="O27" s="628" t="s">
        <v>160</v>
      </c>
      <c r="P27" s="548"/>
      <c r="Q27" s="550"/>
      <c r="R27" s="444"/>
      <c r="S27" s="444"/>
      <c r="T27" s="551"/>
      <c r="U27" s="552"/>
      <c r="V27" s="552"/>
      <c r="W27" s="551"/>
      <c r="X27" s="543"/>
      <c r="Y27" s="543"/>
      <c r="Z27" s="543"/>
    </row>
    <row r="28" spans="1:26" s="543" customFormat="1">
      <c r="A28" s="632">
        <v>13728</v>
      </c>
      <c r="B28" s="632" t="s">
        <v>10</v>
      </c>
      <c r="C28" s="632" t="s">
        <v>10</v>
      </c>
      <c r="D28" s="632" t="s">
        <v>126</v>
      </c>
      <c r="E28" s="633">
        <v>43388.517708333333</v>
      </c>
      <c r="F28" s="638">
        <v>43388.517708333333</v>
      </c>
      <c r="G28" s="634">
        <v>0.51736111111111105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628"/>
      <c r="P28" s="548"/>
      <c r="Q28" s="550"/>
      <c r="R28" s="444"/>
      <c r="S28" s="444"/>
      <c r="T28" s="551"/>
      <c r="U28" s="552"/>
      <c r="V28" s="552"/>
      <c r="W28" s="551"/>
      <c r="X28" s="551"/>
      <c r="Y28" s="422"/>
      <c r="Z28" s="422"/>
    </row>
    <row r="29" spans="1:26" s="63" customFormat="1">
      <c r="A29" s="632">
        <v>13749</v>
      </c>
      <c r="B29" s="632" t="s">
        <v>10</v>
      </c>
      <c r="C29" s="632" t="s">
        <v>10</v>
      </c>
      <c r="D29" s="632" t="s">
        <v>125</v>
      </c>
      <c r="E29" s="633">
        <v>43389.363703703704</v>
      </c>
      <c r="F29" s="638">
        <v>43389.363703703704</v>
      </c>
      <c r="G29" s="634">
        <v>0.36319444444444443</v>
      </c>
      <c r="H29" s="635">
        <v>10.683333333333334</v>
      </c>
      <c r="I29" s="635">
        <v>8</v>
      </c>
      <c r="J29" s="635" t="s">
        <v>115</v>
      </c>
      <c r="K29" s="635"/>
      <c r="L29" s="635"/>
      <c r="M29" s="635"/>
      <c r="N29" s="635"/>
      <c r="O29" s="628"/>
      <c r="P29" s="137"/>
      <c r="Q29" s="382"/>
      <c r="R29" s="383"/>
      <c r="S29" s="383"/>
      <c r="T29" s="383"/>
      <c r="U29" s="406"/>
      <c r="V29" s="406"/>
      <c r="W29" s="383"/>
      <c r="X29" s="383"/>
      <c r="Y29" s="422"/>
      <c r="Z29" s="422"/>
    </row>
    <row r="30" spans="1:26" s="63" customFormat="1">
      <c r="A30" s="632">
        <v>13771</v>
      </c>
      <c r="B30" s="632" t="s">
        <v>10</v>
      </c>
      <c r="C30" s="632" t="s">
        <v>10</v>
      </c>
      <c r="D30" s="632" t="s">
        <v>126</v>
      </c>
      <c r="E30" s="633">
        <v>43389.808587962965</v>
      </c>
      <c r="F30" s="638">
        <v>43389.808587962965</v>
      </c>
      <c r="G30" s="634">
        <v>0.80833333333333324</v>
      </c>
      <c r="H30" s="635" t="s">
        <v>115</v>
      </c>
      <c r="I30" s="635" t="s">
        <v>115</v>
      </c>
      <c r="J30" s="635" t="s">
        <v>115</v>
      </c>
      <c r="K30" s="635"/>
      <c r="L30" s="635"/>
      <c r="M30" s="635"/>
      <c r="N30" s="635"/>
      <c r="O30" s="628"/>
      <c r="P30" s="137"/>
      <c r="Q30" s="382"/>
      <c r="R30" s="383"/>
      <c r="S30" s="383"/>
      <c r="T30" s="383"/>
      <c r="U30" s="406"/>
      <c r="V30" s="406"/>
      <c r="W30" s="383"/>
      <c r="X30" s="383"/>
      <c r="Y30" s="383"/>
      <c r="Z30" s="383"/>
    </row>
    <row r="31" spans="1:26" s="18" customFormat="1">
      <c r="A31" s="632">
        <v>13780</v>
      </c>
      <c r="B31" s="632" t="s">
        <v>10</v>
      </c>
      <c r="C31" s="632" t="s">
        <v>10</v>
      </c>
      <c r="D31" s="632" t="s">
        <v>125</v>
      </c>
      <c r="E31" s="633">
        <v>43390.367673611108</v>
      </c>
      <c r="F31" s="638">
        <v>43390.367673611108</v>
      </c>
      <c r="G31" s="634">
        <v>0.36736111111111108</v>
      </c>
      <c r="H31" s="635">
        <v>10.5</v>
      </c>
      <c r="I31" s="635">
        <v>8</v>
      </c>
      <c r="J31" s="635" t="s">
        <v>115</v>
      </c>
      <c r="K31" s="635"/>
      <c r="L31" s="635"/>
      <c r="M31" s="635"/>
      <c r="N31" s="635"/>
      <c r="O31" s="628"/>
      <c r="P31" s="137"/>
      <c r="Q31" s="382"/>
      <c r="R31" s="384"/>
      <c r="S31" s="383"/>
      <c r="T31" s="384"/>
      <c r="U31" s="406"/>
      <c r="V31" s="406"/>
      <c r="W31" s="384"/>
      <c r="X31" s="422"/>
      <c r="Y31" s="422"/>
      <c r="Z31" s="422"/>
    </row>
    <row r="32" spans="1:26" s="18" customFormat="1">
      <c r="A32" s="632">
        <v>13800</v>
      </c>
      <c r="B32" s="632" t="s">
        <v>10</v>
      </c>
      <c r="C32" s="632" t="s">
        <v>10</v>
      </c>
      <c r="D32" s="632" t="s">
        <v>126</v>
      </c>
      <c r="E32" s="633">
        <v>43390.804976851854</v>
      </c>
      <c r="F32" s="638">
        <v>43390.804976851854</v>
      </c>
      <c r="G32" s="634">
        <v>0.80486111111111114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628"/>
      <c r="P32" s="137"/>
      <c r="Q32" s="382"/>
      <c r="R32" s="384"/>
      <c r="S32" s="383"/>
      <c r="T32" s="384"/>
      <c r="U32" s="406"/>
      <c r="V32" s="406"/>
      <c r="W32" s="384"/>
      <c r="X32" s="422"/>
      <c r="Y32" s="16"/>
      <c r="Z32" s="16"/>
    </row>
    <row r="33" spans="1:26" s="396" customFormat="1">
      <c r="A33" s="632">
        <v>13808</v>
      </c>
      <c r="B33" s="632" t="s">
        <v>10</v>
      </c>
      <c r="C33" s="632" t="s">
        <v>10</v>
      </c>
      <c r="D33" s="632" t="s">
        <v>125</v>
      </c>
      <c r="E33" s="633">
        <v>43391.353715277779</v>
      </c>
      <c r="F33" s="638">
        <v>43391.353715277779</v>
      </c>
      <c r="G33" s="634">
        <v>0.35347222222222219</v>
      </c>
      <c r="H33" s="635">
        <v>3.5833333333333326</v>
      </c>
      <c r="I33" s="635">
        <v>3.5</v>
      </c>
      <c r="J33" s="635">
        <v>4.5</v>
      </c>
      <c r="K33" s="635"/>
      <c r="L33" s="635"/>
      <c r="M33" s="635"/>
      <c r="N33" s="635"/>
      <c r="O33" s="628" t="s">
        <v>160</v>
      </c>
      <c r="P33" s="137"/>
      <c r="Q33" s="382"/>
      <c r="R33" s="18"/>
      <c r="S33" s="63"/>
      <c r="T33" s="63"/>
      <c r="U33" s="406"/>
      <c r="V33" s="406"/>
      <c r="W33" s="63"/>
      <c r="X33" s="16"/>
      <c r="Y33" s="16"/>
      <c r="Z33" s="16"/>
    </row>
    <row r="34" spans="1:26" s="396" customFormat="1">
      <c r="A34" s="632">
        <v>13814</v>
      </c>
      <c r="B34" s="632" t="s">
        <v>10</v>
      </c>
      <c r="C34" s="632" t="s">
        <v>10</v>
      </c>
      <c r="D34" s="632" t="s">
        <v>126</v>
      </c>
      <c r="E34" s="633">
        <v>43391.502905092595</v>
      </c>
      <c r="F34" s="638">
        <v>43391.502905092595</v>
      </c>
      <c r="G34" s="634">
        <v>0.50277777777777777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628"/>
      <c r="P34" s="137"/>
      <c r="Q34" s="382"/>
      <c r="R34" s="18"/>
      <c r="S34" s="63"/>
      <c r="T34" s="63"/>
      <c r="U34" s="406"/>
      <c r="V34" s="406"/>
      <c r="W34" s="63"/>
      <c r="X34" s="16"/>
      <c r="Y34" s="16"/>
      <c r="Z34" s="16"/>
    </row>
    <row r="35" spans="1:26">
      <c r="A35" s="632">
        <v>13830</v>
      </c>
      <c r="B35" s="632" t="s">
        <v>10</v>
      </c>
      <c r="C35" s="632" t="s">
        <v>10</v>
      </c>
      <c r="D35" s="632" t="s">
        <v>125</v>
      </c>
      <c r="E35" s="633">
        <v>43392.367766203701</v>
      </c>
      <c r="F35" s="638">
        <v>43392.367766203701</v>
      </c>
      <c r="G35" s="634">
        <v>0.36736111111111108</v>
      </c>
      <c r="H35" s="635">
        <v>9.65</v>
      </c>
      <c r="I35" s="635">
        <v>8</v>
      </c>
      <c r="J35" s="635" t="s">
        <v>115</v>
      </c>
      <c r="K35" s="635"/>
      <c r="L35" s="635"/>
      <c r="M35" s="635"/>
      <c r="N35" s="635"/>
      <c r="P35" s="137"/>
      <c r="Q35" s="382"/>
      <c r="R35" s="18"/>
      <c r="S35" s="63"/>
      <c r="T35" s="63"/>
      <c r="U35" s="406"/>
      <c r="V35" s="406"/>
      <c r="W35" s="63"/>
      <c r="X35" s="63"/>
      <c r="Y35" s="16"/>
      <c r="Z35" s="16"/>
    </row>
    <row r="36" spans="1:26">
      <c r="A36" s="632">
        <v>13841</v>
      </c>
      <c r="B36" s="632" t="s">
        <v>10</v>
      </c>
      <c r="C36" s="632" t="s">
        <v>10</v>
      </c>
      <c r="D36" s="632" t="s">
        <v>126</v>
      </c>
      <c r="E36" s="633">
        <v>43392.769907407404</v>
      </c>
      <c r="F36" s="638">
        <v>43392.769907407404</v>
      </c>
      <c r="G36" s="634">
        <v>0.76944444444444438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P36" s="137"/>
      <c r="Q36" s="382"/>
      <c r="R36" s="18"/>
      <c r="S36" s="63"/>
      <c r="T36" s="63"/>
      <c r="U36" s="406"/>
      <c r="V36" s="406"/>
      <c r="W36" s="63"/>
      <c r="X36" s="63"/>
      <c r="Y36" s="16"/>
      <c r="Z36" s="16"/>
    </row>
    <row r="37" spans="1:26">
      <c r="A37" s="632">
        <v>13848</v>
      </c>
      <c r="B37" s="632" t="s">
        <v>10</v>
      </c>
      <c r="C37" s="632" t="s">
        <v>10</v>
      </c>
      <c r="D37" s="632" t="s">
        <v>125</v>
      </c>
      <c r="E37" s="633">
        <v>43395.363553240742</v>
      </c>
      <c r="F37" s="638">
        <v>43395.363553240742</v>
      </c>
      <c r="G37" s="634">
        <v>0.36319444444444443</v>
      </c>
      <c r="H37" s="635">
        <v>10.733333333333334</v>
      </c>
      <c r="I37" s="635">
        <v>8</v>
      </c>
      <c r="J37" s="635" t="s">
        <v>115</v>
      </c>
      <c r="K37" s="635"/>
      <c r="L37" s="635"/>
      <c r="M37" s="635"/>
      <c r="N37" s="635"/>
      <c r="P37" s="137"/>
      <c r="Q37" s="382"/>
      <c r="R37" s="18"/>
      <c r="S37" s="63"/>
      <c r="T37" s="63"/>
      <c r="U37" s="406"/>
      <c r="V37" s="406"/>
      <c r="W37" s="63"/>
      <c r="X37" s="63"/>
      <c r="Y37" s="63"/>
      <c r="Z37" s="63"/>
    </row>
    <row r="38" spans="1:26">
      <c r="A38" s="632">
        <v>13874</v>
      </c>
      <c r="B38" s="632" t="s">
        <v>10</v>
      </c>
      <c r="C38" s="632" t="s">
        <v>10</v>
      </c>
      <c r="D38" s="632" t="s">
        <v>126</v>
      </c>
      <c r="E38" s="633">
        <v>43395.81082175926</v>
      </c>
      <c r="F38" s="638">
        <v>43395.81082175926</v>
      </c>
      <c r="G38" s="634">
        <v>0.81041666666666667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P38" s="137"/>
      <c r="Q38" s="382"/>
      <c r="R38" s="18"/>
      <c r="S38" s="18"/>
      <c r="T38" s="63"/>
      <c r="U38" s="406"/>
      <c r="V38" s="406"/>
      <c r="W38" s="63"/>
      <c r="X38" s="63"/>
      <c r="Y38" s="63"/>
      <c r="Z38" s="63"/>
    </row>
    <row r="39" spans="1:26">
      <c r="A39" s="632">
        <v>13882</v>
      </c>
      <c r="B39" s="632" t="s">
        <v>10</v>
      </c>
      <c r="C39" s="632" t="s">
        <v>10</v>
      </c>
      <c r="D39" s="632" t="s">
        <v>125</v>
      </c>
      <c r="E39" s="633">
        <v>43396.36822916667</v>
      </c>
      <c r="F39" s="638">
        <v>43396.36822916667</v>
      </c>
      <c r="G39" s="634">
        <v>0.36805555555555558</v>
      </c>
      <c r="H39" s="635">
        <v>10.233333333333331</v>
      </c>
      <c r="I39" s="635">
        <v>8</v>
      </c>
      <c r="J39" s="635" t="s">
        <v>115</v>
      </c>
      <c r="K39" s="635"/>
      <c r="L39" s="635"/>
      <c r="M39" s="635"/>
      <c r="N39" s="635"/>
      <c r="P39" s="137"/>
      <c r="Q39" s="382"/>
      <c r="R39" s="18"/>
      <c r="S39" s="18"/>
      <c r="T39" s="18"/>
      <c r="U39" s="406"/>
      <c r="V39" s="406"/>
      <c r="W39" s="63"/>
      <c r="X39" s="63"/>
      <c r="Y39" s="63"/>
      <c r="Z39" s="63"/>
    </row>
    <row r="40" spans="1:26">
      <c r="A40" s="632">
        <v>13903</v>
      </c>
      <c r="B40" s="632" t="s">
        <v>10</v>
      </c>
      <c r="C40" s="632" t="s">
        <v>10</v>
      </c>
      <c r="D40" s="632" t="s">
        <v>126</v>
      </c>
      <c r="E40" s="633">
        <v>43396.794571759259</v>
      </c>
      <c r="F40" s="638">
        <v>43396.794571759259</v>
      </c>
      <c r="G40" s="634">
        <v>0.7944444444444444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P40" s="137"/>
      <c r="Q40" s="382"/>
      <c r="R40" s="18"/>
      <c r="S40" s="18"/>
      <c r="T40" s="18"/>
      <c r="U40" s="406"/>
      <c r="V40" s="406"/>
      <c r="W40" s="63"/>
      <c r="X40" s="63"/>
      <c r="Y40" s="63"/>
      <c r="Z40" s="63"/>
    </row>
    <row r="41" spans="1:26" s="398" customFormat="1">
      <c r="A41" s="632">
        <v>13916</v>
      </c>
      <c r="B41" s="632" t="s">
        <v>10</v>
      </c>
      <c r="C41" s="632" t="s">
        <v>10</v>
      </c>
      <c r="D41" s="632" t="s">
        <v>125</v>
      </c>
      <c r="E41" s="633">
        <v>43397.371689814812</v>
      </c>
      <c r="F41" s="638">
        <v>43397.371689814812</v>
      </c>
      <c r="G41" s="634">
        <v>0.37152777777777773</v>
      </c>
      <c r="H41" s="635">
        <v>10.733333333333333</v>
      </c>
      <c r="I41" s="635">
        <v>8</v>
      </c>
      <c r="J41" s="635" t="s">
        <v>115</v>
      </c>
      <c r="K41" s="635"/>
      <c r="L41" s="635"/>
      <c r="M41" s="635"/>
      <c r="N41" s="635"/>
      <c r="O41" s="628"/>
      <c r="P41" s="137"/>
      <c r="Q41" s="382"/>
      <c r="R41" s="18"/>
      <c r="S41" s="18"/>
      <c r="T41" s="63"/>
      <c r="U41" s="406"/>
      <c r="V41" s="406"/>
      <c r="W41" s="63"/>
      <c r="X41" s="63"/>
      <c r="Y41" s="18"/>
      <c r="Z41" s="18"/>
    </row>
    <row r="42" spans="1:26" s="398" customFormat="1">
      <c r="A42" s="632">
        <v>13931</v>
      </c>
      <c r="B42" s="632" t="s">
        <v>10</v>
      </c>
      <c r="C42" s="632" t="s">
        <v>10</v>
      </c>
      <c r="D42" s="632" t="s">
        <v>126</v>
      </c>
      <c r="E42" s="633">
        <v>43397.818842592591</v>
      </c>
      <c r="F42" s="638">
        <v>43397.818842592591</v>
      </c>
      <c r="G42" s="634">
        <v>0.81874999999999998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28"/>
      <c r="P42" s="137"/>
      <c r="Q42" s="382"/>
      <c r="R42" s="18"/>
      <c r="S42" s="18"/>
      <c r="T42" s="63"/>
      <c r="U42" s="406"/>
      <c r="V42" s="406"/>
      <c r="W42" s="63"/>
      <c r="X42" s="63"/>
      <c r="Y42" s="18"/>
      <c r="Z42" s="18"/>
    </row>
    <row r="43" spans="1:26">
      <c r="A43" s="632">
        <v>13936</v>
      </c>
      <c r="B43" s="632" t="s">
        <v>10</v>
      </c>
      <c r="C43" s="632" t="s">
        <v>10</v>
      </c>
      <c r="D43" s="632" t="s">
        <v>125</v>
      </c>
      <c r="E43" s="633">
        <v>43398.362500000003</v>
      </c>
      <c r="F43" s="638">
        <v>43398.362500000003</v>
      </c>
      <c r="G43" s="634">
        <v>0.36249999999999999</v>
      </c>
      <c r="H43" s="635">
        <v>11.250000000000002</v>
      </c>
      <c r="I43" s="635">
        <v>8</v>
      </c>
      <c r="J43" s="635" t="s">
        <v>115</v>
      </c>
      <c r="K43" s="635"/>
      <c r="L43" s="635"/>
      <c r="M43" s="635"/>
      <c r="N43" s="635"/>
      <c r="P43" s="137"/>
      <c r="Q43" s="382"/>
      <c r="S43" s="63"/>
      <c r="U43" s="406"/>
      <c r="V43" s="406"/>
      <c r="X43" s="501"/>
      <c r="Y43" s="396"/>
      <c r="Z43" s="396"/>
    </row>
    <row r="44" spans="1:26">
      <c r="A44" s="632">
        <v>13954</v>
      </c>
      <c r="B44" s="632" t="s">
        <v>10</v>
      </c>
      <c r="C44" s="632" t="s">
        <v>10</v>
      </c>
      <c r="D44" s="632" t="s">
        <v>126</v>
      </c>
      <c r="E44" s="633">
        <v>43398.831469907411</v>
      </c>
      <c r="F44" s="638">
        <v>43398.831469907411</v>
      </c>
      <c r="G44" s="634">
        <v>0.83124999999999993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P44" s="137"/>
      <c r="Q44" s="382"/>
      <c r="S44" s="63"/>
      <c r="U44" s="406"/>
      <c r="V44" s="406"/>
      <c r="X44" s="501"/>
      <c r="Y44" s="396"/>
      <c r="Z44" s="396"/>
    </row>
    <row r="45" spans="1:26">
      <c r="A45" s="632">
        <v>13961</v>
      </c>
      <c r="B45" s="632" t="s">
        <v>10</v>
      </c>
      <c r="C45" s="632" t="s">
        <v>10</v>
      </c>
      <c r="D45" s="632" t="s">
        <v>125</v>
      </c>
      <c r="E45" s="633">
        <v>43399.359918981485</v>
      </c>
      <c r="F45" s="638">
        <v>43399.359918981485</v>
      </c>
      <c r="G45" s="634">
        <v>0.35972222222222222</v>
      </c>
      <c r="H45" s="635">
        <v>10.016666666666667</v>
      </c>
      <c r="I45" s="635">
        <v>8</v>
      </c>
      <c r="J45" s="635" t="s">
        <v>115</v>
      </c>
      <c r="K45" s="635"/>
      <c r="L45" s="635"/>
      <c r="M45" s="635"/>
      <c r="N45" s="635"/>
      <c r="P45" s="137"/>
      <c r="Q45" s="382"/>
      <c r="U45" s="406"/>
      <c r="V45" s="406"/>
      <c r="X45" s="501"/>
    </row>
    <row r="46" spans="1:26">
      <c r="A46" s="632">
        <v>13972</v>
      </c>
      <c r="B46" s="632" t="s">
        <v>10</v>
      </c>
      <c r="C46" s="632" t="s">
        <v>10</v>
      </c>
      <c r="D46" s="632" t="s">
        <v>126</v>
      </c>
      <c r="E46" s="633">
        <v>43399.777592592596</v>
      </c>
      <c r="F46" s="638">
        <v>43399.777592592596</v>
      </c>
      <c r="G46" s="634">
        <v>0.77708333333333324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P46" s="137"/>
      <c r="Q46" s="382"/>
      <c r="U46" s="406"/>
      <c r="V46" s="406"/>
      <c r="X46" s="501"/>
    </row>
    <row r="47" spans="1:26">
      <c r="A47" s="632">
        <v>13979</v>
      </c>
      <c r="B47" s="632" t="s">
        <v>10</v>
      </c>
      <c r="C47" s="632" t="s">
        <v>10</v>
      </c>
      <c r="D47" s="632" t="s">
        <v>125</v>
      </c>
      <c r="E47" s="633">
        <v>43402.360648148147</v>
      </c>
      <c r="F47" s="638">
        <v>43402.360648148147</v>
      </c>
      <c r="G47" s="634">
        <v>0.36041666666666666</v>
      </c>
      <c r="H47" s="635">
        <v>10.866666666666667</v>
      </c>
      <c r="I47" s="635">
        <v>8</v>
      </c>
      <c r="J47" s="635" t="s">
        <v>115</v>
      </c>
      <c r="K47" s="635"/>
      <c r="L47" s="635"/>
      <c r="M47" s="635"/>
      <c r="N47" s="635"/>
      <c r="P47" s="137"/>
      <c r="Q47" s="382"/>
      <c r="U47" s="406"/>
      <c r="V47" s="406"/>
    </row>
    <row r="48" spans="1:26">
      <c r="A48" s="632">
        <v>14004</v>
      </c>
      <c r="B48" s="632" t="s">
        <v>10</v>
      </c>
      <c r="C48" s="632" t="s">
        <v>10</v>
      </c>
      <c r="D48" s="632" t="s">
        <v>126</v>
      </c>
      <c r="E48" s="633">
        <v>43402.813217592593</v>
      </c>
      <c r="F48" s="638">
        <v>43402.813217592593</v>
      </c>
      <c r="G48" s="634">
        <v>0.81319444444444444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P48" s="137"/>
      <c r="Q48" s="382"/>
      <c r="U48" s="406"/>
      <c r="V48" s="406"/>
    </row>
    <row r="49" spans="1:22">
      <c r="A49" s="632">
        <v>14010</v>
      </c>
      <c r="B49" s="632" t="s">
        <v>10</v>
      </c>
      <c r="C49" s="632" t="s">
        <v>10</v>
      </c>
      <c r="D49" s="632" t="s">
        <v>125</v>
      </c>
      <c r="E49" s="633">
        <v>43403.367118055554</v>
      </c>
      <c r="F49" s="638">
        <v>43403.367118055554</v>
      </c>
      <c r="G49" s="634">
        <v>0.3666666666666667</v>
      </c>
      <c r="H49" s="635">
        <v>10.233333333333333</v>
      </c>
      <c r="I49" s="635">
        <v>8</v>
      </c>
      <c r="J49" s="635" t="s">
        <v>115</v>
      </c>
      <c r="K49" s="635"/>
      <c r="L49" s="635"/>
      <c r="M49" s="635"/>
      <c r="N49" s="635"/>
      <c r="P49" s="137"/>
      <c r="Q49" s="382"/>
      <c r="U49" s="406"/>
      <c r="V49" s="406"/>
    </row>
    <row r="50" spans="1:22">
      <c r="A50" s="632">
        <v>14027</v>
      </c>
      <c r="B50" s="632" t="s">
        <v>10</v>
      </c>
      <c r="C50" s="632" t="s">
        <v>10</v>
      </c>
      <c r="D50" s="632" t="s">
        <v>126</v>
      </c>
      <c r="E50" s="633">
        <v>43403.793078703704</v>
      </c>
      <c r="F50" s="638">
        <v>43403.793078703704</v>
      </c>
      <c r="G50" s="634">
        <v>0.79305555555555562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P50" s="137"/>
      <c r="Q50" s="382"/>
      <c r="U50" s="406"/>
      <c r="V50" s="406"/>
    </row>
    <row r="51" spans="1:22">
      <c r="A51" s="632">
        <v>14036</v>
      </c>
      <c r="B51" s="632" t="s">
        <v>10</v>
      </c>
      <c r="C51" s="632" t="s">
        <v>10</v>
      </c>
      <c r="D51" s="632" t="s">
        <v>125</v>
      </c>
      <c r="E51" s="633">
        <v>43404.368194444447</v>
      </c>
      <c r="F51" s="638">
        <v>43404.368194444447</v>
      </c>
      <c r="G51" s="634">
        <v>0.36805555555555558</v>
      </c>
      <c r="H51" s="635">
        <v>9.8000000000000007</v>
      </c>
      <c r="I51" s="635">
        <v>8</v>
      </c>
      <c r="J51" s="635" t="s">
        <v>115</v>
      </c>
      <c r="K51" s="635"/>
      <c r="L51" s="635"/>
      <c r="M51" s="635"/>
      <c r="N51" s="635"/>
      <c r="P51" s="137"/>
      <c r="Q51" s="382"/>
      <c r="U51" s="406"/>
      <c r="V51" s="406"/>
    </row>
    <row r="52" spans="1:22">
      <c r="A52" s="632">
        <v>14048</v>
      </c>
      <c r="B52" s="632" t="s">
        <v>10</v>
      </c>
      <c r="C52" s="632" t="s">
        <v>10</v>
      </c>
      <c r="D52" s="632" t="s">
        <v>126</v>
      </c>
      <c r="E52" s="633">
        <v>43404.776412037034</v>
      </c>
      <c r="F52" s="638">
        <v>43404.776412037034</v>
      </c>
      <c r="G52" s="634">
        <v>0.77638888888888891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P52" s="137"/>
      <c r="Q52" s="382"/>
      <c r="U52" s="406"/>
      <c r="V52" s="406"/>
    </row>
    <row r="53" spans="1:22">
      <c r="D53" s="458"/>
      <c r="E53" s="336"/>
      <c r="F53" s="373"/>
      <c r="G53" s="376"/>
      <c r="H53" s="377"/>
      <c r="I53" s="378"/>
      <c r="J53" s="378"/>
      <c r="K53" s="379"/>
      <c r="L53" s="379"/>
      <c r="M53" s="379"/>
      <c r="N53" s="379"/>
      <c r="P53" s="137"/>
    </row>
    <row r="54" spans="1:22">
      <c r="D54" s="542" t="s">
        <v>36</v>
      </c>
      <c r="E54" s="541"/>
      <c r="F54" s="543"/>
      <c r="G54" s="544"/>
      <c r="H54" s="547"/>
      <c r="I54" s="545"/>
      <c r="J54" s="545"/>
      <c r="K54" s="379"/>
      <c r="L54" s="379"/>
      <c r="M54" s="379"/>
      <c r="N54" s="379"/>
      <c r="P54" s="137"/>
    </row>
    <row r="55" spans="1:22">
      <c r="D55" s="542" t="s">
        <v>35</v>
      </c>
      <c r="E55" s="541"/>
      <c r="F55" s="543"/>
      <c r="G55" s="544"/>
      <c r="H55" s="547"/>
      <c r="I55" s="545"/>
      <c r="J55" s="545"/>
    </row>
    <row r="56" spans="1:22">
      <c r="D56" s="549" t="s">
        <v>63</v>
      </c>
      <c r="E56" s="541"/>
      <c r="F56" s="543"/>
      <c r="G56" s="544"/>
      <c r="H56" s="547"/>
      <c r="I56" s="545"/>
      <c r="J56" s="545"/>
    </row>
    <row r="57" spans="1:22">
      <c r="D57" s="540" t="s">
        <v>66</v>
      </c>
      <c r="E57" s="541"/>
      <c r="F57" s="543"/>
      <c r="G57" s="544"/>
      <c r="H57" s="547"/>
      <c r="I57" s="545"/>
      <c r="J57" s="545"/>
    </row>
    <row r="58" spans="1:22">
      <c r="D58" s="540" t="s">
        <v>64</v>
      </c>
      <c r="E58" s="336"/>
      <c r="F58" s="373"/>
      <c r="G58" s="376"/>
      <c r="H58" s="377"/>
      <c r="I58" s="378"/>
      <c r="J58" s="378"/>
    </row>
    <row r="59" spans="1:22">
      <c r="D59" s="540" t="s">
        <v>68</v>
      </c>
      <c r="E59" s="336"/>
      <c r="F59" s="373"/>
      <c r="G59" s="376"/>
      <c r="H59" s="377"/>
      <c r="I59" s="378"/>
      <c r="J59" s="378"/>
    </row>
    <row r="60" spans="1:22">
      <c r="D60" s="540" t="s">
        <v>69</v>
      </c>
      <c r="E60" s="336"/>
      <c r="F60" s="373"/>
      <c r="G60" s="376"/>
      <c r="H60" s="377"/>
      <c r="I60" s="378"/>
      <c r="J60" s="378"/>
    </row>
    <row r="61" spans="1:22">
      <c r="D61" s="540" t="s">
        <v>116</v>
      </c>
      <c r="E61" s="336"/>
      <c r="F61" s="373"/>
      <c r="G61" s="376"/>
      <c r="H61" s="377"/>
      <c r="I61" s="378"/>
      <c r="J61" s="378"/>
    </row>
    <row r="62" spans="1:22">
      <c r="D62" s="540" t="s">
        <v>67</v>
      </c>
      <c r="E62" s="336"/>
      <c r="F62" s="373"/>
      <c r="G62" s="376"/>
      <c r="H62" s="377"/>
      <c r="I62" s="378"/>
      <c r="J62" s="378"/>
    </row>
  </sheetData>
  <phoneticPr fontId="18" type="noConversion"/>
  <conditionalFormatting sqref="I7:I20 I23:I52">
    <cfRule type="cellIs" dxfId="34" priority="3" operator="lessThan">
      <formula>4</formula>
    </cfRule>
  </conditionalFormatting>
  <conditionalFormatting sqref="I21:I22">
    <cfRule type="cellIs" dxfId="33" priority="1" operator="lessThan">
      <formula>4</formula>
    </cfRule>
  </conditionalFormatting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6">
    <tabColor theme="4"/>
  </sheetPr>
  <dimension ref="A1:Z22"/>
  <sheetViews>
    <sheetView view="pageBreakPreview" zoomScaleNormal="100" zoomScaleSheetLayoutView="100" workbookViewId="0">
      <selection activeCell="K4" sqref="K4"/>
    </sheetView>
  </sheetViews>
  <sheetFormatPr defaultColWidth="9" defaultRowHeight="16.5" outlineLevelCol="1"/>
  <cols>
    <col min="1" max="1" width="5.875" style="261" customWidth="1" outlineLevel="1"/>
    <col min="2" max="2" width="6.875" style="261" customWidth="1" outlineLevel="1"/>
    <col min="3" max="3" width="6.5" style="262" customWidth="1" outlineLevel="1"/>
    <col min="4" max="4" width="10.125" style="262" customWidth="1"/>
    <col min="5" max="5" width="16.375" style="262" customWidth="1"/>
    <col min="6" max="6" width="6.25" style="303" customWidth="1"/>
    <col min="7" max="7" width="8.625" style="309" customWidth="1" outlineLevel="1"/>
    <col min="8" max="8" width="10.625" style="310" customWidth="1" outlineLevel="1"/>
    <col min="9" max="9" width="11.75" style="311" customWidth="1"/>
    <col min="10" max="10" width="9" style="311" customWidth="1"/>
    <col min="11" max="11" width="8.875" style="307" customWidth="1" outlineLevel="1"/>
    <col min="12" max="12" width="8.375" style="307" customWidth="1"/>
    <col min="13" max="13" width="10.5" style="307" customWidth="1"/>
    <col min="14" max="14" width="10.25" style="307" customWidth="1"/>
    <col min="15" max="15" width="16.25" style="308" customWidth="1"/>
    <col min="16" max="16" width="9" style="627"/>
    <col min="17" max="17" width="9.875" style="627" customWidth="1"/>
    <col min="18" max="18" width="2.5" style="627" bestFit="1" customWidth="1"/>
    <col min="19" max="19" width="9" style="627"/>
    <col min="20" max="20" width="3" style="625" customWidth="1"/>
    <col min="21" max="21" width="10.25" style="625" customWidth="1"/>
    <col min="22" max="23" width="8.875" style="625" customWidth="1"/>
    <col min="24" max="26" width="9" style="391"/>
    <col min="27" max="16384" width="9" style="261"/>
  </cols>
  <sheetData>
    <row r="1" spans="1:26" s="251" customFormat="1" ht="28.5" thickBot="1">
      <c r="C1" s="252"/>
      <c r="D1" s="253"/>
      <c r="E1" s="253"/>
      <c r="F1" s="254"/>
      <c r="G1" s="255"/>
      <c r="H1" s="256"/>
      <c r="I1" s="257" t="e">
        <f>#REF!</f>
        <v>#REF!</v>
      </c>
      <c r="J1" s="258" t="s">
        <v>29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  <c r="Z1" s="4"/>
    </row>
    <row r="2" spans="1:26">
      <c r="D2" s="263" t="s">
        <v>74</v>
      </c>
      <c r="E2" s="459">
        <v>0</v>
      </c>
      <c r="F2" s="269" t="s">
        <v>75</v>
      </c>
      <c r="G2" s="266"/>
      <c r="H2" s="266"/>
      <c r="I2" s="267"/>
      <c r="J2" s="267" t="s">
        <v>34</v>
      </c>
      <c r="K2" s="268"/>
      <c r="L2" s="269" t="s">
        <v>20</v>
      </c>
      <c r="M2" s="270" t="s">
        <v>17</v>
      </c>
      <c r="N2" s="270" t="s">
        <v>18</v>
      </c>
      <c r="O2" s="271" t="s">
        <v>27</v>
      </c>
    </row>
    <row r="3" spans="1:26" ht="17.25" thickBot="1">
      <c r="D3" s="272" t="s">
        <v>76</v>
      </c>
      <c r="E3" s="273">
        <v>0</v>
      </c>
      <c r="F3" s="274"/>
      <c r="G3" s="275"/>
      <c r="H3" s="275"/>
      <c r="I3" s="276"/>
      <c r="J3" s="277">
        <v>0</v>
      </c>
      <c r="K3" s="278">
        <f>SUM(K7:K200)</f>
        <v>1.1166666666666654</v>
      </c>
      <c r="L3" s="278">
        <v>0</v>
      </c>
      <c r="M3" s="278">
        <v>1</v>
      </c>
      <c r="N3" s="278">
        <v>0</v>
      </c>
      <c r="O3" s="279"/>
    </row>
    <row r="4" spans="1:26">
      <c r="D4" s="280" t="s">
        <v>43</v>
      </c>
      <c r="E4" s="281" t="s">
        <v>44</v>
      </c>
      <c r="F4" s="281" t="s">
        <v>46</v>
      </c>
      <c r="G4" s="282"/>
      <c r="H4" s="282"/>
      <c r="I4" s="283" t="s">
        <v>33</v>
      </c>
      <c r="J4" s="283" t="s">
        <v>32</v>
      </c>
      <c r="K4" s="283"/>
      <c r="L4" s="283" t="s">
        <v>12</v>
      </c>
      <c r="M4" s="283" t="s">
        <v>12</v>
      </c>
      <c r="N4" s="283" t="s">
        <v>12</v>
      </c>
      <c r="O4" s="284"/>
      <c r="Q4" s="15" t="s">
        <v>23</v>
      </c>
      <c r="R4" s="627" t="s">
        <v>30</v>
      </c>
      <c r="S4" s="15" t="s">
        <v>25</v>
      </c>
      <c r="T4" s="48" t="s">
        <v>31</v>
      </c>
      <c r="U4" s="49">
        <f>I6+J6</f>
        <v>16</v>
      </c>
    </row>
    <row r="5" spans="1:26">
      <c r="D5" s="285">
        <v>0</v>
      </c>
      <c r="E5" s="286">
        <v>0</v>
      </c>
      <c r="F5" s="460">
        <v>0</v>
      </c>
      <c r="G5" s="288"/>
      <c r="H5" s="288"/>
      <c r="I5" s="289" t="s">
        <v>47</v>
      </c>
      <c r="J5" s="289" t="s">
        <v>47</v>
      </c>
      <c r="K5" s="289" t="s">
        <v>16</v>
      </c>
      <c r="L5" s="73"/>
      <c r="M5" s="73"/>
      <c r="N5" s="73"/>
      <c r="O5" s="290"/>
      <c r="Q5" s="627" t="s">
        <v>40</v>
      </c>
      <c r="S5" s="57">
        <f>(Q6)/160</f>
        <v>0</v>
      </c>
      <c r="U5" s="49"/>
      <c r="V5" s="405"/>
    </row>
    <row r="6" spans="1:26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22</v>
      </c>
      <c r="I6" s="295">
        <f>SUM(I7:I200)</f>
        <v>16</v>
      </c>
      <c r="J6" s="295">
        <f t="shared" ref="J6:N6" si="0">SUM(J7:J200)</f>
        <v>0</v>
      </c>
      <c r="K6" s="295">
        <f t="shared" si="0"/>
        <v>1.1166666666666654</v>
      </c>
      <c r="L6" s="295">
        <f t="shared" si="0"/>
        <v>0</v>
      </c>
      <c r="M6" s="295">
        <f t="shared" si="0"/>
        <v>1.1166666666666654</v>
      </c>
      <c r="N6" s="295">
        <f t="shared" si="0"/>
        <v>0</v>
      </c>
      <c r="O6" s="296"/>
      <c r="Q6" s="381"/>
      <c r="R6" s="8"/>
      <c r="S6" s="8"/>
      <c r="U6" s="381"/>
      <c r="V6" s="381"/>
      <c r="W6" s="8"/>
      <c r="X6" s="500"/>
    </row>
    <row r="7" spans="1:26" s="586" customFormat="1">
      <c r="A7" s="632">
        <v>13459</v>
      </c>
      <c r="B7" s="632" t="s">
        <v>143</v>
      </c>
      <c r="C7" s="632" t="s">
        <v>143</v>
      </c>
      <c r="D7" s="632" t="s">
        <v>125</v>
      </c>
      <c r="E7" s="633">
        <v>43374.363877314812</v>
      </c>
      <c r="F7" s="638">
        <v>43374.363877314812</v>
      </c>
      <c r="G7" s="634">
        <v>0.36319444444444443</v>
      </c>
      <c r="H7" s="635">
        <v>9.8333333333333339</v>
      </c>
      <c r="I7" s="635">
        <v>8</v>
      </c>
      <c r="J7" s="635" t="s">
        <v>115</v>
      </c>
      <c r="K7" s="635"/>
      <c r="L7" s="635"/>
      <c r="M7" s="635"/>
      <c r="N7" s="635"/>
      <c r="O7" s="546"/>
      <c r="P7" s="588"/>
      <c r="Q7" s="550"/>
      <c r="R7" s="588"/>
      <c r="U7" s="552"/>
      <c r="V7" s="552"/>
    </row>
    <row r="8" spans="1:26" s="586" customFormat="1">
      <c r="A8" s="632">
        <v>13478</v>
      </c>
      <c r="B8" s="632" t="s">
        <v>143</v>
      </c>
      <c r="C8" s="632" t="s">
        <v>143</v>
      </c>
      <c r="D8" s="632" t="s">
        <v>126</v>
      </c>
      <c r="E8" s="633">
        <v>43374.773379629631</v>
      </c>
      <c r="F8" s="638">
        <v>43374.773379629631</v>
      </c>
      <c r="G8" s="634">
        <v>0.7729166666666667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28"/>
      <c r="P8" s="588"/>
      <c r="Q8" s="550"/>
      <c r="R8" s="588"/>
      <c r="U8" s="552"/>
      <c r="V8" s="552"/>
    </row>
    <row r="9" spans="1:26" s="303" customFormat="1">
      <c r="A9" s="632">
        <v>13479</v>
      </c>
      <c r="B9" s="632" t="s">
        <v>143</v>
      </c>
      <c r="C9" s="632" t="s">
        <v>143</v>
      </c>
      <c r="D9" s="632" t="s">
        <v>127</v>
      </c>
      <c r="E9" s="633">
        <v>43374.773402777777</v>
      </c>
      <c r="F9" s="638">
        <v>43374.773402777777</v>
      </c>
      <c r="G9" s="634">
        <v>0.7729166666666667</v>
      </c>
      <c r="H9" s="635" t="s">
        <v>115</v>
      </c>
      <c r="I9" s="635" t="s">
        <v>115</v>
      </c>
      <c r="J9" s="635" t="s">
        <v>115</v>
      </c>
      <c r="K9" s="635">
        <v>1.1166666666666654</v>
      </c>
      <c r="L9" s="635"/>
      <c r="M9" s="635">
        <v>1.1166666666666654</v>
      </c>
      <c r="N9" s="635">
        <v>0</v>
      </c>
      <c r="O9" s="546"/>
      <c r="P9" s="588"/>
      <c r="Q9" s="550"/>
      <c r="R9" s="588"/>
      <c r="S9" s="586"/>
      <c r="T9" s="586"/>
      <c r="U9" s="552"/>
      <c r="V9" s="552"/>
      <c r="W9" s="586"/>
      <c r="X9" s="586"/>
      <c r="Y9" s="586"/>
      <c r="Z9" s="586"/>
    </row>
    <row r="10" spans="1:26" s="586" customFormat="1">
      <c r="A10" s="632">
        <v>13488</v>
      </c>
      <c r="B10" s="632" t="s">
        <v>143</v>
      </c>
      <c r="C10" s="632" t="s">
        <v>143</v>
      </c>
      <c r="D10" s="632" t="s">
        <v>128</v>
      </c>
      <c r="E10" s="633">
        <v>43374.819826388892</v>
      </c>
      <c r="F10" s="638">
        <v>43374.819826388892</v>
      </c>
      <c r="G10" s="634">
        <v>0.81944444444444453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388"/>
      <c r="P10" s="588"/>
      <c r="Q10" s="550"/>
      <c r="R10" s="588"/>
      <c r="S10" s="63"/>
      <c r="U10" s="552"/>
      <c r="V10" s="552"/>
      <c r="X10" s="63"/>
    </row>
    <row r="11" spans="1:26" s="586" customFormat="1">
      <c r="A11" s="632">
        <v>13497</v>
      </c>
      <c r="B11" s="632" t="s">
        <v>143</v>
      </c>
      <c r="C11" s="632" t="s">
        <v>143</v>
      </c>
      <c r="D11" s="632" t="s">
        <v>125</v>
      </c>
      <c r="E11" s="633">
        <v>43375.363275462965</v>
      </c>
      <c r="F11" s="638">
        <v>43375.363275462965</v>
      </c>
      <c r="G11" s="634">
        <v>0.36319444444444443</v>
      </c>
      <c r="H11" s="635">
        <v>9.783333333333335</v>
      </c>
      <c r="I11" s="635">
        <v>8</v>
      </c>
      <c r="J11" s="635" t="s">
        <v>115</v>
      </c>
      <c r="K11" s="635"/>
      <c r="L11" s="635"/>
      <c r="M11" s="635"/>
      <c r="N11" s="635"/>
      <c r="O11" s="388"/>
      <c r="P11" s="588"/>
      <c r="Q11" s="550"/>
      <c r="R11" s="588"/>
      <c r="S11" s="63"/>
      <c r="U11" s="552"/>
      <c r="V11" s="552"/>
      <c r="X11" s="63"/>
    </row>
    <row r="12" spans="1:26" s="63" customFormat="1">
      <c r="A12" s="646">
        <v>13497</v>
      </c>
      <c r="B12" s="646" t="s">
        <v>143</v>
      </c>
      <c r="C12" s="646" t="s">
        <v>143</v>
      </c>
      <c r="D12" s="646" t="s">
        <v>163</v>
      </c>
      <c r="E12" s="647">
        <v>43375.770833333336</v>
      </c>
      <c r="F12" s="638">
        <v>43375.770833333336</v>
      </c>
      <c r="G12" s="634">
        <v>0.77083333333333337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388"/>
      <c r="P12" s="588"/>
      <c r="Q12" s="550"/>
      <c r="R12" s="588"/>
      <c r="S12" s="586"/>
      <c r="T12" s="586"/>
      <c r="U12" s="552"/>
      <c r="V12" s="552"/>
      <c r="W12" s="586"/>
      <c r="X12" s="586"/>
      <c r="Y12" s="586"/>
    </row>
    <row r="13" spans="1:26" s="625" customFormat="1">
      <c r="A13" s="261"/>
      <c r="B13" s="261"/>
      <c r="C13" s="262"/>
      <c r="E13" s="336"/>
      <c r="F13" s="373"/>
      <c r="G13" s="376"/>
      <c r="H13" s="377"/>
      <c r="I13" s="378"/>
      <c r="J13" s="378"/>
      <c r="K13" s="379"/>
      <c r="L13" s="379"/>
      <c r="M13" s="379"/>
      <c r="N13" s="379"/>
      <c r="O13" s="28"/>
      <c r="P13" s="588"/>
      <c r="Q13" s="627"/>
      <c r="R13" s="627"/>
      <c r="S13" s="627"/>
      <c r="X13" s="391"/>
      <c r="Y13" s="391"/>
      <c r="Z13" s="391"/>
    </row>
    <row r="14" spans="1:26" s="625" customFormat="1">
      <c r="A14" s="261"/>
      <c r="B14" s="261"/>
      <c r="C14" s="262"/>
      <c r="D14" s="627" t="s">
        <v>36</v>
      </c>
      <c r="E14" s="626"/>
      <c r="F14" s="586"/>
      <c r="G14" s="557"/>
      <c r="H14" s="559"/>
      <c r="I14" s="558"/>
      <c r="J14" s="558"/>
      <c r="K14" s="379"/>
      <c r="L14" s="379"/>
      <c r="M14" s="379"/>
      <c r="N14" s="379"/>
      <c r="O14" s="28"/>
      <c r="P14" s="588"/>
      <c r="Q14" s="627"/>
      <c r="R14" s="627"/>
      <c r="S14" s="627"/>
      <c r="X14" s="391"/>
      <c r="Y14" s="391"/>
      <c r="Z14" s="391"/>
    </row>
    <row r="15" spans="1:26" s="625" customFormat="1">
      <c r="A15" s="261"/>
      <c r="B15" s="261"/>
      <c r="C15" s="262"/>
      <c r="D15" s="627" t="s">
        <v>35</v>
      </c>
      <c r="E15" s="626"/>
      <c r="F15" s="586"/>
      <c r="G15" s="557"/>
      <c r="H15" s="559"/>
      <c r="I15" s="558"/>
      <c r="J15" s="558"/>
      <c r="K15" s="307"/>
      <c r="L15" s="307"/>
      <c r="M15" s="307"/>
      <c r="N15" s="307"/>
      <c r="O15" s="308"/>
      <c r="P15" s="627"/>
      <c r="Q15" s="627"/>
      <c r="R15" s="627"/>
      <c r="S15" s="627"/>
      <c r="X15" s="391"/>
      <c r="Y15" s="391"/>
      <c r="Z15" s="391"/>
    </row>
    <row r="16" spans="1:26" s="625" customFormat="1">
      <c r="A16" s="261"/>
      <c r="B16" s="261"/>
      <c r="C16" s="262"/>
      <c r="D16" s="560" t="s">
        <v>63</v>
      </c>
      <c r="E16" s="626"/>
      <c r="F16" s="586"/>
      <c r="G16" s="557"/>
      <c r="H16" s="559"/>
      <c r="I16" s="558"/>
      <c r="J16" s="558"/>
      <c r="K16" s="307"/>
      <c r="L16" s="307"/>
      <c r="M16" s="307"/>
      <c r="N16" s="307"/>
      <c r="O16" s="308"/>
      <c r="P16" s="627"/>
      <c r="Q16" s="627"/>
      <c r="R16" s="627"/>
      <c r="S16" s="627"/>
      <c r="X16" s="391"/>
      <c r="Y16" s="391"/>
      <c r="Z16" s="391"/>
    </row>
    <row r="17" spans="1:26" s="625" customFormat="1">
      <c r="A17" s="261"/>
      <c r="B17" s="261"/>
      <c r="C17" s="262"/>
      <c r="D17" s="625" t="s">
        <v>66</v>
      </c>
      <c r="E17" s="626"/>
      <c r="F17" s="586"/>
      <c r="G17" s="557"/>
      <c r="H17" s="559"/>
      <c r="I17" s="558"/>
      <c r="J17" s="558"/>
      <c r="K17" s="307"/>
      <c r="L17" s="307"/>
      <c r="M17" s="307"/>
      <c r="N17" s="307"/>
      <c r="O17" s="308"/>
      <c r="P17" s="627"/>
      <c r="Q17" s="627"/>
      <c r="R17" s="627"/>
      <c r="S17" s="627"/>
      <c r="X17" s="391"/>
      <c r="Y17" s="391"/>
      <c r="Z17" s="391"/>
    </row>
    <row r="18" spans="1:26" s="625" customFormat="1">
      <c r="A18" s="261"/>
      <c r="B18" s="261"/>
      <c r="C18" s="262"/>
      <c r="D18" s="625" t="s">
        <v>64</v>
      </c>
      <c r="E18" s="336"/>
      <c r="F18" s="373"/>
      <c r="G18" s="376"/>
      <c r="H18" s="377"/>
      <c r="I18" s="378"/>
      <c r="J18" s="378"/>
      <c r="K18" s="307"/>
      <c r="L18" s="307"/>
      <c r="M18" s="307"/>
      <c r="N18" s="307"/>
      <c r="O18" s="308"/>
      <c r="P18" s="627"/>
      <c r="Q18" s="627"/>
      <c r="R18" s="627"/>
      <c r="S18" s="627"/>
      <c r="X18" s="391"/>
      <c r="Y18" s="391"/>
      <c r="Z18" s="391"/>
    </row>
    <row r="19" spans="1:26" s="625" customFormat="1">
      <c r="A19" s="261"/>
      <c r="B19" s="261"/>
      <c r="C19" s="262"/>
      <c r="D19" s="625" t="s">
        <v>68</v>
      </c>
      <c r="E19" s="336"/>
      <c r="F19" s="373"/>
      <c r="G19" s="376"/>
      <c r="H19" s="377"/>
      <c r="I19" s="378"/>
      <c r="J19" s="378"/>
      <c r="K19" s="307"/>
      <c r="L19" s="307"/>
      <c r="M19" s="307"/>
      <c r="N19" s="307"/>
      <c r="O19" s="308"/>
      <c r="P19" s="627"/>
      <c r="Q19" s="627"/>
      <c r="R19" s="627"/>
      <c r="S19" s="627"/>
      <c r="X19" s="391"/>
      <c r="Y19" s="391"/>
      <c r="Z19" s="391"/>
    </row>
    <row r="20" spans="1:26" s="625" customFormat="1">
      <c r="A20" s="261"/>
      <c r="B20" s="261"/>
      <c r="C20" s="262"/>
      <c r="D20" s="625" t="s">
        <v>69</v>
      </c>
      <c r="E20" s="336"/>
      <c r="F20" s="373"/>
      <c r="G20" s="376"/>
      <c r="H20" s="377"/>
      <c r="I20" s="378"/>
      <c r="J20" s="378"/>
      <c r="K20" s="307"/>
      <c r="L20" s="307"/>
      <c r="M20" s="307"/>
      <c r="N20" s="307"/>
      <c r="O20" s="308"/>
      <c r="P20" s="627"/>
      <c r="Q20" s="627"/>
      <c r="R20" s="627"/>
      <c r="S20" s="627"/>
      <c r="X20" s="391"/>
      <c r="Y20" s="391"/>
      <c r="Z20" s="391"/>
    </row>
    <row r="21" spans="1:26" s="625" customFormat="1">
      <c r="A21" s="261"/>
      <c r="B21" s="261"/>
      <c r="C21" s="262"/>
      <c r="D21" s="625" t="s">
        <v>116</v>
      </c>
      <c r="E21" s="336"/>
      <c r="F21" s="373"/>
      <c r="G21" s="376"/>
      <c r="H21" s="377"/>
      <c r="I21" s="378"/>
      <c r="J21" s="378"/>
      <c r="K21" s="307"/>
      <c r="L21" s="307"/>
      <c r="M21" s="307"/>
      <c r="N21" s="307"/>
      <c r="O21" s="308"/>
      <c r="P21" s="627"/>
      <c r="Q21" s="627"/>
      <c r="R21" s="627"/>
      <c r="S21" s="627"/>
      <c r="X21" s="391"/>
      <c r="Y21" s="391"/>
      <c r="Z21" s="391"/>
    </row>
    <row r="22" spans="1:26" s="625" customFormat="1">
      <c r="A22" s="261"/>
      <c r="B22" s="261"/>
      <c r="C22" s="262"/>
      <c r="D22" s="625" t="s">
        <v>67</v>
      </c>
      <c r="E22" s="336"/>
      <c r="F22" s="373"/>
      <c r="G22" s="376"/>
      <c r="H22" s="377"/>
      <c r="I22" s="378"/>
      <c r="J22" s="378"/>
      <c r="K22" s="307"/>
      <c r="L22" s="307"/>
      <c r="M22" s="307"/>
      <c r="N22" s="307"/>
      <c r="O22" s="308"/>
      <c r="P22" s="627"/>
      <c r="Q22" s="627"/>
      <c r="R22" s="627"/>
      <c r="S22" s="627"/>
      <c r="X22" s="391"/>
      <c r="Y22" s="391"/>
      <c r="Z22" s="391"/>
    </row>
  </sheetData>
  <phoneticPr fontId="18" type="noConversion"/>
  <conditionalFormatting sqref="I7:I12">
    <cfRule type="cellIs" dxfId="32" priority="1" operator="lessThan">
      <formula>4</formula>
    </cfRule>
  </conditionalFormatting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7">
    <tabColor theme="4"/>
    <pageSetUpPr fitToPage="1"/>
  </sheetPr>
  <dimension ref="A1:AL100"/>
  <sheetViews>
    <sheetView view="pageBreakPreview" topLeftCell="A58" zoomScaleNormal="100" zoomScaleSheetLayoutView="100" workbookViewId="0">
      <selection activeCell="K3" sqref="K3"/>
    </sheetView>
  </sheetViews>
  <sheetFormatPr defaultRowHeight="16.5" outlineLevelCol="1"/>
  <cols>
    <col min="1" max="1" width="5.625" style="143" customWidth="1" outlineLevel="1"/>
    <col min="2" max="2" width="6.875" style="143" customWidth="1" outlineLevel="1"/>
    <col min="3" max="3" width="6.5" style="155" customWidth="1" outlineLevel="1"/>
    <col min="4" max="4" width="9" style="155"/>
    <col min="5" max="5" width="16.5" style="155" customWidth="1"/>
    <col min="6" max="6" width="6.25" style="138" customWidth="1"/>
    <col min="7" max="7" width="8.625" style="471" customWidth="1" outlineLevel="1"/>
    <col min="8" max="8" width="11.125" style="472" customWidth="1" outlineLevel="1"/>
    <col min="9" max="9" width="10.25" style="416" customWidth="1"/>
    <col min="10" max="10" width="10" style="416" customWidth="1"/>
    <col min="11" max="11" width="8.375" style="417" customWidth="1" outlineLevel="1"/>
    <col min="12" max="12" width="8.375" style="417" customWidth="1"/>
    <col min="13" max="13" width="10.5" style="417" customWidth="1"/>
    <col min="14" max="14" width="10.125" style="417" customWidth="1"/>
    <col min="15" max="15" width="11.25" style="473" customWidth="1"/>
    <col min="16" max="16" width="9" style="9"/>
    <col min="17" max="17" width="2.5" style="9" customWidth="1"/>
    <col min="18" max="18" width="9" style="9"/>
    <col min="19" max="19" width="3" style="458" customWidth="1"/>
    <col min="20" max="20" width="7.5" style="458" customWidth="1"/>
    <col min="21" max="16384" width="9" style="458"/>
  </cols>
  <sheetData>
    <row r="1" spans="1:20" s="4" customFormat="1" ht="27.75">
      <c r="A1" s="462"/>
      <c r="B1" s="462"/>
      <c r="C1" s="480"/>
      <c r="D1" s="6"/>
      <c r="E1" s="6"/>
      <c r="F1" s="10"/>
      <c r="G1" s="11"/>
      <c r="H1" s="12"/>
      <c r="I1" s="13" t="str">
        <f>B7</f>
        <v>kevin</v>
      </c>
      <c r="J1" s="46" t="s">
        <v>29</v>
      </c>
      <c r="K1" s="14"/>
      <c r="L1" s="14"/>
      <c r="M1" s="14"/>
      <c r="N1" s="14"/>
      <c r="O1" s="27"/>
      <c r="P1" s="19"/>
      <c r="Q1" s="19"/>
      <c r="R1" s="19"/>
    </row>
    <row r="2" spans="1:20">
      <c r="D2" s="481" t="s">
        <v>74</v>
      </c>
      <c r="E2" s="652">
        <v>0</v>
      </c>
      <c r="F2" s="483" t="s">
        <v>75</v>
      </c>
      <c r="G2" s="484"/>
      <c r="H2" s="484"/>
      <c r="I2" s="485"/>
      <c r="J2" s="485" t="s">
        <v>34</v>
      </c>
      <c r="K2" s="486"/>
      <c r="L2" s="481" t="s">
        <v>20</v>
      </c>
      <c r="M2" s="487" t="s">
        <v>17</v>
      </c>
      <c r="N2" s="487" t="s">
        <v>18</v>
      </c>
      <c r="O2" s="481" t="s">
        <v>27</v>
      </c>
    </row>
    <row r="3" spans="1:20">
      <c r="D3" s="463" t="s">
        <v>76</v>
      </c>
      <c r="E3" s="649">
        <v>1000</v>
      </c>
      <c r="F3" s="464"/>
      <c r="G3" s="465"/>
      <c r="H3" s="465"/>
      <c r="I3" s="466"/>
      <c r="J3" s="467">
        <f>D5+E5</f>
        <v>0</v>
      </c>
      <c r="K3" s="468">
        <f>SUM(K7:K200)</f>
        <v>10.249999999999993</v>
      </c>
      <c r="L3" s="468">
        <f>D5</f>
        <v>0</v>
      </c>
      <c r="M3" s="468">
        <f>M6-L3</f>
        <v>9.1666666666666607</v>
      </c>
      <c r="N3" s="468">
        <f>N6</f>
        <v>1.083333333333333</v>
      </c>
      <c r="O3" s="469"/>
    </row>
    <row r="4" spans="1:20">
      <c r="D4" s="100" t="s">
        <v>43</v>
      </c>
      <c r="E4" s="100" t="s">
        <v>44</v>
      </c>
      <c r="F4" s="100" t="s">
        <v>46</v>
      </c>
      <c r="G4" s="72"/>
      <c r="H4" s="72"/>
      <c r="I4" s="73" t="s">
        <v>33</v>
      </c>
      <c r="J4" s="73" t="s">
        <v>25</v>
      </c>
      <c r="K4" s="73"/>
      <c r="L4" s="73" t="s">
        <v>12</v>
      </c>
      <c r="M4" s="73" t="s">
        <v>12</v>
      </c>
      <c r="N4" s="73" t="s">
        <v>12</v>
      </c>
      <c r="O4" s="15"/>
      <c r="P4" s="461" t="s">
        <v>23</v>
      </c>
      <c r="Q4" s="9" t="s">
        <v>30</v>
      </c>
      <c r="R4" s="15" t="s">
        <v>25</v>
      </c>
      <c r="S4" s="48" t="s">
        <v>31</v>
      </c>
      <c r="T4" s="49">
        <f>I6+J6</f>
        <v>184.00000000000003</v>
      </c>
    </row>
    <row r="5" spans="1:20">
      <c r="D5" s="651">
        <v>0</v>
      </c>
      <c r="E5" s="86">
        <v>0</v>
      </c>
      <c r="F5" s="650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15"/>
      <c r="P5" s="9" t="s">
        <v>40</v>
      </c>
      <c r="R5" s="57">
        <f>(L6+M6+N6)/160</f>
        <v>6.4062499999999953E-2</v>
      </c>
    </row>
    <row r="6" spans="1:20" ht="17.25" thickBot="1">
      <c r="A6" s="517" t="s">
        <v>0</v>
      </c>
      <c r="B6" s="517" t="s">
        <v>1</v>
      </c>
      <c r="C6" s="511" t="s">
        <v>2</v>
      </c>
      <c r="D6" s="525" t="s">
        <v>3</v>
      </c>
      <c r="E6" s="525" t="s">
        <v>4</v>
      </c>
      <c r="F6" s="507"/>
      <c r="G6" s="523"/>
      <c r="H6" s="525" t="s">
        <v>22</v>
      </c>
      <c r="I6" s="509">
        <f>SUM(I7:I200)</f>
        <v>175.48333333333335</v>
      </c>
      <c r="J6" s="509">
        <f t="shared" ref="J6:N6" si="0">SUM(J7:J200)</f>
        <v>8.5166666666666675</v>
      </c>
      <c r="K6" s="509">
        <f t="shared" si="0"/>
        <v>10.249999999999993</v>
      </c>
      <c r="L6" s="509">
        <f t="shared" si="0"/>
        <v>0</v>
      </c>
      <c r="M6" s="509">
        <f t="shared" si="0"/>
        <v>9.1666666666666607</v>
      </c>
      <c r="N6" s="509">
        <f t="shared" si="0"/>
        <v>1.083333333333333</v>
      </c>
      <c r="O6" s="513"/>
      <c r="P6" s="47"/>
    </row>
    <row r="7" spans="1:20" s="2" customFormat="1">
      <c r="A7" s="632">
        <v>13458</v>
      </c>
      <c r="B7" s="632" t="s">
        <v>108</v>
      </c>
      <c r="C7" s="632" t="s">
        <v>108</v>
      </c>
      <c r="D7" s="632" t="s">
        <v>125</v>
      </c>
      <c r="E7" s="633">
        <v>43374.361377314817</v>
      </c>
      <c r="F7" s="638">
        <v>43374.361377314817</v>
      </c>
      <c r="G7" s="634">
        <v>0.3611111111111111</v>
      </c>
      <c r="H7" s="635">
        <v>9.6</v>
      </c>
      <c r="I7" s="635">
        <v>8</v>
      </c>
      <c r="J7" s="635" t="s">
        <v>115</v>
      </c>
      <c r="K7" s="635"/>
      <c r="L7" s="635"/>
      <c r="M7" s="635"/>
      <c r="N7" s="635"/>
      <c r="O7" s="514"/>
      <c r="P7" s="9"/>
      <c r="Q7" s="8"/>
      <c r="R7" s="9"/>
    </row>
    <row r="8" spans="1:20">
      <c r="A8" s="632">
        <v>13472</v>
      </c>
      <c r="B8" s="632" t="s">
        <v>109</v>
      </c>
      <c r="C8" s="632" t="s">
        <v>108</v>
      </c>
      <c r="D8" s="632" t="s">
        <v>126</v>
      </c>
      <c r="E8" s="633">
        <v>43374.761423611111</v>
      </c>
      <c r="F8" s="638">
        <v>43374.761423611111</v>
      </c>
      <c r="G8" s="634">
        <v>0.76111111111111107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510"/>
    </row>
    <row r="9" spans="1:20">
      <c r="A9" s="632">
        <v>13475</v>
      </c>
      <c r="B9" s="632" t="s">
        <v>109</v>
      </c>
      <c r="C9" s="632" t="s">
        <v>108</v>
      </c>
      <c r="D9" s="632" t="s">
        <v>127</v>
      </c>
      <c r="E9" s="633">
        <v>43374.770914351851</v>
      </c>
      <c r="F9" s="638">
        <v>43374.770914351851</v>
      </c>
      <c r="G9" s="634">
        <v>0.77083333333333337</v>
      </c>
      <c r="H9" s="635" t="s">
        <v>115</v>
      </c>
      <c r="I9" s="635" t="s">
        <v>115</v>
      </c>
      <c r="J9" s="635" t="s">
        <v>115</v>
      </c>
      <c r="K9" s="635">
        <v>1.6166666666666663</v>
      </c>
      <c r="L9" s="635"/>
      <c r="M9" s="635">
        <v>1.6166666666666663</v>
      </c>
      <c r="N9" s="635">
        <v>0</v>
      </c>
      <c r="O9" s="508"/>
    </row>
    <row r="10" spans="1:20">
      <c r="A10" s="632">
        <v>13491</v>
      </c>
      <c r="B10" s="632" t="s">
        <v>109</v>
      </c>
      <c r="C10" s="632" t="s">
        <v>108</v>
      </c>
      <c r="D10" s="632" t="s">
        <v>128</v>
      </c>
      <c r="E10" s="633">
        <v>43374.838761574072</v>
      </c>
      <c r="F10" s="638">
        <v>43374.838761574072</v>
      </c>
      <c r="G10" s="634">
        <v>0.83819444444444446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508"/>
    </row>
    <row r="11" spans="1:20">
      <c r="A11" s="632">
        <v>13498</v>
      </c>
      <c r="B11" s="632" t="s">
        <v>108</v>
      </c>
      <c r="C11" s="632" t="s">
        <v>108</v>
      </c>
      <c r="D11" s="632" t="s">
        <v>125</v>
      </c>
      <c r="E11" s="633">
        <v>43375.364444444444</v>
      </c>
      <c r="F11" s="638">
        <v>43375.364444444444</v>
      </c>
      <c r="G11" s="634">
        <v>0.36388888888888887</v>
      </c>
      <c r="H11" s="635">
        <v>9.5833333333333321</v>
      </c>
      <c r="I11" s="635">
        <v>8</v>
      </c>
      <c r="J11" s="635" t="s">
        <v>115</v>
      </c>
      <c r="K11" s="635"/>
      <c r="L11" s="635"/>
      <c r="M11" s="635"/>
      <c r="N11" s="635"/>
      <c r="O11" s="508"/>
    </row>
    <row r="12" spans="1:20">
      <c r="A12" s="632">
        <v>13510</v>
      </c>
      <c r="B12" s="632" t="s">
        <v>109</v>
      </c>
      <c r="C12" s="632" t="s">
        <v>108</v>
      </c>
      <c r="D12" s="632" t="s">
        <v>126</v>
      </c>
      <c r="E12" s="633">
        <v>43375.76321759259</v>
      </c>
      <c r="F12" s="638">
        <v>43375.76321759259</v>
      </c>
      <c r="G12" s="634">
        <v>0.7631944444444444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508"/>
    </row>
    <row r="13" spans="1:20">
      <c r="A13" s="632">
        <v>13525</v>
      </c>
      <c r="B13" s="632" t="s">
        <v>108</v>
      </c>
      <c r="C13" s="632" t="s">
        <v>108</v>
      </c>
      <c r="D13" s="632" t="s">
        <v>125</v>
      </c>
      <c r="E13" s="633">
        <v>43376.368206018517</v>
      </c>
      <c r="F13" s="638">
        <v>43376.368206018517</v>
      </c>
      <c r="G13" s="634">
        <v>0.36805555555555558</v>
      </c>
      <c r="H13" s="635">
        <v>9.5833333333333339</v>
      </c>
      <c r="I13" s="635">
        <v>8</v>
      </c>
      <c r="J13" s="635" t="s">
        <v>115</v>
      </c>
      <c r="K13" s="635"/>
      <c r="L13" s="635"/>
      <c r="M13" s="635"/>
      <c r="N13" s="635"/>
      <c r="O13" s="508"/>
    </row>
    <row r="14" spans="1:20">
      <c r="A14" s="632">
        <v>13534</v>
      </c>
      <c r="B14" s="632" t="s">
        <v>108</v>
      </c>
      <c r="C14" s="632" t="s">
        <v>108</v>
      </c>
      <c r="D14" s="632" t="s">
        <v>126</v>
      </c>
      <c r="E14" s="633">
        <v>43376.767824074072</v>
      </c>
      <c r="F14" s="638">
        <v>43376.767824074072</v>
      </c>
      <c r="G14" s="634">
        <v>0.76736111111111116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508"/>
    </row>
    <row r="15" spans="1:20">
      <c r="A15" s="632">
        <v>13555</v>
      </c>
      <c r="B15" s="632" t="s">
        <v>108</v>
      </c>
      <c r="C15" s="632" t="s">
        <v>108</v>
      </c>
      <c r="D15" s="632" t="s">
        <v>125</v>
      </c>
      <c r="E15" s="633">
        <v>43377.364282407405</v>
      </c>
      <c r="F15" s="638">
        <v>43377.364282407405</v>
      </c>
      <c r="G15" s="634">
        <v>0.36388888888888887</v>
      </c>
      <c r="H15" s="635">
        <v>9.7666666666666675</v>
      </c>
      <c r="I15" s="635">
        <v>8</v>
      </c>
      <c r="J15" s="635" t="s">
        <v>115</v>
      </c>
      <c r="K15" s="635"/>
      <c r="L15" s="635"/>
      <c r="M15" s="635"/>
      <c r="N15" s="635"/>
      <c r="O15" s="508"/>
    </row>
    <row r="16" spans="1:20">
      <c r="A16" s="632">
        <v>13567</v>
      </c>
      <c r="B16" s="632" t="s">
        <v>109</v>
      </c>
      <c r="C16" s="632" t="s">
        <v>108</v>
      </c>
      <c r="D16" s="632" t="s">
        <v>126</v>
      </c>
      <c r="E16" s="633">
        <v>43377.771111111113</v>
      </c>
      <c r="F16" s="638">
        <v>43377.771111111113</v>
      </c>
      <c r="G16" s="634">
        <v>0.77083333333333337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508"/>
    </row>
    <row r="17" spans="1:22">
      <c r="A17" s="632">
        <v>13586</v>
      </c>
      <c r="B17" s="632" t="s">
        <v>108</v>
      </c>
      <c r="C17" s="632" t="s">
        <v>108</v>
      </c>
      <c r="D17" s="632" t="s">
        <v>125</v>
      </c>
      <c r="E17" s="633">
        <v>43378.367766203701</v>
      </c>
      <c r="F17" s="638">
        <v>43378.367766203701</v>
      </c>
      <c r="G17" s="634">
        <v>0.36736111111111108</v>
      </c>
      <c r="H17" s="635">
        <v>9.6833333333333336</v>
      </c>
      <c r="I17" s="635">
        <v>8</v>
      </c>
      <c r="J17" s="635" t="s">
        <v>115</v>
      </c>
      <c r="K17" s="635"/>
      <c r="L17" s="635"/>
      <c r="M17" s="635"/>
      <c r="N17" s="635"/>
      <c r="O17" s="539"/>
    </row>
    <row r="18" spans="1:22">
      <c r="A18" s="632">
        <v>13597</v>
      </c>
      <c r="B18" s="632" t="s">
        <v>108</v>
      </c>
      <c r="C18" s="632" t="s">
        <v>108</v>
      </c>
      <c r="D18" s="632" t="s">
        <v>126</v>
      </c>
      <c r="E18" s="633">
        <v>43378.771006944444</v>
      </c>
      <c r="F18" s="638">
        <v>43378.771006944444</v>
      </c>
      <c r="G18" s="634">
        <v>0.77083333333333337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539"/>
    </row>
    <row r="19" spans="1:22">
      <c r="A19" s="632">
        <v>13598</v>
      </c>
      <c r="B19" s="632" t="s">
        <v>108</v>
      </c>
      <c r="C19" s="632" t="s">
        <v>108</v>
      </c>
      <c r="D19" s="632" t="s">
        <v>127</v>
      </c>
      <c r="E19" s="633">
        <v>43378.771053240744</v>
      </c>
      <c r="F19" s="638">
        <v>43378.771053240744</v>
      </c>
      <c r="G19" s="634">
        <v>0.77083333333333337</v>
      </c>
      <c r="H19" s="635" t="s">
        <v>115</v>
      </c>
      <c r="I19" s="635" t="s">
        <v>115</v>
      </c>
      <c r="J19" s="635" t="s">
        <v>115</v>
      </c>
      <c r="K19" s="635">
        <v>0.36666666666666536</v>
      </c>
      <c r="L19" s="635"/>
      <c r="M19" s="635">
        <v>0.36666666666666536</v>
      </c>
      <c r="N19" s="635">
        <v>0</v>
      </c>
      <c r="O19" s="510"/>
    </row>
    <row r="20" spans="1:22">
      <c r="A20" s="632">
        <v>13610</v>
      </c>
      <c r="B20" s="632" t="s">
        <v>108</v>
      </c>
      <c r="C20" s="632" t="s">
        <v>108</v>
      </c>
      <c r="D20" s="632" t="s">
        <v>128</v>
      </c>
      <c r="E20" s="633">
        <v>43378.786423611113</v>
      </c>
      <c r="F20" s="638">
        <v>43378.786423611113</v>
      </c>
      <c r="G20" s="634">
        <v>0.78611111111111109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510"/>
    </row>
    <row r="21" spans="1:22">
      <c r="A21" s="632">
        <v>13619</v>
      </c>
      <c r="B21" s="632" t="s">
        <v>108</v>
      </c>
      <c r="C21" s="632" t="s">
        <v>108</v>
      </c>
      <c r="D21" s="632" t="s">
        <v>125</v>
      </c>
      <c r="E21" s="633">
        <v>43381.368738425925</v>
      </c>
      <c r="F21" s="638">
        <v>43381.368738425925</v>
      </c>
      <c r="G21" s="634">
        <v>0.36805555555555558</v>
      </c>
      <c r="H21" s="635">
        <v>9.6166666666666671</v>
      </c>
      <c r="I21" s="635">
        <v>8</v>
      </c>
      <c r="J21" s="635" t="s">
        <v>115</v>
      </c>
      <c r="K21" s="635"/>
      <c r="L21" s="635"/>
      <c r="M21" s="635"/>
      <c r="N21" s="635"/>
      <c r="O21" s="508"/>
    </row>
    <row r="22" spans="1:22">
      <c r="A22" s="632">
        <v>13629</v>
      </c>
      <c r="B22" s="632" t="s">
        <v>108</v>
      </c>
      <c r="C22" s="632" t="s">
        <v>108</v>
      </c>
      <c r="D22" s="632" t="s">
        <v>126</v>
      </c>
      <c r="E22" s="633">
        <v>43381.769189814811</v>
      </c>
      <c r="F22" s="638">
        <v>43381.769189814811</v>
      </c>
      <c r="G22" s="634">
        <v>0.76874999999999993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508"/>
    </row>
    <row r="23" spans="1:22">
      <c r="A23" s="632">
        <v>13632</v>
      </c>
      <c r="B23" s="632" t="s">
        <v>108</v>
      </c>
      <c r="C23" s="632" t="s">
        <v>108</v>
      </c>
      <c r="D23" s="632" t="s">
        <v>127</v>
      </c>
      <c r="E23" s="633">
        <v>43381.770798611113</v>
      </c>
      <c r="F23" s="638">
        <v>43381.770798611113</v>
      </c>
      <c r="G23" s="634">
        <v>0.77013888888888893</v>
      </c>
      <c r="H23" s="635" t="s">
        <v>115</v>
      </c>
      <c r="I23" s="635" t="s">
        <v>115</v>
      </c>
      <c r="J23" s="635" t="s">
        <v>115</v>
      </c>
      <c r="K23" s="635">
        <v>0.79999999999999982</v>
      </c>
      <c r="L23" s="635"/>
      <c r="M23" s="635">
        <v>0.79999999999999982</v>
      </c>
      <c r="N23" s="635">
        <v>0</v>
      </c>
      <c r="O23" s="508"/>
    </row>
    <row r="24" spans="1:22">
      <c r="A24" s="632">
        <v>13638</v>
      </c>
      <c r="B24" s="632" t="s">
        <v>108</v>
      </c>
      <c r="C24" s="632" t="s">
        <v>108</v>
      </c>
      <c r="D24" s="632" t="s">
        <v>128</v>
      </c>
      <c r="E24" s="633">
        <v>43381.803796296299</v>
      </c>
      <c r="F24" s="638">
        <v>43381.803796296299</v>
      </c>
      <c r="G24" s="634">
        <v>0.80347222222222225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508"/>
    </row>
    <row r="25" spans="1:22">
      <c r="A25" s="632">
        <v>13647</v>
      </c>
      <c r="B25" s="632" t="s">
        <v>108</v>
      </c>
      <c r="C25" s="632" t="s">
        <v>108</v>
      </c>
      <c r="D25" s="632" t="s">
        <v>125</v>
      </c>
      <c r="E25" s="633">
        <v>43382.373171296298</v>
      </c>
      <c r="F25" s="638">
        <v>43382.373171296298</v>
      </c>
      <c r="G25" s="634">
        <v>0.37291666666666662</v>
      </c>
      <c r="H25" s="635">
        <v>9.5500000000000007</v>
      </c>
      <c r="I25" s="635">
        <v>8</v>
      </c>
      <c r="J25" s="635" t="s">
        <v>115</v>
      </c>
      <c r="K25" s="635"/>
      <c r="L25" s="635"/>
      <c r="M25" s="635"/>
      <c r="N25" s="635"/>
      <c r="O25" s="508"/>
    </row>
    <row r="26" spans="1:22">
      <c r="A26" s="632">
        <v>13657</v>
      </c>
      <c r="B26" s="632" t="s">
        <v>108</v>
      </c>
      <c r="C26" s="632" t="s">
        <v>108</v>
      </c>
      <c r="D26" s="632" t="s">
        <v>126</v>
      </c>
      <c r="E26" s="633">
        <v>43382.771469907406</v>
      </c>
      <c r="F26" s="638">
        <v>43382.771469907406</v>
      </c>
      <c r="G26" s="634">
        <v>0.77083333333333337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508"/>
    </row>
    <row r="27" spans="1:22" s="63" customFormat="1">
      <c r="A27" s="632"/>
      <c r="B27" s="632"/>
      <c r="C27" s="632"/>
      <c r="D27" s="632" t="s">
        <v>125</v>
      </c>
      <c r="E27" s="633">
        <v>43383.354409722226</v>
      </c>
      <c r="F27" s="638">
        <v>43383.354409722226</v>
      </c>
      <c r="G27" s="634">
        <v>0.35416666666666669</v>
      </c>
      <c r="H27" s="635"/>
      <c r="I27" s="635">
        <v>0</v>
      </c>
      <c r="J27" s="635">
        <v>8</v>
      </c>
      <c r="K27" s="635"/>
      <c r="L27" s="635"/>
      <c r="M27" s="635"/>
      <c r="N27" s="635"/>
      <c r="O27" s="628" t="s">
        <v>161</v>
      </c>
      <c r="P27" s="627"/>
      <c r="Q27" s="345"/>
      <c r="R27" s="372"/>
      <c r="S27" s="372"/>
      <c r="T27" s="373"/>
      <c r="U27" s="373"/>
      <c r="V27" s="373"/>
    </row>
    <row r="28" spans="1:22" s="63" customFormat="1">
      <c r="A28" s="632"/>
      <c r="B28" s="632"/>
      <c r="C28" s="632"/>
      <c r="D28" s="632" t="s">
        <v>126</v>
      </c>
      <c r="E28" s="633">
        <v>43383.75</v>
      </c>
      <c r="F28" s="638">
        <v>43383.771435185183</v>
      </c>
      <c r="G28" s="634">
        <v>0.75</v>
      </c>
      <c r="H28" s="635"/>
      <c r="I28" s="635"/>
      <c r="J28" s="635"/>
      <c r="K28" s="635"/>
      <c r="L28" s="635"/>
      <c r="M28" s="635"/>
      <c r="N28" s="635"/>
      <c r="O28" s="628"/>
      <c r="P28" s="627"/>
      <c r="Q28" s="345"/>
      <c r="R28" s="372"/>
      <c r="S28" s="372"/>
      <c r="T28" s="373"/>
      <c r="U28" s="373"/>
      <c r="V28" s="373"/>
    </row>
    <row r="29" spans="1:22">
      <c r="A29" s="632">
        <v>13665</v>
      </c>
      <c r="B29" s="632" t="s">
        <v>108</v>
      </c>
      <c r="C29" s="632" t="s">
        <v>108</v>
      </c>
      <c r="D29" s="632" t="s">
        <v>125</v>
      </c>
      <c r="E29" s="633">
        <v>43384.367199074077</v>
      </c>
      <c r="F29" s="638">
        <v>43384.367199074077</v>
      </c>
      <c r="G29" s="634">
        <v>0.3666666666666667</v>
      </c>
      <c r="H29" s="635">
        <v>9.5499999999999989</v>
      </c>
      <c r="I29" s="635">
        <v>8</v>
      </c>
      <c r="J29" s="635" t="s">
        <v>115</v>
      </c>
      <c r="K29" s="635"/>
      <c r="L29" s="635"/>
      <c r="M29" s="635"/>
      <c r="N29" s="635"/>
      <c r="O29" s="508"/>
    </row>
    <row r="30" spans="1:22">
      <c r="A30" s="632">
        <v>13670</v>
      </c>
      <c r="B30" s="632" t="s">
        <v>109</v>
      </c>
      <c r="C30" s="632" t="s">
        <v>108</v>
      </c>
      <c r="D30" s="632" t="s">
        <v>126</v>
      </c>
      <c r="E30" s="633">
        <v>43384.764918981484</v>
      </c>
      <c r="F30" s="638">
        <v>43384.764918981484</v>
      </c>
      <c r="G30" s="634">
        <v>0.76458333333333339</v>
      </c>
      <c r="H30" s="635" t="s">
        <v>115</v>
      </c>
      <c r="I30" s="635" t="s">
        <v>115</v>
      </c>
      <c r="J30" s="635" t="s">
        <v>115</v>
      </c>
      <c r="K30" s="635"/>
      <c r="L30" s="635"/>
      <c r="M30" s="635"/>
      <c r="N30" s="635"/>
      <c r="O30" s="508"/>
    </row>
    <row r="31" spans="1:22">
      <c r="A31" s="632">
        <v>13675</v>
      </c>
      <c r="B31" s="632" t="s">
        <v>108</v>
      </c>
      <c r="C31" s="632" t="s">
        <v>108</v>
      </c>
      <c r="D31" s="632" t="s">
        <v>127</v>
      </c>
      <c r="E31" s="633">
        <v>43384.769467592596</v>
      </c>
      <c r="F31" s="638">
        <v>43384.769467592596</v>
      </c>
      <c r="G31" s="634">
        <v>0.76944444444444438</v>
      </c>
      <c r="H31" s="635" t="s">
        <v>115</v>
      </c>
      <c r="I31" s="635" t="s">
        <v>115</v>
      </c>
      <c r="J31" s="635" t="s">
        <v>115</v>
      </c>
      <c r="K31" s="635">
        <v>1.0666666666666655</v>
      </c>
      <c r="L31" s="635"/>
      <c r="M31" s="635">
        <v>1.0666666666666655</v>
      </c>
      <c r="N31" s="635">
        <v>0</v>
      </c>
      <c r="O31" s="508"/>
    </row>
    <row r="32" spans="1:22">
      <c r="A32" s="632">
        <v>13688</v>
      </c>
      <c r="B32" s="632" t="s">
        <v>108</v>
      </c>
      <c r="C32" s="632" t="s">
        <v>108</v>
      </c>
      <c r="D32" s="632" t="s">
        <v>128</v>
      </c>
      <c r="E32" s="633">
        <v>43384.813888888886</v>
      </c>
      <c r="F32" s="638">
        <v>43384.813888888886</v>
      </c>
      <c r="G32" s="634">
        <v>0.81388888888888899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508"/>
    </row>
    <row r="33" spans="1:18">
      <c r="A33" s="632">
        <v>13695</v>
      </c>
      <c r="B33" s="632" t="s">
        <v>145</v>
      </c>
      <c r="C33" s="632" t="s">
        <v>108</v>
      </c>
      <c r="D33" s="632" t="s">
        <v>125</v>
      </c>
      <c r="E33" s="633">
        <v>43385.366990740738</v>
      </c>
      <c r="F33" s="638">
        <v>43385.366990740738</v>
      </c>
      <c r="G33" s="634">
        <v>0.3666666666666667</v>
      </c>
      <c r="H33" s="635">
        <v>9.783333333333335</v>
      </c>
      <c r="I33" s="635">
        <v>8</v>
      </c>
      <c r="J33" s="635" t="s">
        <v>115</v>
      </c>
      <c r="K33" s="635"/>
      <c r="L33" s="635"/>
      <c r="M33" s="635"/>
      <c r="N33" s="635"/>
      <c r="O33" s="508"/>
    </row>
    <row r="34" spans="1:18">
      <c r="A34" s="632">
        <v>13706</v>
      </c>
      <c r="B34" s="632" t="s">
        <v>108</v>
      </c>
      <c r="C34" s="632" t="s">
        <v>108</v>
      </c>
      <c r="D34" s="632" t="s">
        <v>126</v>
      </c>
      <c r="E34" s="633">
        <v>43385.774699074071</v>
      </c>
      <c r="F34" s="638">
        <v>43385.774699074071</v>
      </c>
      <c r="G34" s="634">
        <v>0.77430555555555547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510"/>
    </row>
    <row r="35" spans="1:18">
      <c r="A35" s="632">
        <v>13707</v>
      </c>
      <c r="B35" s="632" t="s">
        <v>108</v>
      </c>
      <c r="C35" s="632" t="s">
        <v>108</v>
      </c>
      <c r="D35" s="632" t="s">
        <v>127</v>
      </c>
      <c r="E35" s="633">
        <v>43385.774745370371</v>
      </c>
      <c r="F35" s="638">
        <v>43385.774745370371</v>
      </c>
      <c r="G35" s="634">
        <v>0.77430555555555547</v>
      </c>
      <c r="H35" s="635" t="s">
        <v>115</v>
      </c>
      <c r="I35" s="635" t="s">
        <v>115</v>
      </c>
      <c r="J35" s="635" t="s">
        <v>115</v>
      </c>
      <c r="K35" s="635">
        <v>0.24999999999999911</v>
      </c>
      <c r="L35" s="635"/>
      <c r="M35" s="635">
        <v>0.24999999999999911</v>
      </c>
      <c r="N35" s="635">
        <v>0</v>
      </c>
      <c r="O35" s="539"/>
    </row>
    <row r="36" spans="1:18">
      <c r="A36" s="632">
        <v>13712</v>
      </c>
      <c r="B36" s="632" t="s">
        <v>108</v>
      </c>
      <c r="C36" s="632" t="s">
        <v>108</v>
      </c>
      <c r="D36" s="632" t="s">
        <v>128</v>
      </c>
      <c r="E36" s="633">
        <v>43385.78528935185</v>
      </c>
      <c r="F36" s="638">
        <v>43385.78528935185</v>
      </c>
      <c r="G36" s="634">
        <v>0.78472222222222221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539"/>
    </row>
    <row r="37" spans="1:18">
      <c r="A37" s="632">
        <v>13722</v>
      </c>
      <c r="B37" s="632" t="s">
        <v>108</v>
      </c>
      <c r="C37" s="632" t="s">
        <v>108</v>
      </c>
      <c r="D37" s="632" t="s">
        <v>125</v>
      </c>
      <c r="E37" s="633">
        <v>43388.362187500003</v>
      </c>
      <c r="F37" s="638">
        <v>43388.362187500003</v>
      </c>
      <c r="G37" s="634">
        <v>0.36180555555555555</v>
      </c>
      <c r="H37" s="635">
        <v>9.6166666666666654</v>
      </c>
      <c r="I37" s="635">
        <v>8</v>
      </c>
      <c r="J37" s="635" t="s">
        <v>115</v>
      </c>
      <c r="K37" s="635"/>
      <c r="L37" s="635"/>
      <c r="M37" s="635"/>
      <c r="N37" s="635"/>
      <c r="O37" s="539"/>
    </row>
    <row r="38" spans="1:18">
      <c r="A38" s="632">
        <v>13734</v>
      </c>
      <c r="B38" s="632" t="s">
        <v>109</v>
      </c>
      <c r="C38" s="632" t="s">
        <v>108</v>
      </c>
      <c r="D38" s="632" t="s">
        <v>126</v>
      </c>
      <c r="E38" s="633">
        <v>43388.76284722222</v>
      </c>
      <c r="F38" s="638">
        <v>43388.76284722222</v>
      </c>
      <c r="G38" s="634">
        <v>0.76250000000000007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539"/>
    </row>
    <row r="39" spans="1:18">
      <c r="A39" s="632">
        <v>13735</v>
      </c>
      <c r="B39" s="632" t="s">
        <v>109</v>
      </c>
      <c r="C39" s="632" t="s">
        <v>108</v>
      </c>
      <c r="D39" s="632" t="s">
        <v>127</v>
      </c>
      <c r="E39" s="633">
        <v>43388.767361111109</v>
      </c>
      <c r="F39" s="638">
        <v>43388.767361111109</v>
      </c>
      <c r="G39" s="634">
        <v>0.76736111111111116</v>
      </c>
      <c r="H39" s="635" t="s">
        <v>115</v>
      </c>
      <c r="I39" s="635" t="s">
        <v>115</v>
      </c>
      <c r="J39" s="635" t="s">
        <v>115</v>
      </c>
      <c r="K39" s="635">
        <v>0.91666666666666607</v>
      </c>
      <c r="L39" s="635"/>
      <c r="M39" s="635">
        <v>0.91666666666666607</v>
      </c>
      <c r="N39" s="635">
        <v>0</v>
      </c>
      <c r="O39" s="539"/>
    </row>
    <row r="40" spans="1:18">
      <c r="A40" s="632">
        <v>13744</v>
      </c>
      <c r="B40" s="632" t="s">
        <v>109</v>
      </c>
      <c r="C40" s="632" t="s">
        <v>108</v>
      </c>
      <c r="D40" s="632" t="s">
        <v>128</v>
      </c>
      <c r="E40" s="633">
        <v>43388.805891203701</v>
      </c>
      <c r="F40" s="638">
        <v>43388.805891203701</v>
      </c>
      <c r="G40" s="634">
        <v>0.80555555555555547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539"/>
    </row>
    <row r="41" spans="1:18">
      <c r="A41" s="632">
        <v>13751</v>
      </c>
      <c r="B41" s="632" t="s">
        <v>108</v>
      </c>
      <c r="C41" s="632" t="s">
        <v>108</v>
      </c>
      <c r="D41" s="632" t="s">
        <v>125</v>
      </c>
      <c r="E41" s="633">
        <v>43389.368530092594</v>
      </c>
      <c r="F41" s="638">
        <v>43389.368530092594</v>
      </c>
      <c r="G41" s="634">
        <v>0.36805555555555558</v>
      </c>
      <c r="H41" s="635">
        <v>9.5500000000000007</v>
      </c>
      <c r="I41" s="635">
        <v>8</v>
      </c>
      <c r="J41" s="635" t="s">
        <v>115</v>
      </c>
      <c r="K41" s="635"/>
      <c r="L41" s="635"/>
      <c r="M41" s="635"/>
      <c r="N41" s="635"/>
      <c r="O41" s="505"/>
    </row>
    <row r="42" spans="1:18">
      <c r="A42" s="632">
        <v>13760</v>
      </c>
      <c r="B42" s="632" t="s">
        <v>108</v>
      </c>
      <c r="C42" s="632" t="s">
        <v>108</v>
      </c>
      <c r="D42" s="632" t="s">
        <v>126</v>
      </c>
      <c r="E42" s="633">
        <v>43389.766539351855</v>
      </c>
      <c r="F42" s="638">
        <v>43389.766539351855</v>
      </c>
      <c r="G42" s="634">
        <v>0.76597222222222217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505"/>
    </row>
    <row r="43" spans="1:18">
      <c r="A43" s="632">
        <v>13782</v>
      </c>
      <c r="B43" s="632" t="s">
        <v>108</v>
      </c>
      <c r="C43" s="632" t="s">
        <v>108</v>
      </c>
      <c r="D43" s="632" t="s">
        <v>125</v>
      </c>
      <c r="E43" s="633">
        <v>43390.371863425928</v>
      </c>
      <c r="F43" s="638">
        <v>43390.371863425928</v>
      </c>
      <c r="G43" s="634">
        <v>0.37152777777777773</v>
      </c>
      <c r="H43" s="635">
        <v>9.6833333333333336</v>
      </c>
      <c r="I43" s="635">
        <v>8</v>
      </c>
      <c r="J43" s="635" t="s">
        <v>115</v>
      </c>
      <c r="K43" s="635"/>
      <c r="L43" s="635"/>
      <c r="M43" s="635"/>
      <c r="N43" s="635"/>
      <c r="O43" s="505"/>
    </row>
    <row r="44" spans="1:18">
      <c r="A44" s="632">
        <v>13792</v>
      </c>
      <c r="B44" s="632" t="s">
        <v>108</v>
      </c>
      <c r="C44" s="632" t="s">
        <v>108</v>
      </c>
      <c r="D44" s="632" t="s">
        <v>126</v>
      </c>
      <c r="E44" s="633">
        <v>43390.775509259256</v>
      </c>
      <c r="F44" s="638">
        <v>43390.775509259256</v>
      </c>
      <c r="G44" s="634">
        <v>0.77500000000000002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505"/>
    </row>
    <row r="45" spans="1:18">
      <c r="A45" s="632">
        <v>13810</v>
      </c>
      <c r="B45" s="632" t="s">
        <v>108</v>
      </c>
      <c r="C45" s="632" t="s">
        <v>108</v>
      </c>
      <c r="D45" s="632" t="s">
        <v>125</v>
      </c>
      <c r="E45" s="633">
        <v>43391.366608796299</v>
      </c>
      <c r="F45" s="638">
        <v>43391.366608796299</v>
      </c>
      <c r="G45" s="634">
        <v>0.3659722222222222</v>
      </c>
      <c r="H45" s="635">
        <v>9.7000000000000011</v>
      </c>
      <c r="I45" s="635">
        <v>8</v>
      </c>
      <c r="J45" s="635" t="s">
        <v>115</v>
      </c>
      <c r="K45" s="635"/>
      <c r="L45" s="635"/>
      <c r="M45" s="635"/>
      <c r="N45" s="635"/>
      <c r="O45" s="508"/>
    </row>
    <row r="46" spans="1:18">
      <c r="A46" s="632">
        <v>13819</v>
      </c>
      <c r="B46" s="632" t="s">
        <v>109</v>
      </c>
      <c r="C46" s="632" t="s">
        <v>108</v>
      </c>
      <c r="D46" s="632" t="s">
        <v>126</v>
      </c>
      <c r="E46" s="633">
        <v>43391.770520833335</v>
      </c>
      <c r="F46" s="638">
        <v>43391.770520833335</v>
      </c>
      <c r="G46" s="634">
        <v>0.77013888888888893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508"/>
    </row>
    <row r="47" spans="1:18" s="562" customFormat="1">
      <c r="A47" s="632">
        <v>13828</v>
      </c>
      <c r="B47" s="632" t="s">
        <v>108</v>
      </c>
      <c r="C47" s="632" t="s">
        <v>108</v>
      </c>
      <c r="D47" s="632" t="s">
        <v>125</v>
      </c>
      <c r="E47" s="633">
        <v>43392.36509259259</v>
      </c>
      <c r="F47" s="638">
        <v>43392.36509259259</v>
      </c>
      <c r="G47" s="634">
        <v>0.36458333333333331</v>
      </c>
      <c r="H47" s="635">
        <v>9.4833333333333325</v>
      </c>
      <c r="I47" s="635">
        <v>7.9833333333333325</v>
      </c>
      <c r="J47" s="635">
        <v>1.6666666666667496E-2</v>
      </c>
      <c r="K47" s="635"/>
      <c r="L47" s="635"/>
      <c r="M47" s="635"/>
      <c r="N47" s="635"/>
      <c r="O47" s="539"/>
      <c r="P47" s="444"/>
      <c r="Q47" s="444"/>
      <c r="R47" s="444"/>
    </row>
    <row r="48" spans="1:18" s="562" customFormat="1">
      <c r="A48" s="632">
        <v>13839</v>
      </c>
      <c r="B48" s="632" t="s">
        <v>109</v>
      </c>
      <c r="C48" s="632" t="s">
        <v>108</v>
      </c>
      <c r="D48" s="632" t="s">
        <v>126</v>
      </c>
      <c r="E48" s="633">
        <v>43392.759826388887</v>
      </c>
      <c r="F48" s="638">
        <v>43392.759826388887</v>
      </c>
      <c r="G48" s="634">
        <v>0.7597222222222223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539"/>
      <c r="P48" s="444"/>
      <c r="Q48" s="444"/>
      <c r="R48" s="444"/>
    </row>
    <row r="49" spans="1:15">
      <c r="A49" s="632">
        <v>13847</v>
      </c>
      <c r="B49" s="632" t="s">
        <v>108</v>
      </c>
      <c r="C49" s="632" t="s">
        <v>108</v>
      </c>
      <c r="D49" s="632" t="s">
        <v>125</v>
      </c>
      <c r="E49" s="633">
        <v>43395.363483796296</v>
      </c>
      <c r="F49" s="638">
        <v>43395.363483796296</v>
      </c>
      <c r="G49" s="634">
        <v>0.36319444444444443</v>
      </c>
      <c r="H49" s="635">
        <v>9.6499999999999986</v>
      </c>
      <c r="I49" s="635">
        <v>8</v>
      </c>
      <c r="J49" s="635" t="s">
        <v>115</v>
      </c>
      <c r="K49" s="635"/>
      <c r="L49" s="635"/>
      <c r="M49" s="635"/>
      <c r="N49" s="635"/>
      <c r="O49" s="539"/>
    </row>
    <row r="50" spans="1:15">
      <c r="A50" s="632">
        <v>13855</v>
      </c>
      <c r="B50" s="632" t="s">
        <v>108</v>
      </c>
      <c r="C50" s="632" t="s">
        <v>108</v>
      </c>
      <c r="D50" s="632" t="s">
        <v>126</v>
      </c>
      <c r="E50" s="633">
        <v>43395.7655787037</v>
      </c>
      <c r="F50" s="638">
        <v>43395.7655787037</v>
      </c>
      <c r="G50" s="634">
        <v>0.76527777777777783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539"/>
    </row>
    <row r="51" spans="1:15">
      <c r="A51" s="632">
        <v>13865</v>
      </c>
      <c r="B51" s="632" t="s">
        <v>108</v>
      </c>
      <c r="C51" s="632" t="s">
        <v>108</v>
      </c>
      <c r="D51" s="632" t="s">
        <v>127</v>
      </c>
      <c r="E51" s="633">
        <v>43395.772245370368</v>
      </c>
      <c r="F51" s="638">
        <v>43395.772245370368</v>
      </c>
      <c r="G51" s="634">
        <v>0.77222222222222225</v>
      </c>
      <c r="H51" s="635" t="s">
        <v>115</v>
      </c>
      <c r="I51" s="635" t="s">
        <v>115</v>
      </c>
      <c r="J51" s="635" t="s">
        <v>115</v>
      </c>
      <c r="K51" s="635">
        <v>0.83333333333333304</v>
      </c>
      <c r="L51" s="635"/>
      <c r="M51" s="635">
        <v>0.83333333333333304</v>
      </c>
      <c r="N51" s="635">
        <v>0</v>
      </c>
      <c r="O51" s="539"/>
    </row>
    <row r="52" spans="1:15">
      <c r="A52" s="632">
        <v>13870</v>
      </c>
      <c r="B52" s="632" t="s">
        <v>109</v>
      </c>
      <c r="C52" s="632" t="s">
        <v>108</v>
      </c>
      <c r="D52" s="632" t="s">
        <v>128</v>
      </c>
      <c r="E52" s="633">
        <v>43395.806967592594</v>
      </c>
      <c r="F52" s="638">
        <v>43395.806967592594</v>
      </c>
      <c r="G52" s="634">
        <v>0.80694444444444446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O52" s="539"/>
    </row>
    <row r="53" spans="1:15">
      <c r="A53" s="632">
        <v>13884</v>
      </c>
      <c r="B53" s="632" t="s">
        <v>108</v>
      </c>
      <c r="C53" s="632" t="s">
        <v>108</v>
      </c>
      <c r="D53" s="632" t="s">
        <v>125</v>
      </c>
      <c r="E53" s="633">
        <v>43396.371307870373</v>
      </c>
      <c r="F53" s="638">
        <v>43396.371307870373</v>
      </c>
      <c r="G53" s="634">
        <v>0.37083333333333335</v>
      </c>
      <c r="H53" s="635">
        <v>9.6166666666666671</v>
      </c>
      <c r="I53" s="635">
        <v>8</v>
      </c>
      <c r="J53" s="635" t="s">
        <v>115</v>
      </c>
      <c r="K53" s="635"/>
      <c r="L53" s="635"/>
      <c r="M53" s="635"/>
      <c r="N53" s="635"/>
      <c r="O53" s="539"/>
    </row>
    <row r="54" spans="1:15">
      <c r="A54" s="632">
        <v>13901</v>
      </c>
      <c r="B54" s="632" t="s">
        <v>109</v>
      </c>
      <c r="C54" s="632" t="s">
        <v>108</v>
      </c>
      <c r="D54" s="632" t="s">
        <v>126</v>
      </c>
      <c r="E54" s="633">
        <v>43396.771562499998</v>
      </c>
      <c r="F54" s="638">
        <v>43396.771562499998</v>
      </c>
      <c r="G54" s="634">
        <v>0.7715277777777777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  <c r="O54" s="539"/>
    </row>
    <row r="55" spans="1:15">
      <c r="A55" s="632">
        <v>13902</v>
      </c>
      <c r="B55" s="632" t="s">
        <v>109</v>
      </c>
      <c r="C55" s="632" t="s">
        <v>108</v>
      </c>
      <c r="D55" s="632" t="s">
        <v>127</v>
      </c>
      <c r="E55" s="633">
        <v>43396.771585648145</v>
      </c>
      <c r="F55" s="638">
        <v>43396.771585648145</v>
      </c>
      <c r="G55" s="634">
        <v>0.7715277777777777</v>
      </c>
      <c r="H55" s="635" t="s">
        <v>115</v>
      </c>
      <c r="I55" s="635" t="s">
        <v>115</v>
      </c>
      <c r="J55" s="635" t="s">
        <v>115</v>
      </c>
      <c r="K55" s="635">
        <v>3.083333333333333</v>
      </c>
      <c r="L55" s="635"/>
      <c r="M55" s="635">
        <v>2</v>
      </c>
      <c r="N55" s="635">
        <v>1.083333333333333</v>
      </c>
      <c r="O55" s="539"/>
    </row>
    <row r="56" spans="1:15">
      <c r="A56" s="632">
        <v>13910</v>
      </c>
      <c r="B56" s="632" t="s">
        <v>108</v>
      </c>
      <c r="C56" s="632" t="s">
        <v>108</v>
      </c>
      <c r="D56" s="632" t="s">
        <v>128</v>
      </c>
      <c r="E56" s="633">
        <v>43396.900462962964</v>
      </c>
      <c r="F56" s="638">
        <v>43396.900462962964</v>
      </c>
      <c r="G56" s="634">
        <v>0.9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  <c r="O56" s="539"/>
    </row>
    <row r="57" spans="1:15">
      <c r="A57" s="632">
        <v>13918</v>
      </c>
      <c r="B57" s="632" t="s">
        <v>108</v>
      </c>
      <c r="C57" s="632" t="s">
        <v>108</v>
      </c>
      <c r="D57" s="585" t="s">
        <v>141</v>
      </c>
      <c r="E57" s="534">
        <v>43397.389606481483</v>
      </c>
      <c r="F57" s="582">
        <v>43397.389606481483</v>
      </c>
      <c r="G57" s="538">
        <v>0.38958333333333334</v>
      </c>
      <c r="H57" s="521">
        <v>9.25</v>
      </c>
      <c r="I57" s="521">
        <v>7.5</v>
      </c>
      <c r="J57" s="521">
        <v>0.5</v>
      </c>
      <c r="K57" s="521"/>
      <c r="L57" s="521"/>
      <c r="M57" s="521"/>
      <c r="N57" s="521"/>
      <c r="O57" s="648" t="s">
        <v>164</v>
      </c>
    </row>
    <row r="58" spans="1:15">
      <c r="A58" s="632">
        <v>13925</v>
      </c>
      <c r="B58" s="632" t="s">
        <v>109</v>
      </c>
      <c r="C58" s="632" t="s">
        <v>108</v>
      </c>
      <c r="D58" s="632" t="s">
        <v>126</v>
      </c>
      <c r="E58" s="633">
        <v>43397.77516203704</v>
      </c>
      <c r="F58" s="638">
        <v>43397.77516203704</v>
      </c>
      <c r="G58" s="634">
        <v>0.77500000000000002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  <c r="O58" s="539"/>
    </row>
    <row r="59" spans="1:15">
      <c r="A59" s="632">
        <v>13926</v>
      </c>
      <c r="B59" s="632" t="s">
        <v>109</v>
      </c>
      <c r="C59" s="632" t="s">
        <v>108</v>
      </c>
      <c r="D59" s="632" t="s">
        <v>127</v>
      </c>
      <c r="E59" s="633">
        <v>43397.775208333333</v>
      </c>
      <c r="F59" s="638">
        <v>43397.775208333333</v>
      </c>
      <c r="G59" s="634">
        <v>0.77500000000000002</v>
      </c>
      <c r="H59" s="635" t="s">
        <v>115</v>
      </c>
      <c r="I59" s="635" t="s">
        <v>115</v>
      </c>
      <c r="J59" s="635" t="s">
        <v>115</v>
      </c>
      <c r="K59" s="635">
        <v>1.133333333333332</v>
      </c>
      <c r="L59" s="635"/>
      <c r="M59" s="635">
        <v>1.133333333333332</v>
      </c>
      <c r="N59" s="635">
        <v>0</v>
      </c>
      <c r="O59" s="539"/>
    </row>
    <row r="60" spans="1:15">
      <c r="A60" s="632">
        <v>13932</v>
      </c>
      <c r="B60" s="632" t="s">
        <v>109</v>
      </c>
      <c r="C60" s="632" t="s">
        <v>108</v>
      </c>
      <c r="D60" s="632" t="s">
        <v>128</v>
      </c>
      <c r="E60" s="633">
        <v>43397.822662037041</v>
      </c>
      <c r="F60" s="638">
        <v>43397.822662037041</v>
      </c>
      <c r="G60" s="634">
        <v>0.8222222222222223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  <c r="O60" s="539"/>
    </row>
    <row r="61" spans="1:15">
      <c r="A61" s="632">
        <v>13938</v>
      </c>
      <c r="B61" s="632" t="s">
        <v>108</v>
      </c>
      <c r="C61" s="632" t="s">
        <v>108</v>
      </c>
      <c r="D61" s="632" t="s">
        <v>125</v>
      </c>
      <c r="E61" s="633">
        <v>43398.368263888886</v>
      </c>
      <c r="F61" s="638">
        <v>43398.368263888886</v>
      </c>
      <c r="G61" s="634">
        <v>0.36805555555555558</v>
      </c>
      <c r="H61" s="635">
        <v>9.65</v>
      </c>
      <c r="I61" s="635">
        <v>8</v>
      </c>
      <c r="J61" s="635" t="s">
        <v>115</v>
      </c>
      <c r="K61" s="635"/>
      <c r="L61" s="635"/>
      <c r="M61" s="635"/>
      <c r="N61" s="635"/>
      <c r="O61" s="539"/>
    </row>
    <row r="62" spans="1:15">
      <c r="A62" s="632">
        <v>13946</v>
      </c>
      <c r="B62" s="632" t="s">
        <v>109</v>
      </c>
      <c r="C62" s="632" t="s">
        <v>108</v>
      </c>
      <c r="D62" s="632" t="s">
        <v>126</v>
      </c>
      <c r="E62" s="633">
        <v>43398.770671296297</v>
      </c>
      <c r="F62" s="638">
        <v>43398.770671296297</v>
      </c>
      <c r="G62" s="634">
        <v>0.77013888888888893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  <c r="O62" s="539"/>
    </row>
    <row r="63" spans="1:15">
      <c r="A63" s="632">
        <v>13965</v>
      </c>
      <c r="B63" s="632" t="s">
        <v>108</v>
      </c>
      <c r="C63" s="632" t="s">
        <v>108</v>
      </c>
      <c r="D63" s="632" t="s">
        <v>125</v>
      </c>
      <c r="E63" s="633">
        <v>43399.371215277781</v>
      </c>
      <c r="F63" s="638">
        <v>43399.371215277781</v>
      </c>
      <c r="G63" s="634">
        <v>0.37083333333333335</v>
      </c>
      <c r="H63" s="635">
        <v>9.5166666666666675</v>
      </c>
      <c r="I63" s="635">
        <v>8</v>
      </c>
      <c r="J63" s="635" t="s">
        <v>115</v>
      </c>
      <c r="K63" s="635"/>
      <c r="L63" s="635"/>
      <c r="M63" s="635"/>
      <c r="N63" s="635"/>
      <c r="O63" s="539"/>
    </row>
    <row r="64" spans="1:15">
      <c r="A64" s="632">
        <v>13967</v>
      </c>
      <c r="B64" s="632" t="s">
        <v>108</v>
      </c>
      <c r="C64" s="632" t="s">
        <v>108</v>
      </c>
      <c r="D64" s="632" t="s">
        <v>126</v>
      </c>
      <c r="E64" s="633">
        <v>43399.767604166664</v>
      </c>
      <c r="F64" s="638">
        <v>43399.767604166664</v>
      </c>
      <c r="G64" s="634">
        <v>0.76736111111111116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  <c r="O64" s="539"/>
    </row>
    <row r="65" spans="1:18">
      <c r="A65" s="632">
        <v>13970</v>
      </c>
      <c r="B65" s="632" t="s">
        <v>108</v>
      </c>
      <c r="C65" s="632" t="s">
        <v>108</v>
      </c>
      <c r="D65" s="632" t="s">
        <v>127</v>
      </c>
      <c r="E65" s="633">
        <v>43399.771817129629</v>
      </c>
      <c r="F65" s="638">
        <v>43399.771817129629</v>
      </c>
      <c r="G65" s="634">
        <v>0.7715277777777777</v>
      </c>
      <c r="H65" s="635" t="s">
        <v>115</v>
      </c>
      <c r="I65" s="635" t="s">
        <v>115</v>
      </c>
      <c r="J65" s="635" t="s">
        <v>115</v>
      </c>
      <c r="K65" s="635">
        <v>0.18333333333333268</v>
      </c>
      <c r="L65" s="635"/>
      <c r="M65" s="635">
        <v>0.18333333333333268</v>
      </c>
      <c r="N65" s="635">
        <v>0</v>
      </c>
      <c r="O65" s="539"/>
    </row>
    <row r="66" spans="1:18">
      <c r="A66" s="632">
        <v>13974</v>
      </c>
      <c r="B66" s="632" t="s">
        <v>108</v>
      </c>
      <c r="C66" s="632" t="s">
        <v>108</v>
      </c>
      <c r="D66" s="632" t="s">
        <v>128</v>
      </c>
      <c r="E66" s="633">
        <v>43399.779780092591</v>
      </c>
      <c r="F66" s="638">
        <v>43399.779780092591</v>
      </c>
      <c r="G66" s="634">
        <v>0.77916666666666667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  <c r="O66" s="539"/>
    </row>
    <row r="67" spans="1:18">
      <c r="A67" s="632">
        <v>13982</v>
      </c>
      <c r="B67" s="632" t="s">
        <v>108</v>
      </c>
      <c r="C67" s="632" t="s">
        <v>108</v>
      </c>
      <c r="D67" s="632" t="s">
        <v>125</v>
      </c>
      <c r="E67" s="633">
        <v>43402.366493055553</v>
      </c>
      <c r="F67" s="638">
        <v>43402.366493055553</v>
      </c>
      <c r="G67" s="634">
        <v>0.3659722222222222</v>
      </c>
      <c r="H67" s="635">
        <v>9.8833333333333346</v>
      </c>
      <c r="I67" s="635">
        <v>8</v>
      </c>
      <c r="J67" s="635" t="s">
        <v>115</v>
      </c>
      <c r="K67" s="635"/>
      <c r="L67" s="635"/>
      <c r="M67" s="635"/>
      <c r="N67" s="635"/>
      <c r="O67" s="539"/>
    </row>
    <row r="68" spans="1:18">
      <c r="A68" s="632">
        <v>13997</v>
      </c>
      <c r="B68" s="632" t="s">
        <v>108</v>
      </c>
      <c r="C68" s="632" t="s">
        <v>108</v>
      </c>
      <c r="D68" s="632" t="s">
        <v>126</v>
      </c>
      <c r="E68" s="633">
        <v>43402.777905092589</v>
      </c>
      <c r="F68" s="638">
        <v>43402.777905092589</v>
      </c>
      <c r="G68" s="634">
        <v>0.77777777777777779</v>
      </c>
      <c r="H68" s="635" t="s">
        <v>115</v>
      </c>
      <c r="I68" s="635" t="s">
        <v>115</v>
      </c>
      <c r="J68" s="635" t="s">
        <v>115</v>
      </c>
      <c r="K68" s="635"/>
      <c r="L68" s="635"/>
      <c r="M68" s="635"/>
      <c r="N68" s="635"/>
      <c r="O68" s="539"/>
    </row>
    <row r="69" spans="1:18">
      <c r="A69" s="632">
        <v>14009</v>
      </c>
      <c r="B69" s="632" t="s">
        <v>108</v>
      </c>
      <c r="C69" s="632" t="s">
        <v>108</v>
      </c>
      <c r="D69" s="632" t="s">
        <v>125</v>
      </c>
      <c r="E69" s="633">
        <v>43403.367025462961</v>
      </c>
      <c r="F69" s="638">
        <v>43403.367025462961</v>
      </c>
      <c r="G69" s="634">
        <v>0.3666666666666667</v>
      </c>
      <c r="H69" s="635">
        <v>9.6500000000000021</v>
      </c>
      <c r="I69" s="635">
        <v>8</v>
      </c>
      <c r="J69" s="635" t="s">
        <v>115</v>
      </c>
      <c r="K69" s="635"/>
      <c r="L69" s="635"/>
      <c r="M69" s="635"/>
      <c r="N69" s="635"/>
      <c r="O69" s="539"/>
    </row>
    <row r="70" spans="1:18">
      <c r="A70" s="632">
        <v>14021</v>
      </c>
      <c r="B70" s="632" t="s">
        <v>109</v>
      </c>
      <c r="C70" s="632" t="s">
        <v>108</v>
      </c>
      <c r="D70" s="632" t="s">
        <v>126</v>
      </c>
      <c r="E70" s="633">
        <v>43403.768761574072</v>
      </c>
      <c r="F70" s="638">
        <v>43403.768761574072</v>
      </c>
      <c r="G70" s="634">
        <v>0.76874999999999993</v>
      </c>
      <c r="H70" s="635" t="s">
        <v>115</v>
      </c>
      <c r="I70" s="635" t="s">
        <v>115</v>
      </c>
      <c r="J70" s="635" t="s">
        <v>115</v>
      </c>
      <c r="K70" s="635"/>
      <c r="L70" s="635"/>
      <c r="M70" s="635"/>
      <c r="N70" s="635"/>
      <c r="O70" s="539"/>
    </row>
    <row r="71" spans="1:18">
      <c r="A71" s="632">
        <v>14038</v>
      </c>
      <c r="B71" s="632" t="s">
        <v>108</v>
      </c>
      <c r="C71" s="632" t="s">
        <v>108</v>
      </c>
      <c r="D71" s="632" t="s">
        <v>125</v>
      </c>
      <c r="E71" s="633">
        <v>43404.368796296294</v>
      </c>
      <c r="F71" s="638">
        <v>43404.368796296294</v>
      </c>
      <c r="G71" s="634">
        <v>0.36874999999999997</v>
      </c>
      <c r="H71" s="635">
        <v>9.5833333333333339</v>
      </c>
      <c r="I71" s="635">
        <v>8</v>
      </c>
      <c r="J71" s="635" t="s">
        <v>115</v>
      </c>
      <c r="K71" s="635"/>
      <c r="L71" s="635"/>
      <c r="M71" s="635"/>
      <c r="N71" s="635"/>
      <c r="O71" s="512"/>
    </row>
    <row r="72" spans="1:18">
      <c r="A72" s="632">
        <v>14041</v>
      </c>
      <c r="B72" s="632" t="s">
        <v>108</v>
      </c>
      <c r="C72" s="632" t="s">
        <v>108</v>
      </c>
      <c r="D72" s="632" t="s">
        <v>126</v>
      </c>
      <c r="E72" s="633">
        <v>43404.768171296295</v>
      </c>
      <c r="F72" s="638">
        <v>43404.768171296295</v>
      </c>
      <c r="G72" s="634">
        <v>0.7680555555555556</v>
      </c>
      <c r="H72" s="635" t="s">
        <v>115</v>
      </c>
      <c r="I72" s="635" t="s">
        <v>115</v>
      </c>
      <c r="J72" s="635" t="s">
        <v>115</v>
      </c>
      <c r="K72" s="635"/>
      <c r="L72" s="635"/>
      <c r="M72" s="635"/>
      <c r="N72" s="635"/>
      <c r="O72" s="512"/>
    </row>
    <row r="73" spans="1:18" s="398" customFormat="1">
      <c r="A73" s="478"/>
      <c r="B73" s="479"/>
      <c r="C73" s="479"/>
      <c r="D73" s="478"/>
      <c r="E73" s="479"/>
      <c r="F73" s="479"/>
      <c r="G73" s="478"/>
      <c r="H73" s="479"/>
      <c r="I73" s="479"/>
      <c r="J73" s="478"/>
      <c r="K73" s="479"/>
      <c r="L73" s="479"/>
      <c r="M73" s="478"/>
      <c r="N73" s="479"/>
      <c r="O73" s="479"/>
      <c r="P73" s="444"/>
      <c r="Q73" s="444"/>
      <c r="R73" s="444"/>
    </row>
    <row r="74" spans="1:18" s="398" customFormat="1">
      <c r="A74" s="478"/>
      <c r="B74" s="479"/>
      <c r="C74" s="479"/>
      <c r="D74" s="555" t="s">
        <v>36</v>
      </c>
      <c r="E74" s="554"/>
      <c r="F74" s="556"/>
      <c r="G74" s="557"/>
      <c r="H74" s="559"/>
      <c r="I74" s="558"/>
      <c r="J74" s="558"/>
      <c r="K74" s="479"/>
      <c r="L74" s="479"/>
      <c r="M74" s="478"/>
      <c r="N74" s="479"/>
      <c r="O74" s="479"/>
      <c r="P74" s="444"/>
      <c r="Q74" s="444"/>
      <c r="R74" s="444"/>
    </row>
    <row r="75" spans="1:18">
      <c r="A75" s="491"/>
      <c r="B75" s="492"/>
      <c r="C75" s="492"/>
      <c r="D75" s="555" t="s">
        <v>35</v>
      </c>
      <c r="E75" s="554"/>
      <c r="F75" s="556"/>
      <c r="G75" s="557"/>
      <c r="H75" s="559"/>
      <c r="I75" s="558"/>
      <c r="J75" s="558"/>
      <c r="K75" s="492"/>
      <c r="L75" s="492"/>
      <c r="M75" s="491"/>
      <c r="N75" s="492"/>
      <c r="O75" s="492"/>
    </row>
    <row r="76" spans="1:18">
      <c r="A76" s="478"/>
      <c r="B76" s="479"/>
      <c r="C76" s="479"/>
      <c r="D76" s="560" t="s">
        <v>63</v>
      </c>
      <c r="E76" s="554"/>
      <c r="F76" s="556"/>
      <c r="G76" s="557"/>
      <c r="H76" s="559"/>
      <c r="I76" s="558"/>
      <c r="J76" s="558"/>
      <c r="K76" s="479"/>
      <c r="L76" s="479"/>
      <c r="M76" s="478"/>
      <c r="N76" s="479"/>
      <c r="O76" s="479"/>
    </row>
    <row r="77" spans="1:18">
      <c r="A77" s="491"/>
      <c r="B77" s="492"/>
      <c r="C77" s="492"/>
      <c r="D77" s="553" t="s">
        <v>135</v>
      </c>
      <c r="E77" s="554"/>
      <c r="F77" s="556"/>
      <c r="G77" s="557"/>
      <c r="H77" s="559"/>
      <c r="I77" s="558"/>
      <c r="J77" s="558"/>
      <c r="K77" s="492"/>
      <c r="L77" s="492"/>
      <c r="M77" s="491"/>
      <c r="N77" s="492"/>
      <c r="O77" s="492"/>
    </row>
    <row r="78" spans="1:18">
      <c r="A78" s="478"/>
      <c r="B78" s="479"/>
      <c r="C78" s="479"/>
      <c r="D78" s="553" t="s">
        <v>64</v>
      </c>
      <c r="E78" s="561"/>
      <c r="F78" s="556"/>
      <c r="G78" s="557"/>
      <c r="H78" s="559"/>
      <c r="I78" s="558"/>
      <c r="J78" s="558"/>
      <c r="K78" s="479"/>
      <c r="L78" s="479"/>
      <c r="M78" s="478"/>
      <c r="N78" s="479"/>
      <c r="O78" s="479"/>
    </row>
    <row r="79" spans="1:18">
      <c r="A79" s="491"/>
      <c r="B79" s="492"/>
      <c r="C79" s="492"/>
      <c r="D79" s="553" t="s">
        <v>68</v>
      </c>
      <c r="E79" s="561"/>
      <c r="F79" s="556"/>
      <c r="G79" s="557"/>
      <c r="H79" s="559"/>
      <c r="I79" s="558"/>
      <c r="J79" s="558"/>
      <c r="K79" s="492"/>
      <c r="L79" s="492"/>
      <c r="M79" s="491"/>
      <c r="N79" s="492"/>
      <c r="O79" s="492"/>
    </row>
    <row r="80" spans="1:18">
      <c r="A80" s="478"/>
      <c r="B80" s="479"/>
      <c r="C80" s="479"/>
      <c r="D80" s="553" t="s">
        <v>69</v>
      </c>
      <c r="E80" s="561"/>
      <c r="F80" s="556"/>
      <c r="G80" s="557"/>
      <c r="H80" s="559"/>
      <c r="I80" s="558"/>
      <c r="J80" s="558"/>
      <c r="K80" s="479"/>
      <c r="L80" s="479"/>
      <c r="M80" s="478"/>
      <c r="N80" s="479"/>
      <c r="O80" s="479"/>
    </row>
    <row r="81" spans="1:38">
      <c r="A81" s="491"/>
      <c r="B81" s="492"/>
      <c r="C81" s="492"/>
      <c r="D81" s="553" t="s">
        <v>116</v>
      </c>
      <c r="E81" s="561"/>
      <c r="F81" s="556"/>
      <c r="G81" s="557"/>
      <c r="H81" s="559"/>
      <c r="I81" s="558"/>
      <c r="J81" s="558"/>
      <c r="K81" s="492"/>
      <c r="L81" s="492"/>
      <c r="M81" s="491"/>
      <c r="N81" s="492"/>
      <c r="O81" s="492"/>
      <c r="X81" s="143"/>
      <c r="Y81" s="143"/>
      <c r="Z81" s="474"/>
      <c r="AB81" s="3"/>
      <c r="AC81" s="16"/>
      <c r="AD81" s="17"/>
      <c r="AE81" s="51"/>
      <c r="AF81" s="21"/>
      <c r="AG81" s="21"/>
      <c r="AH81" s="22"/>
      <c r="AI81" s="22"/>
      <c r="AJ81" s="22"/>
      <c r="AK81" s="22"/>
      <c r="AL81" s="454"/>
    </row>
    <row r="82" spans="1:38">
      <c r="A82" s="478"/>
      <c r="B82" s="479"/>
      <c r="C82" s="479"/>
      <c r="D82" s="553" t="s">
        <v>136</v>
      </c>
      <c r="E82" s="561"/>
      <c r="F82" s="556"/>
      <c r="G82" s="557"/>
      <c r="H82" s="559"/>
      <c r="I82" s="558"/>
      <c r="J82" s="558"/>
      <c r="K82" s="479"/>
      <c r="L82" s="479"/>
      <c r="M82" s="478"/>
      <c r="N82" s="479"/>
      <c r="O82" s="479"/>
      <c r="P82" s="22"/>
      <c r="Q82" s="22"/>
      <c r="R82" s="454"/>
      <c r="X82" s="143"/>
      <c r="Y82" s="143"/>
      <c r="Z82" s="474"/>
      <c r="AB82" s="3"/>
      <c r="AC82" s="16"/>
      <c r="AD82" s="17"/>
      <c r="AE82" s="51"/>
      <c r="AF82" s="21"/>
      <c r="AG82" s="21"/>
      <c r="AH82" s="22"/>
      <c r="AI82" s="22"/>
      <c r="AJ82" s="22"/>
      <c r="AK82" s="22"/>
      <c r="AL82" s="454"/>
    </row>
    <row r="83" spans="1:38">
      <c r="A83" s="491"/>
      <c r="B83" s="492"/>
      <c r="C83" s="492"/>
      <c r="D83" s="491"/>
      <c r="E83" s="492"/>
      <c r="F83" s="492"/>
      <c r="G83" s="491"/>
      <c r="H83" s="492"/>
      <c r="I83" s="492"/>
      <c r="J83" s="491"/>
      <c r="K83" s="492"/>
      <c r="L83" s="492"/>
      <c r="M83" s="491"/>
      <c r="N83" s="492"/>
      <c r="O83" s="492"/>
      <c r="P83" s="22"/>
      <c r="Q83" s="22"/>
      <c r="R83" s="454"/>
      <c r="X83" s="143"/>
      <c r="Y83" s="143"/>
      <c r="Z83" s="474"/>
      <c r="AB83" s="3"/>
      <c r="AC83" s="16"/>
      <c r="AD83" s="17"/>
      <c r="AE83" s="51"/>
      <c r="AF83" s="21"/>
      <c r="AG83" s="21"/>
      <c r="AH83" s="22"/>
      <c r="AI83" s="22"/>
      <c r="AJ83" s="22"/>
      <c r="AK83" s="22"/>
      <c r="AL83" s="454"/>
    </row>
    <row r="84" spans="1:38">
      <c r="A84" s="478"/>
      <c r="B84" s="479"/>
      <c r="C84" s="479"/>
      <c r="D84" s="478"/>
      <c r="E84" s="479"/>
      <c r="F84" s="479"/>
      <c r="G84" s="478"/>
      <c r="H84" s="479"/>
      <c r="I84" s="479"/>
      <c r="J84" s="478"/>
      <c r="K84" s="479"/>
      <c r="L84" s="479"/>
      <c r="M84" s="478"/>
      <c r="N84" s="479"/>
      <c r="O84" s="479"/>
      <c r="P84" s="22"/>
      <c r="Q84" s="22"/>
      <c r="R84" s="454"/>
      <c r="X84" s="143"/>
      <c r="Y84" s="143"/>
      <c r="Z84" s="474"/>
      <c r="AB84" s="3"/>
      <c r="AC84" s="16"/>
      <c r="AD84" s="17"/>
      <c r="AE84" s="51"/>
      <c r="AF84" s="21"/>
      <c r="AG84" s="21"/>
      <c r="AH84" s="22"/>
      <c r="AI84" s="22"/>
      <c r="AJ84" s="22"/>
      <c r="AK84" s="22"/>
      <c r="AL84" s="454"/>
    </row>
    <row r="85" spans="1:38">
      <c r="A85" s="491"/>
      <c r="B85" s="492"/>
      <c r="C85" s="492"/>
      <c r="D85" s="491"/>
      <c r="E85" s="492"/>
      <c r="F85" s="492"/>
      <c r="G85" s="491"/>
      <c r="H85" s="492"/>
      <c r="I85" s="492"/>
      <c r="J85" s="491"/>
      <c r="K85" s="492"/>
      <c r="L85" s="492"/>
      <c r="M85" s="491"/>
      <c r="N85" s="492"/>
      <c r="O85" s="492"/>
      <c r="P85" s="22"/>
      <c r="Q85" s="22"/>
      <c r="R85" s="454"/>
      <c r="X85" s="143"/>
      <c r="Y85" s="143"/>
      <c r="Z85" s="474"/>
      <c r="AB85" s="336"/>
      <c r="AC85" s="373"/>
      <c r="AD85" s="376"/>
      <c r="AE85" s="377"/>
      <c r="AF85" s="378"/>
      <c r="AG85" s="378"/>
      <c r="AH85" s="379"/>
      <c r="AI85" s="379"/>
      <c r="AJ85" s="379"/>
      <c r="AK85" s="379"/>
      <c r="AL85" s="454"/>
    </row>
    <row r="86" spans="1:38">
      <c r="A86" s="478"/>
      <c r="B86" s="479"/>
      <c r="C86" s="479"/>
      <c r="D86" s="478"/>
      <c r="E86" s="479"/>
      <c r="F86" s="479"/>
      <c r="G86" s="478"/>
      <c r="H86" s="479"/>
      <c r="I86" s="479"/>
      <c r="J86" s="478"/>
      <c r="K86" s="479"/>
      <c r="L86" s="479"/>
      <c r="M86" s="478"/>
      <c r="N86" s="479"/>
      <c r="O86" s="479"/>
      <c r="P86" s="379"/>
      <c r="Q86" s="379"/>
      <c r="R86" s="454"/>
      <c r="X86" s="143"/>
      <c r="Y86" s="143"/>
      <c r="Z86" s="474"/>
      <c r="AB86" s="336"/>
      <c r="AC86" s="373"/>
      <c r="AD86" s="376"/>
      <c r="AE86" s="377"/>
      <c r="AF86" s="378"/>
      <c r="AG86" s="378"/>
      <c r="AH86" s="379"/>
      <c r="AI86" s="379"/>
      <c r="AJ86" s="379"/>
      <c r="AK86" s="379"/>
      <c r="AL86" s="454"/>
    </row>
    <row r="87" spans="1:38">
      <c r="A87" s="491"/>
      <c r="B87" s="492"/>
      <c r="C87" s="492"/>
      <c r="D87" s="491"/>
      <c r="E87" s="492"/>
      <c r="F87" s="492"/>
      <c r="G87" s="491"/>
      <c r="H87" s="492"/>
      <c r="I87" s="492"/>
      <c r="J87" s="491"/>
      <c r="K87" s="492"/>
      <c r="L87" s="492"/>
      <c r="M87" s="491"/>
      <c r="N87" s="492"/>
      <c r="O87" s="492"/>
      <c r="P87" s="379"/>
      <c r="Q87" s="379"/>
      <c r="R87" s="454"/>
      <c r="X87" s="143"/>
      <c r="Y87" s="143"/>
      <c r="Z87" s="474"/>
      <c r="AB87" s="336"/>
      <c r="AC87" s="373"/>
      <c r="AD87" s="376"/>
      <c r="AE87" s="377"/>
      <c r="AF87" s="378"/>
      <c r="AG87" s="378"/>
      <c r="AH87" s="379"/>
      <c r="AI87" s="379"/>
      <c r="AJ87" s="379"/>
      <c r="AK87" s="379"/>
      <c r="AL87" s="454"/>
    </row>
    <row r="88" spans="1:38">
      <c r="A88" s="478"/>
      <c r="B88" s="479"/>
      <c r="C88" s="479"/>
      <c r="D88" s="478"/>
      <c r="E88" s="479"/>
      <c r="F88" s="479"/>
      <c r="G88" s="478"/>
      <c r="H88" s="479"/>
      <c r="I88" s="479"/>
      <c r="J88" s="478"/>
      <c r="K88" s="479"/>
      <c r="L88" s="479"/>
      <c r="M88" s="478"/>
      <c r="N88" s="479"/>
      <c r="O88" s="479"/>
      <c r="P88" s="379"/>
      <c r="Q88" s="379"/>
      <c r="R88" s="454"/>
      <c r="X88" s="143"/>
      <c r="Y88" s="143"/>
      <c r="Z88" s="474"/>
      <c r="AB88" s="336"/>
      <c r="AC88" s="373"/>
      <c r="AD88" s="376"/>
      <c r="AE88" s="377"/>
      <c r="AF88" s="378"/>
      <c r="AG88" s="378"/>
      <c r="AH88" s="379"/>
      <c r="AI88" s="379"/>
      <c r="AJ88" s="379"/>
      <c r="AK88" s="379"/>
      <c r="AL88" s="28"/>
    </row>
    <row r="89" spans="1:38">
      <c r="A89" s="491"/>
      <c r="B89" s="492"/>
      <c r="C89" s="492"/>
      <c r="D89" s="491"/>
      <c r="E89" s="492"/>
      <c r="F89" s="492"/>
      <c r="G89" s="491"/>
      <c r="H89" s="492"/>
      <c r="I89" s="492"/>
      <c r="J89" s="491"/>
      <c r="K89" s="492"/>
      <c r="L89" s="492"/>
      <c r="M89" s="491"/>
      <c r="N89" s="492"/>
      <c r="O89" s="492"/>
      <c r="P89" s="379"/>
      <c r="Q89" s="379"/>
      <c r="R89" s="28"/>
      <c r="X89" s="143"/>
      <c r="Y89" s="143"/>
      <c r="Z89" s="474"/>
      <c r="AB89" s="336"/>
      <c r="AC89" s="373"/>
      <c r="AD89" s="376"/>
      <c r="AE89" s="377"/>
      <c r="AF89" s="378"/>
      <c r="AG89" s="378"/>
      <c r="AH89" s="379"/>
      <c r="AI89" s="379"/>
      <c r="AJ89" s="379"/>
      <c r="AK89" s="379"/>
      <c r="AL89" s="28"/>
    </row>
    <row r="90" spans="1:38">
      <c r="A90" s="478"/>
      <c r="B90" s="479"/>
      <c r="C90" s="479"/>
      <c r="D90" s="478"/>
      <c r="E90" s="479"/>
      <c r="F90" s="479"/>
      <c r="G90" s="478"/>
      <c r="H90" s="479"/>
      <c r="I90" s="479"/>
      <c r="J90" s="478"/>
      <c r="K90" s="479"/>
      <c r="L90" s="479"/>
      <c r="M90" s="478"/>
      <c r="N90" s="479"/>
      <c r="O90" s="479"/>
      <c r="P90" s="379"/>
      <c r="Q90" s="379"/>
      <c r="R90" s="28"/>
    </row>
    <row r="91" spans="1:38">
      <c r="A91" s="491"/>
      <c r="B91" s="492"/>
      <c r="C91" s="492"/>
      <c r="D91" s="491"/>
      <c r="E91" s="492"/>
      <c r="F91" s="492"/>
      <c r="G91" s="491"/>
      <c r="H91" s="492"/>
      <c r="I91" s="492"/>
      <c r="J91" s="491"/>
      <c r="K91" s="492"/>
      <c r="L91" s="492"/>
      <c r="M91" s="491"/>
      <c r="N91" s="492"/>
      <c r="O91" s="492"/>
    </row>
    <row r="92" spans="1:38">
      <c r="A92" s="478"/>
      <c r="B92" s="479"/>
      <c r="C92" s="479"/>
      <c r="D92" s="478"/>
      <c r="E92" s="479"/>
      <c r="F92" s="479"/>
      <c r="G92" s="478"/>
      <c r="H92" s="479"/>
      <c r="I92" s="479"/>
      <c r="J92" s="478"/>
      <c r="K92" s="479"/>
      <c r="L92" s="479"/>
      <c r="M92" s="478"/>
      <c r="N92" s="479"/>
      <c r="O92" s="479"/>
      <c r="P92" s="22"/>
      <c r="Q92" s="22"/>
      <c r="R92" s="22"/>
      <c r="S92" s="454"/>
    </row>
    <row r="93" spans="1:38">
      <c r="A93" s="491"/>
      <c r="B93" s="492"/>
      <c r="C93" s="492"/>
      <c r="D93" s="491"/>
      <c r="E93" s="492"/>
      <c r="F93" s="492"/>
      <c r="G93" s="491"/>
      <c r="H93" s="492"/>
      <c r="I93" s="492"/>
      <c r="J93" s="491"/>
      <c r="K93" s="492"/>
      <c r="L93" s="492"/>
      <c r="M93" s="491"/>
      <c r="N93" s="492"/>
      <c r="O93" s="492"/>
      <c r="P93" s="22"/>
      <c r="Q93" s="22"/>
      <c r="R93" s="22"/>
      <c r="S93" s="454"/>
    </row>
    <row r="94" spans="1:38">
      <c r="A94" s="478"/>
      <c r="B94" s="479"/>
      <c r="C94" s="479"/>
      <c r="D94" s="478"/>
      <c r="E94" s="479"/>
      <c r="F94" s="479"/>
      <c r="G94" s="478"/>
      <c r="H94" s="479"/>
      <c r="I94" s="479"/>
      <c r="J94" s="478"/>
      <c r="K94" s="479"/>
      <c r="L94" s="479"/>
      <c r="M94" s="478"/>
      <c r="N94" s="479"/>
      <c r="O94" s="479"/>
      <c r="P94" s="22"/>
      <c r="Q94" s="22"/>
      <c r="R94" s="22"/>
      <c r="S94" s="454"/>
    </row>
    <row r="95" spans="1:38">
      <c r="A95" s="491"/>
      <c r="B95" s="492"/>
      <c r="C95" s="492"/>
      <c r="D95" s="491"/>
      <c r="E95" s="492"/>
      <c r="F95" s="492"/>
      <c r="G95" s="491"/>
      <c r="H95" s="492"/>
      <c r="I95" s="492"/>
      <c r="J95" s="491"/>
      <c r="K95" s="492"/>
      <c r="L95" s="492"/>
      <c r="M95" s="491"/>
      <c r="N95" s="492"/>
      <c r="O95" s="492"/>
      <c r="P95" s="22"/>
      <c r="Q95" s="22"/>
      <c r="R95" s="22"/>
      <c r="S95" s="454"/>
    </row>
    <row r="96" spans="1:38">
      <c r="A96" s="478"/>
      <c r="B96" s="479"/>
      <c r="C96" s="479"/>
      <c r="D96" s="478"/>
      <c r="E96" s="479"/>
      <c r="F96" s="479"/>
      <c r="G96" s="478"/>
      <c r="H96" s="479"/>
      <c r="I96" s="479"/>
      <c r="J96" s="478"/>
      <c r="K96" s="479"/>
      <c r="L96" s="479"/>
      <c r="M96" s="478"/>
      <c r="N96" s="479"/>
      <c r="O96" s="479"/>
      <c r="P96" s="379"/>
      <c r="Q96" s="379"/>
      <c r="R96" s="379"/>
      <c r="S96" s="454"/>
    </row>
    <row r="97" spans="1:19">
      <c r="A97" s="491"/>
      <c r="B97" s="492"/>
      <c r="C97" s="492"/>
      <c r="D97" s="491"/>
      <c r="E97" s="492"/>
      <c r="F97" s="492"/>
      <c r="G97" s="491"/>
      <c r="H97" s="492"/>
      <c r="I97" s="492"/>
      <c r="J97" s="491"/>
      <c r="K97" s="492"/>
      <c r="L97" s="492"/>
      <c r="M97" s="491"/>
      <c r="N97" s="492"/>
      <c r="O97" s="492"/>
      <c r="P97" s="379"/>
      <c r="Q97" s="379"/>
      <c r="R97" s="379"/>
      <c r="S97" s="454"/>
    </row>
    <row r="98" spans="1:19">
      <c r="A98" s="478"/>
      <c r="B98" s="479"/>
      <c r="C98" s="479"/>
      <c r="D98" s="478"/>
      <c r="E98" s="479"/>
      <c r="F98" s="479"/>
      <c r="G98" s="478"/>
      <c r="H98" s="479"/>
      <c r="I98" s="479"/>
      <c r="J98" s="478"/>
      <c r="K98" s="479"/>
      <c r="L98" s="479"/>
      <c r="M98" s="478"/>
      <c r="N98" s="479"/>
      <c r="O98" s="479"/>
      <c r="P98" s="379"/>
      <c r="Q98" s="379"/>
      <c r="R98" s="379"/>
      <c r="S98" s="454"/>
    </row>
    <row r="99" spans="1:19">
      <c r="A99" s="491"/>
      <c r="B99" s="492"/>
      <c r="C99" s="492"/>
      <c r="D99" s="491"/>
      <c r="E99" s="492"/>
      <c r="F99" s="492"/>
      <c r="G99" s="491"/>
      <c r="H99" s="492"/>
      <c r="I99" s="492"/>
      <c r="J99" s="491"/>
      <c r="K99" s="492"/>
      <c r="L99" s="492"/>
      <c r="M99" s="491"/>
      <c r="N99" s="492"/>
      <c r="O99" s="492"/>
      <c r="P99" s="379"/>
      <c r="Q99" s="379"/>
      <c r="R99" s="379"/>
      <c r="S99" s="28"/>
    </row>
    <row r="100" spans="1:19">
      <c r="A100" s="478"/>
      <c r="B100" s="479"/>
      <c r="C100" s="479"/>
      <c r="D100" s="478"/>
      <c r="E100" s="479"/>
      <c r="F100" s="479"/>
      <c r="G100" s="478"/>
      <c r="H100" s="479"/>
      <c r="I100" s="479"/>
      <c r="J100" s="478"/>
      <c r="K100" s="479"/>
      <c r="L100" s="479"/>
      <c r="M100" s="478"/>
      <c r="N100" s="479"/>
      <c r="O100" s="479"/>
      <c r="P100" s="379"/>
      <c r="Q100" s="379"/>
      <c r="R100" s="379"/>
      <c r="S100" s="28"/>
    </row>
  </sheetData>
  <phoneticPr fontId="18" type="noConversion"/>
  <conditionalFormatting sqref="I7:I26 I29:I72">
    <cfRule type="cellIs" dxfId="31" priority="3" operator="lessThan">
      <formula>4</formula>
    </cfRule>
  </conditionalFormatting>
  <conditionalFormatting sqref="I27:I28">
    <cfRule type="cellIs" dxfId="30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82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8">
    <tabColor theme="7" tint="0.59999389629810485"/>
    <pageSetUpPr fitToPage="1"/>
  </sheetPr>
  <dimension ref="A1:V76"/>
  <sheetViews>
    <sheetView view="pageBreakPreview" topLeftCell="A52" zoomScaleNormal="100" zoomScaleSheetLayoutView="100" workbookViewId="0">
      <selection activeCell="J12" sqref="J12"/>
    </sheetView>
  </sheetViews>
  <sheetFormatPr defaultRowHeight="16.5" outlineLevelCol="1"/>
  <cols>
    <col min="1" max="1" width="5.625" style="625" customWidth="1" outlineLevel="1"/>
    <col min="2" max="2" width="6.875" style="625" customWidth="1" outlineLevel="1"/>
    <col min="3" max="3" width="6.5" style="626" customWidth="1" outlineLevel="1"/>
    <col min="4" max="4" width="9" style="626"/>
    <col min="5" max="5" width="17.875" style="626" customWidth="1"/>
    <col min="6" max="6" width="6.25" style="586" customWidth="1"/>
    <col min="7" max="7" width="8.625" style="557" customWidth="1" outlineLevel="1"/>
    <col min="8" max="8" width="11.125" style="559" customWidth="1" outlineLevel="1"/>
    <col min="9" max="9" width="10.25" style="558" customWidth="1"/>
    <col min="10" max="10" width="10" style="558" customWidth="1"/>
    <col min="11" max="11" width="11.125" style="22" customWidth="1" outlineLevel="1"/>
    <col min="12" max="12" width="8.375" style="22" customWidth="1"/>
    <col min="13" max="13" width="10.5" style="22" customWidth="1"/>
    <col min="14" max="14" width="8.75" style="22" customWidth="1"/>
    <col min="15" max="15" width="16.125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  <col min="23" max="16384" width="9" style="625"/>
  </cols>
  <sheetData>
    <row r="1" spans="1:22" s="4" customFormat="1" ht="28.5" thickBot="1">
      <c r="C1" s="5"/>
      <c r="D1" s="6"/>
      <c r="E1" s="6"/>
      <c r="F1" s="10"/>
      <c r="G1" s="11"/>
      <c r="H1" s="12"/>
      <c r="I1" s="13" t="str">
        <f>B31</f>
        <v>lisa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</row>
    <row r="2" spans="1:22">
      <c r="D2" s="133" t="s">
        <v>74</v>
      </c>
      <c r="E2" s="184">
        <v>0</v>
      </c>
      <c r="F2" s="83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2" ht="17.25" thickBot="1">
      <c r="D3" s="24" t="s">
        <v>76</v>
      </c>
      <c r="E3" s="185">
        <v>0</v>
      </c>
      <c r="F3" s="25"/>
      <c r="G3" s="26"/>
      <c r="H3" s="26"/>
      <c r="I3" s="88"/>
      <c r="J3" s="54">
        <f>D5+E5</f>
        <v>0.5</v>
      </c>
      <c r="K3" s="53">
        <f>SUM(K7:K200)</f>
        <v>9.5333333333333261</v>
      </c>
      <c r="L3" s="53">
        <f>J3</f>
        <v>0.5</v>
      </c>
      <c r="M3" s="53">
        <f>M6-J3</f>
        <v>8.4499999999999957</v>
      </c>
      <c r="N3" s="53">
        <f>N6</f>
        <v>0.58333333333333037</v>
      </c>
      <c r="O3" s="50"/>
    </row>
    <row r="4" spans="1:22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184</v>
      </c>
    </row>
    <row r="5" spans="1:22">
      <c r="D5" s="87">
        <v>0.5</v>
      </c>
      <c r="E5" s="86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5.9583333333333287E-2</v>
      </c>
    </row>
    <row r="6" spans="1:22" ht="17.25" thickBot="1">
      <c r="A6" s="625" t="s">
        <v>0</v>
      </c>
      <c r="B6" s="625" t="s">
        <v>1</v>
      </c>
      <c r="C6" s="626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SUM(I7:I200)</f>
        <v>175.5</v>
      </c>
      <c r="J6" s="78">
        <f t="shared" ref="J6:N6" si="0">SUM(J7:J200)</f>
        <v>8.5</v>
      </c>
      <c r="K6" s="78">
        <f t="shared" si="0"/>
        <v>9.5333333333333261</v>
      </c>
      <c r="L6" s="78">
        <f t="shared" si="0"/>
        <v>0</v>
      </c>
      <c r="M6" s="78">
        <f t="shared" si="0"/>
        <v>8.9499999999999957</v>
      </c>
      <c r="N6" s="78">
        <f t="shared" si="0"/>
        <v>0.58333333333333037</v>
      </c>
      <c r="O6" s="45"/>
      <c r="T6" s="345"/>
    </row>
    <row r="7" spans="1:22" s="586" customFormat="1">
      <c r="A7" s="632">
        <v>13466</v>
      </c>
      <c r="B7" s="632" t="s">
        <v>147</v>
      </c>
      <c r="C7" s="632" t="s">
        <v>147</v>
      </c>
      <c r="D7" s="632" t="s">
        <v>125</v>
      </c>
      <c r="E7" s="633">
        <v>43374.375717592593</v>
      </c>
      <c r="F7" s="638">
        <v>43374.375717592593</v>
      </c>
      <c r="G7" s="634">
        <v>0.3756944444444445</v>
      </c>
      <c r="H7" s="635">
        <v>9.6666666666666679</v>
      </c>
      <c r="I7" s="635">
        <v>7.5</v>
      </c>
      <c r="J7" s="635">
        <v>0.5</v>
      </c>
      <c r="K7" s="635"/>
      <c r="L7" s="635"/>
      <c r="M7" s="635"/>
      <c r="N7" s="635"/>
      <c r="O7" s="628" t="s">
        <v>171</v>
      </c>
      <c r="P7" s="345"/>
      <c r="Q7" s="453"/>
      <c r="R7" s="588"/>
      <c r="S7" s="588"/>
    </row>
    <row r="8" spans="1:22" s="586" customFormat="1">
      <c r="A8" s="632">
        <v>13483</v>
      </c>
      <c r="B8" s="632" t="s">
        <v>147</v>
      </c>
      <c r="C8" s="632" t="s">
        <v>147</v>
      </c>
      <c r="D8" s="632" t="s">
        <v>126</v>
      </c>
      <c r="E8" s="633">
        <v>43374.77884259259</v>
      </c>
      <c r="F8" s="638">
        <v>43374.77884259259</v>
      </c>
      <c r="G8" s="634">
        <v>0.77847222222222223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28"/>
      <c r="P8" s="345"/>
      <c r="Q8" s="369"/>
      <c r="R8" s="149"/>
      <c r="S8" s="149"/>
      <c r="T8" s="130"/>
      <c r="U8" s="130"/>
      <c r="V8" s="130"/>
    </row>
    <row r="9" spans="1:22" s="2" customFormat="1">
      <c r="A9" s="632">
        <v>13493</v>
      </c>
      <c r="B9" s="632" t="s">
        <v>147</v>
      </c>
      <c r="C9" s="632" t="s">
        <v>147</v>
      </c>
      <c r="D9" s="632" t="s">
        <v>125</v>
      </c>
      <c r="E9" s="633">
        <v>43375.351030092592</v>
      </c>
      <c r="F9" s="638">
        <v>43375.351030092592</v>
      </c>
      <c r="G9" s="634">
        <v>0.35069444444444442</v>
      </c>
      <c r="H9" s="635">
        <v>9.6000000000000014</v>
      </c>
      <c r="I9" s="635">
        <v>8</v>
      </c>
      <c r="J9" s="635" t="s">
        <v>115</v>
      </c>
      <c r="K9" s="635"/>
      <c r="L9" s="635"/>
      <c r="M9" s="635"/>
      <c r="N9" s="635"/>
      <c r="O9" s="628"/>
      <c r="P9" s="345"/>
      <c r="Q9" s="373"/>
      <c r="R9" s="372"/>
      <c r="S9" s="372"/>
      <c r="T9" s="373"/>
      <c r="U9" s="373"/>
      <c r="V9" s="373"/>
    </row>
    <row r="10" spans="1:22">
      <c r="A10" s="632">
        <v>13507</v>
      </c>
      <c r="B10" s="632" t="s">
        <v>147</v>
      </c>
      <c r="C10" s="632" t="s">
        <v>147</v>
      </c>
      <c r="D10" s="632" t="s">
        <v>126</v>
      </c>
      <c r="E10" s="633">
        <v>43375.751134259262</v>
      </c>
      <c r="F10" s="638">
        <v>43375.751134259262</v>
      </c>
      <c r="G10" s="634">
        <v>0.75069444444444444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628"/>
      <c r="Q10" s="63"/>
      <c r="R10" s="18"/>
      <c r="S10" s="18"/>
      <c r="T10" s="63"/>
      <c r="U10" s="63"/>
      <c r="V10" s="63"/>
    </row>
    <row r="11" spans="1:22" s="421" customFormat="1">
      <c r="A11" s="632">
        <v>13522</v>
      </c>
      <c r="B11" s="632" t="s">
        <v>147</v>
      </c>
      <c r="C11" s="632" t="s">
        <v>147</v>
      </c>
      <c r="D11" s="632" t="s">
        <v>125</v>
      </c>
      <c r="E11" s="633">
        <v>43376.351886574077</v>
      </c>
      <c r="F11" s="638">
        <v>43376.351886574077</v>
      </c>
      <c r="G11" s="634">
        <v>0.35138888888888892</v>
      </c>
      <c r="H11" s="635">
        <v>9.8166666666666664</v>
      </c>
      <c r="I11" s="635">
        <v>8</v>
      </c>
      <c r="J11" s="635" t="s">
        <v>115</v>
      </c>
      <c r="K11" s="635"/>
      <c r="L11" s="635"/>
      <c r="M11" s="635"/>
      <c r="N11" s="635"/>
      <c r="O11" s="628"/>
      <c r="P11" s="345"/>
      <c r="Q11" s="369"/>
      <c r="R11" s="18"/>
      <c r="S11" s="18"/>
      <c r="T11" s="63"/>
      <c r="U11" s="63"/>
      <c r="V11" s="63"/>
    </row>
    <row r="12" spans="1:22" s="389" customFormat="1">
      <c r="A12" s="632">
        <v>13531</v>
      </c>
      <c r="B12" s="632" t="s">
        <v>147</v>
      </c>
      <c r="C12" s="632" t="s">
        <v>147</v>
      </c>
      <c r="D12" s="632" t="s">
        <v>126</v>
      </c>
      <c r="E12" s="633">
        <v>43376.760474537034</v>
      </c>
      <c r="F12" s="638">
        <v>43376.760474537034</v>
      </c>
      <c r="G12" s="634">
        <v>0.76041666666666663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628"/>
      <c r="P12" s="345"/>
      <c r="Q12" s="369"/>
      <c r="R12" s="372"/>
      <c r="S12" s="372"/>
      <c r="T12" s="373"/>
      <c r="U12" s="373"/>
      <c r="V12" s="373"/>
    </row>
    <row r="13" spans="1:22" s="586" customFormat="1">
      <c r="A13" s="632">
        <v>13541</v>
      </c>
      <c r="B13" s="632" t="s">
        <v>147</v>
      </c>
      <c r="C13" s="632" t="s">
        <v>147</v>
      </c>
      <c r="D13" s="632" t="s">
        <v>127</v>
      </c>
      <c r="E13" s="633">
        <v>43376.77171296296</v>
      </c>
      <c r="F13" s="638">
        <v>43376.77171296296</v>
      </c>
      <c r="G13" s="634">
        <v>0.7715277777777777</v>
      </c>
      <c r="H13" s="635" t="s">
        <v>115</v>
      </c>
      <c r="I13" s="635" t="s">
        <v>115</v>
      </c>
      <c r="J13" s="635" t="s">
        <v>115</v>
      </c>
      <c r="K13" s="635">
        <v>0.71666666666666679</v>
      </c>
      <c r="L13" s="635"/>
      <c r="M13" s="635">
        <v>0.71666666666666679</v>
      </c>
      <c r="N13" s="635">
        <v>0</v>
      </c>
      <c r="O13" s="628"/>
      <c r="P13" s="588"/>
      <c r="Q13" s="566"/>
      <c r="R13" s="588"/>
      <c r="S13" s="588"/>
    </row>
    <row r="14" spans="1:22" s="586" customFormat="1">
      <c r="A14" s="632">
        <v>13546</v>
      </c>
      <c r="B14" s="632" t="s">
        <v>147</v>
      </c>
      <c r="C14" s="632" t="s">
        <v>147</v>
      </c>
      <c r="D14" s="632" t="s">
        <v>128</v>
      </c>
      <c r="E14" s="633">
        <v>43376.80196759259</v>
      </c>
      <c r="F14" s="638">
        <v>43376.80196759259</v>
      </c>
      <c r="G14" s="634">
        <v>0.80138888888888893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628"/>
      <c r="P14" s="588"/>
      <c r="Q14" s="566"/>
      <c r="R14" s="588"/>
      <c r="S14" s="588"/>
    </row>
    <row r="15" spans="1:22" s="631" customFormat="1">
      <c r="A15" s="632">
        <v>13553</v>
      </c>
      <c r="B15" s="632" t="s">
        <v>147</v>
      </c>
      <c r="C15" s="632" t="s">
        <v>147</v>
      </c>
      <c r="D15" s="632" t="s">
        <v>125</v>
      </c>
      <c r="E15" s="633">
        <v>43377.349398148152</v>
      </c>
      <c r="F15" s="638">
        <v>43377.349398148152</v>
      </c>
      <c r="G15" s="634">
        <v>0.34930555555555554</v>
      </c>
      <c r="H15" s="635">
        <v>9.8333333333333321</v>
      </c>
      <c r="I15" s="635">
        <v>8</v>
      </c>
      <c r="J15" s="635" t="s">
        <v>115</v>
      </c>
      <c r="K15" s="635"/>
      <c r="L15" s="635"/>
      <c r="M15" s="635"/>
      <c r="N15" s="635"/>
      <c r="O15" s="628"/>
      <c r="P15" s="588"/>
      <c r="Q15" s="566"/>
      <c r="R15" s="588"/>
      <c r="S15" s="588"/>
      <c r="T15" s="586"/>
      <c r="U15" s="586"/>
      <c r="V15" s="586"/>
    </row>
    <row r="16" spans="1:22">
      <c r="A16" s="632">
        <v>13561</v>
      </c>
      <c r="B16" s="632" t="s">
        <v>147</v>
      </c>
      <c r="C16" s="632" t="s">
        <v>147</v>
      </c>
      <c r="D16" s="632" t="s">
        <v>126</v>
      </c>
      <c r="E16" s="633">
        <v>43377.759027777778</v>
      </c>
      <c r="F16" s="638">
        <v>43377.759027777778</v>
      </c>
      <c r="G16" s="634">
        <v>0.75902777777777775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628"/>
      <c r="P16" s="588"/>
      <c r="Q16" s="566"/>
      <c r="R16" s="588"/>
      <c r="S16" s="588"/>
      <c r="T16" s="586"/>
      <c r="U16" s="586"/>
      <c r="V16" s="586"/>
    </row>
    <row r="17" spans="1:22" s="586" customFormat="1">
      <c r="A17" s="632">
        <v>13568</v>
      </c>
      <c r="B17" s="632" t="s">
        <v>147</v>
      </c>
      <c r="C17" s="632" t="s">
        <v>147</v>
      </c>
      <c r="D17" s="632" t="s">
        <v>127</v>
      </c>
      <c r="E17" s="633">
        <v>43377.772569444445</v>
      </c>
      <c r="F17" s="638">
        <v>43377.772569444445</v>
      </c>
      <c r="G17" s="634">
        <v>0.77222222222222225</v>
      </c>
      <c r="H17" s="635" t="s">
        <v>115</v>
      </c>
      <c r="I17" s="635" t="s">
        <v>115</v>
      </c>
      <c r="J17" s="635" t="s">
        <v>115</v>
      </c>
      <c r="K17" s="635">
        <v>0.54999999999999805</v>
      </c>
      <c r="L17" s="635"/>
      <c r="M17" s="635">
        <v>0.54999999999999805</v>
      </c>
      <c r="N17" s="635">
        <v>0</v>
      </c>
      <c r="O17" s="628"/>
      <c r="P17" s="345"/>
      <c r="Q17" s="369"/>
      <c r="R17" s="372"/>
      <c r="S17" s="372"/>
      <c r="T17" s="373"/>
      <c r="U17" s="373"/>
      <c r="V17" s="373"/>
    </row>
    <row r="18" spans="1:22" s="586" customFormat="1">
      <c r="A18" s="632">
        <v>13575</v>
      </c>
      <c r="B18" s="632" t="s">
        <v>147</v>
      </c>
      <c r="C18" s="632" t="s">
        <v>147</v>
      </c>
      <c r="D18" s="632" t="s">
        <v>128</v>
      </c>
      <c r="E18" s="633">
        <v>43377.795740740738</v>
      </c>
      <c r="F18" s="638">
        <v>43377.795740740738</v>
      </c>
      <c r="G18" s="634">
        <v>0.79513888888888884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628"/>
      <c r="P18" s="345"/>
      <c r="Q18" s="369"/>
      <c r="R18" s="372"/>
      <c r="S18" s="372"/>
      <c r="T18" s="373"/>
      <c r="U18" s="373"/>
      <c r="V18" s="373"/>
    </row>
    <row r="19" spans="1:22" s="63" customFormat="1">
      <c r="A19" s="632">
        <v>13583</v>
      </c>
      <c r="B19" s="632" t="s">
        <v>147</v>
      </c>
      <c r="C19" s="632" t="s">
        <v>147</v>
      </c>
      <c r="D19" s="632" t="s">
        <v>125</v>
      </c>
      <c r="E19" s="633">
        <v>43378.349224537036</v>
      </c>
      <c r="F19" s="638">
        <v>43378.349224537036</v>
      </c>
      <c r="G19" s="634">
        <v>0.34861111111111115</v>
      </c>
      <c r="H19" s="635">
        <v>9.65</v>
      </c>
      <c r="I19" s="635">
        <v>8</v>
      </c>
      <c r="J19" s="635" t="s">
        <v>115</v>
      </c>
      <c r="K19" s="635"/>
      <c r="L19" s="635"/>
      <c r="M19" s="635"/>
      <c r="N19" s="635"/>
      <c r="O19" s="628"/>
      <c r="P19" s="627"/>
      <c r="Q19" s="345"/>
      <c r="R19" s="372"/>
      <c r="S19" s="372"/>
      <c r="T19" s="373"/>
      <c r="U19" s="373"/>
      <c r="V19" s="373"/>
    </row>
    <row r="20" spans="1:22" s="63" customFormat="1">
      <c r="A20" s="632">
        <v>13594</v>
      </c>
      <c r="B20" s="632" t="s">
        <v>147</v>
      </c>
      <c r="C20" s="632" t="s">
        <v>147</v>
      </c>
      <c r="D20" s="632" t="s">
        <v>126</v>
      </c>
      <c r="E20" s="633">
        <v>43378.750810185185</v>
      </c>
      <c r="F20" s="638">
        <v>43378.750810185185</v>
      </c>
      <c r="G20" s="634">
        <v>0.75069444444444444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628"/>
      <c r="P20" s="627"/>
      <c r="Q20" s="345"/>
      <c r="R20" s="372"/>
      <c r="S20" s="372"/>
      <c r="T20" s="373"/>
      <c r="U20" s="373"/>
      <c r="V20" s="373"/>
    </row>
    <row r="21" spans="1:22" s="323" customFormat="1">
      <c r="A21" s="632">
        <v>13600</v>
      </c>
      <c r="B21" s="632" t="s">
        <v>147</v>
      </c>
      <c r="C21" s="632" t="s">
        <v>147</v>
      </c>
      <c r="D21" s="632" t="s">
        <v>127</v>
      </c>
      <c r="E21" s="633">
        <v>43378.771111111113</v>
      </c>
      <c r="F21" s="638">
        <v>43378.771111111113</v>
      </c>
      <c r="G21" s="634">
        <v>0.77083333333333337</v>
      </c>
      <c r="H21" s="635" t="s">
        <v>115</v>
      </c>
      <c r="I21" s="635" t="s">
        <v>115</v>
      </c>
      <c r="J21" s="635" t="s">
        <v>115</v>
      </c>
      <c r="K21" s="635">
        <v>2.0333333333333314</v>
      </c>
      <c r="L21" s="635"/>
      <c r="M21" s="635">
        <v>2</v>
      </c>
      <c r="N21" s="635">
        <v>3.3333333333331439E-2</v>
      </c>
      <c r="O21" s="628"/>
      <c r="P21" s="627"/>
      <c r="Q21" s="345"/>
      <c r="R21" s="372"/>
      <c r="S21" s="372"/>
      <c r="T21" s="373"/>
      <c r="U21" s="373"/>
      <c r="V21" s="373"/>
    </row>
    <row r="22" spans="1:22" s="63" customFormat="1">
      <c r="A22" s="632">
        <v>13612</v>
      </c>
      <c r="B22" s="632" t="s">
        <v>147</v>
      </c>
      <c r="C22" s="632" t="s">
        <v>147</v>
      </c>
      <c r="D22" s="632" t="s">
        <v>128</v>
      </c>
      <c r="E22" s="633">
        <v>43378.855798611112</v>
      </c>
      <c r="F22" s="638">
        <v>43378.855798611112</v>
      </c>
      <c r="G22" s="634">
        <v>0.85555555555555562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628"/>
      <c r="P22" s="627"/>
      <c r="Q22" s="345"/>
      <c r="R22" s="372"/>
      <c r="S22" s="372"/>
      <c r="T22" s="373"/>
      <c r="U22" s="373"/>
      <c r="V22" s="373"/>
    </row>
    <row r="23" spans="1:22" s="63" customFormat="1">
      <c r="A23" s="632">
        <v>13614</v>
      </c>
      <c r="B23" s="632" t="s">
        <v>147</v>
      </c>
      <c r="C23" s="632" t="s">
        <v>147</v>
      </c>
      <c r="D23" s="632" t="s">
        <v>125</v>
      </c>
      <c r="E23" s="633">
        <v>43381.349872685183</v>
      </c>
      <c r="F23" s="638">
        <v>43381.349872685183</v>
      </c>
      <c r="G23" s="634">
        <v>0.34930555555555554</v>
      </c>
      <c r="H23" s="635">
        <v>9.6666666666666679</v>
      </c>
      <c r="I23" s="635">
        <v>8</v>
      </c>
      <c r="J23" s="635" t="s">
        <v>115</v>
      </c>
      <c r="K23" s="635"/>
      <c r="L23" s="635"/>
      <c r="M23" s="635"/>
      <c r="N23" s="635"/>
      <c r="O23" s="628"/>
      <c r="P23" s="627"/>
      <c r="Q23" s="345"/>
      <c r="R23" s="372"/>
      <c r="S23" s="372"/>
      <c r="T23" s="373"/>
      <c r="U23" s="373"/>
      <c r="V23" s="373"/>
    </row>
    <row r="24" spans="1:22" s="63" customFormat="1">
      <c r="A24" s="632">
        <v>13625</v>
      </c>
      <c r="B24" s="632" t="s">
        <v>147</v>
      </c>
      <c r="C24" s="632" t="s">
        <v>147</v>
      </c>
      <c r="D24" s="632" t="s">
        <v>126</v>
      </c>
      <c r="E24" s="633">
        <v>43381.752129629633</v>
      </c>
      <c r="F24" s="638">
        <v>43381.752129629633</v>
      </c>
      <c r="G24" s="634">
        <v>0.75208333333333333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628"/>
      <c r="P24" s="627"/>
      <c r="Q24" s="345"/>
      <c r="R24" s="372"/>
      <c r="S24" s="372"/>
      <c r="T24" s="373"/>
      <c r="U24" s="373"/>
      <c r="V24" s="373"/>
    </row>
    <row r="25" spans="1:22" s="2" customFormat="1">
      <c r="A25" s="632">
        <v>13631</v>
      </c>
      <c r="B25" s="632" t="s">
        <v>147</v>
      </c>
      <c r="C25" s="632" t="s">
        <v>147</v>
      </c>
      <c r="D25" s="632" t="s">
        <v>127</v>
      </c>
      <c r="E25" s="633">
        <v>43381.769988425927</v>
      </c>
      <c r="F25" s="638">
        <v>43381.769988425927</v>
      </c>
      <c r="G25" s="634">
        <v>0.76944444444444438</v>
      </c>
      <c r="H25" s="635" t="s">
        <v>115</v>
      </c>
      <c r="I25" s="635" t="s">
        <v>115</v>
      </c>
      <c r="J25" s="635" t="s">
        <v>115</v>
      </c>
      <c r="K25" s="635">
        <v>2.5499999999999989</v>
      </c>
      <c r="L25" s="635"/>
      <c r="M25" s="635">
        <v>2</v>
      </c>
      <c r="N25" s="635">
        <v>0.54999999999999893</v>
      </c>
      <c r="O25" s="628"/>
      <c r="P25" s="627"/>
      <c r="Q25" s="345"/>
      <c r="R25" s="372"/>
      <c r="S25" s="372"/>
      <c r="T25" s="373"/>
      <c r="U25" s="373"/>
      <c r="V25" s="373"/>
    </row>
    <row r="26" spans="1:22">
      <c r="A26" s="632">
        <v>13639</v>
      </c>
      <c r="B26" s="632" t="s">
        <v>147</v>
      </c>
      <c r="C26" s="632" t="s">
        <v>147</v>
      </c>
      <c r="D26" s="632" t="s">
        <v>128</v>
      </c>
      <c r="E26" s="633">
        <v>43381.87599537037</v>
      </c>
      <c r="F26" s="638">
        <v>43381.87599537037</v>
      </c>
      <c r="G26" s="634">
        <v>0.87569444444444444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628"/>
      <c r="P26" s="627"/>
      <c r="R26" s="372"/>
      <c r="S26" s="372"/>
      <c r="T26" s="373"/>
      <c r="U26" s="373"/>
      <c r="V26" s="373"/>
    </row>
    <row r="27" spans="1:22" s="586" customFormat="1">
      <c r="A27" s="632">
        <v>13642</v>
      </c>
      <c r="B27" s="632" t="s">
        <v>147</v>
      </c>
      <c r="C27" s="632" t="s">
        <v>147</v>
      </c>
      <c r="D27" s="632" t="s">
        <v>125</v>
      </c>
      <c r="E27" s="633">
        <v>43382.349606481483</v>
      </c>
      <c r="F27" s="638">
        <v>43382.349606481483</v>
      </c>
      <c r="G27" s="634">
        <v>0.34930555555555554</v>
      </c>
      <c r="H27" s="635">
        <v>9.75</v>
      </c>
      <c r="I27" s="635">
        <v>8</v>
      </c>
      <c r="J27" s="635" t="s">
        <v>115</v>
      </c>
      <c r="K27" s="635"/>
      <c r="L27" s="635"/>
      <c r="M27" s="635"/>
      <c r="N27" s="635"/>
      <c r="O27" s="628"/>
      <c r="P27" s="627"/>
      <c r="Q27" s="345"/>
      <c r="R27" s="372"/>
      <c r="S27" s="372"/>
      <c r="T27" s="373"/>
      <c r="U27" s="373"/>
      <c r="V27" s="373"/>
    </row>
    <row r="28" spans="1:22">
      <c r="A28" s="632">
        <v>13656</v>
      </c>
      <c r="B28" s="632" t="s">
        <v>147</v>
      </c>
      <c r="C28" s="632" t="s">
        <v>147</v>
      </c>
      <c r="D28" s="632" t="s">
        <v>126</v>
      </c>
      <c r="E28" s="633">
        <v>43382.756122685183</v>
      </c>
      <c r="F28" s="638">
        <v>43382.756122685183</v>
      </c>
      <c r="G28" s="634">
        <v>0.75555555555555554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628"/>
      <c r="P28" s="627"/>
      <c r="R28" s="372"/>
      <c r="S28" s="372"/>
      <c r="T28" s="373"/>
      <c r="U28" s="373"/>
      <c r="V28" s="373"/>
    </row>
    <row r="29" spans="1:22" s="63" customFormat="1">
      <c r="A29" s="632"/>
      <c r="B29" s="632"/>
      <c r="C29" s="632"/>
      <c r="D29" s="632" t="s">
        <v>125</v>
      </c>
      <c r="E29" s="633">
        <v>43383.354409722226</v>
      </c>
      <c r="F29" s="638">
        <v>43383.354409722226</v>
      </c>
      <c r="G29" s="634">
        <v>0.35416666666666669</v>
      </c>
      <c r="H29" s="635"/>
      <c r="I29" s="635">
        <v>0</v>
      </c>
      <c r="J29" s="635">
        <v>8</v>
      </c>
      <c r="K29" s="635"/>
      <c r="L29" s="635"/>
      <c r="M29" s="635"/>
      <c r="N29" s="635"/>
      <c r="O29" s="628" t="s">
        <v>161</v>
      </c>
      <c r="P29" s="627"/>
      <c r="Q29" s="345"/>
      <c r="R29" s="372"/>
      <c r="S29" s="372"/>
      <c r="T29" s="373"/>
      <c r="U29" s="373"/>
      <c r="V29" s="373"/>
    </row>
    <row r="30" spans="1:22" s="63" customFormat="1">
      <c r="A30" s="632"/>
      <c r="B30" s="632"/>
      <c r="C30" s="632"/>
      <c r="D30" s="632" t="s">
        <v>126</v>
      </c>
      <c r="E30" s="633">
        <v>43383.75</v>
      </c>
      <c r="F30" s="638">
        <v>43383.771435185183</v>
      </c>
      <c r="G30" s="634">
        <v>0.75</v>
      </c>
      <c r="H30" s="635"/>
      <c r="I30" s="635"/>
      <c r="J30" s="635"/>
      <c r="K30" s="635"/>
      <c r="L30" s="635"/>
      <c r="M30" s="635"/>
      <c r="N30" s="635"/>
      <c r="O30" s="628"/>
      <c r="P30" s="627"/>
      <c r="Q30" s="345"/>
      <c r="R30" s="372"/>
      <c r="S30" s="372"/>
      <c r="T30" s="373"/>
      <c r="U30" s="373"/>
      <c r="V30" s="373"/>
    </row>
    <row r="31" spans="1:22" s="444" customFormat="1">
      <c r="A31" s="632">
        <v>13661</v>
      </c>
      <c r="B31" s="632" t="s">
        <v>147</v>
      </c>
      <c r="C31" s="632" t="s">
        <v>147</v>
      </c>
      <c r="D31" s="632" t="s">
        <v>125</v>
      </c>
      <c r="E31" s="633">
        <v>43384.351342592592</v>
      </c>
      <c r="F31" s="638">
        <v>43384.351342592592</v>
      </c>
      <c r="G31" s="634">
        <v>0.35069444444444442</v>
      </c>
      <c r="H31" s="635">
        <v>9.75</v>
      </c>
      <c r="I31" s="635">
        <v>8</v>
      </c>
      <c r="J31" s="635" t="s">
        <v>115</v>
      </c>
      <c r="K31" s="635"/>
      <c r="L31" s="635"/>
      <c r="M31" s="635"/>
      <c r="N31" s="635"/>
      <c r="O31" s="628"/>
      <c r="R31" s="588"/>
      <c r="S31" s="588"/>
      <c r="T31" s="588"/>
      <c r="U31" s="588"/>
      <c r="V31" s="588"/>
    </row>
    <row r="32" spans="1:22" s="444" customFormat="1">
      <c r="A32" s="632">
        <v>13669</v>
      </c>
      <c r="B32" s="632" t="s">
        <v>147</v>
      </c>
      <c r="C32" s="632" t="s">
        <v>147</v>
      </c>
      <c r="D32" s="632" t="s">
        <v>126</v>
      </c>
      <c r="E32" s="633">
        <v>43384.7575462963</v>
      </c>
      <c r="F32" s="638">
        <v>43384.7575462963</v>
      </c>
      <c r="G32" s="634">
        <v>0.75694444444444453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628"/>
      <c r="R32" s="588"/>
      <c r="S32" s="588"/>
      <c r="T32" s="588"/>
      <c r="U32" s="588"/>
      <c r="V32" s="588"/>
    </row>
    <row r="33" spans="1:22" s="63" customFormat="1">
      <c r="A33" s="632">
        <v>13693</v>
      </c>
      <c r="B33" s="632" t="s">
        <v>147</v>
      </c>
      <c r="C33" s="632" t="s">
        <v>147</v>
      </c>
      <c r="D33" s="632" t="s">
        <v>125</v>
      </c>
      <c r="E33" s="633">
        <v>43385.349317129629</v>
      </c>
      <c r="F33" s="638">
        <v>43385.349317129629</v>
      </c>
      <c r="G33" s="634">
        <v>0.34930555555555554</v>
      </c>
      <c r="H33" s="635">
        <v>9.6333333333333329</v>
      </c>
      <c r="I33" s="635">
        <v>8</v>
      </c>
      <c r="J33" s="635" t="s">
        <v>115</v>
      </c>
      <c r="K33" s="635"/>
      <c r="L33" s="635"/>
      <c r="M33" s="635"/>
      <c r="N33" s="635"/>
      <c r="O33" s="628"/>
      <c r="P33" s="627"/>
      <c r="Q33" s="345"/>
      <c r="R33" s="372"/>
      <c r="S33" s="401"/>
      <c r="T33" s="401"/>
      <c r="U33" s="401"/>
      <c r="V33" s="401"/>
    </row>
    <row r="34" spans="1:22">
      <c r="A34" s="632">
        <v>13702</v>
      </c>
      <c r="B34" s="632" t="s">
        <v>147</v>
      </c>
      <c r="C34" s="632" t="s">
        <v>147</v>
      </c>
      <c r="D34" s="632" t="s">
        <v>126</v>
      </c>
      <c r="E34" s="633">
        <v>43385.750949074078</v>
      </c>
      <c r="F34" s="638">
        <v>43385.750949074078</v>
      </c>
      <c r="G34" s="634">
        <v>0.75069444444444444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628"/>
      <c r="P34" s="627"/>
      <c r="R34" s="372"/>
      <c r="S34" s="372"/>
      <c r="T34" s="373"/>
      <c r="U34" s="373"/>
      <c r="V34" s="373"/>
    </row>
    <row r="35" spans="1:22" s="2" customFormat="1">
      <c r="A35" s="632">
        <v>13718</v>
      </c>
      <c r="B35" s="632" t="s">
        <v>147</v>
      </c>
      <c r="C35" s="632" t="s">
        <v>147</v>
      </c>
      <c r="D35" s="632" t="s">
        <v>125</v>
      </c>
      <c r="E35" s="633">
        <v>43388.349756944444</v>
      </c>
      <c r="F35" s="638">
        <v>43388.349756944444</v>
      </c>
      <c r="G35" s="634">
        <v>0.34930555555555554</v>
      </c>
      <c r="H35" s="635">
        <v>9.6833333333333336</v>
      </c>
      <c r="I35" s="635">
        <v>8</v>
      </c>
      <c r="J35" s="635" t="s">
        <v>115</v>
      </c>
      <c r="K35" s="635"/>
      <c r="L35" s="635"/>
      <c r="M35" s="635"/>
      <c r="N35" s="635"/>
      <c r="O35" s="628"/>
      <c r="P35" s="627"/>
      <c r="Q35" s="345"/>
      <c r="R35" s="372"/>
      <c r="S35" s="372"/>
      <c r="T35" s="373"/>
      <c r="U35" s="373"/>
      <c r="V35" s="373"/>
    </row>
    <row r="36" spans="1:22">
      <c r="A36" s="632">
        <v>13730</v>
      </c>
      <c r="B36" s="632" t="s">
        <v>148</v>
      </c>
      <c r="C36" s="632" t="s">
        <v>147</v>
      </c>
      <c r="D36" s="632" t="s">
        <v>126</v>
      </c>
      <c r="E36" s="633">
        <v>43388.753275462965</v>
      </c>
      <c r="F36" s="638">
        <v>43388.753275462965</v>
      </c>
      <c r="G36" s="634">
        <v>0.75277777777777777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628"/>
      <c r="P36" s="627"/>
      <c r="R36" s="372"/>
      <c r="S36" s="372"/>
      <c r="T36" s="373"/>
      <c r="U36" s="373"/>
      <c r="V36" s="373"/>
    </row>
    <row r="37" spans="1:22" s="2" customFormat="1">
      <c r="A37" s="632">
        <v>13746</v>
      </c>
      <c r="B37" s="632" t="s">
        <v>147</v>
      </c>
      <c r="C37" s="632" t="s">
        <v>147</v>
      </c>
      <c r="D37" s="632" t="s">
        <v>125</v>
      </c>
      <c r="E37" s="633">
        <v>43389.347708333335</v>
      </c>
      <c r="F37" s="638">
        <v>43389.347708333335</v>
      </c>
      <c r="G37" s="634">
        <v>0.34722222222222227</v>
      </c>
      <c r="H37" s="635">
        <v>9.8166666666666664</v>
      </c>
      <c r="I37" s="635">
        <v>8</v>
      </c>
      <c r="J37" s="635" t="s">
        <v>115</v>
      </c>
      <c r="K37" s="635"/>
      <c r="L37" s="635"/>
      <c r="M37" s="635"/>
      <c r="N37" s="635"/>
      <c r="O37" s="628"/>
      <c r="P37" s="627"/>
      <c r="Q37" s="345"/>
      <c r="R37" s="372"/>
      <c r="S37" s="374"/>
      <c r="T37" s="375"/>
      <c r="U37" s="375"/>
      <c r="V37" s="375"/>
    </row>
    <row r="38" spans="1:22">
      <c r="A38" s="632">
        <v>13758</v>
      </c>
      <c r="B38" s="632" t="s">
        <v>147</v>
      </c>
      <c r="C38" s="632" t="s">
        <v>147</v>
      </c>
      <c r="D38" s="632" t="s">
        <v>126</v>
      </c>
      <c r="E38" s="633">
        <v>43389.756296296298</v>
      </c>
      <c r="F38" s="638">
        <v>43389.756296296298</v>
      </c>
      <c r="G38" s="634">
        <v>0.75624999999999998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628"/>
      <c r="P38" s="627"/>
      <c r="R38" s="372"/>
    </row>
    <row r="39" spans="1:22" s="2" customFormat="1">
      <c r="A39" s="632">
        <v>13777</v>
      </c>
      <c r="B39" s="632" t="s">
        <v>147</v>
      </c>
      <c r="C39" s="632" t="s">
        <v>147</v>
      </c>
      <c r="D39" s="632" t="s">
        <v>125</v>
      </c>
      <c r="E39" s="633">
        <v>43390.352106481485</v>
      </c>
      <c r="F39" s="638">
        <v>43390.352106481485</v>
      </c>
      <c r="G39" s="634">
        <v>0.3520833333333333</v>
      </c>
      <c r="H39" s="635">
        <v>9.6833333333333318</v>
      </c>
      <c r="I39" s="635">
        <v>8</v>
      </c>
      <c r="J39" s="635" t="s">
        <v>115</v>
      </c>
      <c r="K39" s="635"/>
      <c r="L39" s="635"/>
      <c r="M39" s="635"/>
      <c r="N39" s="635"/>
      <c r="O39" s="628"/>
      <c r="P39" s="627"/>
      <c r="Q39" s="345"/>
      <c r="R39" s="372"/>
      <c r="S39" s="372"/>
      <c r="T39" s="373"/>
      <c r="U39" s="373"/>
      <c r="V39" s="373"/>
    </row>
    <row r="40" spans="1:22">
      <c r="A40" s="632">
        <v>13784</v>
      </c>
      <c r="B40" s="632" t="s">
        <v>148</v>
      </c>
      <c r="C40" s="632" t="s">
        <v>147</v>
      </c>
      <c r="D40" s="632" t="s">
        <v>126</v>
      </c>
      <c r="E40" s="633">
        <v>43390.756030092591</v>
      </c>
      <c r="F40" s="638">
        <v>43390.756030092591</v>
      </c>
      <c r="G40" s="634">
        <v>0.75555555555555554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628"/>
      <c r="P40" s="18"/>
      <c r="Q40" s="18"/>
      <c r="R40" s="18"/>
      <c r="S40" s="18"/>
      <c r="T40" s="63"/>
      <c r="U40" s="63"/>
      <c r="V40" s="63"/>
    </row>
    <row r="41" spans="1:22">
      <c r="A41" s="632">
        <v>13788</v>
      </c>
      <c r="B41" s="632" t="s">
        <v>148</v>
      </c>
      <c r="C41" s="632" t="s">
        <v>147</v>
      </c>
      <c r="D41" s="632" t="s">
        <v>127</v>
      </c>
      <c r="E41" s="633">
        <v>43390.771226851852</v>
      </c>
      <c r="F41" s="638">
        <v>43390.771226851852</v>
      </c>
      <c r="G41" s="634">
        <v>0.77083333333333337</v>
      </c>
      <c r="H41" s="635" t="s">
        <v>115</v>
      </c>
      <c r="I41" s="635" t="s">
        <v>115</v>
      </c>
      <c r="J41" s="635" t="s">
        <v>115</v>
      </c>
      <c r="K41" s="635">
        <v>1.0999999999999988</v>
      </c>
      <c r="L41" s="635"/>
      <c r="M41" s="635">
        <v>1.0999999999999988</v>
      </c>
      <c r="N41" s="635">
        <v>0</v>
      </c>
      <c r="O41" s="628"/>
    </row>
    <row r="42" spans="1:22">
      <c r="A42" s="632">
        <v>13802</v>
      </c>
      <c r="B42" s="632" t="s">
        <v>147</v>
      </c>
      <c r="C42" s="632" t="s">
        <v>147</v>
      </c>
      <c r="D42" s="632" t="s">
        <v>128</v>
      </c>
      <c r="E42" s="633">
        <v>43390.816817129627</v>
      </c>
      <c r="F42" s="638">
        <v>43390.816817129627</v>
      </c>
      <c r="G42" s="634">
        <v>0.81666666666666676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28"/>
    </row>
    <row r="43" spans="1:22">
      <c r="A43" s="632">
        <v>13806</v>
      </c>
      <c r="B43" s="632" t="s">
        <v>147</v>
      </c>
      <c r="C43" s="632" t="s">
        <v>147</v>
      </c>
      <c r="D43" s="632" t="s">
        <v>125</v>
      </c>
      <c r="E43" s="633">
        <v>43391.348668981482</v>
      </c>
      <c r="F43" s="638">
        <v>43391.348668981482</v>
      </c>
      <c r="G43" s="634">
        <v>0.34861111111111115</v>
      </c>
      <c r="H43" s="635">
        <v>9.6666666666666679</v>
      </c>
      <c r="I43" s="635">
        <v>8</v>
      </c>
      <c r="J43" s="635" t="s">
        <v>115</v>
      </c>
      <c r="K43" s="635"/>
      <c r="L43" s="635"/>
      <c r="M43" s="635"/>
      <c r="N43" s="635"/>
      <c r="O43" s="628"/>
    </row>
    <row r="44" spans="1:22">
      <c r="A44" s="632">
        <v>13815</v>
      </c>
      <c r="B44" s="632" t="s">
        <v>147</v>
      </c>
      <c r="C44" s="632" t="s">
        <v>147</v>
      </c>
      <c r="D44" s="632" t="s">
        <v>126</v>
      </c>
      <c r="E44" s="633">
        <v>43391.751909722225</v>
      </c>
      <c r="F44" s="638">
        <v>43391.751909722225</v>
      </c>
      <c r="G44" s="634">
        <v>0.75138888888888899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454"/>
    </row>
    <row r="45" spans="1:22">
      <c r="A45" s="632">
        <v>13826</v>
      </c>
      <c r="B45" s="632" t="s">
        <v>147</v>
      </c>
      <c r="C45" s="632" t="s">
        <v>147</v>
      </c>
      <c r="D45" s="632" t="s">
        <v>125</v>
      </c>
      <c r="E45" s="633">
        <v>43392.351331018515</v>
      </c>
      <c r="F45" s="638">
        <v>43392.351331018515</v>
      </c>
      <c r="G45" s="634">
        <v>0.35069444444444442</v>
      </c>
      <c r="H45" s="635">
        <v>9.6999999999999993</v>
      </c>
      <c r="I45" s="635">
        <v>8</v>
      </c>
      <c r="J45" s="635" t="s">
        <v>115</v>
      </c>
      <c r="K45" s="635"/>
      <c r="L45" s="635"/>
      <c r="M45" s="635"/>
      <c r="N45" s="635"/>
      <c r="O45" s="454"/>
    </row>
    <row r="46" spans="1:22">
      <c r="A46" s="632">
        <v>13836</v>
      </c>
      <c r="B46" s="632" t="s">
        <v>147</v>
      </c>
      <c r="C46" s="632" t="s">
        <v>147</v>
      </c>
      <c r="D46" s="632" t="s">
        <v>126</v>
      </c>
      <c r="E46" s="633">
        <v>43392.755104166667</v>
      </c>
      <c r="F46" s="638">
        <v>43392.755104166667</v>
      </c>
      <c r="G46" s="634">
        <v>0.75486111111111109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454"/>
      <c r="S46" s="444"/>
      <c r="T46" s="631"/>
      <c r="U46" s="631"/>
      <c r="V46" s="631"/>
    </row>
    <row r="47" spans="1:22">
      <c r="A47" s="632">
        <v>13845</v>
      </c>
      <c r="B47" s="632" t="s">
        <v>147</v>
      </c>
      <c r="C47" s="632" t="s">
        <v>147</v>
      </c>
      <c r="D47" s="632" t="s">
        <v>125</v>
      </c>
      <c r="E47" s="633">
        <v>43395.349224537036</v>
      </c>
      <c r="F47" s="638">
        <v>43395.349224537036</v>
      </c>
      <c r="G47" s="634">
        <v>0.34861111111111115</v>
      </c>
      <c r="H47" s="635">
        <v>10.150000000000002</v>
      </c>
      <c r="I47" s="635">
        <v>8</v>
      </c>
      <c r="J47" s="635" t="s">
        <v>115</v>
      </c>
      <c r="K47" s="635"/>
      <c r="L47" s="635"/>
      <c r="M47" s="635"/>
      <c r="N47" s="635"/>
      <c r="O47" s="454"/>
    </row>
    <row r="48" spans="1:22">
      <c r="A48" s="632">
        <v>13861</v>
      </c>
      <c r="B48" s="632" t="s">
        <v>147</v>
      </c>
      <c r="C48" s="632" t="s">
        <v>147</v>
      </c>
      <c r="D48" s="632" t="s">
        <v>126</v>
      </c>
      <c r="E48" s="633">
        <v>43395.771863425929</v>
      </c>
      <c r="F48" s="638">
        <v>43395.771863425929</v>
      </c>
      <c r="G48" s="634">
        <v>0.7715277777777777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454"/>
    </row>
    <row r="49" spans="1:15">
      <c r="A49" s="632">
        <v>13862</v>
      </c>
      <c r="B49" s="632" t="s">
        <v>147</v>
      </c>
      <c r="C49" s="632" t="s">
        <v>147</v>
      </c>
      <c r="D49" s="632" t="s">
        <v>127</v>
      </c>
      <c r="E49" s="633">
        <v>43395.771909722222</v>
      </c>
      <c r="F49" s="638">
        <v>43395.771909722222</v>
      </c>
      <c r="G49" s="634">
        <v>0.7715277777777777</v>
      </c>
      <c r="H49" s="635" t="s">
        <v>115</v>
      </c>
      <c r="I49" s="635" t="s">
        <v>115</v>
      </c>
      <c r="J49" s="635" t="s">
        <v>115</v>
      </c>
      <c r="K49" s="635">
        <v>0.94999999999999929</v>
      </c>
      <c r="L49" s="635"/>
      <c r="M49" s="635">
        <v>0.94999999999999929</v>
      </c>
      <c r="N49" s="635">
        <v>0</v>
      </c>
      <c r="O49" s="454"/>
    </row>
    <row r="50" spans="1:15">
      <c r="A50" s="632">
        <v>13875</v>
      </c>
      <c r="B50" s="632" t="s">
        <v>148</v>
      </c>
      <c r="C50" s="632" t="s">
        <v>147</v>
      </c>
      <c r="D50" s="632" t="s">
        <v>128</v>
      </c>
      <c r="E50" s="633">
        <v>43395.811585648145</v>
      </c>
      <c r="F50" s="638">
        <v>43395.811585648145</v>
      </c>
      <c r="G50" s="634">
        <v>0.81111111111111101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454"/>
    </row>
    <row r="51" spans="1:15">
      <c r="A51" s="632">
        <v>13878</v>
      </c>
      <c r="B51" s="632" t="s">
        <v>147</v>
      </c>
      <c r="C51" s="632" t="s">
        <v>147</v>
      </c>
      <c r="D51" s="632" t="s">
        <v>125</v>
      </c>
      <c r="E51" s="633">
        <v>43396.351747685185</v>
      </c>
      <c r="F51" s="638">
        <v>43396.351747685185</v>
      </c>
      <c r="G51" s="634">
        <v>0.35138888888888892</v>
      </c>
      <c r="H51" s="635">
        <v>9.5833333333333339</v>
      </c>
      <c r="I51" s="635">
        <v>8</v>
      </c>
      <c r="J51" s="635" t="s">
        <v>115</v>
      </c>
      <c r="K51" s="635"/>
      <c r="L51" s="635"/>
      <c r="M51" s="635"/>
      <c r="N51" s="635"/>
    </row>
    <row r="52" spans="1:15">
      <c r="A52" s="632">
        <v>13890</v>
      </c>
      <c r="B52" s="632" t="s">
        <v>147</v>
      </c>
      <c r="C52" s="632" t="s">
        <v>147</v>
      </c>
      <c r="D52" s="632" t="s">
        <v>126</v>
      </c>
      <c r="E52" s="633">
        <v>43396.750821759262</v>
      </c>
      <c r="F52" s="638">
        <v>43396.750821759262</v>
      </c>
      <c r="G52" s="634">
        <v>0.75069444444444444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</row>
    <row r="53" spans="1:15">
      <c r="A53" s="632">
        <v>13896</v>
      </c>
      <c r="B53" s="632" t="s">
        <v>147</v>
      </c>
      <c r="C53" s="632" t="s">
        <v>147</v>
      </c>
      <c r="D53" s="632" t="s">
        <v>127</v>
      </c>
      <c r="E53" s="633">
        <v>43396.77103009259</v>
      </c>
      <c r="F53" s="638">
        <v>43396.77103009259</v>
      </c>
      <c r="G53" s="634">
        <v>0.77083333333333337</v>
      </c>
      <c r="H53" s="635" t="s">
        <v>115</v>
      </c>
      <c r="I53" s="635" t="s">
        <v>115</v>
      </c>
      <c r="J53" s="635" t="s">
        <v>115</v>
      </c>
      <c r="K53" s="635">
        <v>1.6333333333333329</v>
      </c>
      <c r="L53" s="635"/>
      <c r="M53" s="635">
        <v>1.6333333333333329</v>
      </c>
      <c r="N53" s="635">
        <v>0</v>
      </c>
    </row>
    <row r="54" spans="1:15">
      <c r="A54" s="632">
        <v>13909</v>
      </c>
      <c r="B54" s="632" t="s">
        <v>147</v>
      </c>
      <c r="C54" s="632" t="s">
        <v>147</v>
      </c>
      <c r="D54" s="632" t="s">
        <v>128</v>
      </c>
      <c r="E54" s="633">
        <v>43396.839004629626</v>
      </c>
      <c r="F54" s="638">
        <v>43396.839004629626</v>
      </c>
      <c r="G54" s="634">
        <v>0.83888888888888891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</row>
    <row r="55" spans="1:15">
      <c r="A55" s="632">
        <v>13912</v>
      </c>
      <c r="B55" s="632" t="s">
        <v>147</v>
      </c>
      <c r="C55" s="632" t="s">
        <v>147</v>
      </c>
      <c r="D55" s="632" t="s">
        <v>125</v>
      </c>
      <c r="E55" s="633">
        <v>43397.348009259258</v>
      </c>
      <c r="F55" s="638">
        <v>43397.348009259258</v>
      </c>
      <c r="G55" s="634">
        <v>0.34791666666666665</v>
      </c>
      <c r="H55" s="635">
        <v>9.7833333333333332</v>
      </c>
      <c r="I55" s="635">
        <v>8</v>
      </c>
      <c r="J55" s="635" t="s">
        <v>115</v>
      </c>
      <c r="K55" s="635"/>
      <c r="L55" s="635"/>
      <c r="M55" s="635"/>
      <c r="N55" s="635"/>
    </row>
    <row r="56" spans="1:15">
      <c r="A56" s="632">
        <v>13920</v>
      </c>
      <c r="B56" s="632" t="s">
        <v>147</v>
      </c>
      <c r="C56" s="632" t="s">
        <v>147</v>
      </c>
      <c r="D56" s="632" t="s">
        <v>126</v>
      </c>
      <c r="E56" s="633">
        <v>43397.755914351852</v>
      </c>
      <c r="F56" s="638">
        <v>43397.755914351852</v>
      </c>
      <c r="G56" s="634">
        <v>0.75555555555555554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</row>
    <row r="57" spans="1:15">
      <c r="A57" s="632">
        <v>13934</v>
      </c>
      <c r="B57" s="632" t="s">
        <v>147</v>
      </c>
      <c r="C57" s="632" t="s">
        <v>147</v>
      </c>
      <c r="D57" s="632" t="s">
        <v>125</v>
      </c>
      <c r="E57" s="633">
        <v>43398.352037037039</v>
      </c>
      <c r="F57" s="638">
        <v>43398.352037037039</v>
      </c>
      <c r="G57" s="634">
        <v>0.35138888888888892</v>
      </c>
      <c r="H57" s="635">
        <v>9.6166666666666671</v>
      </c>
      <c r="I57" s="635">
        <v>8</v>
      </c>
      <c r="J57" s="635" t="s">
        <v>115</v>
      </c>
      <c r="K57" s="635"/>
      <c r="L57" s="635"/>
      <c r="M57" s="635"/>
      <c r="N57" s="635"/>
    </row>
    <row r="58" spans="1:15">
      <c r="A58" s="632">
        <v>13942</v>
      </c>
      <c r="B58" s="632" t="s">
        <v>147</v>
      </c>
      <c r="C58" s="632" t="s">
        <v>147</v>
      </c>
      <c r="D58" s="632" t="s">
        <v>126</v>
      </c>
      <c r="E58" s="633">
        <v>43398.752638888887</v>
      </c>
      <c r="F58" s="638">
        <v>43398.752638888887</v>
      </c>
      <c r="G58" s="634">
        <v>0.75208333333333333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</row>
    <row r="59" spans="1:15">
      <c r="A59" s="632">
        <v>13959</v>
      </c>
      <c r="B59" s="632" t="s">
        <v>147</v>
      </c>
      <c r="C59" s="632" t="s">
        <v>147</v>
      </c>
      <c r="D59" s="632" t="s">
        <v>125</v>
      </c>
      <c r="E59" s="633">
        <v>43399.351770833331</v>
      </c>
      <c r="F59" s="638">
        <v>43399.351770833331</v>
      </c>
      <c r="G59" s="634">
        <v>0.35138888888888892</v>
      </c>
      <c r="H59" s="635">
        <v>10.083333333333336</v>
      </c>
      <c r="I59" s="635">
        <v>8</v>
      </c>
      <c r="J59" s="635" t="s">
        <v>115</v>
      </c>
      <c r="K59" s="635"/>
      <c r="L59" s="635"/>
      <c r="M59" s="635"/>
      <c r="N59" s="635"/>
    </row>
    <row r="60" spans="1:15">
      <c r="A60" s="632">
        <v>13969</v>
      </c>
      <c r="B60" s="632" t="s">
        <v>147</v>
      </c>
      <c r="C60" s="632" t="s">
        <v>147</v>
      </c>
      <c r="D60" s="632" t="s">
        <v>126</v>
      </c>
      <c r="E60" s="633">
        <v>43399.771620370368</v>
      </c>
      <c r="F60" s="638">
        <v>43399.771620370368</v>
      </c>
      <c r="G60" s="634">
        <v>0.7715277777777777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</row>
    <row r="61" spans="1:15">
      <c r="A61" s="632">
        <v>13977</v>
      </c>
      <c r="B61" s="632" t="s">
        <v>147</v>
      </c>
      <c r="C61" s="632" t="s">
        <v>147</v>
      </c>
      <c r="D61" s="632" t="s">
        <v>125</v>
      </c>
      <c r="E61" s="633">
        <v>43402.345868055556</v>
      </c>
      <c r="F61" s="638">
        <v>43402.345868055556</v>
      </c>
      <c r="G61" s="634">
        <v>0.34583333333333338</v>
      </c>
      <c r="H61" s="635">
        <v>9.8166666666666664</v>
      </c>
      <c r="I61" s="635">
        <v>8</v>
      </c>
      <c r="J61" s="635" t="s">
        <v>115</v>
      </c>
      <c r="K61" s="635"/>
      <c r="L61" s="635"/>
      <c r="M61" s="635"/>
      <c r="N61" s="635"/>
    </row>
    <row r="62" spans="1:15">
      <c r="A62" s="632">
        <v>13990</v>
      </c>
      <c r="B62" s="632" t="s">
        <v>147</v>
      </c>
      <c r="C62" s="632" t="s">
        <v>147</v>
      </c>
      <c r="D62" s="632" t="s">
        <v>126</v>
      </c>
      <c r="E62" s="633">
        <v>43402.755509259259</v>
      </c>
      <c r="F62" s="638">
        <v>43402.755509259259</v>
      </c>
      <c r="G62" s="634">
        <v>0.75486111111111109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</row>
    <row r="63" spans="1:15">
      <c r="A63" s="632">
        <v>14007</v>
      </c>
      <c r="B63" s="632" t="s">
        <v>147</v>
      </c>
      <c r="C63" s="632" t="s">
        <v>147</v>
      </c>
      <c r="D63" s="632" t="s">
        <v>125</v>
      </c>
      <c r="E63" s="633">
        <v>43403.354398148149</v>
      </c>
      <c r="F63" s="638">
        <v>43403.354398148149</v>
      </c>
      <c r="G63" s="634">
        <v>0.35416666666666669</v>
      </c>
      <c r="H63" s="635">
        <v>9.9</v>
      </c>
      <c r="I63" s="635">
        <v>8</v>
      </c>
      <c r="J63" s="635" t="s">
        <v>115</v>
      </c>
      <c r="K63" s="635"/>
      <c r="L63" s="635"/>
      <c r="M63" s="635"/>
      <c r="N63" s="635"/>
    </row>
    <row r="64" spans="1:15">
      <c r="A64" s="632">
        <v>14020</v>
      </c>
      <c r="B64" s="632" t="s">
        <v>147</v>
      </c>
      <c r="C64" s="632" t="s">
        <v>147</v>
      </c>
      <c r="D64" s="632" t="s">
        <v>126</v>
      </c>
      <c r="E64" s="633">
        <v>43403.767210648148</v>
      </c>
      <c r="F64" s="638">
        <v>43403.767210648148</v>
      </c>
      <c r="G64" s="634">
        <v>0.76666666666666661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</row>
    <row r="65" spans="1:14">
      <c r="A65" s="632">
        <v>14032</v>
      </c>
      <c r="B65" s="632" t="s">
        <v>147</v>
      </c>
      <c r="C65" s="632" t="s">
        <v>147</v>
      </c>
      <c r="D65" s="632" t="s">
        <v>125</v>
      </c>
      <c r="E65" s="633">
        <v>43404.350115740737</v>
      </c>
      <c r="F65" s="638">
        <v>43404.350115740737</v>
      </c>
      <c r="G65" s="634">
        <v>0.35000000000000003</v>
      </c>
      <c r="H65" s="635">
        <v>10.083333333333336</v>
      </c>
      <c r="I65" s="635">
        <v>8</v>
      </c>
      <c r="J65" s="635" t="s">
        <v>115</v>
      </c>
      <c r="K65" s="635"/>
      <c r="L65" s="635"/>
      <c r="M65" s="635"/>
      <c r="N65" s="635"/>
    </row>
    <row r="66" spans="1:14">
      <c r="A66" s="632">
        <v>14043</v>
      </c>
      <c r="B66" s="632" t="s">
        <v>147</v>
      </c>
      <c r="C66" s="632" t="s">
        <v>147</v>
      </c>
      <c r="D66" s="632" t="s">
        <v>126</v>
      </c>
      <c r="E66" s="633">
        <v>43404.770648148151</v>
      </c>
      <c r="F66" s="638">
        <v>43404.770648148151</v>
      </c>
      <c r="G66" s="634">
        <v>0.77013888888888893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</row>
    <row r="67" spans="1:14">
      <c r="D67" s="478"/>
      <c r="E67" s="479"/>
      <c r="F67" s="479"/>
      <c r="G67" s="478"/>
      <c r="H67" s="479"/>
      <c r="I67" s="479"/>
      <c r="J67" s="478"/>
      <c r="K67" s="479"/>
      <c r="L67" s="479"/>
    </row>
    <row r="68" spans="1:14">
      <c r="D68" s="627" t="s">
        <v>36</v>
      </c>
      <c r="K68" s="479"/>
      <c r="L68" s="479"/>
    </row>
    <row r="69" spans="1:14">
      <c r="D69" s="627" t="s">
        <v>35</v>
      </c>
      <c r="K69" s="492"/>
      <c r="L69" s="492"/>
    </row>
    <row r="70" spans="1:14">
      <c r="D70" s="560" t="s">
        <v>63</v>
      </c>
      <c r="K70" s="479"/>
      <c r="L70" s="479"/>
    </row>
    <row r="71" spans="1:14">
      <c r="D71" s="625" t="s">
        <v>66</v>
      </c>
      <c r="K71" s="492"/>
      <c r="L71" s="492"/>
    </row>
    <row r="72" spans="1:14">
      <c r="D72" s="625" t="s">
        <v>64</v>
      </c>
      <c r="E72" s="561"/>
      <c r="K72" s="479"/>
      <c r="L72" s="479"/>
    </row>
    <row r="73" spans="1:14">
      <c r="D73" s="625" t="s">
        <v>68</v>
      </c>
      <c r="E73" s="561"/>
      <c r="K73" s="492"/>
      <c r="L73" s="492"/>
    </row>
    <row r="74" spans="1:14">
      <c r="D74" s="625" t="s">
        <v>69</v>
      </c>
      <c r="E74" s="561"/>
      <c r="K74" s="479"/>
      <c r="L74" s="479"/>
    </row>
    <row r="75" spans="1:14">
      <c r="D75" s="625" t="s">
        <v>116</v>
      </c>
      <c r="E75" s="561"/>
      <c r="K75" s="492"/>
      <c r="L75" s="492"/>
    </row>
    <row r="76" spans="1:14">
      <c r="D76" s="625" t="s">
        <v>67</v>
      </c>
      <c r="E76" s="561"/>
      <c r="K76" s="479"/>
      <c r="L76" s="479"/>
    </row>
  </sheetData>
  <phoneticPr fontId="18" type="noConversion"/>
  <conditionalFormatting sqref="I7:I28 I31:I66">
    <cfRule type="cellIs" dxfId="29" priority="3" operator="lessThan">
      <formula>4</formula>
    </cfRule>
  </conditionalFormatting>
  <conditionalFormatting sqref="I29:I30">
    <cfRule type="cellIs" dxfId="28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77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>
    <tabColor theme="4"/>
    <pageSetUpPr fitToPage="1"/>
  </sheetPr>
  <dimension ref="A1:Y111"/>
  <sheetViews>
    <sheetView view="pageBreakPreview" zoomScaleNormal="100" zoomScaleSheetLayoutView="100" workbookViewId="0">
      <selection activeCell="K3" sqref="K3"/>
    </sheetView>
  </sheetViews>
  <sheetFormatPr defaultColWidth="9" defaultRowHeight="16.5" outlineLevelCol="1"/>
  <cols>
    <col min="1" max="1" width="5.625" style="335" customWidth="1" outlineLevel="1"/>
    <col min="2" max="2" width="6.875" style="335" customWidth="1" outlineLevel="1"/>
    <col min="3" max="3" width="6.5" style="336" customWidth="1" outlineLevel="1"/>
    <col min="4" max="4" width="10.25" style="336" customWidth="1"/>
    <col min="5" max="5" width="16.5" style="336" customWidth="1"/>
    <col min="6" max="6" width="14.25" style="373" customWidth="1"/>
    <col min="7" max="7" width="8.625" style="376" customWidth="1" outlineLevel="1"/>
    <col min="8" max="8" width="11.125" style="377" customWidth="1" outlineLevel="1"/>
    <col min="9" max="9" width="10.25" style="378" customWidth="1"/>
    <col min="10" max="10" width="9" style="378" customWidth="1"/>
    <col min="11" max="11" width="8.375" style="379" customWidth="1" outlineLevel="1"/>
    <col min="12" max="12" width="8" style="379" customWidth="1"/>
    <col min="13" max="13" width="10.5" style="379" customWidth="1"/>
    <col min="14" max="14" width="10.125" style="379" customWidth="1"/>
    <col min="15" max="15" width="14.375" style="6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  <col min="23" max="23" width="18.125" style="335" customWidth="1"/>
    <col min="24" max="16384" width="9" style="335"/>
  </cols>
  <sheetData>
    <row r="1" spans="1:25" s="324" customFormat="1" ht="28.5" thickBot="1">
      <c r="C1" s="325"/>
      <c r="D1" s="326"/>
      <c r="E1" s="326"/>
      <c r="F1" s="327"/>
      <c r="G1" s="328"/>
      <c r="H1" s="329"/>
      <c r="I1" s="330" t="str">
        <f>B63</f>
        <v>my</v>
      </c>
      <c r="J1" s="331" t="s">
        <v>29</v>
      </c>
      <c r="K1" s="332"/>
      <c r="L1" s="332"/>
      <c r="M1" s="332"/>
      <c r="N1" s="332"/>
      <c r="O1" s="628"/>
      <c r="P1" s="334"/>
      <c r="Q1" s="334"/>
      <c r="R1" s="334"/>
      <c r="S1" s="334"/>
    </row>
    <row r="2" spans="1:25">
      <c r="D2" s="337" t="s">
        <v>74</v>
      </c>
      <c r="E2" s="537">
        <f>10.5-3-4-3</f>
        <v>0.5</v>
      </c>
      <c r="F2" s="338" t="s">
        <v>75</v>
      </c>
      <c r="G2" s="339"/>
      <c r="H2" s="339"/>
      <c r="I2" s="340"/>
      <c r="J2" s="340" t="s">
        <v>34</v>
      </c>
      <c r="K2" s="341"/>
      <c r="L2" s="342" t="s">
        <v>20</v>
      </c>
      <c r="M2" s="343" t="s">
        <v>17</v>
      </c>
      <c r="N2" s="343" t="s">
        <v>18</v>
      </c>
      <c r="O2" s="628" t="s">
        <v>162</v>
      </c>
    </row>
    <row r="3" spans="1:25" ht="17.25" thickBot="1">
      <c r="D3" s="346" t="s">
        <v>76</v>
      </c>
      <c r="E3" s="663">
        <v>0</v>
      </c>
      <c r="F3" s="347"/>
      <c r="G3" s="348"/>
      <c r="H3" s="348"/>
      <c r="I3" s="349"/>
      <c r="J3" s="350">
        <f>D5+E5</f>
        <v>12</v>
      </c>
      <c r="K3" s="351">
        <f>SUM(K7:K200)</f>
        <v>19.099999999999998</v>
      </c>
      <c r="L3" s="53">
        <f>J3</f>
        <v>12</v>
      </c>
      <c r="M3" s="53">
        <f>M6-J3</f>
        <v>6.4999999999999964</v>
      </c>
      <c r="N3" s="53">
        <f>N6</f>
        <v>0.60000000000000231</v>
      </c>
    </row>
    <row r="4" spans="1:25">
      <c r="D4" s="353" t="s">
        <v>43</v>
      </c>
      <c r="E4" s="354" t="s">
        <v>44</v>
      </c>
      <c r="F4" s="354" t="s">
        <v>46</v>
      </c>
      <c r="G4" s="355"/>
      <c r="H4" s="355"/>
      <c r="I4" s="356" t="s">
        <v>33</v>
      </c>
      <c r="J4" s="356" t="s">
        <v>25</v>
      </c>
      <c r="K4" s="356"/>
      <c r="L4" s="356" t="s">
        <v>12</v>
      </c>
      <c r="M4" s="356" t="s">
        <v>12</v>
      </c>
      <c r="N4" s="356" t="s">
        <v>12</v>
      </c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192</v>
      </c>
      <c r="W4" s="448"/>
      <c r="X4" s="369"/>
      <c r="Y4" s="449"/>
    </row>
    <row r="5" spans="1:25">
      <c r="D5" s="394">
        <v>0</v>
      </c>
      <c r="E5" s="360">
        <v>12</v>
      </c>
      <c r="F5" s="360">
        <v>3</v>
      </c>
      <c r="G5" s="361"/>
      <c r="H5" s="361"/>
      <c r="I5" s="362" t="s">
        <v>47</v>
      </c>
      <c r="J5" s="362" t="s">
        <v>47</v>
      </c>
      <c r="K5" s="362" t="s">
        <v>16</v>
      </c>
      <c r="L5" s="362" t="s">
        <v>20</v>
      </c>
      <c r="M5" s="362" t="s">
        <v>17</v>
      </c>
      <c r="N5" s="362" t="s">
        <v>18</v>
      </c>
      <c r="Q5" s="345" t="s">
        <v>40</v>
      </c>
      <c r="S5" s="363">
        <f>(L6+M6+N6)/160</f>
        <v>0.11937499999999998</v>
      </c>
      <c r="W5" s="448"/>
      <c r="X5" s="369"/>
    </row>
    <row r="6" spans="1:25" ht="17.25" thickBot="1">
      <c r="A6" s="335" t="s">
        <v>0</v>
      </c>
      <c r="B6" s="335" t="s">
        <v>1</v>
      </c>
      <c r="C6" s="336" t="s">
        <v>2</v>
      </c>
      <c r="D6" s="364" t="s">
        <v>3</v>
      </c>
      <c r="E6" s="365" t="s">
        <v>4</v>
      </c>
      <c r="F6" s="366"/>
      <c r="G6" s="367"/>
      <c r="H6" s="365" t="s">
        <v>22</v>
      </c>
      <c r="I6" s="368">
        <f>SUM(I7:I200)</f>
        <v>169</v>
      </c>
      <c r="J6" s="368">
        <f t="shared" ref="J6:N6" si="0">SUM(J7:J200)</f>
        <v>23</v>
      </c>
      <c r="K6" s="368">
        <f t="shared" si="0"/>
        <v>19.099999999999998</v>
      </c>
      <c r="L6" s="368">
        <f t="shared" si="0"/>
        <v>0</v>
      </c>
      <c r="M6" s="368">
        <f t="shared" si="0"/>
        <v>18.499999999999996</v>
      </c>
      <c r="N6" s="368">
        <f t="shared" si="0"/>
        <v>0.60000000000000231</v>
      </c>
    </row>
    <row r="7" spans="1:25" s="16" customFormat="1">
      <c r="A7" s="632">
        <v>13463</v>
      </c>
      <c r="B7" s="632" t="s">
        <v>62</v>
      </c>
      <c r="C7" s="632" t="s">
        <v>62</v>
      </c>
      <c r="D7" s="632" t="s">
        <v>125</v>
      </c>
      <c r="E7" s="633">
        <v>43374.368692129632</v>
      </c>
      <c r="F7" s="638">
        <v>43374.368692129632</v>
      </c>
      <c r="G7" s="634">
        <v>0.36805555555555558</v>
      </c>
      <c r="H7" s="635">
        <v>10.233333333333331</v>
      </c>
      <c r="I7" s="635">
        <v>8</v>
      </c>
      <c r="J7" s="635" t="s">
        <v>115</v>
      </c>
      <c r="K7" s="635"/>
      <c r="L7" s="635"/>
      <c r="M7" s="635"/>
      <c r="N7" s="635"/>
      <c r="O7" s="628"/>
      <c r="P7" s="345"/>
      <c r="Q7" s="345"/>
      <c r="R7" s="137"/>
      <c r="S7" s="137"/>
    </row>
    <row r="8" spans="1:25" s="130" customFormat="1">
      <c r="A8" s="632">
        <v>13484</v>
      </c>
      <c r="B8" s="632" t="s">
        <v>62</v>
      </c>
      <c r="C8" s="632" t="s">
        <v>62</v>
      </c>
      <c r="D8" s="632" t="s">
        <v>126</v>
      </c>
      <c r="E8" s="633">
        <v>43374.794999999998</v>
      </c>
      <c r="F8" s="638">
        <v>43374.794999999998</v>
      </c>
      <c r="G8" s="634">
        <v>0.7944444444444444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28"/>
      <c r="P8" s="345"/>
      <c r="Q8" s="345"/>
      <c r="R8" s="149"/>
      <c r="S8" s="149"/>
    </row>
    <row r="9" spans="1:25" s="373" customFormat="1">
      <c r="A9" s="632">
        <v>13485</v>
      </c>
      <c r="B9" s="632" t="s">
        <v>62</v>
      </c>
      <c r="C9" s="632" t="s">
        <v>62</v>
      </c>
      <c r="D9" s="632" t="s">
        <v>127</v>
      </c>
      <c r="E9" s="633">
        <v>43374.795011574075</v>
      </c>
      <c r="F9" s="638">
        <v>43374.795011574075</v>
      </c>
      <c r="G9" s="634">
        <v>0.7944444444444444</v>
      </c>
      <c r="H9" s="635" t="s">
        <v>115</v>
      </c>
      <c r="I9" s="635" t="s">
        <v>115</v>
      </c>
      <c r="J9" s="635" t="s">
        <v>115</v>
      </c>
      <c r="K9" s="635">
        <v>2.4333333333333353</v>
      </c>
      <c r="L9" s="635"/>
      <c r="M9" s="635">
        <v>2</v>
      </c>
      <c r="N9" s="635">
        <v>0.43333333333333535</v>
      </c>
      <c r="O9" s="628"/>
      <c r="P9" s="345"/>
      <c r="Q9" s="345"/>
      <c r="R9" s="372"/>
      <c r="S9" s="372"/>
    </row>
    <row r="10" spans="1:25" s="63" customFormat="1">
      <c r="A10" s="632">
        <v>13492</v>
      </c>
      <c r="B10" s="632" t="s">
        <v>62</v>
      </c>
      <c r="C10" s="632" t="s">
        <v>62</v>
      </c>
      <c r="D10" s="632" t="s">
        <v>128</v>
      </c>
      <c r="E10" s="633">
        <v>43374.896099537036</v>
      </c>
      <c r="F10" s="638">
        <v>43374.896099537036</v>
      </c>
      <c r="G10" s="634">
        <v>0.89583333333333337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628"/>
      <c r="P10" s="345"/>
      <c r="Q10" s="345"/>
      <c r="R10" s="18"/>
      <c r="S10" s="18"/>
    </row>
    <row r="11" spans="1:25" s="63" customFormat="1">
      <c r="A11" s="632">
        <v>13502</v>
      </c>
      <c r="B11" s="632" t="s">
        <v>78</v>
      </c>
      <c r="C11" s="632" t="s">
        <v>62</v>
      </c>
      <c r="D11" s="632" t="s">
        <v>125</v>
      </c>
      <c r="E11" s="633">
        <v>43375.372233796297</v>
      </c>
      <c r="F11" s="638">
        <v>43375.372233796297</v>
      </c>
      <c r="G11" s="634">
        <v>0.37222222222222223</v>
      </c>
      <c r="H11" s="635">
        <v>9.6000000000000014</v>
      </c>
      <c r="I11" s="635">
        <v>8</v>
      </c>
      <c r="J11" s="635" t="s">
        <v>115</v>
      </c>
      <c r="K11" s="635"/>
      <c r="L11" s="635"/>
      <c r="M11" s="635"/>
      <c r="N11" s="635"/>
      <c r="O11" s="628"/>
      <c r="P11" s="345"/>
      <c r="Q11" s="345"/>
      <c r="R11" s="18"/>
      <c r="S11" s="18"/>
    </row>
    <row r="12" spans="1:25" s="583" customFormat="1">
      <c r="A12" s="632">
        <v>13515</v>
      </c>
      <c r="B12" s="632" t="s">
        <v>78</v>
      </c>
      <c r="C12" s="632" t="s">
        <v>62</v>
      </c>
      <c r="D12" s="632" t="s">
        <v>126</v>
      </c>
      <c r="E12" s="633">
        <v>43375.772407407407</v>
      </c>
      <c r="F12" s="638">
        <v>43375.772407407407</v>
      </c>
      <c r="G12" s="634">
        <v>0.77222222222222225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628"/>
      <c r="P12" s="444"/>
      <c r="Q12" s="444"/>
      <c r="R12" s="584"/>
      <c r="S12" s="584"/>
    </row>
    <row r="13" spans="1:25" s="16" customFormat="1">
      <c r="A13" s="632">
        <v>13516</v>
      </c>
      <c r="B13" s="632" t="s">
        <v>78</v>
      </c>
      <c r="C13" s="632" t="s">
        <v>62</v>
      </c>
      <c r="D13" s="632" t="s">
        <v>127</v>
      </c>
      <c r="E13" s="633">
        <v>43375.772430555553</v>
      </c>
      <c r="F13" s="638">
        <v>43375.772430555553</v>
      </c>
      <c r="G13" s="634">
        <v>0.77222222222222225</v>
      </c>
      <c r="H13" s="635" t="s">
        <v>115</v>
      </c>
      <c r="I13" s="635" t="s">
        <v>115</v>
      </c>
      <c r="J13" s="635" t="s">
        <v>115</v>
      </c>
      <c r="K13" s="635">
        <v>2.166666666666667</v>
      </c>
      <c r="L13" s="635"/>
      <c r="M13" s="635">
        <v>2</v>
      </c>
      <c r="N13" s="635">
        <v>0.16666666666666696</v>
      </c>
      <c r="O13" s="628"/>
      <c r="P13" s="345"/>
      <c r="Q13" s="345"/>
      <c r="R13" s="137"/>
      <c r="S13" s="137"/>
    </row>
    <row r="14" spans="1:25" s="16" customFormat="1">
      <c r="A14" s="632">
        <v>13520</v>
      </c>
      <c r="B14" s="632" t="s">
        <v>62</v>
      </c>
      <c r="C14" s="632" t="s">
        <v>62</v>
      </c>
      <c r="D14" s="632" t="s">
        <v>128</v>
      </c>
      <c r="E14" s="633">
        <v>43375.862916666665</v>
      </c>
      <c r="F14" s="638">
        <v>43375.862916666665</v>
      </c>
      <c r="G14" s="634">
        <v>0.86249999999999993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628"/>
      <c r="P14" s="345"/>
      <c r="Q14" s="345"/>
      <c r="R14" s="137"/>
      <c r="S14" s="137"/>
    </row>
    <row r="15" spans="1:25" s="16" customFormat="1">
      <c r="A15" s="632">
        <v>13528</v>
      </c>
      <c r="B15" s="632" t="s">
        <v>62</v>
      </c>
      <c r="C15" s="632" t="s">
        <v>62</v>
      </c>
      <c r="D15" s="632" t="s">
        <v>125</v>
      </c>
      <c r="E15" s="633">
        <v>43376.372928240744</v>
      </c>
      <c r="F15" s="638">
        <v>43376.372928240744</v>
      </c>
      <c r="G15" s="634">
        <v>0.37291666666666662</v>
      </c>
      <c r="H15" s="635">
        <v>9.5666666666666664</v>
      </c>
      <c r="I15" s="635">
        <v>8</v>
      </c>
      <c r="J15" s="635" t="s">
        <v>115</v>
      </c>
      <c r="K15" s="635"/>
      <c r="L15" s="635"/>
      <c r="M15" s="635"/>
      <c r="N15" s="635"/>
      <c r="O15" s="628"/>
      <c r="P15" s="345"/>
      <c r="Q15" s="345"/>
      <c r="R15" s="137"/>
      <c r="S15" s="137"/>
    </row>
    <row r="16" spans="1:25" s="16" customFormat="1">
      <c r="A16" s="632">
        <v>13538</v>
      </c>
      <c r="B16" s="632" t="s">
        <v>62</v>
      </c>
      <c r="C16" s="632" t="s">
        <v>62</v>
      </c>
      <c r="D16" s="632" t="s">
        <v>126</v>
      </c>
      <c r="E16" s="633">
        <v>43376.771643518521</v>
      </c>
      <c r="F16" s="638">
        <v>43376.771643518521</v>
      </c>
      <c r="G16" s="634">
        <v>0.7715277777777777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628"/>
      <c r="P16" s="345"/>
      <c r="Q16" s="345"/>
      <c r="R16" s="137"/>
      <c r="S16" s="137"/>
    </row>
    <row r="17" spans="1:19" s="373" customFormat="1">
      <c r="A17" s="632">
        <v>13539</v>
      </c>
      <c r="B17" s="632" t="s">
        <v>62</v>
      </c>
      <c r="C17" s="632" t="s">
        <v>62</v>
      </c>
      <c r="D17" s="632" t="s">
        <v>127</v>
      </c>
      <c r="E17" s="633">
        <v>43376.771666666667</v>
      </c>
      <c r="F17" s="638">
        <v>43376.771666666667</v>
      </c>
      <c r="G17" s="634">
        <v>0.7715277777777777</v>
      </c>
      <c r="H17" s="635" t="s">
        <v>115</v>
      </c>
      <c r="I17" s="635" t="s">
        <v>115</v>
      </c>
      <c r="J17" s="635" t="s">
        <v>115</v>
      </c>
      <c r="K17" s="635">
        <v>0.73333333333333339</v>
      </c>
      <c r="L17" s="635"/>
      <c r="M17" s="635">
        <v>0.73333333333333339</v>
      </c>
      <c r="N17" s="635">
        <v>0</v>
      </c>
      <c r="O17" s="628"/>
      <c r="P17" s="345"/>
      <c r="Q17" s="345"/>
      <c r="R17" s="372"/>
      <c r="S17" s="372"/>
    </row>
    <row r="18" spans="1:19" s="373" customFormat="1">
      <c r="A18" s="632">
        <v>13549</v>
      </c>
      <c r="B18" s="632" t="s">
        <v>62</v>
      </c>
      <c r="C18" s="632" t="s">
        <v>62</v>
      </c>
      <c r="D18" s="632" t="s">
        <v>128</v>
      </c>
      <c r="E18" s="633">
        <v>43376.802743055552</v>
      </c>
      <c r="F18" s="638">
        <v>43376.802743055552</v>
      </c>
      <c r="G18" s="634">
        <v>0.80208333333333337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628"/>
      <c r="P18" s="345"/>
      <c r="Q18" s="345"/>
      <c r="R18" s="372"/>
      <c r="S18" s="372"/>
    </row>
    <row r="19" spans="1:19" s="373" customFormat="1">
      <c r="A19" s="632">
        <v>13560</v>
      </c>
      <c r="B19" s="632" t="s">
        <v>62</v>
      </c>
      <c r="C19" s="632" t="s">
        <v>62</v>
      </c>
      <c r="D19" s="632" t="s">
        <v>125</v>
      </c>
      <c r="E19" s="633">
        <v>43377.371319444443</v>
      </c>
      <c r="F19" s="638">
        <v>43377.371319444443</v>
      </c>
      <c r="G19" s="634">
        <v>0.37083333333333335</v>
      </c>
      <c r="H19" s="635">
        <v>9.7333333333333343</v>
      </c>
      <c r="I19" s="635">
        <v>8</v>
      </c>
      <c r="J19" s="635" t="s">
        <v>115</v>
      </c>
      <c r="K19" s="635"/>
      <c r="L19" s="635"/>
      <c r="M19" s="635"/>
      <c r="N19" s="635"/>
      <c r="O19" s="628"/>
      <c r="P19" s="345"/>
      <c r="Q19" s="345"/>
      <c r="R19" s="372"/>
      <c r="S19" s="372"/>
    </row>
    <row r="20" spans="1:19" s="373" customFormat="1">
      <c r="A20" s="632">
        <v>13571</v>
      </c>
      <c r="B20" s="632" t="s">
        <v>62</v>
      </c>
      <c r="C20" s="632" t="s">
        <v>62</v>
      </c>
      <c r="D20" s="632" t="s">
        <v>126</v>
      </c>
      <c r="E20" s="633">
        <v>43377.776423611111</v>
      </c>
      <c r="F20" s="638">
        <v>43377.776423611111</v>
      </c>
      <c r="G20" s="634">
        <v>0.77638888888888891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628"/>
      <c r="P20" s="345"/>
      <c r="Q20" s="345"/>
      <c r="R20" s="372"/>
      <c r="S20" s="372"/>
    </row>
    <row r="21" spans="1:19" s="373" customFormat="1">
      <c r="A21" s="632">
        <v>13572</v>
      </c>
      <c r="B21" s="632" t="s">
        <v>62</v>
      </c>
      <c r="C21" s="632" t="s">
        <v>62</v>
      </c>
      <c r="D21" s="632" t="s">
        <v>127</v>
      </c>
      <c r="E21" s="633">
        <v>43377.776435185187</v>
      </c>
      <c r="F21" s="638">
        <v>43377.776435185187</v>
      </c>
      <c r="G21" s="634">
        <v>0.77638888888888891</v>
      </c>
      <c r="H21" s="635" t="s">
        <v>115</v>
      </c>
      <c r="I21" s="635" t="s">
        <v>115</v>
      </c>
      <c r="J21" s="635" t="s">
        <v>115</v>
      </c>
      <c r="K21" s="635">
        <v>0.70000000000000018</v>
      </c>
      <c r="L21" s="635"/>
      <c r="M21" s="635">
        <v>0.70000000000000018</v>
      </c>
      <c r="N21" s="635">
        <v>0</v>
      </c>
      <c r="O21" s="628"/>
      <c r="P21" s="345"/>
      <c r="Q21" s="345"/>
      <c r="R21" s="372"/>
      <c r="S21" s="372"/>
    </row>
    <row r="22" spans="1:19" s="373" customFormat="1">
      <c r="A22" s="632">
        <v>13578</v>
      </c>
      <c r="B22" s="632" t="s">
        <v>62</v>
      </c>
      <c r="C22" s="632" t="s">
        <v>62</v>
      </c>
      <c r="D22" s="632" t="s">
        <v>128</v>
      </c>
      <c r="E22" s="633">
        <v>43377.805567129632</v>
      </c>
      <c r="F22" s="638">
        <v>43377.805567129632</v>
      </c>
      <c r="G22" s="634">
        <v>0.80555555555555547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628"/>
      <c r="P22" s="345"/>
      <c r="Q22" s="345"/>
      <c r="R22" s="372"/>
      <c r="S22" s="372"/>
    </row>
    <row r="23" spans="1:19" s="373" customFormat="1">
      <c r="A23" s="632">
        <v>13589</v>
      </c>
      <c r="B23" s="632" t="s">
        <v>78</v>
      </c>
      <c r="C23" s="632" t="s">
        <v>62</v>
      </c>
      <c r="D23" s="632" t="s">
        <v>125</v>
      </c>
      <c r="E23" s="633">
        <v>43378.371145833335</v>
      </c>
      <c r="F23" s="638">
        <v>43378.371145833335</v>
      </c>
      <c r="G23" s="634">
        <v>0.37083333333333335</v>
      </c>
      <c r="H23" s="635">
        <v>9.6000000000000014</v>
      </c>
      <c r="I23" s="635">
        <v>8</v>
      </c>
      <c r="J23" s="635" t="s">
        <v>115</v>
      </c>
      <c r="K23" s="635"/>
      <c r="L23" s="635"/>
      <c r="M23" s="635"/>
      <c r="N23" s="635"/>
      <c r="O23" s="628"/>
      <c r="P23" s="345"/>
      <c r="Q23" s="345"/>
      <c r="R23" s="372"/>
      <c r="S23" s="372"/>
    </row>
    <row r="24" spans="1:19" s="373" customFormat="1">
      <c r="A24" s="632">
        <v>13599</v>
      </c>
      <c r="B24" s="632" t="s">
        <v>62</v>
      </c>
      <c r="C24" s="632" t="s">
        <v>62</v>
      </c>
      <c r="D24" s="632" t="s">
        <v>126</v>
      </c>
      <c r="E24" s="633">
        <v>43378.771087962959</v>
      </c>
      <c r="F24" s="638">
        <v>43378.771087962959</v>
      </c>
      <c r="G24" s="634">
        <v>0.77083333333333337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628"/>
      <c r="P24" s="345"/>
      <c r="Q24" s="345"/>
      <c r="R24" s="372"/>
      <c r="S24" s="372"/>
    </row>
    <row r="25" spans="1:19" s="373" customFormat="1">
      <c r="A25" s="632">
        <v>13601</v>
      </c>
      <c r="B25" s="632" t="s">
        <v>62</v>
      </c>
      <c r="C25" s="632" t="s">
        <v>62</v>
      </c>
      <c r="D25" s="632" t="s">
        <v>127</v>
      </c>
      <c r="E25" s="633">
        <v>43378.771574074075</v>
      </c>
      <c r="F25" s="638">
        <v>43378.771574074075</v>
      </c>
      <c r="G25" s="634">
        <v>0.7715277777777777</v>
      </c>
      <c r="H25" s="635" t="s">
        <v>115</v>
      </c>
      <c r="I25" s="635" t="s">
        <v>115</v>
      </c>
      <c r="J25" s="635" t="s">
        <v>115</v>
      </c>
      <c r="K25" s="635">
        <v>1.3166666666666647</v>
      </c>
      <c r="L25" s="635"/>
      <c r="M25" s="635">
        <v>1.3166666666666647</v>
      </c>
      <c r="N25" s="635">
        <v>0</v>
      </c>
      <c r="O25" s="628"/>
      <c r="P25" s="345"/>
      <c r="Q25" s="345"/>
      <c r="R25" s="372"/>
      <c r="S25" s="372"/>
    </row>
    <row r="26" spans="1:19" s="16" customFormat="1">
      <c r="A26" s="632">
        <v>13611</v>
      </c>
      <c r="B26" s="632" t="s">
        <v>62</v>
      </c>
      <c r="C26" s="632" t="s">
        <v>62</v>
      </c>
      <c r="D26" s="632" t="s">
        <v>128</v>
      </c>
      <c r="E26" s="633">
        <v>43378.826909722222</v>
      </c>
      <c r="F26" s="638">
        <v>43378.826909722222</v>
      </c>
      <c r="G26" s="634">
        <v>0.82638888888888884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628"/>
      <c r="P26" s="345"/>
      <c r="Q26" s="345"/>
      <c r="R26" s="137"/>
      <c r="S26" s="137"/>
    </row>
    <row r="27" spans="1:19" s="373" customFormat="1">
      <c r="A27" s="632">
        <v>13618</v>
      </c>
      <c r="B27" s="632" t="s">
        <v>78</v>
      </c>
      <c r="C27" s="632" t="s">
        <v>62</v>
      </c>
      <c r="D27" s="632" t="s">
        <v>125</v>
      </c>
      <c r="E27" s="633">
        <v>43381.368692129632</v>
      </c>
      <c r="F27" s="638">
        <v>43381.368692129632</v>
      </c>
      <c r="G27" s="634">
        <v>0.36805555555555558</v>
      </c>
      <c r="H27" s="635">
        <v>9.6999999999999993</v>
      </c>
      <c r="I27" s="635">
        <v>8</v>
      </c>
      <c r="J27" s="635" t="s">
        <v>115</v>
      </c>
      <c r="K27" s="635"/>
      <c r="L27" s="635"/>
      <c r="M27" s="635"/>
      <c r="N27" s="635"/>
      <c r="O27" s="628"/>
      <c r="P27" s="345"/>
      <c r="Q27" s="345"/>
      <c r="R27" s="372"/>
      <c r="S27" s="372"/>
    </row>
    <row r="28" spans="1:19" s="373" customFormat="1">
      <c r="A28" s="632">
        <v>13634</v>
      </c>
      <c r="B28" s="632" t="s">
        <v>62</v>
      </c>
      <c r="C28" s="632" t="s">
        <v>62</v>
      </c>
      <c r="D28" s="632" t="s">
        <v>126</v>
      </c>
      <c r="E28" s="633">
        <v>43381.772337962961</v>
      </c>
      <c r="F28" s="638">
        <v>43381.772337962961</v>
      </c>
      <c r="G28" s="634">
        <v>0.77222222222222225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628"/>
      <c r="P28" s="345"/>
      <c r="Q28" s="345"/>
      <c r="R28" s="372"/>
      <c r="S28" s="372"/>
    </row>
    <row r="29" spans="1:19" s="373" customFormat="1">
      <c r="A29" s="632">
        <v>13635</v>
      </c>
      <c r="B29" s="632" t="s">
        <v>62</v>
      </c>
      <c r="C29" s="632" t="s">
        <v>62</v>
      </c>
      <c r="D29" s="632" t="s">
        <v>127</v>
      </c>
      <c r="E29" s="633">
        <v>43381.772349537037</v>
      </c>
      <c r="F29" s="638">
        <v>43381.772349537037</v>
      </c>
      <c r="G29" s="634">
        <v>0.77222222222222225</v>
      </c>
      <c r="H29" s="635" t="s">
        <v>115</v>
      </c>
      <c r="I29" s="635" t="s">
        <v>115</v>
      </c>
      <c r="J29" s="635" t="s">
        <v>115</v>
      </c>
      <c r="K29" s="635">
        <v>0.16666666666666607</v>
      </c>
      <c r="L29" s="635"/>
      <c r="M29" s="635">
        <v>0.16666666666666607</v>
      </c>
      <c r="N29" s="635">
        <v>0</v>
      </c>
      <c r="O29" s="628"/>
      <c r="P29" s="345"/>
      <c r="Q29" s="345"/>
      <c r="R29" s="372"/>
      <c r="S29" s="372"/>
    </row>
    <row r="30" spans="1:19" s="373" customFormat="1">
      <c r="A30" s="632">
        <v>13637</v>
      </c>
      <c r="B30" s="632" t="s">
        <v>62</v>
      </c>
      <c r="C30" s="632" t="s">
        <v>62</v>
      </c>
      <c r="D30" s="632" t="s">
        <v>128</v>
      </c>
      <c r="E30" s="633">
        <v>43381.779490740744</v>
      </c>
      <c r="F30" s="638">
        <v>43381.779490740744</v>
      </c>
      <c r="G30" s="634">
        <v>0.77916666666666667</v>
      </c>
      <c r="H30" s="635" t="s">
        <v>115</v>
      </c>
      <c r="I30" s="635" t="s">
        <v>115</v>
      </c>
      <c r="J30" s="635" t="s">
        <v>115</v>
      </c>
      <c r="K30" s="635"/>
      <c r="L30" s="635"/>
      <c r="M30" s="635"/>
      <c r="N30" s="635"/>
      <c r="O30" s="628"/>
      <c r="P30" s="345"/>
      <c r="Q30" s="345"/>
      <c r="R30" s="372"/>
      <c r="S30" s="372"/>
    </row>
    <row r="31" spans="1:19" s="373" customFormat="1">
      <c r="A31" s="632">
        <v>13653</v>
      </c>
      <c r="B31" s="632" t="s">
        <v>62</v>
      </c>
      <c r="C31" s="632" t="s">
        <v>62</v>
      </c>
      <c r="D31" s="632" t="s">
        <v>125</v>
      </c>
      <c r="E31" s="633">
        <v>43382.578865740739</v>
      </c>
      <c r="F31" s="638">
        <v>43382.578865740739</v>
      </c>
      <c r="G31" s="634">
        <v>0.57847222222222217</v>
      </c>
      <c r="H31" s="635">
        <v>4.6333333333333329</v>
      </c>
      <c r="I31" s="635">
        <v>4</v>
      </c>
      <c r="J31" s="635">
        <v>4</v>
      </c>
      <c r="K31" s="635"/>
      <c r="L31" s="635"/>
      <c r="M31" s="635"/>
      <c r="N31" s="635"/>
      <c r="O31" s="628" t="s">
        <v>165</v>
      </c>
      <c r="P31" s="345"/>
      <c r="Q31" s="345"/>
      <c r="R31" s="372"/>
      <c r="S31" s="372"/>
    </row>
    <row r="32" spans="1:19" s="401" customFormat="1">
      <c r="A32" s="632">
        <v>13658</v>
      </c>
      <c r="B32" s="632" t="s">
        <v>78</v>
      </c>
      <c r="C32" s="632" t="s">
        <v>62</v>
      </c>
      <c r="D32" s="632" t="s">
        <v>126</v>
      </c>
      <c r="E32" s="633">
        <v>43382.772187499999</v>
      </c>
      <c r="F32" s="638">
        <v>43382.772187499999</v>
      </c>
      <c r="G32" s="634">
        <v>0.7715277777777777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628"/>
      <c r="P32" s="345"/>
      <c r="Q32" s="345"/>
    </row>
    <row r="33" spans="1:22" s="63" customFormat="1">
      <c r="A33" s="632"/>
      <c r="B33" s="632"/>
      <c r="C33" s="632"/>
      <c r="D33" s="632" t="s">
        <v>125</v>
      </c>
      <c r="E33" s="633">
        <v>43383.354409722226</v>
      </c>
      <c r="F33" s="638">
        <v>43383.354409722226</v>
      </c>
      <c r="G33" s="634">
        <v>0.35416666666666669</v>
      </c>
      <c r="H33" s="635"/>
      <c r="I33" s="635">
        <v>0</v>
      </c>
      <c r="J33" s="635">
        <v>8</v>
      </c>
      <c r="K33" s="635"/>
      <c r="L33" s="635"/>
      <c r="M33" s="635"/>
      <c r="N33" s="635"/>
      <c r="O33" s="628" t="s">
        <v>161</v>
      </c>
      <c r="P33" s="627"/>
      <c r="Q33" s="345"/>
      <c r="R33" s="372"/>
      <c r="S33" s="372"/>
      <c r="T33" s="373"/>
      <c r="U33" s="373"/>
      <c r="V33" s="373"/>
    </row>
    <row r="34" spans="1:22" s="63" customFormat="1">
      <c r="A34" s="632"/>
      <c r="B34" s="632"/>
      <c r="C34" s="632"/>
      <c r="D34" s="632" t="s">
        <v>126</v>
      </c>
      <c r="E34" s="633">
        <v>43383.75</v>
      </c>
      <c r="F34" s="638">
        <v>43383.771435185183</v>
      </c>
      <c r="G34" s="634">
        <v>0.75</v>
      </c>
      <c r="H34" s="635"/>
      <c r="I34" s="635"/>
      <c r="J34" s="635"/>
      <c r="K34" s="635"/>
      <c r="L34" s="635"/>
      <c r="M34" s="635"/>
      <c r="N34" s="635"/>
      <c r="O34" s="628"/>
      <c r="P34" s="627"/>
      <c r="Q34" s="345"/>
      <c r="R34" s="372"/>
      <c r="S34" s="372"/>
      <c r="T34" s="373"/>
      <c r="U34" s="373"/>
      <c r="V34" s="373"/>
    </row>
    <row r="35" spans="1:22" s="583" customFormat="1">
      <c r="A35" s="632">
        <v>13668</v>
      </c>
      <c r="B35" s="632" t="s">
        <v>62</v>
      </c>
      <c r="C35" s="632" t="s">
        <v>62</v>
      </c>
      <c r="D35" s="632" t="s">
        <v>125</v>
      </c>
      <c r="E35" s="633">
        <v>43384.408634259256</v>
      </c>
      <c r="F35" s="638">
        <v>43384.408634259256</v>
      </c>
      <c r="G35" s="634">
        <v>0.40833333333333338</v>
      </c>
      <c r="H35" s="635">
        <v>8.783333333333335</v>
      </c>
      <c r="I35" s="635">
        <v>7</v>
      </c>
      <c r="J35" s="635">
        <v>1</v>
      </c>
      <c r="K35" s="635"/>
      <c r="L35" s="635"/>
      <c r="M35" s="635"/>
      <c r="N35" s="635"/>
      <c r="O35" s="628" t="s">
        <v>160</v>
      </c>
      <c r="P35" s="444"/>
      <c r="Q35" s="444"/>
      <c r="R35" s="584"/>
      <c r="S35" s="584"/>
    </row>
    <row r="36" spans="1:22" s="583" customFormat="1">
      <c r="A36" s="632">
        <v>13679</v>
      </c>
      <c r="B36" s="632" t="s">
        <v>62</v>
      </c>
      <c r="C36" s="632" t="s">
        <v>62</v>
      </c>
      <c r="D36" s="632" t="s">
        <v>126</v>
      </c>
      <c r="E36" s="633">
        <v>43384.77449074074</v>
      </c>
      <c r="F36" s="638">
        <v>43384.77449074074</v>
      </c>
      <c r="G36" s="634">
        <v>0.77430555555555547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628"/>
      <c r="P36" s="444"/>
      <c r="Q36" s="444"/>
      <c r="R36" s="584"/>
      <c r="S36" s="584"/>
    </row>
    <row r="37" spans="1:22" s="373" customFormat="1">
      <c r="A37" s="632">
        <v>13680</v>
      </c>
      <c r="B37" s="632" t="s">
        <v>62</v>
      </c>
      <c r="C37" s="632" t="s">
        <v>62</v>
      </c>
      <c r="D37" s="632" t="s">
        <v>127</v>
      </c>
      <c r="E37" s="633">
        <v>43384.774525462963</v>
      </c>
      <c r="F37" s="638">
        <v>43384.774525462963</v>
      </c>
      <c r="G37" s="634">
        <v>0.77430555555555547</v>
      </c>
      <c r="H37" s="635" t="s">
        <v>115</v>
      </c>
      <c r="I37" s="635" t="s">
        <v>115</v>
      </c>
      <c r="J37" s="635" t="s">
        <v>115</v>
      </c>
      <c r="K37" s="635">
        <v>1.5666666666666664</v>
      </c>
      <c r="L37" s="635"/>
      <c r="M37" s="635">
        <v>1.5666666666666664</v>
      </c>
      <c r="N37" s="635">
        <v>0</v>
      </c>
      <c r="O37" s="628"/>
      <c r="P37" s="345"/>
      <c r="Q37" s="345"/>
      <c r="R37" s="372"/>
      <c r="S37" s="372"/>
    </row>
    <row r="38" spans="1:22" s="375" customFormat="1">
      <c r="A38" s="632">
        <v>13690</v>
      </c>
      <c r="B38" s="632" t="s">
        <v>62</v>
      </c>
      <c r="C38" s="632" t="s">
        <v>62</v>
      </c>
      <c r="D38" s="632" t="s">
        <v>128</v>
      </c>
      <c r="E38" s="633">
        <v>43384.840092592596</v>
      </c>
      <c r="F38" s="638">
        <v>43384.840092592596</v>
      </c>
      <c r="G38" s="634">
        <v>0.83958333333333324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628"/>
      <c r="P38" s="345"/>
      <c r="Q38" s="345"/>
      <c r="R38" s="374"/>
      <c r="S38" s="374"/>
    </row>
    <row r="39" spans="1:22">
      <c r="A39" s="632">
        <v>13700</v>
      </c>
      <c r="B39" s="632" t="s">
        <v>62</v>
      </c>
      <c r="C39" s="632" t="s">
        <v>62</v>
      </c>
      <c r="D39" s="632" t="s">
        <v>125</v>
      </c>
      <c r="E39" s="633">
        <v>43385.372974537036</v>
      </c>
      <c r="F39" s="638">
        <v>43385.372974537036</v>
      </c>
      <c r="G39" s="634">
        <v>0.37291666666666662</v>
      </c>
      <c r="H39" s="635">
        <v>9.7333333333333343</v>
      </c>
      <c r="I39" s="635">
        <v>8</v>
      </c>
      <c r="J39" s="635" t="s">
        <v>115</v>
      </c>
      <c r="K39" s="635"/>
      <c r="L39" s="635"/>
      <c r="M39" s="635"/>
      <c r="N39" s="635"/>
    </row>
    <row r="40" spans="1:22" s="373" customFormat="1">
      <c r="A40" s="632">
        <v>13709</v>
      </c>
      <c r="B40" s="632" t="s">
        <v>62</v>
      </c>
      <c r="C40" s="632" t="s">
        <v>62</v>
      </c>
      <c r="D40" s="632" t="s">
        <v>126</v>
      </c>
      <c r="E40" s="633">
        <v>43385.778738425928</v>
      </c>
      <c r="F40" s="638">
        <v>43385.778738425928</v>
      </c>
      <c r="G40" s="634">
        <v>0.77847222222222223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628"/>
      <c r="P40" s="345"/>
      <c r="Q40" s="345"/>
      <c r="R40" s="372"/>
      <c r="S40" s="372"/>
    </row>
    <row r="41" spans="1:22" s="63" customFormat="1">
      <c r="A41" s="632">
        <v>13710</v>
      </c>
      <c r="B41" s="632" t="s">
        <v>62</v>
      </c>
      <c r="C41" s="632" t="s">
        <v>62</v>
      </c>
      <c r="D41" s="632" t="s">
        <v>127</v>
      </c>
      <c r="E41" s="633">
        <v>43385.778749999998</v>
      </c>
      <c r="F41" s="638">
        <v>43385.778749999998</v>
      </c>
      <c r="G41" s="634">
        <v>0.77847222222222223</v>
      </c>
      <c r="H41" s="635" t="s">
        <v>115</v>
      </c>
      <c r="I41" s="635" t="s">
        <v>115</v>
      </c>
      <c r="J41" s="635" t="s">
        <v>115</v>
      </c>
      <c r="K41" s="635">
        <v>0.5166666666666675</v>
      </c>
      <c r="L41" s="635"/>
      <c r="M41" s="635">
        <v>0.5166666666666675</v>
      </c>
      <c r="N41" s="635">
        <v>0</v>
      </c>
      <c r="O41" s="628"/>
      <c r="P41" s="345"/>
      <c r="Q41" s="345"/>
      <c r="R41" s="18"/>
      <c r="S41" s="18"/>
    </row>
    <row r="42" spans="1:22" s="16" customFormat="1">
      <c r="A42" s="632">
        <v>13715</v>
      </c>
      <c r="B42" s="632" t="s">
        <v>62</v>
      </c>
      <c r="C42" s="632" t="s">
        <v>62</v>
      </c>
      <c r="D42" s="632" t="s">
        <v>128</v>
      </c>
      <c r="E42" s="633">
        <v>43385.800138888888</v>
      </c>
      <c r="F42" s="638">
        <v>43385.800138888888</v>
      </c>
      <c r="G42" s="634">
        <v>0.79999999999999993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28"/>
      <c r="P42" s="345"/>
      <c r="Q42" s="345"/>
    </row>
    <row r="43" spans="1:22" s="16" customFormat="1">
      <c r="A43" s="632">
        <v>13727</v>
      </c>
      <c r="B43" s="632" t="s">
        <v>62</v>
      </c>
      <c r="C43" s="632" t="s">
        <v>62</v>
      </c>
      <c r="D43" s="632" t="s">
        <v>125</v>
      </c>
      <c r="E43" s="633">
        <v>43388.393807870372</v>
      </c>
      <c r="F43" s="638">
        <v>43388.393807870372</v>
      </c>
      <c r="G43" s="634">
        <v>0.39374999999999999</v>
      </c>
      <c r="H43" s="635">
        <v>9.0500000000000007</v>
      </c>
      <c r="I43" s="635">
        <v>7.5</v>
      </c>
      <c r="J43" s="635">
        <v>0.5</v>
      </c>
      <c r="K43" s="635"/>
      <c r="L43" s="635"/>
      <c r="M43" s="635"/>
      <c r="N43" s="635"/>
      <c r="O43" s="628" t="s">
        <v>160</v>
      </c>
      <c r="P43" s="345"/>
      <c r="Q43" s="345"/>
    </row>
    <row r="44" spans="1:22" s="371" customFormat="1">
      <c r="A44" s="632">
        <v>13738</v>
      </c>
      <c r="B44" s="632" t="s">
        <v>62</v>
      </c>
      <c r="C44" s="632" t="s">
        <v>62</v>
      </c>
      <c r="D44" s="632" t="s">
        <v>126</v>
      </c>
      <c r="E44" s="633">
        <v>43388.771111111113</v>
      </c>
      <c r="F44" s="638">
        <v>43388.771111111113</v>
      </c>
      <c r="G44" s="634">
        <v>0.77083333333333337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628"/>
      <c r="P44" s="345"/>
      <c r="Q44" s="345"/>
      <c r="R44" s="370"/>
      <c r="S44" s="370"/>
    </row>
    <row r="45" spans="1:22" s="63" customFormat="1">
      <c r="A45" s="632">
        <v>13739</v>
      </c>
      <c r="B45" s="632" t="s">
        <v>62</v>
      </c>
      <c r="C45" s="632" t="s">
        <v>62</v>
      </c>
      <c r="D45" s="632" t="s">
        <v>127</v>
      </c>
      <c r="E45" s="633">
        <v>43388.771122685182</v>
      </c>
      <c r="F45" s="638">
        <v>43388.771122685182</v>
      </c>
      <c r="G45" s="634">
        <v>0.77083333333333337</v>
      </c>
      <c r="H45" s="635" t="s">
        <v>115</v>
      </c>
      <c r="I45" s="635" t="s">
        <v>115</v>
      </c>
      <c r="J45" s="635" t="s">
        <v>115</v>
      </c>
      <c r="K45" s="635">
        <v>0.70000000000000018</v>
      </c>
      <c r="L45" s="635"/>
      <c r="M45" s="635">
        <v>0.70000000000000018</v>
      </c>
      <c r="N45" s="635">
        <v>0</v>
      </c>
      <c r="O45" s="628"/>
      <c r="P45" s="345"/>
      <c r="Q45" s="345"/>
      <c r="R45" s="18"/>
      <c r="S45" s="18"/>
    </row>
    <row r="46" spans="1:22" s="63" customFormat="1">
      <c r="A46" s="632">
        <v>13743</v>
      </c>
      <c r="B46" s="632" t="s">
        <v>62</v>
      </c>
      <c r="C46" s="632" t="s">
        <v>62</v>
      </c>
      <c r="D46" s="632" t="s">
        <v>128</v>
      </c>
      <c r="E46" s="633">
        <v>43388.800312500003</v>
      </c>
      <c r="F46" s="638">
        <v>43388.800312500003</v>
      </c>
      <c r="G46" s="634">
        <v>0.79999999999999993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628"/>
      <c r="P46" s="345"/>
      <c r="Q46" s="345"/>
      <c r="R46" s="18"/>
      <c r="S46" s="18"/>
    </row>
    <row r="47" spans="1:22" s="662" customFormat="1">
      <c r="A47" s="653"/>
      <c r="B47" s="653"/>
      <c r="C47" s="653"/>
      <c r="D47" s="654" t="s">
        <v>166</v>
      </c>
      <c r="E47" s="655">
        <v>43389.354305555556</v>
      </c>
      <c r="F47" s="656">
        <v>43389.354305555556</v>
      </c>
      <c r="G47" s="657">
        <v>0.35416666666666669</v>
      </c>
      <c r="H47" s="658"/>
      <c r="I47" s="658">
        <v>8</v>
      </c>
      <c r="J47" s="658"/>
      <c r="K47" s="658"/>
      <c r="L47" s="658"/>
      <c r="M47" s="658"/>
      <c r="N47" s="658"/>
      <c r="O47" s="659" t="s">
        <v>167</v>
      </c>
      <c r="P47" s="660"/>
      <c r="Q47" s="660"/>
      <c r="R47" s="661"/>
      <c r="S47" s="661"/>
    </row>
    <row r="48" spans="1:22" s="371" customFormat="1">
      <c r="A48" s="632">
        <v>13756</v>
      </c>
      <c r="B48" s="632" t="s">
        <v>62</v>
      </c>
      <c r="C48" s="632" t="s">
        <v>62</v>
      </c>
      <c r="D48" s="632" t="s">
        <v>155</v>
      </c>
      <c r="E48" s="633">
        <v>43389.60361111111</v>
      </c>
      <c r="F48" s="638">
        <v>43389.60361111111</v>
      </c>
      <c r="G48" s="634">
        <v>0.60347222222222219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628"/>
      <c r="P48" s="345"/>
      <c r="Q48" s="345"/>
      <c r="R48" s="370"/>
      <c r="S48" s="370"/>
    </row>
    <row r="49" spans="1:19" s="375" customFormat="1">
      <c r="A49" s="632">
        <v>13768</v>
      </c>
      <c r="B49" s="632" t="s">
        <v>62</v>
      </c>
      <c r="C49" s="632" t="s">
        <v>62</v>
      </c>
      <c r="D49" s="632" t="s">
        <v>126</v>
      </c>
      <c r="E49" s="633">
        <v>43389.773634259262</v>
      </c>
      <c r="F49" s="638">
        <v>43389.773634259262</v>
      </c>
      <c r="G49" s="634">
        <v>0.77361111111111114</v>
      </c>
      <c r="H49" s="635" t="s">
        <v>115</v>
      </c>
      <c r="I49" s="635" t="s">
        <v>115</v>
      </c>
      <c r="J49" s="635" t="s">
        <v>115</v>
      </c>
      <c r="K49" s="635"/>
      <c r="L49" s="635"/>
      <c r="M49" s="635"/>
      <c r="N49" s="635"/>
      <c r="O49" s="628"/>
      <c r="P49" s="345"/>
      <c r="Q49" s="345"/>
      <c r="R49" s="374"/>
      <c r="S49" s="374"/>
    </row>
    <row r="50" spans="1:19">
      <c r="A50" s="632">
        <v>13769</v>
      </c>
      <c r="B50" s="632" t="s">
        <v>62</v>
      </c>
      <c r="C50" s="632" t="s">
        <v>62</v>
      </c>
      <c r="D50" s="632" t="s">
        <v>127</v>
      </c>
      <c r="E50" s="633">
        <v>43389.773645833331</v>
      </c>
      <c r="F50" s="638">
        <v>43389.773645833331</v>
      </c>
      <c r="G50" s="634">
        <v>0.77361111111111114</v>
      </c>
      <c r="H50" s="635" t="s">
        <v>115</v>
      </c>
      <c r="I50" s="635" t="s">
        <v>115</v>
      </c>
      <c r="J50" s="635" t="s">
        <v>115</v>
      </c>
      <c r="K50" s="635">
        <v>1.3166666666666673</v>
      </c>
      <c r="L50" s="635"/>
      <c r="M50" s="635">
        <v>1.3166666666666673</v>
      </c>
      <c r="N50" s="635">
        <v>0</v>
      </c>
    </row>
    <row r="51" spans="1:19" s="371" customFormat="1">
      <c r="A51" s="632">
        <v>13774</v>
      </c>
      <c r="B51" s="632" t="s">
        <v>62</v>
      </c>
      <c r="C51" s="632" t="s">
        <v>62</v>
      </c>
      <c r="D51" s="632" t="s">
        <v>128</v>
      </c>
      <c r="E51" s="633">
        <v>43389.828923611109</v>
      </c>
      <c r="F51" s="638">
        <v>43389.828923611109</v>
      </c>
      <c r="G51" s="634">
        <v>0.82847222222222217</v>
      </c>
      <c r="H51" s="635" t="s">
        <v>115</v>
      </c>
      <c r="I51" s="635" t="s">
        <v>115</v>
      </c>
      <c r="J51" s="635" t="s">
        <v>115</v>
      </c>
      <c r="K51" s="635"/>
      <c r="L51" s="635"/>
      <c r="M51" s="635"/>
      <c r="N51" s="635"/>
      <c r="O51" s="628"/>
      <c r="P51" s="345"/>
      <c r="Q51" s="345"/>
      <c r="R51" s="370"/>
      <c r="S51" s="370"/>
    </row>
    <row r="52" spans="1:19" s="63" customFormat="1">
      <c r="A52" s="632">
        <v>13783</v>
      </c>
      <c r="B52" s="632" t="s">
        <v>62</v>
      </c>
      <c r="C52" s="632" t="s">
        <v>62</v>
      </c>
      <c r="D52" s="632" t="s">
        <v>125</v>
      </c>
      <c r="E52" s="633">
        <v>43390.379918981482</v>
      </c>
      <c r="F52" s="638">
        <v>43390.379918981482</v>
      </c>
      <c r="G52" s="634">
        <v>0.37986111111111115</v>
      </c>
      <c r="H52" s="635">
        <v>9.3833333333333346</v>
      </c>
      <c r="I52" s="635">
        <v>7.5</v>
      </c>
      <c r="J52" s="635">
        <v>0.5</v>
      </c>
      <c r="K52" s="635"/>
      <c r="L52" s="635"/>
      <c r="M52" s="635"/>
      <c r="N52" s="635"/>
      <c r="O52" s="628" t="s">
        <v>160</v>
      </c>
      <c r="P52" s="345"/>
      <c r="Q52" s="345"/>
      <c r="R52" s="18"/>
      <c r="S52" s="18"/>
    </row>
    <row r="53" spans="1:19" s="137" customFormat="1">
      <c r="A53" s="632">
        <v>13791</v>
      </c>
      <c r="B53" s="632" t="s">
        <v>62</v>
      </c>
      <c r="C53" s="632" t="s">
        <v>62</v>
      </c>
      <c r="D53" s="632" t="s">
        <v>126</v>
      </c>
      <c r="E53" s="633">
        <v>43390.771412037036</v>
      </c>
      <c r="F53" s="638">
        <v>43390.771412037036</v>
      </c>
      <c r="G53" s="634">
        <v>0.77083333333333337</v>
      </c>
      <c r="H53" s="635" t="s">
        <v>115</v>
      </c>
      <c r="I53" s="635" t="s">
        <v>115</v>
      </c>
      <c r="J53" s="635" t="s">
        <v>115</v>
      </c>
      <c r="K53" s="635"/>
      <c r="L53" s="635"/>
      <c r="M53" s="635"/>
      <c r="N53" s="635"/>
      <c r="O53" s="628"/>
      <c r="P53" s="345"/>
      <c r="Q53" s="345"/>
    </row>
    <row r="54" spans="1:19" s="137" customFormat="1">
      <c r="A54" s="632">
        <v>13795</v>
      </c>
      <c r="B54" s="632" t="s">
        <v>62</v>
      </c>
      <c r="C54" s="632" t="s">
        <v>62</v>
      </c>
      <c r="D54" s="632" t="s">
        <v>127</v>
      </c>
      <c r="E54" s="633">
        <v>43390.78396990741</v>
      </c>
      <c r="F54" s="638">
        <v>43390.78396990741</v>
      </c>
      <c r="G54" s="634">
        <v>0.78333333333333333</v>
      </c>
      <c r="H54" s="635" t="s">
        <v>115</v>
      </c>
      <c r="I54" s="635" t="s">
        <v>115</v>
      </c>
      <c r="J54" s="635" t="s">
        <v>115</v>
      </c>
      <c r="K54" s="635">
        <v>1.3666666666666671</v>
      </c>
      <c r="L54" s="635"/>
      <c r="M54" s="635">
        <v>1.3666666666666671</v>
      </c>
      <c r="N54" s="635">
        <v>0</v>
      </c>
      <c r="O54" s="628"/>
      <c r="P54" s="345"/>
      <c r="Q54" s="345"/>
    </row>
    <row r="55" spans="1:19" s="137" customFormat="1">
      <c r="A55" s="632">
        <v>13804</v>
      </c>
      <c r="B55" s="632" t="s">
        <v>62</v>
      </c>
      <c r="C55" s="632" t="s">
        <v>62</v>
      </c>
      <c r="D55" s="632" t="s">
        <v>128</v>
      </c>
      <c r="E55" s="633">
        <v>43390.840949074074</v>
      </c>
      <c r="F55" s="638">
        <v>43390.840949074074</v>
      </c>
      <c r="G55" s="634">
        <v>0.84027777777777779</v>
      </c>
      <c r="H55" s="635" t="s">
        <v>115</v>
      </c>
      <c r="I55" s="635" t="s">
        <v>115</v>
      </c>
      <c r="J55" s="635" t="s">
        <v>115</v>
      </c>
      <c r="K55" s="635"/>
      <c r="L55" s="635"/>
      <c r="M55" s="635"/>
      <c r="N55" s="635"/>
      <c r="O55" s="628"/>
      <c r="P55" s="345"/>
      <c r="Q55" s="345"/>
    </row>
    <row r="56" spans="1:19" s="137" customFormat="1">
      <c r="A56" s="632">
        <v>13813</v>
      </c>
      <c r="B56" s="632" t="s">
        <v>62</v>
      </c>
      <c r="C56" s="632" t="s">
        <v>62</v>
      </c>
      <c r="D56" s="632" t="s">
        <v>125</v>
      </c>
      <c r="E56" s="633">
        <v>43391.371574074074</v>
      </c>
      <c r="F56" s="638">
        <v>43391.371574074074</v>
      </c>
      <c r="G56" s="634">
        <v>0.37152777777777773</v>
      </c>
      <c r="H56" s="635">
        <v>9.7666666666666657</v>
      </c>
      <c r="I56" s="635">
        <v>8</v>
      </c>
      <c r="J56" s="635" t="s">
        <v>115</v>
      </c>
      <c r="K56" s="635"/>
      <c r="L56" s="635"/>
      <c r="M56" s="635"/>
      <c r="N56" s="635"/>
      <c r="O56" s="628"/>
      <c r="P56" s="345"/>
      <c r="Q56" s="345"/>
    </row>
    <row r="57" spans="1:19" s="137" customFormat="1">
      <c r="A57" s="632">
        <v>13824</v>
      </c>
      <c r="B57" s="632" t="s">
        <v>78</v>
      </c>
      <c r="C57" s="632" t="s">
        <v>62</v>
      </c>
      <c r="D57" s="632" t="s">
        <v>126</v>
      </c>
      <c r="E57" s="633">
        <v>43391.778773148151</v>
      </c>
      <c r="F57" s="638">
        <v>43391.778773148151</v>
      </c>
      <c r="G57" s="634">
        <v>0.77847222222222223</v>
      </c>
      <c r="H57" s="635" t="s">
        <v>115</v>
      </c>
      <c r="I57" s="635" t="s">
        <v>115</v>
      </c>
      <c r="J57" s="635" t="s">
        <v>115</v>
      </c>
      <c r="K57" s="635"/>
      <c r="L57" s="635"/>
      <c r="M57" s="635"/>
      <c r="N57" s="635"/>
      <c r="O57" s="628"/>
      <c r="P57" s="345"/>
      <c r="Q57" s="345"/>
    </row>
    <row r="58" spans="1:19" s="137" customFormat="1">
      <c r="A58" s="632">
        <v>13833</v>
      </c>
      <c r="B58" s="632" t="s">
        <v>62</v>
      </c>
      <c r="C58" s="632" t="s">
        <v>62</v>
      </c>
      <c r="D58" s="632" t="s">
        <v>125</v>
      </c>
      <c r="E58" s="633">
        <v>43392.373437499999</v>
      </c>
      <c r="F58" s="638">
        <v>43392.373437499999</v>
      </c>
      <c r="G58" s="634">
        <v>0.37291666666666662</v>
      </c>
      <c r="H58" s="635">
        <v>11.666666666666664</v>
      </c>
      <c r="I58" s="635">
        <v>8</v>
      </c>
      <c r="J58" s="635" t="s">
        <v>115</v>
      </c>
      <c r="K58" s="635"/>
      <c r="L58" s="635"/>
      <c r="M58" s="635"/>
      <c r="N58" s="635"/>
      <c r="O58" s="628"/>
      <c r="P58" s="345"/>
      <c r="Q58" s="345"/>
    </row>
    <row r="59" spans="1:19" s="63" customFormat="1">
      <c r="A59" s="632">
        <v>13842</v>
      </c>
      <c r="B59" s="632" t="s">
        <v>62</v>
      </c>
      <c r="C59" s="632" t="s">
        <v>62</v>
      </c>
      <c r="D59" s="632" t="s">
        <v>126</v>
      </c>
      <c r="E59" s="633">
        <v>43392.859317129631</v>
      </c>
      <c r="F59" s="638">
        <v>43392.859317129631</v>
      </c>
      <c r="G59" s="634">
        <v>0.85902777777777783</v>
      </c>
      <c r="H59" s="635" t="s">
        <v>115</v>
      </c>
      <c r="I59" s="635" t="s">
        <v>115</v>
      </c>
      <c r="J59" s="635" t="s">
        <v>115</v>
      </c>
      <c r="K59" s="635"/>
      <c r="L59" s="635"/>
      <c r="M59" s="635"/>
      <c r="N59" s="635"/>
      <c r="O59" s="628"/>
      <c r="P59" s="345"/>
      <c r="Q59" s="345"/>
      <c r="R59" s="18"/>
      <c r="S59" s="18"/>
    </row>
    <row r="60" spans="1:19" s="404" customFormat="1">
      <c r="A60" s="585"/>
      <c r="B60" s="585"/>
      <c r="C60" s="585"/>
      <c r="D60" s="585" t="s">
        <v>141</v>
      </c>
      <c r="E60" s="534">
        <v>43393.542187500003</v>
      </c>
      <c r="F60" s="582">
        <v>43393.542187500003</v>
      </c>
      <c r="G60" s="538">
        <v>0.54166666666666663</v>
      </c>
      <c r="H60" s="521"/>
      <c r="I60" s="521">
        <v>8</v>
      </c>
      <c r="J60" s="521"/>
      <c r="K60" s="521"/>
      <c r="L60" s="521"/>
      <c r="M60" s="521"/>
      <c r="N60" s="521"/>
      <c r="O60" s="651" t="s">
        <v>168</v>
      </c>
      <c r="P60" s="323"/>
      <c r="Q60" s="323"/>
    </row>
    <row r="61" spans="1:19" s="63" customFormat="1">
      <c r="A61" s="632"/>
      <c r="B61" s="632"/>
      <c r="C61" s="632"/>
      <c r="D61" s="632" t="s">
        <v>126</v>
      </c>
      <c r="E61" s="633">
        <v>43393.875289351854</v>
      </c>
      <c r="F61" s="638">
        <v>43393.875289351854</v>
      </c>
      <c r="G61" s="634">
        <v>0.875</v>
      </c>
      <c r="H61" s="635"/>
      <c r="I61" s="635"/>
      <c r="J61" s="635"/>
      <c r="K61" s="635"/>
      <c r="L61" s="635"/>
      <c r="M61" s="635"/>
      <c r="N61" s="635"/>
      <c r="O61" s="628"/>
      <c r="P61" s="345"/>
      <c r="Q61" s="345"/>
      <c r="R61" s="18"/>
      <c r="S61" s="18"/>
    </row>
    <row r="62" spans="1:19">
      <c r="A62" s="632">
        <v>13852</v>
      </c>
      <c r="B62" s="632" t="s">
        <v>62</v>
      </c>
      <c r="C62" s="632" t="s">
        <v>62</v>
      </c>
      <c r="D62" s="632" t="s">
        <v>125</v>
      </c>
      <c r="E62" s="633">
        <v>43395.372418981482</v>
      </c>
      <c r="F62" s="638">
        <v>43395.372418981482</v>
      </c>
      <c r="G62" s="634">
        <v>0.37222222222222223</v>
      </c>
      <c r="H62" s="635">
        <v>9.6333333333333329</v>
      </c>
      <c r="I62" s="635">
        <v>8</v>
      </c>
      <c r="J62" s="635" t="s">
        <v>115</v>
      </c>
      <c r="K62" s="635"/>
      <c r="L62" s="635"/>
      <c r="M62" s="635"/>
      <c r="N62" s="635"/>
    </row>
    <row r="63" spans="1:19" s="375" customFormat="1">
      <c r="A63" s="632">
        <v>13866</v>
      </c>
      <c r="B63" s="632" t="s">
        <v>62</v>
      </c>
      <c r="C63" s="632" t="s">
        <v>62</v>
      </c>
      <c r="D63" s="632" t="s">
        <v>126</v>
      </c>
      <c r="E63" s="633">
        <v>43395.774155092593</v>
      </c>
      <c r="F63" s="638">
        <v>43395.774155092593</v>
      </c>
      <c r="G63" s="634">
        <v>0.77361111111111114</v>
      </c>
      <c r="H63" s="635" t="s">
        <v>115</v>
      </c>
      <c r="I63" s="635" t="s">
        <v>115</v>
      </c>
      <c r="J63" s="635" t="s">
        <v>115</v>
      </c>
      <c r="K63" s="635"/>
      <c r="L63" s="635"/>
      <c r="M63" s="635"/>
      <c r="N63" s="635"/>
      <c r="O63" s="628"/>
      <c r="P63" s="345"/>
      <c r="Q63" s="345"/>
      <c r="R63" s="374"/>
      <c r="S63" s="374"/>
    </row>
    <row r="64" spans="1:19">
      <c r="A64" s="632">
        <v>13867</v>
      </c>
      <c r="B64" s="632" t="s">
        <v>62</v>
      </c>
      <c r="C64" s="632" t="s">
        <v>62</v>
      </c>
      <c r="D64" s="632" t="s">
        <v>127</v>
      </c>
      <c r="E64" s="633">
        <v>43395.774178240739</v>
      </c>
      <c r="F64" s="638">
        <v>43395.774178240739</v>
      </c>
      <c r="G64" s="634">
        <v>0.77361111111111114</v>
      </c>
      <c r="H64" s="635" t="s">
        <v>115</v>
      </c>
      <c r="I64" s="635" t="s">
        <v>115</v>
      </c>
      <c r="J64" s="635" t="s">
        <v>115</v>
      </c>
      <c r="K64" s="635">
        <v>0.86666666666666625</v>
      </c>
      <c r="L64" s="635"/>
      <c r="M64" s="635">
        <v>0.86666666666666625</v>
      </c>
      <c r="N64" s="635">
        <v>0</v>
      </c>
      <c r="P64" s="8"/>
    </row>
    <row r="65" spans="1:22" s="16" customFormat="1">
      <c r="A65" s="632">
        <v>13873</v>
      </c>
      <c r="B65" s="632" t="s">
        <v>62</v>
      </c>
      <c r="C65" s="632" t="s">
        <v>62</v>
      </c>
      <c r="D65" s="632" t="s">
        <v>128</v>
      </c>
      <c r="E65" s="633">
        <v>43395.81009259259</v>
      </c>
      <c r="F65" s="638">
        <v>43395.81009259259</v>
      </c>
      <c r="G65" s="634">
        <v>0.80972222222222223</v>
      </c>
      <c r="H65" s="635" t="s">
        <v>115</v>
      </c>
      <c r="I65" s="635" t="s">
        <v>115</v>
      </c>
      <c r="J65" s="635" t="s">
        <v>115</v>
      </c>
      <c r="K65" s="635"/>
      <c r="L65" s="635"/>
      <c r="M65" s="635"/>
      <c r="N65" s="635"/>
      <c r="O65" s="628"/>
      <c r="P65" s="345"/>
      <c r="Q65" s="345"/>
      <c r="R65" s="137"/>
      <c r="S65" s="137"/>
    </row>
    <row r="66" spans="1:22">
      <c r="A66" s="632">
        <v>13885</v>
      </c>
      <c r="B66" s="632" t="s">
        <v>62</v>
      </c>
      <c r="C66" s="632" t="s">
        <v>62</v>
      </c>
      <c r="D66" s="632" t="s">
        <v>125</v>
      </c>
      <c r="E66" s="633">
        <v>43396.384513888886</v>
      </c>
      <c r="F66" s="638">
        <v>43396.384513888886</v>
      </c>
      <c r="G66" s="634">
        <v>0.3840277777777778</v>
      </c>
      <c r="H66" s="635">
        <v>9.2833333333333332</v>
      </c>
      <c r="I66" s="635">
        <v>7.5</v>
      </c>
      <c r="J66" s="635">
        <v>0.5</v>
      </c>
      <c r="K66" s="635"/>
      <c r="L66" s="635"/>
      <c r="M66" s="635"/>
      <c r="N66" s="635"/>
      <c r="O66" s="628" t="s">
        <v>160</v>
      </c>
    </row>
    <row r="67" spans="1:22" s="16" customFormat="1">
      <c r="A67" s="632">
        <v>13899</v>
      </c>
      <c r="B67" s="632" t="s">
        <v>78</v>
      </c>
      <c r="C67" s="632" t="s">
        <v>62</v>
      </c>
      <c r="D67" s="632" t="s">
        <v>126</v>
      </c>
      <c r="E67" s="633">
        <v>43396.77134259259</v>
      </c>
      <c r="F67" s="638">
        <v>43396.77134259259</v>
      </c>
      <c r="G67" s="634">
        <v>0.77083333333333337</v>
      </c>
      <c r="H67" s="635" t="s">
        <v>115</v>
      </c>
      <c r="I67" s="635" t="s">
        <v>115</v>
      </c>
      <c r="J67" s="635" t="s">
        <v>115</v>
      </c>
      <c r="K67" s="635"/>
      <c r="L67" s="635"/>
      <c r="M67" s="635"/>
      <c r="N67" s="635"/>
      <c r="O67" s="628"/>
      <c r="P67" s="345"/>
      <c r="Q67" s="345"/>
      <c r="R67" s="137"/>
      <c r="S67" s="137"/>
    </row>
    <row r="68" spans="1:22">
      <c r="A68" s="632">
        <v>13900</v>
      </c>
      <c r="B68" s="632" t="s">
        <v>78</v>
      </c>
      <c r="C68" s="632" t="s">
        <v>62</v>
      </c>
      <c r="D68" s="632" t="s">
        <v>127</v>
      </c>
      <c r="E68" s="633">
        <v>43396.771354166667</v>
      </c>
      <c r="F68" s="638">
        <v>43396.771354166667</v>
      </c>
      <c r="G68" s="634">
        <v>0.77083333333333337</v>
      </c>
      <c r="H68" s="635" t="s">
        <v>115</v>
      </c>
      <c r="I68" s="635" t="s">
        <v>115</v>
      </c>
      <c r="J68" s="635" t="s">
        <v>115</v>
      </c>
      <c r="K68" s="635">
        <v>1.0666666666666655</v>
      </c>
      <c r="L68" s="635"/>
      <c r="M68" s="635">
        <v>1.0666666666666655</v>
      </c>
      <c r="N68" s="635">
        <v>0</v>
      </c>
    </row>
    <row r="69" spans="1:22" s="398" customFormat="1">
      <c r="A69" s="632">
        <v>13908</v>
      </c>
      <c r="B69" s="632" t="s">
        <v>78</v>
      </c>
      <c r="C69" s="632" t="s">
        <v>62</v>
      </c>
      <c r="D69" s="632" t="s">
        <v>128</v>
      </c>
      <c r="E69" s="633">
        <v>43396.815439814818</v>
      </c>
      <c r="F69" s="638">
        <v>43396.815439814818</v>
      </c>
      <c r="G69" s="634">
        <v>0.81527777777777777</v>
      </c>
      <c r="H69" s="635" t="s">
        <v>115</v>
      </c>
      <c r="I69" s="635" t="s">
        <v>115</v>
      </c>
      <c r="J69" s="635" t="s">
        <v>115</v>
      </c>
      <c r="K69" s="635"/>
      <c r="L69" s="635"/>
      <c r="M69" s="635"/>
      <c r="N69" s="635"/>
      <c r="O69" s="628"/>
      <c r="P69" s="345"/>
      <c r="Q69" s="345"/>
      <c r="R69" s="444"/>
      <c r="S69" s="444"/>
    </row>
    <row r="70" spans="1:22" s="16" customFormat="1">
      <c r="A70" s="632">
        <v>13915</v>
      </c>
      <c r="B70" s="632" t="s">
        <v>62</v>
      </c>
      <c r="C70" s="632" t="s">
        <v>62</v>
      </c>
      <c r="D70" s="632" t="s">
        <v>125</v>
      </c>
      <c r="E70" s="633">
        <v>43397.367488425924</v>
      </c>
      <c r="F70" s="638">
        <v>43397.367488425924</v>
      </c>
      <c r="G70" s="634">
        <v>0.36736111111111108</v>
      </c>
      <c r="H70" s="635">
        <v>10.066666666666666</v>
      </c>
      <c r="I70" s="635">
        <v>8</v>
      </c>
      <c r="J70" s="635" t="s">
        <v>115</v>
      </c>
      <c r="K70" s="635"/>
      <c r="L70" s="635"/>
      <c r="M70" s="635"/>
      <c r="N70" s="635"/>
      <c r="O70" s="628"/>
      <c r="P70" s="345"/>
      <c r="Q70" s="345"/>
      <c r="R70" s="137"/>
      <c r="S70" s="137"/>
    </row>
    <row r="71" spans="1:22" s="375" customFormat="1">
      <c r="A71" s="632">
        <v>13927</v>
      </c>
      <c r="B71" s="632" t="s">
        <v>62</v>
      </c>
      <c r="C71" s="632" t="s">
        <v>62</v>
      </c>
      <c r="D71" s="632" t="s">
        <v>126</v>
      </c>
      <c r="E71" s="633">
        <v>43397.78702546296</v>
      </c>
      <c r="F71" s="638">
        <v>43397.78702546296</v>
      </c>
      <c r="G71" s="634">
        <v>0.78680555555555554</v>
      </c>
      <c r="H71" s="635" t="s">
        <v>115</v>
      </c>
      <c r="I71" s="635" t="s">
        <v>115</v>
      </c>
      <c r="J71" s="635" t="s">
        <v>115</v>
      </c>
      <c r="K71" s="635"/>
      <c r="L71" s="635"/>
      <c r="M71" s="635"/>
      <c r="N71" s="635"/>
      <c r="O71" s="628"/>
      <c r="P71" s="345"/>
      <c r="Q71" s="345"/>
      <c r="R71" s="374"/>
      <c r="S71" s="374"/>
    </row>
    <row r="72" spans="1:22">
      <c r="A72" s="632">
        <v>13928</v>
      </c>
      <c r="B72" s="632" t="s">
        <v>62</v>
      </c>
      <c r="C72" s="632" t="s">
        <v>62</v>
      </c>
      <c r="D72" s="632" t="s">
        <v>127</v>
      </c>
      <c r="E72" s="633">
        <v>43397.787037037036</v>
      </c>
      <c r="F72" s="638">
        <v>43397.787037037036</v>
      </c>
      <c r="G72" s="634">
        <v>0.78680555555555554</v>
      </c>
      <c r="H72" s="635" t="s">
        <v>115</v>
      </c>
      <c r="I72" s="635" t="s">
        <v>115</v>
      </c>
      <c r="J72" s="635" t="s">
        <v>115</v>
      </c>
      <c r="K72" s="635">
        <v>0.2166666666666659</v>
      </c>
      <c r="L72" s="635"/>
      <c r="M72" s="635">
        <v>0.2166666666666659</v>
      </c>
      <c r="N72" s="635">
        <v>0</v>
      </c>
    </row>
    <row r="73" spans="1:22" s="375" customFormat="1">
      <c r="A73" s="632">
        <v>13929</v>
      </c>
      <c r="B73" s="632" t="s">
        <v>62</v>
      </c>
      <c r="C73" s="632" t="s">
        <v>62</v>
      </c>
      <c r="D73" s="632" t="s">
        <v>128</v>
      </c>
      <c r="E73" s="633">
        <v>43397.796307870369</v>
      </c>
      <c r="F73" s="638">
        <v>43397.796307870369</v>
      </c>
      <c r="G73" s="634">
        <v>0.79583333333333339</v>
      </c>
      <c r="H73" s="635" t="s">
        <v>115</v>
      </c>
      <c r="I73" s="635" t="s">
        <v>115</v>
      </c>
      <c r="J73" s="635" t="s">
        <v>115</v>
      </c>
      <c r="K73" s="635"/>
      <c r="L73" s="635"/>
      <c r="M73" s="635"/>
      <c r="N73" s="635"/>
      <c r="O73" s="628"/>
      <c r="P73" s="345"/>
      <c r="Q73" s="345"/>
      <c r="R73" s="374"/>
      <c r="S73" s="374"/>
    </row>
    <row r="74" spans="1:22" s="63" customFormat="1">
      <c r="A74" s="632">
        <v>13940</v>
      </c>
      <c r="B74" s="632" t="s">
        <v>62</v>
      </c>
      <c r="C74" s="632" t="s">
        <v>62</v>
      </c>
      <c r="D74" s="632" t="s">
        <v>125</v>
      </c>
      <c r="E74" s="633">
        <v>43398.369247685187</v>
      </c>
      <c r="F74" s="638">
        <v>43398.369247685187</v>
      </c>
      <c r="G74" s="634">
        <v>0.36874999999999997</v>
      </c>
      <c r="H74" s="635">
        <v>9.65</v>
      </c>
      <c r="I74" s="635">
        <v>8</v>
      </c>
      <c r="J74" s="635" t="s">
        <v>115</v>
      </c>
      <c r="K74" s="635"/>
      <c r="L74" s="635"/>
      <c r="M74" s="635"/>
      <c r="N74" s="635"/>
      <c r="O74" s="628"/>
      <c r="P74" s="345"/>
      <c r="Q74" s="345"/>
      <c r="R74" s="18"/>
      <c r="S74" s="18"/>
    </row>
    <row r="75" spans="1:22" s="16" customFormat="1">
      <c r="A75" s="632">
        <v>13949</v>
      </c>
      <c r="B75" s="632" t="s">
        <v>62</v>
      </c>
      <c r="C75" s="632" t="s">
        <v>62</v>
      </c>
      <c r="D75" s="632" t="s">
        <v>126</v>
      </c>
      <c r="E75" s="633">
        <v>43398.77134259259</v>
      </c>
      <c r="F75" s="638">
        <v>43398.77134259259</v>
      </c>
      <c r="G75" s="634">
        <v>0.77083333333333337</v>
      </c>
      <c r="H75" s="635" t="s">
        <v>115</v>
      </c>
      <c r="I75" s="635" t="s">
        <v>115</v>
      </c>
      <c r="J75" s="635" t="s">
        <v>115</v>
      </c>
      <c r="K75" s="635"/>
      <c r="L75" s="635"/>
      <c r="M75" s="635"/>
      <c r="N75" s="635"/>
      <c r="O75" s="628"/>
      <c r="P75" s="345"/>
      <c r="Q75" s="345"/>
      <c r="R75" s="137"/>
      <c r="S75" s="137"/>
    </row>
    <row r="76" spans="1:22" s="16" customFormat="1">
      <c r="A76" s="632">
        <v>13950</v>
      </c>
      <c r="B76" s="632" t="s">
        <v>62</v>
      </c>
      <c r="C76" s="632" t="s">
        <v>62</v>
      </c>
      <c r="D76" s="632" t="s">
        <v>127</v>
      </c>
      <c r="E76" s="633">
        <v>43398.771365740744</v>
      </c>
      <c r="F76" s="638">
        <v>43398.771365740744</v>
      </c>
      <c r="G76" s="634">
        <v>0.77083333333333337</v>
      </c>
      <c r="H76" s="635" t="s">
        <v>115</v>
      </c>
      <c r="I76" s="635" t="s">
        <v>115</v>
      </c>
      <c r="J76" s="635" t="s">
        <v>115</v>
      </c>
      <c r="K76" s="635">
        <v>1.966666666666665</v>
      </c>
      <c r="L76" s="635"/>
      <c r="M76" s="635">
        <v>1.966666666666665</v>
      </c>
      <c r="N76" s="635">
        <v>0</v>
      </c>
      <c r="O76" s="628"/>
      <c r="P76" s="345"/>
      <c r="Q76" s="345"/>
      <c r="R76" s="137"/>
      <c r="S76" s="137"/>
    </row>
    <row r="77" spans="1:22" s="16" customFormat="1">
      <c r="A77" s="632">
        <v>13957</v>
      </c>
      <c r="B77" s="632" t="s">
        <v>62</v>
      </c>
      <c r="C77" s="632" t="s">
        <v>62</v>
      </c>
      <c r="D77" s="632" t="s">
        <v>128</v>
      </c>
      <c r="E77" s="633">
        <v>43398.852858796294</v>
      </c>
      <c r="F77" s="638">
        <v>43398.852858796294</v>
      </c>
      <c r="G77" s="634">
        <v>0.85277777777777775</v>
      </c>
      <c r="H77" s="635" t="s">
        <v>115</v>
      </c>
      <c r="I77" s="635" t="s">
        <v>115</v>
      </c>
      <c r="J77" s="635" t="s">
        <v>115</v>
      </c>
      <c r="K77" s="635"/>
      <c r="L77" s="635"/>
      <c r="M77" s="635"/>
      <c r="N77" s="635"/>
      <c r="O77" s="628"/>
      <c r="P77" s="345"/>
      <c r="Q77" s="345"/>
      <c r="R77" s="137"/>
      <c r="S77" s="137"/>
    </row>
    <row r="78" spans="1:22" s="63" customFormat="1">
      <c r="A78" s="632"/>
      <c r="B78" s="632"/>
      <c r="C78" s="632"/>
      <c r="D78" s="632" t="s">
        <v>125</v>
      </c>
      <c r="E78" s="633">
        <v>43399.354409722226</v>
      </c>
      <c r="F78" s="638">
        <v>43399.354409722226</v>
      </c>
      <c r="G78" s="634">
        <v>0.38958333333333334</v>
      </c>
      <c r="H78" s="635"/>
      <c r="I78" s="635">
        <v>0</v>
      </c>
      <c r="J78" s="635">
        <v>8</v>
      </c>
      <c r="K78" s="635"/>
      <c r="L78" s="635"/>
      <c r="M78" s="635"/>
      <c r="N78" s="635"/>
      <c r="O78" s="628" t="s">
        <v>165</v>
      </c>
      <c r="P78" s="627"/>
      <c r="Q78" s="345"/>
      <c r="R78" s="372"/>
      <c r="S78" s="372"/>
      <c r="T78" s="373"/>
      <c r="U78" s="373"/>
      <c r="V78" s="373"/>
    </row>
    <row r="79" spans="1:22" s="63" customFormat="1">
      <c r="A79" s="632"/>
      <c r="B79" s="632"/>
      <c r="C79" s="632"/>
      <c r="D79" s="632" t="s">
        <v>126</v>
      </c>
      <c r="E79" s="633">
        <v>43399.771435185183</v>
      </c>
      <c r="F79" s="638">
        <v>43399.771435185183</v>
      </c>
      <c r="G79" s="634">
        <v>0.77430555555555547</v>
      </c>
      <c r="H79" s="635"/>
      <c r="I79" s="635"/>
      <c r="J79" s="635"/>
      <c r="K79" s="635"/>
      <c r="L79" s="635"/>
      <c r="M79" s="635"/>
      <c r="N79" s="635"/>
      <c r="O79" s="628"/>
      <c r="P79" s="627"/>
      <c r="Q79" s="345"/>
      <c r="R79" s="372"/>
      <c r="S79" s="372"/>
      <c r="T79" s="373"/>
      <c r="U79" s="373"/>
      <c r="V79" s="373"/>
    </row>
    <row r="80" spans="1:22" s="16" customFormat="1">
      <c r="A80" s="632">
        <v>13984</v>
      </c>
      <c r="B80" s="632" t="s">
        <v>78</v>
      </c>
      <c r="C80" s="632" t="s">
        <v>62</v>
      </c>
      <c r="D80" s="632" t="s">
        <v>125</v>
      </c>
      <c r="E80" s="633">
        <v>43402.36859953704</v>
      </c>
      <c r="F80" s="638">
        <v>43402.36859953704</v>
      </c>
      <c r="G80" s="634">
        <v>0.36805555555555558</v>
      </c>
      <c r="H80" s="635">
        <v>9.8833333333333329</v>
      </c>
      <c r="I80" s="635">
        <v>8</v>
      </c>
      <c r="J80" s="635" t="s">
        <v>115</v>
      </c>
      <c r="K80" s="635"/>
      <c r="L80" s="635"/>
      <c r="M80" s="635"/>
      <c r="N80" s="635"/>
      <c r="O80" s="628"/>
      <c r="P80" s="345"/>
      <c r="Q80" s="345"/>
      <c r="R80" s="137"/>
      <c r="S80" s="137"/>
    </row>
    <row r="81" spans="1:19">
      <c r="A81" s="632">
        <v>13998</v>
      </c>
      <c r="B81" s="632" t="s">
        <v>62</v>
      </c>
      <c r="C81" s="632" t="s">
        <v>62</v>
      </c>
      <c r="D81" s="632" t="s">
        <v>126</v>
      </c>
      <c r="E81" s="633">
        <v>43402.779895833337</v>
      </c>
      <c r="F81" s="638">
        <v>43402.779895833337</v>
      </c>
      <c r="G81" s="634">
        <v>0.77986111111111101</v>
      </c>
      <c r="H81" s="635" t="s">
        <v>115</v>
      </c>
      <c r="I81" s="635" t="s">
        <v>115</v>
      </c>
      <c r="J81" s="635" t="s">
        <v>115</v>
      </c>
      <c r="K81" s="635"/>
      <c r="L81" s="635"/>
      <c r="M81" s="635"/>
      <c r="N81" s="635"/>
    </row>
    <row r="82" spans="1:19">
      <c r="A82" s="632">
        <v>13999</v>
      </c>
      <c r="B82" s="632" t="s">
        <v>62</v>
      </c>
      <c r="C82" s="632" t="s">
        <v>62</v>
      </c>
      <c r="D82" s="632" t="s">
        <v>127</v>
      </c>
      <c r="E82" s="633">
        <v>43402.779918981483</v>
      </c>
      <c r="F82" s="638">
        <v>43402.779918981483</v>
      </c>
      <c r="G82" s="634">
        <v>0.77986111111111101</v>
      </c>
      <c r="H82" s="635" t="s">
        <v>115</v>
      </c>
      <c r="I82" s="635" t="s">
        <v>115</v>
      </c>
      <c r="J82" s="635" t="s">
        <v>115</v>
      </c>
      <c r="K82" s="635">
        <v>1.4500000000000002</v>
      </c>
      <c r="L82" s="635"/>
      <c r="M82" s="635">
        <v>1.4500000000000002</v>
      </c>
      <c r="N82" s="635">
        <v>0</v>
      </c>
    </row>
    <row r="83" spans="1:19" s="398" customFormat="1">
      <c r="A83" s="632">
        <v>14006</v>
      </c>
      <c r="B83" s="632" t="s">
        <v>62</v>
      </c>
      <c r="C83" s="632" t="s">
        <v>62</v>
      </c>
      <c r="D83" s="632" t="s">
        <v>128</v>
      </c>
      <c r="E83" s="633">
        <v>43402.840370370373</v>
      </c>
      <c r="F83" s="638">
        <v>43402.840370370373</v>
      </c>
      <c r="G83" s="634">
        <v>0.84027777777777779</v>
      </c>
      <c r="H83" s="635" t="s">
        <v>115</v>
      </c>
      <c r="I83" s="635" t="s">
        <v>115</v>
      </c>
      <c r="J83" s="635" t="s">
        <v>115</v>
      </c>
      <c r="K83" s="635"/>
      <c r="L83" s="635"/>
      <c r="M83" s="635"/>
      <c r="N83" s="635"/>
      <c r="O83" s="628"/>
      <c r="P83" s="345"/>
      <c r="Q83" s="345"/>
      <c r="R83" s="444"/>
      <c r="S83" s="444"/>
    </row>
    <row r="84" spans="1:19">
      <c r="A84" s="632">
        <v>14013</v>
      </c>
      <c r="B84" s="632" t="s">
        <v>62</v>
      </c>
      <c r="C84" s="632" t="s">
        <v>62</v>
      </c>
      <c r="D84" s="632" t="s">
        <v>125</v>
      </c>
      <c r="E84" s="633">
        <v>43403.369062500002</v>
      </c>
      <c r="F84" s="638">
        <v>43403.369062500002</v>
      </c>
      <c r="G84" s="634">
        <v>0.36874999999999997</v>
      </c>
      <c r="H84" s="635">
        <v>9.85</v>
      </c>
      <c r="I84" s="635">
        <v>8</v>
      </c>
      <c r="J84" s="635" t="s">
        <v>115</v>
      </c>
      <c r="K84" s="635"/>
      <c r="L84" s="635"/>
      <c r="M84" s="635"/>
      <c r="N84" s="635"/>
    </row>
    <row r="85" spans="1:19">
      <c r="A85" s="632">
        <v>14024</v>
      </c>
      <c r="B85" s="632" t="s">
        <v>62</v>
      </c>
      <c r="C85" s="632" t="s">
        <v>62</v>
      </c>
      <c r="D85" s="632" t="s">
        <v>126</v>
      </c>
      <c r="E85" s="633">
        <v>43403.779270833336</v>
      </c>
      <c r="F85" s="638">
        <v>43403.779270833336</v>
      </c>
      <c r="G85" s="634">
        <v>0.77916666666666667</v>
      </c>
      <c r="H85" s="635" t="s">
        <v>115</v>
      </c>
      <c r="I85" s="635" t="s">
        <v>115</v>
      </c>
      <c r="J85" s="635" t="s">
        <v>115</v>
      </c>
      <c r="K85" s="635"/>
      <c r="L85" s="635"/>
      <c r="M85" s="635"/>
      <c r="N85" s="635"/>
    </row>
    <row r="86" spans="1:19">
      <c r="A86" s="632">
        <v>14039</v>
      </c>
      <c r="B86" s="632" t="s">
        <v>62</v>
      </c>
      <c r="C86" s="632" t="s">
        <v>62</v>
      </c>
      <c r="D86" s="632" t="s">
        <v>125</v>
      </c>
      <c r="E86" s="633">
        <v>43404.389004629629</v>
      </c>
      <c r="F86" s="638">
        <v>43404.389004629629</v>
      </c>
      <c r="G86" s="634">
        <v>0.3888888888888889</v>
      </c>
      <c r="H86" s="635">
        <v>9.4333333333333336</v>
      </c>
      <c r="I86" s="635">
        <v>7.5</v>
      </c>
      <c r="J86" s="635">
        <v>0.5</v>
      </c>
      <c r="K86" s="635"/>
      <c r="L86" s="635"/>
      <c r="M86" s="635"/>
      <c r="N86" s="635"/>
      <c r="O86" s="628" t="s">
        <v>160</v>
      </c>
    </row>
    <row r="87" spans="1:19" s="16" customFormat="1">
      <c r="A87" s="632">
        <v>14049</v>
      </c>
      <c r="B87" s="632" t="s">
        <v>62</v>
      </c>
      <c r="C87" s="632" t="s">
        <v>62</v>
      </c>
      <c r="D87" s="632" t="s">
        <v>126</v>
      </c>
      <c r="E87" s="633">
        <v>43404.782557870371</v>
      </c>
      <c r="F87" s="638">
        <v>43404.782557870371</v>
      </c>
      <c r="G87" s="634">
        <v>0.78194444444444444</v>
      </c>
      <c r="H87" s="635" t="s">
        <v>115</v>
      </c>
      <c r="I87" s="635" t="s">
        <v>115</v>
      </c>
      <c r="J87" s="635" t="s">
        <v>115</v>
      </c>
      <c r="K87" s="635"/>
      <c r="L87" s="635"/>
      <c r="M87" s="635"/>
      <c r="N87" s="635"/>
      <c r="O87" s="628"/>
      <c r="P87" s="345"/>
      <c r="Q87" s="345"/>
      <c r="R87" s="137"/>
      <c r="S87" s="137"/>
    </row>
    <row r="88" spans="1:19" s="16" customFormat="1">
      <c r="A88" s="632">
        <v>14050</v>
      </c>
      <c r="B88" s="632" t="s">
        <v>62</v>
      </c>
      <c r="C88" s="632" t="s">
        <v>62</v>
      </c>
      <c r="D88" s="632" t="s">
        <v>127</v>
      </c>
      <c r="E88" s="633">
        <v>43404.782581018517</v>
      </c>
      <c r="F88" s="638">
        <v>43404.782581018517</v>
      </c>
      <c r="G88" s="634">
        <v>0.78194444444444444</v>
      </c>
      <c r="H88" s="635" t="s">
        <v>115</v>
      </c>
      <c r="I88" s="635" t="s">
        <v>115</v>
      </c>
      <c r="J88" s="635" t="s">
        <v>115</v>
      </c>
      <c r="K88" s="635">
        <v>0.55000000000000071</v>
      </c>
      <c r="L88" s="635"/>
      <c r="M88" s="635">
        <v>0.55000000000000071</v>
      </c>
      <c r="N88" s="635">
        <v>0</v>
      </c>
      <c r="O88" s="628"/>
      <c r="P88" s="345"/>
      <c r="Q88" s="345"/>
      <c r="R88" s="137"/>
      <c r="S88" s="137"/>
    </row>
    <row r="89" spans="1:19" s="16" customFormat="1">
      <c r="A89" s="632">
        <v>14052</v>
      </c>
      <c r="B89" s="632" t="s">
        <v>62</v>
      </c>
      <c r="C89" s="632" t="s">
        <v>62</v>
      </c>
      <c r="D89" s="632" t="s">
        <v>128</v>
      </c>
      <c r="E89" s="633">
        <v>43404.805520833332</v>
      </c>
      <c r="F89" s="638">
        <v>43404.805520833332</v>
      </c>
      <c r="G89" s="634">
        <v>0.80486111111111114</v>
      </c>
      <c r="H89" s="635" t="s">
        <v>115</v>
      </c>
      <c r="I89" s="635" t="s">
        <v>115</v>
      </c>
      <c r="J89" s="635" t="s">
        <v>115</v>
      </c>
      <c r="K89" s="635"/>
      <c r="L89" s="635"/>
      <c r="M89" s="635"/>
      <c r="N89" s="635"/>
      <c r="O89" s="628"/>
      <c r="P89" s="345"/>
      <c r="Q89" s="345"/>
      <c r="R89" s="137"/>
      <c r="S89" s="137"/>
    </row>
    <row r="90" spans="1:19" s="16" customFormat="1">
      <c r="A90" s="632"/>
      <c r="B90" s="632"/>
      <c r="C90" s="632"/>
      <c r="D90" s="632"/>
      <c r="E90" s="633"/>
      <c r="F90" s="638"/>
      <c r="G90" s="634"/>
      <c r="H90" s="635"/>
      <c r="I90" s="635"/>
      <c r="J90" s="635"/>
      <c r="K90" s="635"/>
      <c r="L90" s="635"/>
      <c r="M90" s="635"/>
      <c r="N90" s="635"/>
      <c r="O90" s="628"/>
      <c r="P90" s="345"/>
      <c r="Q90" s="345"/>
      <c r="R90" s="137"/>
      <c r="S90" s="137"/>
    </row>
    <row r="91" spans="1:19">
      <c r="A91" s="632"/>
      <c r="B91" s="632"/>
      <c r="C91" s="632"/>
      <c r="D91" s="632"/>
      <c r="E91" s="633"/>
      <c r="F91" s="638"/>
      <c r="G91" s="634"/>
      <c r="H91" s="635"/>
      <c r="I91" s="635"/>
      <c r="J91" s="635"/>
      <c r="K91" s="635"/>
      <c r="L91" s="635"/>
      <c r="M91" s="635"/>
      <c r="N91" s="635"/>
    </row>
    <row r="92" spans="1:19">
      <c r="A92" s="632"/>
      <c r="B92" s="632"/>
      <c r="C92" s="632"/>
      <c r="D92" s="632"/>
      <c r="E92" s="633"/>
      <c r="F92" s="638"/>
      <c r="G92" s="634"/>
      <c r="H92" s="635"/>
      <c r="I92" s="635"/>
      <c r="J92" s="635"/>
      <c r="K92" s="635"/>
      <c r="L92" s="635"/>
      <c r="M92" s="635"/>
      <c r="N92" s="635"/>
    </row>
    <row r="93" spans="1:19">
      <c r="A93" s="632"/>
      <c r="B93" s="632"/>
      <c r="C93" s="632"/>
      <c r="D93" s="632"/>
      <c r="E93" s="633"/>
      <c r="F93" s="638"/>
      <c r="G93" s="634"/>
      <c r="H93" s="635"/>
      <c r="I93" s="635"/>
      <c r="J93" s="635"/>
      <c r="K93" s="635"/>
      <c r="L93" s="635"/>
      <c r="M93" s="635"/>
      <c r="N93" s="635"/>
    </row>
    <row r="94" spans="1:19">
      <c r="A94" s="632"/>
      <c r="B94" s="632"/>
      <c r="C94" s="632"/>
      <c r="D94" s="632"/>
      <c r="E94" s="633"/>
      <c r="F94" s="638"/>
      <c r="G94" s="634"/>
      <c r="H94" s="635"/>
      <c r="I94" s="635"/>
      <c r="J94" s="635"/>
      <c r="K94" s="635"/>
      <c r="L94" s="635"/>
      <c r="M94" s="635"/>
      <c r="N94" s="635"/>
    </row>
    <row r="95" spans="1:19">
      <c r="A95" s="632"/>
      <c r="B95" s="632"/>
      <c r="C95" s="632"/>
      <c r="D95" s="632"/>
      <c r="E95" s="633"/>
      <c r="F95" s="638"/>
      <c r="G95" s="634"/>
      <c r="H95" s="635"/>
      <c r="I95" s="635"/>
      <c r="J95" s="635"/>
      <c r="K95" s="635"/>
      <c r="L95" s="635"/>
      <c r="M95" s="635"/>
      <c r="N95" s="635"/>
    </row>
    <row r="96" spans="1:19">
      <c r="A96" s="632"/>
      <c r="B96" s="632"/>
      <c r="C96" s="632"/>
      <c r="D96" s="636"/>
      <c r="E96" s="637"/>
      <c r="F96" s="441"/>
      <c r="G96" s="442"/>
      <c r="H96" s="443"/>
      <c r="I96" s="443"/>
      <c r="J96" s="443"/>
      <c r="K96" s="443"/>
      <c r="L96" s="443"/>
      <c r="M96" s="443"/>
      <c r="N96" s="443"/>
      <c r="P96" s="8"/>
      <c r="Q96" s="323"/>
    </row>
    <row r="97" spans="1:14">
      <c r="A97" s="632"/>
      <c r="B97" s="632"/>
      <c r="C97" s="632"/>
      <c r="D97" s="632"/>
      <c r="E97" s="633"/>
      <c r="F97" s="638"/>
      <c r="G97" s="634"/>
      <c r="H97" s="635"/>
      <c r="I97" s="635"/>
      <c r="J97" s="635"/>
      <c r="K97" s="635"/>
      <c r="L97" s="635"/>
      <c r="M97" s="635"/>
      <c r="N97" s="635"/>
    </row>
    <row r="98" spans="1:14">
      <c r="A98" s="632"/>
      <c r="B98" s="632"/>
      <c r="C98" s="632"/>
      <c r="D98" s="632"/>
      <c r="E98" s="633"/>
      <c r="F98" s="638"/>
      <c r="G98" s="634"/>
      <c r="H98" s="635"/>
      <c r="I98" s="635"/>
      <c r="J98" s="635"/>
      <c r="K98" s="635"/>
      <c r="L98" s="635"/>
      <c r="M98" s="635"/>
      <c r="N98" s="635"/>
    </row>
    <row r="99" spans="1:14">
      <c r="A99" s="632"/>
      <c r="B99" s="632"/>
      <c r="C99" s="632"/>
      <c r="D99" s="632"/>
      <c r="E99" s="633"/>
      <c r="F99" s="638"/>
      <c r="G99" s="634"/>
      <c r="H99" s="635"/>
      <c r="I99" s="635"/>
      <c r="J99" s="635"/>
      <c r="K99" s="635"/>
      <c r="L99" s="635"/>
      <c r="M99" s="635"/>
      <c r="N99" s="635"/>
    </row>
    <row r="100" spans="1:14">
      <c r="A100" s="576"/>
      <c r="B100" s="576"/>
      <c r="C100" s="576"/>
      <c r="D100" s="576"/>
      <c r="E100" s="577"/>
      <c r="F100" s="580"/>
      <c r="G100" s="578"/>
      <c r="H100" s="579"/>
      <c r="I100" s="579"/>
      <c r="J100" s="579"/>
      <c r="K100" s="579"/>
      <c r="L100" s="575"/>
      <c r="M100" s="579"/>
      <c r="N100" s="579"/>
    </row>
    <row r="101" spans="1:14">
      <c r="A101" s="576"/>
      <c r="B101" s="576"/>
      <c r="C101" s="576"/>
      <c r="D101" s="576"/>
      <c r="E101" s="577"/>
      <c r="F101" s="580"/>
      <c r="G101" s="578"/>
      <c r="H101" s="579"/>
      <c r="I101" s="579"/>
      <c r="J101" s="579"/>
      <c r="K101" s="575"/>
      <c r="L101" s="575"/>
      <c r="M101" s="575"/>
      <c r="N101" s="575"/>
    </row>
    <row r="103" spans="1:14">
      <c r="D103" s="9" t="s">
        <v>36</v>
      </c>
      <c r="E103" s="3"/>
      <c r="F103" s="16"/>
      <c r="G103" s="17"/>
      <c r="H103" s="51"/>
      <c r="I103" s="21"/>
      <c r="J103" s="21"/>
      <c r="K103" s="22"/>
      <c r="L103" s="22"/>
      <c r="M103" s="22"/>
      <c r="N103" s="22"/>
    </row>
    <row r="104" spans="1:14">
      <c r="D104" s="9" t="s">
        <v>35</v>
      </c>
      <c r="E104" s="3"/>
      <c r="F104" s="16"/>
      <c r="G104" s="17"/>
      <c r="H104" s="51"/>
      <c r="I104" s="21"/>
      <c r="J104" s="21"/>
      <c r="K104" s="22"/>
      <c r="L104" s="22"/>
      <c r="M104" s="22"/>
      <c r="N104" s="22"/>
    </row>
    <row r="105" spans="1:14">
      <c r="D105" s="172" t="s">
        <v>63</v>
      </c>
      <c r="E105" s="3"/>
      <c r="F105" s="16"/>
      <c r="G105" s="17"/>
      <c r="H105" s="51"/>
      <c r="I105" s="21"/>
      <c r="J105" s="21"/>
      <c r="K105" s="22"/>
      <c r="L105" s="22"/>
      <c r="M105" s="22"/>
      <c r="N105" s="22"/>
    </row>
    <row r="106" spans="1:14">
      <c r="D106" s="458" t="s">
        <v>66</v>
      </c>
      <c r="E106" s="3"/>
      <c r="F106" s="16"/>
      <c r="G106" s="17"/>
      <c r="H106" s="51"/>
      <c r="I106" s="21"/>
      <c r="J106" s="21"/>
      <c r="K106" s="22"/>
      <c r="L106" s="22"/>
      <c r="M106" s="22"/>
      <c r="N106" s="22"/>
    </row>
    <row r="107" spans="1:14">
      <c r="D107" s="458" t="s">
        <v>64</v>
      </c>
    </row>
    <row r="108" spans="1:14">
      <c r="D108" s="458" t="s">
        <v>68</v>
      </c>
    </row>
    <row r="109" spans="1:14">
      <c r="D109" s="458" t="s">
        <v>69</v>
      </c>
    </row>
    <row r="110" spans="1:14">
      <c r="D110" s="458" t="s">
        <v>116</v>
      </c>
    </row>
    <row r="111" spans="1:14">
      <c r="D111" s="458" t="s">
        <v>67</v>
      </c>
    </row>
  </sheetData>
  <phoneticPr fontId="18" type="noConversion"/>
  <conditionalFormatting sqref="I100:I101">
    <cfRule type="cellIs" dxfId="27" priority="7" operator="lessThan">
      <formula>4</formula>
    </cfRule>
  </conditionalFormatting>
  <conditionalFormatting sqref="I90:I99">
    <cfRule type="cellIs" dxfId="26" priority="6" operator="lessThan">
      <formula>4</formula>
    </cfRule>
  </conditionalFormatting>
  <conditionalFormatting sqref="I7:I32 I35:I77 I80:I89">
    <cfRule type="cellIs" dxfId="25" priority="4" operator="lessThan">
      <formula>4</formula>
    </cfRule>
  </conditionalFormatting>
  <conditionalFormatting sqref="I78:I79">
    <cfRule type="cellIs" dxfId="24" priority="2" operator="lessThan">
      <formula>4</formula>
    </cfRule>
  </conditionalFormatting>
  <conditionalFormatting sqref="I33:I34">
    <cfRule type="cellIs" dxfId="23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75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>
    <tabColor theme="4"/>
    <pageSetUpPr fitToPage="1"/>
  </sheetPr>
  <dimension ref="A1:X107"/>
  <sheetViews>
    <sheetView view="pageBreakPreview" topLeftCell="A67" zoomScaleNormal="100" zoomScaleSheetLayoutView="100" workbookViewId="0">
      <selection activeCell="A79" sqref="A79:XFD82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" style="3"/>
    <col min="5" max="5" width="17.75" style="3" customWidth="1"/>
    <col min="6" max="6" width="6.25" style="16" customWidth="1"/>
    <col min="7" max="7" width="8.625" style="17" customWidth="1" outlineLevel="1"/>
    <col min="8" max="8" width="11.125" style="51" customWidth="1" outlineLevel="1"/>
    <col min="9" max="9" width="10.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25" style="22" customWidth="1"/>
    <col min="15" max="15" width="18.125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</cols>
  <sheetData>
    <row r="1" spans="1:24" s="4" customFormat="1" ht="28.5" thickBot="1">
      <c r="C1" s="5"/>
      <c r="D1" s="6"/>
      <c r="E1" s="6"/>
      <c r="F1" s="10"/>
      <c r="G1" s="11"/>
      <c r="H1" s="12"/>
      <c r="I1" s="13" t="str">
        <f>B7</f>
        <v>nick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</row>
    <row r="2" spans="1:24">
      <c r="D2" s="133" t="s">
        <v>74</v>
      </c>
      <c r="E2" s="184">
        <f>64-24-8-8-16</f>
        <v>8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4" ht="17.25" thickBot="1">
      <c r="D3" s="24" t="s">
        <v>76</v>
      </c>
      <c r="E3" s="644">
        <v>0</v>
      </c>
      <c r="F3" s="25"/>
      <c r="G3" s="26"/>
      <c r="H3" s="26"/>
      <c r="I3" s="88"/>
      <c r="J3" s="54">
        <f>D5+E5</f>
        <v>11.5</v>
      </c>
      <c r="K3" s="53">
        <f>SUM(K7:K196)</f>
        <v>10.799999999999997</v>
      </c>
      <c r="L3" s="53">
        <f>J3</f>
        <v>11.5</v>
      </c>
      <c r="M3" s="53">
        <f>M6-J3</f>
        <v>-1.100000000000005</v>
      </c>
      <c r="N3" s="53">
        <f>N6</f>
        <v>0.40000000000000213</v>
      </c>
      <c r="O3" s="50"/>
    </row>
    <row r="4" spans="1:24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184</v>
      </c>
    </row>
    <row r="5" spans="1:24">
      <c r="D5" s="87">
        <v>0</v>
      </c>
      <c r="E5" s="86">
        <v>11.5</v>
      </c>
      <c r="F5" s="86">
        <v>16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6.7499999999999977E-2</v>
      </c>
    </row>
    <row r="6" spans="1:24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523"/>
      <c r="H6" s="525" t="s">
        <v>22</v>
      </c>
      <c r="I6" s="509">
        <f>SUM(I7:I196)</f>
        <v>148.5</v>
      </c>
      <c r="J6" s="509">
        <f t="shared" ref="J6:N6" si="0">SUM(J7:J196)</f>
        <v>35.5</v>
      </c>
      <c r="K6" s="509">
        <f t="shared" si="0"/>
        <v>10.799999999999997</v>
      </c>
      <c r="L6" s="509">
        <f t="shared" si="0"/>
        <v>0</v>
      </c>
      <c r="M6" s="509">
        <f t="shared" si="0"/>
        <v>10.399999999999995</v>
      </c>
      <c r="N6" s="509">
        <f t="shared" si="0"/>
        <v>0.40000000000000213</v>
      </c>
      <c r="O6" s="498"/>
    </row>
    <row r="7" spans="1:24" s="2" customFormat="1">
      <c r="A7" s="632">
        <v>13461</v>
      </c>
      <c r="B7" s="632" t="s">
        <v>71</v>
      </c>
      <c r="C7" s="632" t="s">
        <v>71</v>
      </c>
      <c r="D7" s="632" t="s">
        <v>125</v>
      </c>
      <c r="E7" s="633">
        <v>43374.367743055554</v>
      </c>
      <c r="F7" s="638">
        <v>43374.367743055554</v>
      </c>
      <c r="G7" s="634">
        <v>0.36736111111111108</v>
      </c>
      <c r="H7" s="635">
        <v>9.6833333333333336</v>
      </c>
      <c r="I7" s="635">
        <v>8</v>
      </c>
      <c r="J7" s="635" t="s">
        <v>115</v>
      </c>
      <c r="K7" s="635"/>
      <c r="L7" s="635"/>
      <c r="M7" s="635"/>
      <c r="N7" s="635"/>
      <c r="O7" s="587"/>
      <c r="P7" s="345"/>
      <c r="Q7" s="369"/>
      <c r="R7" s="149"/>
      <c r="S7" s="149"/>
      <c r="T7" s="130"/>
      <c r="U7" s="130"/>
      <c r="V7" s="130"/>
      <c r="W7" s="63"/>
    </row>
    <row r="8" spans="1:24">
      <c r="A8" s="632">
        <v>13511</v>
      </c>
      <c r="B8" s="632" t="s">
        <v>156</v>
      </c>
      <c r="C8" s="632" t="s">
        <v>71</v>
      </c>
      <c r="D8" s="632" t="s">
        <v>126</v>
      </c>
      <c r="E8" s="633">
        <v>43374.770833333336</v>
      </c>
      <c r="F8" s="638">
        <v>43374.770833333336</v>
      </c>
      <c r="G8" s="634">
        <v>0.77083333333333337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587"/>
      <c r="Q8" s="369"/>
      <c r="R8" s="149"/>
      <c r="S8" s="149"/>
      <c r="T8" s="130"/>
      <c r="U8" s="130"/>
      <c r="V8" s="130"/>
      <c r="W8" s="63"/>
    </row>
    <row r="9" spans="1:24" s="63" customFormat="1">
      <c r="A9" s="632">
        <v>13511</v>
      </c>
      <c r="B9" s="632" t="s">
        <v>156</v>
      </c>
      <c r="C9" s="632" t="s">
        <v>71</v>
      </c>
      <c r="D9" s="632" t="s">
        <v>127</v>
      </c>
      <c r="E9" s="633">
        <v>43374.770833333336</v>
      </c>
      <c r="F9" s="638">
        <v>43374.770833333336</v>
      </c>
      <c r="G9" s="634">
        <v>0.77083333333333337</v>
      </c>
      <c r="H9" s="635" t="s">
        <v>115</v>
      </c>
      <c r="I9" s="635" t="s">
        <v>115</v>
      </c>
      <c r="J9" s="635" t="s">
        <v>115</v>
      </c>
      <c r="K9" s="635">
        <v>1.1999999999999984</v>
      </c>
      <c r="L9" s="635"/>
      <c r="M9" s="635">
        <v>1.1999999999999984</v>
      </c>
      <c r="N9" s="635">
        <v>0</v>
      </c>
      <c r="O9" s="587"/>
      <c r="P9" s="373"/>
      <c r="Q9" s="373"/>
      <c r="R9" s="372"/>
      <c r="S9" s="372"/>
      <c r="T9" s="373"/>
      <c r="U9" s="373"/>
      <c r="V9" s="373"/>
      <c r="X9" s="187"/>
    </row>
    <row r="10" spans="1:24" s="63" customFormat="1">
      <c r="A10" s="632">
        <v>13489</v>
      </c>
      <c r="B10" s="632" t="s">
        <v>70</v>
      </c>
      <c r="C10" s="632" t="s">
        <v>71</v>
      </c>
      <c r="D10" s="632" t="s">
        <v>128</v>
      </c>
      <c r="E10" s="633">
        <v>43374.821192129632</v>
      </c>
      <c r="F10" s="638">
        <v>43374.821192129632</v>
      </c>
      <c r="G10" s="634">
        <v>0.8208333333333333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587"/>
      <c r="R10" s="18"/>
      <c r="S10" s="18"/>
      <c r="X10" s="187"/>
    </row>
    <row r="11" spans="1:24" s="2" customFormat="1">
      <c r="A11" s="632">
        <v>13499</v>
      </c>
      <c r="B11" s="632" t="s">
        <v>71</v>
      </c>
      <c r="C11" s="632" t="s">
        <v>71</v>
      </c>
      <c r="D11" s="632" t="s">
        <v>125</v>
      </c>
      <c r="E11" s="633">
        <v>43375.367534722223</v>
      </c>
      <c r="F11" s="638">
        <v>43375.367534722223</v>
      </c>
      <c r="G11" s="634">
        <v>0.36736111111111108</v>
      </c>
      <c r="H11" s="635">
        <v>9.5333333333333314</v>
      </c>
      <c r="I11" s="635">
        <v>8</v>
      </c>
      <c r="J11" s="635" t="s">
        <v>115</v>
      </c>
      <c r="K11" s="635"/>
      <c r="L11" s="635"/>
      <c r="M11" s="635"/>
      <c r="N11" s="635"/>
      <c r="O11" s="587"/>
      <c r="P11" s="345"/>
      <c r="Q11" s="369"/>
      <c r="R11" s="18"/>
      <c r="S11" s="18"/>
      <c r="T11" s="63"/>
      <c r="U11" s="63"/>
      <c r="V11" s="63"/>
      <c r="W11" s="63"/>
    </row>
    <row r="12" spans="1:24">
      <c r="A12" s="632">
        <v>13511</v>
      </c>
      <c r="B12" s="632" t="s">
        <v>156</v>
      </c>
      <c r="C12" s="632" t="s">
        <v>71</v>
      </c>
      <c r="D12" s="632" t="s">
        <v>126</v>
      </c>
      <c r="E12" s="633">
        <v>43375.764849537038</v>
      </c>
      <c r="F12" s="638">
        <v>43375.764849537038</v>
      </c>
      <c r="G12" s="634">
        <v>0.76458333333333339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587"/>
      <c r="Q12" s="369"/>
      <c r="R12" s="372"/>
      <c r="S12" s="372"/>
      <c r="T12" s="373"/>
      <c r="U12" s="373"/>
      <c r="V12" s="373"/>
      <c r="W12" s="63"/>
    </row>
    <row r="13" spans="1:24" s="63" customFormat="1">
      <c r="A13" s="632">
        <v>13512</v>
      </c>
      <c r="B13" s="632" t="s">
        <v>70</v>
      </c>
      <c r="C13" s="632" t="s">
        <v>71</v>
      </c>
      <c r="D13" s="632" t="s">
        <v>127</v>
      </c>
      <c r="E13" s="633">
        <v>43375.764884259261</v>
      </c>
      <c r="F13" s="638">
        <v>43375.764884259261</v>
      </c>
      <c r="G13" s="634">
        <v>0.76458333333333339</v>
      </c>
      <c r="H13" s="635" t="s">
        <v>115</v>
      </c>
      <c r="I13" s="635" t="s">
        <v>115</v>
      </c>
      <c r="J13" s="635" t="s">
        <v>115</v>
      </c>
      <c r="K13" s="635">
        <v>2.4000000000000021</v>
      </c>
      <c r="L13" s="635"/>
      <c r="M13" s="635">
        <v>2</v>
      </c>
      <c r="N13" s="635">
        <v>0.40000000000000213</v>
      </c>
      <c r="O13" s="587"/>
      <c r="P13" s="137"/>
      <c r="Q13" s="397"/>
      <c r="R13" s="137"/>
      <c r="S13" s="137"/>
      <c r="T13" s="16"/>
      <c r="U13" s="16"/>
      <c r="V13" s="16"/>
    </row>
    <row r="14" spans="1:24" s="63" customFormat="1">
      <c r="A14" s="632">
        <v>13521</v>
      </c>
      <c r="B14" s="632" t="s">
        <v>70</v>
      </c>
      <c r="C14" s="632" t="s">
        <v>71</v>
      </c>
      <c r="D14" s="632" t="s">
        <v>128</v>
      </c>
      <c r="E14" s="633">
        <v>43375.865069444444</v>
      </c>
      <c r="F14" s="638">
        <v>43375.865069444444</v>
      </c>
      <c r="G14" s="634">
        <v>0.86458333333333337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587"/>
      <c r="P14" s="137"/>
      <c r="Q14" s="397"/>
      <c r="R14" s="137"/>
      <c r="S14" s="137"/>
      <c r="T14" s="16"/>
      <c r="U14" s="16"/>
      <c r="V14" s="16"/>
    </row>
    <row r="15" spans="1:24" s="2" customFormat="1">
      <c r="A15" s="632">
        <v>13526</v>
      </c>
      <c r="B15" s="632" t="s">
        <v>71</v>
      </c>
      <c r="C15" s="632" t="s">
        <v>71</v>
      </c>
      <c r="D15" s="632" t="s">
        <v>125</v>
      </c>
      <c r="E15" s="633">
        <v>43376.369537037041</v>
      </c>
      <c r="F15" s="638">
        <v>43376.369537037041</v>
      </c>
      <c r="G15" s="634">
        <v>0.36944444444444446</v>
      </c>
      <c r="H15" s="635">
        <v>9.65</v>
      </c>
      <c r="I15" s="635">
        <v>8</v>
      </c>
      <c r="J15" s="635" t="s">
        <v>115</v>
      </c>
      <c r="K15" s="635"/>
      <c r="L15" s="635"/>
      <c r="M15" s="635"/>
      <c r="N15" s="635"/>
      <c r="O15" s="587"/>
      <c r="P15" s="137"/>
      <c r="Q15" s="397"/>
      <c r="R15" s="137"/>
      <c r="S15" s="137"/>
      <c r="T15" s="16"/>
      <c r="U15" s="16"/>
      <c r="V15" s="16"/>
      <c r="W15" s="63"/>
      <c r="X15"/>
    </row>
    <row r="16" spans="1:24">
      <c r="A16" s="632">
        <v>13540</v>
      </c>
      <c r="B16" s="632" t="s">
        <v>71</v>
      </c>
      <c r="C16" s="632" t="s">
        <v>71</v>
      </c>
      <c r="D16" s="632" t="s">
        <v>126</v>
      </c>
      <c r="E16" s="633">
        <v>43376.771701388891</v>
      </c>
      <c r="F16" s="638">
        <v>43376.771701388891</v>
      </c>
      <c r="G16" s="634">
        <v>0.7715277777777777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587"/>
      <c r="P16" s="137"/>
      <c r="Q16" s="397"/>
      <c r="R16" s="137"/>
      <c r="S16" s="137"/>
      <c r="T16" s="16"/>
      <c r="U16" s="16"/>
      <c r="V16" s="16"/>
      <c r="W16" s="63"/>
    </row>
    <row r="17" spans="1:24" s="63" customFormat="1">
      <c r="A17" s="632">
        <v>13542</v>
      </c>
      <c r="B17" s="632" t="s">
        <v>71</v>
      </c>
      <c r="C17" s="632" t="s">
        <v>71</v>
      </c>
      <c r="D17" s="632" t="s">
        <v>127</v>
      </c>
      <c r="E17" s="633">
        <v>43376.77175925926</v>
      </c>
      <c r="F17" s="638">
        <v>43376.77175925926</v>
      </c>
      <c r="G17" s="634">
        <v>0.7715277777777777</v>
      </c>
      <c r="H17" s="635" t="s">
        <v>115</v>
      </c>
      <c r="I17" s="635" t="s">
        <v>115</v>
      </c>
      <c r="J17" s="635" t="s">
        <v>115</v>
      </c>
      <c r="K17" s="635">
        <v>0.41666666666666519</v>
      </c>
      <c r="L17" s="635"/>
      <c r="M17" s="635">
        <v>0.41666666666666519</v>
      </c>
      <c r="N17" s="635">
        <v>0</v>
      </c>
      <c r="O17" s="587"/>
      <c r="P17" s="345"/>
      <c r="Q17" s="369"/>
      <c r="R17" s="372"/>
      <c r="S17" s="372"/>
      <c r="T17" s="373"/>
      <c r="U17" s="373"/>
      <c r="V17" s="373"/>
      <c r="W17" s="187"/>
      <c r="X17" s="2"/>
    </row>
    <row r="18" spans="1:24" s="63" customFormat="1">
      <c r="A18" s="632">
        <v>13545</v>
      </c>
      <c r="B18" s="632" t="s">
        <v>70</v>
      </c>
      <c r="C18" s="632" t="s">
        <v>71</v>
      </c>
      <c r="D18" s="632" t="s">
        <v>128</v>
      </c>
      <c r="E18" s="633">
        <v>43376.788912037038</v>
      </c>
      <c r="F18" s="638">
        <v>43376.788912037038</v>
      </c>
      <c r="G18" s="634">
        <v>0.78888888888888886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587"/>
      <c r="P18" s="345"/>
      <c r="Q18" s="369"/>
      <c r="R18" s="372"/>
      <c r="S18" s="372"/>
      <c r="T18" s="373"/>
      <c r="U18" s="373"/>
      <c r="V18" s="373"/>
    </row>
    <row r="19" spans="1:24" s="2" customFormat="1">
      <c r="A19" s="632">
        <v>13557</v>
      </c>
      <c r="B19" s="632" t="s">
        <v>71</v>
      </c>
      <c r="C19" s="632" t="s">
        <v>71</v>
      </c>
      <c r="D19" s="632" t="s">
        <v>125</v>
      </c>
      <c r="E19" s="633">
        <v>43377.36886574074</v>
      </c>
      <c r="F19" s="638">
        <v>43377.36886574074</v>
      </c>
      <c r="G19" s="634">
        <v>0.36874999999999997</v>
      </c>
      <c r="H19" s="635">
        <v>9.8000000000000007</v>
      </c>
      <c r="I19" s="635">
        <v>8</v>
      </c>
      <c r="J19" s="635" t="s">
        <v>115</v>
      </c>
      <c r="K19" s="635"/>
      <c r="L19" s="635"/>
      <c r="M19" s="635"/>
      <c r="N19" s="635"/>
      <c r="O19" s="587"/>
      <c r="P19" s="9"/>
      <c r="Q19" s="345"/>
      <c r="R19" s="372"/>
      <c r="S19" s="372"/>
      <c r="T19" s="373"/>
      <c r="U19" s="373"/>
      <c r="V19" s="373"/>
      <c r="W19" s="9"/>
      <c r="X19" s="63"/>
    </row>
    <row r="20" spans="1:24">
      <c r="A20" s="632">
        <v>13573</v>
      </c>
      <c r="B20" s="632" t="s">
        <v>70</v>
      </c>
      <c r="C20" s="632" t="s">
        <v>71</v>
      </c>
      <c r="D20" s="632" t="s">
        <v>126</v>
      </c>
      <c r="E20" s="633">
        <v>43377.777222222219</v>
      </c>
      <c r="F20" s="638">
        <v>43377.777222222219</v>
      </c>
      <c r="G20" s="634">
        <v>0.77708333333333324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587"/>
      <c r="P20" s="9"/>
      <c r="R20" s="372"/>
      <c r="S20" s="372"/>
      <c r="T20" s="373"/>
      <c r="U20" s="373"/>
      <c r="V20" s="373"/>
      <c r="X20" s="63"/>
    </row>
    <row r="21" spans="1:24" s="625" customFormat="1">
      <c r="A21" s="632">
        <v>13574</v>
      </c>
      <c r="B21" s="632" t="s">
        <v>70</v>
      </c>
      <c r="C21" s="632" t="s">
        <v>71</v>
      </c>
      <c r="D21" s="632" t="s">
        <v>127</v>
      </c>
      <c r="E21" s="633">
        <v>43377.777256944442</v>
      </c>
      <c r="F21" s="638">
        <v>43377.777256944442</v>
      </c>
      <c r="G21" s="634">
        <v>0.77708333333333324</v>
      </c>
      <c r="H21" s="635" t="s">
        <v>115</v>
      </c>
      <c r="I21" s="635" t="s">
        <v>115</v>
      </c>
      <c r="J21" s="635" t="s">
        <v>115</v>
      </c>
      <c r="K21" s="635">
        <v>0.75</v>
      </c>
      <c r="L21" s="635"/>
      <c r="M21" s="635">
        <v>0.75</v>
      </c>
      <c r="N21" s="635">
        <v>0</v>
      </c>
      <c r="O21" s="628"/>
      <c r="P21" s="627"/>
      <c r="Q21" s="345"/>
      <c r="R21" s="372"/>
      <c r="S21" s="372"/>
      <c r="T21" s="373"/>
      <c r="U21" s="373"/>
      <c r="V21" s="373"/>
      <c r="X21" s="63"/>
    </row>
    <row r="22" spans="1:24" s="625" customFormat="1">
      <c r="A22" s="632">
        <v>13579</v>
      </c>
      <c r="B22" s="632" t="s">
        <v>70</v>
      </c>
      <c r="C22" s="632" t="s">
        <v>71</v>
      </c>
      <c r="D22" s="632" t="s">
        <v>128</v>
      </c>
      <c r="E22" s="633">
        <v>43377.808842592596</v>
      </c>
      <c r="F22" s="638">
        <v>43377.808842592596</v>
      </c>
      <c r="G22" s="634">
        <v>0.80833333333333324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628"/>
      <c r="P22" s="627"/>
      <c r="Q22" s="345"/>
      <c r="R22" s="372"/>
      <c r="S22" s="372"/>
      <c r="T22" s="373"/>
      <c r="U22" s="373"/>
      <c r="V22" s="373"/>
      <c r="X22" s="63"/>
    </row>
    <row r="23" spans="1:24" s="2" customFormat="1">
      <c r="A23" s="632">
        <v>13587</v>
      </c>
      <c r="B23" s="632" t="s">
        <v>71</v>
      </c>
      <c r="C23" s="632" t="s">
        <v>71</v>
      </c>
      <c r="D23" s="632" t="s">
        <v>125</v>
      </c>
      <c r="E23" s="633">
        <v>43378.367881944447</v>
      </c>
      <c r="F23" s="638">
        <v>43378.367881944447</v>
      </c>
      <c r="G23" s="634">
        <v>0.36736111111111108</v>
      </c>
      <c r="H23" s="635">
        <v>9.7166666666666668</v>
      </c>
      <c r="I23" s="635">
        <v>8</v>
      </c>
      <c r="J23" s="635" t="s">
        <v>115</v>
      </c>
      <c r="K23" s="635"/>
      <c r="L23" s="635"/>
      <c r="M23" s="635"/>
      <c r="N23" s="635"/>
      <c r="O23" s="587"/>
      <c r="P23" s="9"/>
      <c r="Q23" s="345"/>
      <c r="R23" s="372"/>
      <c r="S23" s="372"/>
      <c r="T23" s="373"/>
      <c r="U23" s="373"/>
      <c r="V23" s="373"/>
      <c r="W23"/>
      <c r="X23" s="63"/>
    </row>
    <row r="24" spans="1:24">
      <c r="A24" s="632">
        <v>13604</v>
      </c>
      <c r="B24" s="632" t="s">
        <v>71</v>
      </c>
      <c r="C24" s="632" t="s">
        <v>71</v>
      </c>
      <c r="D24" s="632" t="s">
        <v>126</v>
      </c>
      <c r="E24" s="633">
        <v>43378.77239583333</v>
      </c>
      <c r="F24" s="638">
        <v>43378.77239583333</v>
      </c>
      <c r="G24" s="634">
        <v>0.77222222222222225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587"/>
      <c r="P24" s="9"/>
      <c r="R24" s="372"/>
      <c r="S24" s="372"/>
      <c r="T24" s="373"/>
      <c r="U24" s="373"/>
      <c r="V24" s="373"/>
      <c r="W24" s="63"/>
    </row>
    <row r="25" spans="1:24" s="2" customFormat="1">
      <c r="A25" s="632">
        <v>13605</v>
      </c>
      <c r="B25" s="632" t="s">
        <v>71</v>
      </c>
      <c r="C25" s="632" t="s">
        <v>71</v>
      </c>
      <c r="D25" s="632" t="s">
        <v>127</v>
      </c>
      <c r="E25" s="633">
        <v>43378.77244212963</v>
      </c>
      <c r="F25" s="638">
        <v>43378.77244212963</v>
      </c>
      <c r="G25" s="634">
        <v>0.77222222222222225</v>
      </c>
      <c r="H25" s="635" t="s">
        <v>115</v>
      </c>
      <c r="I25" s="635" t="s">
        <v>115</v>
      </c>
      <c r="J25" s="635" t="s">
        <v>115</v>
      </c>
      <c r="K25" s="635">
        <v>0.16666666666666607</v>
      </c>
      <c r="L25" s="635"/>
      <c r="M25" s="635">
        <v>0.16666666666666607</v>
      </c>
      <c r="N25" s="635">
        <v>0</v>
      </c>
      <c r="O25" s="587"/>
      <c r="P25" s="9"/>
      <c r="Q25" s="345"/>
      <c r="R25" s="372"/>
      <c r="S25" s="372"/>
      <c r="T25" s="373"/>
      <c r="U25" s="373"/>
      <c r="V25" s="373"/>
      <c r="W25" s="63"/>
      <c r="X25" s="63"/>
    </row>
    <row r="26" spans="1:24" s="398" customFormat="1">
      <c r="A26" s="632">
        <v>13607</v>
      </c>
      <c r="B26" s="632" t="s">
        <v>70</v>
      </c>
      <c r="C26" s="632" t="s">
        <v>71</v>
      </c>
      <c r="D26" s="632" t="s">
        <v>128</v>
      </c>
      <c r="E26" s="633">
        <v>43378.779710648145</v>
      </c>
      <c r="F26" s="638">
        <v>43378.779710648145</v>
      </c>
      <c r="G26" s="634">
        <v>0.77916666666666667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587"/>
      <c r="P26" s="444"/>
      <c r="Q26" s="444"/>
      <c r="R26" s="137"/>
      <c r="S26" s="137"/>
      <c r="T26" s="16"/>
      <c r="U26" s="16"/>
      <c r="V26" s="16"/>
      <c r="W26" s="16"/>
    </row>
    <row r="27" spans="1:24" s="63" customFormat="1">
      <c r="A27" s="632"/>
      <c r="B27" s="632"/>
      <c r="C27" s="632"/>
      <c r="D27" s="632" t="s">
        <v>125</v>
      </c>
      <c r="E27" s="633">
        <v>43381.354166666664</v>
      </c>
      <c r="F27" s="638">
        <v>43381.354166666664</v>
      </c>
      <c r="G27" s="634">
        <v>0.35416666666666669</v>
      </c>
      <c r="H27" s="635"/>
      <c r="I27" s="635">
        <v>0</v>
      </c>
      <c r="J27" s="635">
        <v>8</v>
      </c>
      <c r="K27" s="635"/>
      <c r="L27" s="635"/>
      <c r="M27" s="635"/>
      <c r="N27" s="635"/>
      <c r="O27" s="628" t="s">
        <v>160</v>
      </c>
      <c r="P27" s="627"/>
      <c r="Q27" s="345"/>
      <c r="R27" s="372"/>
      <c r="S27" s="372"/>
      <c r="T27" s="373"/>
      <c r="U27" s="373"/>
      <c r="V27" s="373"/>
    </row>
    <row r="28" spans="1:24" s="63" customFormat="1">
      <c r="A28" s="632"/>
      <c r="B28" s="632"/>
      <c r="C28" s="632"/>
      <c r="D28" s="632" t="s">
        <v>126</v>
      </c>
      <c r="E28" s="633">
        <v>43381.770833333336</v>
      </c>
      <c r="F28" s="638">
        <v>43381.770833333336</v>
      </c>
      <c r="G28" s="634">
        <v>0.75</v>
      </c>
      <c r="H28" s="635"/>
      <c r="I28" s="635"/>
      <c r="J28" s="635"/>
      <c r="K28" s="635"/>
      <c r="L28" s="635"/>
      <c r="M28" s="635"/>
      <c r="N28" s="635"/>
      <c r="O28" s="628"/>
      <c r="P28" s="627"/>
      <c r="Q28" s="345"/>
      <c r="R28" s="372"/>
      <c r="S28" s="372"/>
      <c r="T28" s="373"/>
      <c r="U28" s="373"/>
      <c r="V28" s="373"/>
    </row>
    <row r="29" spans="1:24" s="63" customFormat="1">
      <c r="A29" s="632"/>
      <c r="B29" s="632"/>
      <c r="C29" s="632"/>
      <c r="D29" s="632" t="s">
        <v>125</v>
      </c>
      <c r="E29" s="633">
        <v>43382.354166666664</v>
      </c>
      <c r="F29" s="638">
        <v>43382.354166666664</v>
      </c>
      <c r="G29" s="634">
        <v>0.35416666666666669</v>
      </c>
      <c r="H29" s="635"/>
      <c r="I29" s="635">
        <v>0</v>
      </c>
      <c r="J29" s="635">
        <v>8</v>
      </c>
      <c r="K29" s="635"/>
      <c r="L29" s="635"/>
      <c r="M29" s="635"/>
      <c r="N29" s="635"/>
      <c r="O29" s="628" t="s">
        <v>160</v>
      </c>
      <c r="P29" s="627"/>
      <c r="Q29" s="345"/>
      <c r="R29" s="372"/>
      <c r="S29" s="372"/>
      <c r="T29" s="373"/>
      <c r="U29" s="373"/>
      <c r="V29" s="373"/>
    </row>
    <row r="30" spans="1:24" s="63" customFormat="1">
      <c r="A30" s="632"/>
      <c r="B30" s="632"/>
      <c r="C30" s="632"/>
      <c r="D30" s="632" t="s">
        <v>126</v>
      </c>
      <c r="E30" s="633">
        <v>43382.770833333336</v>
      </c>
      <c r="F30" s="638">
        <v>43382.770833333336</v>
      </c>
      <c r="G30" s="634">
        <v>0.75</v>
      </c>
      <c r="H30" s="635"/>
      <c r="I30" s="635"/>
      <c r="J30" s="635"/>
      <c r="K30" s="635"/>
      <c r="L30" s="635"/>
      <c r="M30" s="635"/>
      <c r="N30" s="635"/>
      <c r="O30" s="628"/>
      <c r="P30" s="627"/>
      <c r="Q30" s="345"/>
      <c r="R30" s="372"/>
      <c r="S30" s="372"/>
      <c r="T30" s="373"/>
      <c r="U30" s="373"/>
      <c r="V30" s="373"/>
    </row>
    <row r="31" spans="1:24" s="63" customFormat="1">
      <c r="A31" s="632"/>
      <c r="B31" s="632"/>
      <c r="C31" s="632"/>
      <c r="D31" s="632" t="s">
        <v>125</v>
      </c>
      <c r="E31" s="633">
        <v>43383.354409722226</v>
      </c>
      <c r="F31" s="638">
        <v>43383.354409722226</v>
      </c>
      <c r="G31" s="634">
        <v>0.35416666666666669</v>
      </c>
      <c r="H31" s="635"/>
      <c r="I31" s="635">
        <v>0</v>
      </c>
      <c r="J31" s="635">
        <v>8</v>
      </c>
      <c r="K31" s="635"/>
      <c r="L31" s="635"/>
      <c r="M31" s="635"/>
      <c r="N31" s="635"/>
      <c r="O31" s="628" t="s">
        <v>161</v>
      </c>
      <c r="P31" s="627"/>
      <c r="Q31" s="345"/>
      <c r="R31" s="372"/>
      <c r="S31" s="372"/>
      <c r="T31" s="373"/>
      <c r="U31" s="373"/>
      <c r="V31" s="373"/>
    </row>
    <row r="32" spans="1:24" s="63" customFormat="1">
      <c r="A32" s="632"/>
      <c r="B32" s="632"/>
      <c r="C32" s="632"/>
      <c r="D32" s="632" t="s">
        <v>126</v>
      </c>
      <c r="E32" s="633">
        <v>43383.75</v>
      </c>
      <c r="F32" s="638">
        <v>43383.771435185183</v>
      </c>
      <c r="G32" s="634">
        <v>0.75</v>
      </c>
      <c r="H32" s="635"/>
      <c r="I32" s="635"/>
      <c r="J32" s="635"/>
      <c r="K32" s="635"/>
      <c r="L32" s="635"/>
      <c r="M32" s="635"/>
      <c r="N32" s="635"/>
      <c r="O32" s="628"/>
      <c r="P32" s="627"/>
      <c r="Q32" s="345"/>
      <c r="R32" s="372"/>
      <c r="S32" s="372"/>
      <c r="T32" s="373"/>
      <c r="U32" s="373"/>
      <c r="V32" s="373"/>
    </row>
    <row r="33" spans="1:24" s="458" customFormat="1">
      <c r="A33" s="632">
        <v>13664</v>
      </c>
      <c r="B33" s="632" t="s">
        <v>71</v>
      </c>
      <c r="C33" s="632" t="s">
        <v>71</v>
      </c>
      <c r="D33" s="632" t="s">
        <v>125</v>
      </c>
      <c r="E33" s="633">
        <v>43384.367129629631</v>
      </c>
      <c r="F33" s="638">
        <v>43384.367129629631</v>
      </c>
      <c r="G33" s="634">
        <v>0.3666666666666667</v>
      </c>
      <c r="H33" s="635">
        <v>9.6333333333333346</v>
      </c>
      <c r="I33" s="635">
        <v>8</v>
      </c>
      <c r="J33" s="635" t="s">
        <v>115</v>
      </c>
      <c r="K33" s="635"/>
      <c r="L33" s="635"/>
      <c r="M33" s="635"/>
      <c r="N33" s="635"/>
      <c r="O33" s="587"/>
      <c r="P33" s="9"/>
      <c r="Q33" s="345"/>
      <c r="R33" s="372"/>
      <c r="S33" s="372"/>
      <c r="T33" s="373"/>
      <c r="U33" s="373"/>
      <c r="V33" s="373"/>
      <c r="W33" s="63"/>
    </row>
    <row r="34" spans="1:24" s="458" customFormat="1">
      <c r="A34" s="632">
        <v>13671</v>
      </c>
      <c r="B34" s="632" t="s">
        <v>70</v>
      </c>
      <c r="C34" s="632" t="s">
        <v>71</v>
      </c>
      <c r="D34" s="632" t="s">
        <v>126</v>
      </c>
      <c r="E34" s="633">
        <v>43384.768310185187</v>
      </c>
      <c r="F34" s="638">
        <v>43384.768310185187</v>
      </c>
      <c r="G34" s="634">
        <v>0.7680555555555556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587"/>
      <c r="P34" s="9"/>
      <c r="Q34" s="345"/>
      <c r="R34" s="372"/>
      <c r="S34" s="372"/>
      <c r="T34" s="373"/>
      <c r="U34" s="373"/>
      <c r="V34" s="373"/>
      <c r="W34" s="63"/>
    </row>
    <row r="35" spans="1:24" s="2" customFormat="1">
      <c r="A35" s="632">
        <v>13672</v>
      </c>
      <c r="B35" s="632" t="s">
        <v>70</v>
      </c>
      <c r="C35" s="632" t="s">
        <v>71</v>
      </c>
      <c r="D35" s="632" t="s">
        <v>127</v>
      </c>
      <c r="E35" s="633">
        <v>43384.76835648148</v>
      </c>
      <c r="F35" s="638">
        <v>43384.76835648148</v>
      </c>
      <c r="G35" s="634">
        <v>0.7680555555555556</v>
      </c>
      <c r="H35" s="635" t="s">
        <v>115</v>
      </c>
      <c r="I35" s="635" t="s">
        <v>115</v>
      </c>
      <c r="J35" s="635" t="s">
        <v>115</v>
      </c>
      <c r="K35" s="635">
        <v>0.93333333333333268</v>
      </c>
      <c r="L35" s="635"/>
      <c r="M35" s="635">
        <v>0.93333333333333268</v>
      </c>
      <c r="N35" s="635">
        <v>0</v>
      </c>
      <c r="O35" s="587"/>
      <c r="P35" s="9"/>
      <c r="Q35" s="345"/>
      <c r="R35" s="372"/>
      <c r="S35" s="372"/>
      <c r="T35" s="373"/>
      <c r="U35" s="373"/>
      <c r="V35" s="373"/>
      <c r="W35" s="16"/>
    </row>
    <row r="36" spans="1:24">
      <c r="A36" s="632">
        <v>13687</v>
      </c>
      <c r="B36" s="632" t="s">
        <v>70</v>
      </c>
      <c r="C36" s="632" t="s">
        <v>71</v>
      </c>
      <c r="D36" s="632" t="s">
        <v>128</v>
      </c>
      <c r="E36" s="633">
        <v>43384.80746527778</v>
      </c>
      <c r="F36" s="638">
        <v>43384.80746527778</v>
      </c>
      <c r="G36" s="634">
        <v>0.80694444444444446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587"/>
      <c r="P36" s="9"/>
      <c r="R36" s="372"/>
      <c r="S36" s="372"/>
      <c r="T36" s="373"/>
      <c r="U36" s="373"/>
      <c r="V36" s="373"/>
      <c r="W36" s="63"/>
    </row>
    <row r="37" spans="1:24" s="2" customFormat="1">
      <c r="A37" s="632">
        <v>13697</v>
      </c>
      <c r="B37" s="632" t="s">
        <v>70</v>
      </c>
      <c r="C37" s="632" t="s">
        <v>71</v>
      </c>
      <c r="D37" s="632" t="s">
        <v>125</v>
      </c>
      <c r="E37" s="633">
        <v>43385.370243055557</v>
      </c>
      <c r="F37" s="638">
        <v>43385.370243055557</v>
      </c>
      <c r="G37" s="634">
        <v>0.37013888888888885</v>
      </c>
      <c r="H37" s="635">
        <v>9.5833333333333339</v>
      </c>
      <c r="I37" s="635">
        <v>8</v>
      </c>
      <c r="J37" s="635" t="s">
        <v>115</v>
      </c>
      <c r="K37" s="635"/>
      <c r="L37" s="635"/>
      <c r="M37" s="635"/>
      <c r="N37" s="635"/>
      <c r="O37" s="587"/>
      <c r="P37" s="9"/>
      <c r="Q37" s="345"/>
      <c r="R37" s="372"/>
      <c r="S37" s="372"/>
      <c r="T37" s="373"/>
      <c r="U37" s="373"/>
      <c r="V37" s="373"/>
      <c r="W37"/>
      <c r="X37" s="16"/>
    </row>
    <row r="38" spans="1:24">
      <c r="A38" s="632">
        <v>13704</v>
      </c>
      <c r="B38" s="632" t="s">
        <v>70</v>
      </c>
      <c r="C38" s="632" t="s">
        <v>71</v>
      </c>
      <c r="D38" s="632" t="s">
        <v>126</v>
      </c>
      <c r="E38" s="633">
        <v>43385.769548611112</v>
      </c>
      <c r="F38" s="638">
        <v>43385.769548611112</v>
      </c>
      <c r="G38" s="634">
        <v>0.76944444444444438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587"/>
      <c r="P38" s="9"/>
      <c r="R38" s="372"/>
      <c r="S38" s="372"/>
      <c r="T38" s="373"/>
      <c r="U38" s="373"/>
      <c r="V38" s="373"/>
      <c r="X38" s="16"/>
    </row>
    <row r="39" spans="1:24" s="2" customFormat="1">
      <c r="A39" s="632">
        <v>13705</v>
      </c>
      <c r="B39" s="632" t="s">
        <v>70</v>
      </c>
      <c r="C39" s="632" t="s">
        <v>71</v>
      </c>
      <c r="D39" s="632" t="s">
        <v>127</v>
      </c>
      <c r="E39" s="633">
        <v>43385.769583333335</v>
      </c>
      <c r="F39" s="638">
        <v>43385.769583333335</v>
      </c>
      <c r="G39" s="634">
        <v>0.76944444444444438</v>
      </c>
      <c r="H39" s="635" t="s">
        <v>115</v>
      </c>
      <c r="I39" s="635" t="s">
        <v>115</v>
      </c>
      <c r="J39" s="635" t="s">
        <v>115</v>
      </c>
      <c r="K39" s="635">
        <v>0.31666666666666554</v>
      </c>
      <c r="L39" s="635"/>
      <c r="M39" s="635">
        <v>0.31666666666666554</v>
      </c>
      <c r="N39" s="635">
        <v>0</v>
      </c>
      <c r="O39" s="587"/>
      <c r="P39" s="9"/>
      <c r="Q39" s="345"/>
      <c r="R39" s="372"/>
      <c r="S39" s="372"/>
      <c r="T39" s="373"/>
      <c r="U39" s="373"/>
      <c r="V39" s="373"/>
      <c r="W39"/>
      <c r="X39" s="63"/>
    </row>
    <row r="40" spans="1:24" s="63" customFormat="1">
      <c r="A40" s="632">
        <v>13711</v>
      </c>
      <c r="B40" s="632" t="s">
        <v>70</v>
      </c>
      <c r="C40" s="632" t="s">
        <v>71</v>
      </c>
      <c r="D40" s="632" t="s">
        <v>128</v>
      </c>
      <c r="E40" s="633">
        <v>43385.782986111109</v>
      </c>
      <c r="F40" s="638">
        <v>43385.782986111109</v>
      </c>
      <c r="G40" s="634">
        <v>0.78263888888888899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587"/>
      <c r="P40" s="9"/>
      <c r="Q40" s="345"/>
      <c r="R40" s="372"/>
      <c r="S40" s="372"/>
      <c r="T40" s="373"/>
      <c r="U40" s="373"/>
      <c r="V40" s="373"/>
      <c r="W40"/>
    </row>
    <row r="41" spans="1:24" s="63" customFormat="1">
      <c r="A41" s="632">
        <v>13724</v>
      </c>
      <c r="B41" s="632" t="s">
        <v>71</v>
      </c>
      <c r="C41" s="632" t="s">
        <v>71</v>
      </c>
      <c r="D41" s="632" t="s">
        <v>125</v>
      </c>
      <c r="E41" s="633">
        <v>43388.366087962961</v>
      </c>
      <c r="F41" s="638">
        <v>43388.366087962961</v>
      </c>
      <c r="G41" s="634">
        <v>0.3659722222222222</v>
      </c>
      <c r="H41" s="635">
        <v>9.7666666666666675</v>
      </c>
      <c r="I41" s="635">
        <v>8</v>
      </c>
      <c r="J41" s="635" t="s">
        <v>115</v>
      </c>
      <c r="K41" s="635"/>
      <c r="L41" s="635"/>
      <c r="M41" s="635"/>
      <c r="N41" s="635"/>
      <c r="O41" s="587"/>
      <c r="P41" s="9"/>
      <c r="Q41" s="345"/>
      <c r="R41" s="372"/>
      <c r="S41" s="401"/>
      <c r="T41" s="401"/>
      <c r="U41" s="401"/>
      <c r="V41" s="401"/>
      <c r="W41" s="398"/>
      <c r="X41" s="16"/>
    </row>
    <row r="42" spans="1:24" s="63" customFormat="1">
      <c r="A42" s="632">
        <v>13741</v>
      </c>
      <c r="B42" s="632" t="s">
        <v>70</v>
      </c>
      <c r="C42" s="632" t="s">
        <v>71</v>
      </c>
      <c r="D42" s="632" t="s">
        <v>126</v>
      </c>
      <c r="E42" s="633">
        <v>43388.773032407407</v>
      </c>
      <c r="F42" s="638">
        <v>43388.773032407407</v>
      </c>
      <c r="G42" s="634">
        <v>0.7729166666666667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587"/>
      <c r="P42" s="9"/>
      <c r="Q42" s="345"/>
      <c r="R42" s="372"/>
      <c r="S42" s="372"/>
      <c r="T42" s="373"/>
      <c r="U42" s="373"/>
      <c r="V42" s="373"/>
      <c r="W42" s="398"/>
      <c r="X42" s="16"/>
    </row>
    <row r="43" spans="1:24" s="2" customFormat="1">
      <c r="A43" s="632">
        <v>13750</v>
      </c>
      <c r="B43" s="632" t="s">
        <v>70</v>
      </c>
      <c r="C43" s="632" t="s">
        <v>71</v>
      </c>
      <c r="D43" s="632" t="s">
        <v>125</v>
      </c>
      <c r="E43" s="633">
        <v>43389.367719907408</v>
      </c>
      <c r="F43" s="638">
        <v>43389.367719907408</v>
      </c>
      <c r="G43" s="634">
        <v>0.36736111111111108</v>
      </c>
      <c r="H43" s="635">
        <v>9.6333333333333329</v>
      </c>
      <c r="I43" s="635">
        <v>8</v>
      </c>
      <c r="J43" s="635" t="s">
        <v>115</v>
      </c>
      <c r="K43" s="635"/>
      <c r="L43" s="635"/>
      <c r="M43" s="635"/>
      <c r="N43" s="635"/>
      <c r="O43" s="587"/>
      <c r="P43" s="9"/>
      <c r="Q43" s="345"/>
      <c r="R43" s="372"/>
      <c r="S43" s="372"/>
      <c r="T43" s="373"/>
      <c r="U43" s="373"/>
      <c r="V43" s="373"/>
      <c r="W43"/>
      <c r="X43" s="16"/>
    </row>
    <row r="44" spans="1:24">
      <c r="A44" s="632">
        <v>13763</v>
      </c>
      <c r="B44" s="632" t="s">
        <v>70</v>
      </c>
      <c r="C44" s="632" t="s">
        <v>71</v>
      </c>
      <c r="D44" s="632" t="s">
        <v>126</v>
      </c>
      <c r="E44" s="633">
        <v>43389.76935185185</v>
      </c>
      <c r="F44" s="638">
        <v>43389.76935185185</v>
      </c>
      <c r="G44" s="634">
        <v>0.76874999999999993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587"/>
      <c r="P44" s="9"/>
      <c r="R44" s="372"/>
      <c r="S44" s="372"/>
      <c r="T44" s="373"/>
      <c r="U44" s="373"/>
      <c r="V44" s="373"/>
      <c r="X44" s="16"/>
    </row>
    <row r="45" spans="1:24" s="63" customFormat="1">
      <c r="A45" s="632">
        <v>13764</v>
      </c>
      <c r="B45" s="632" t="s">
        <v>70</v>
      </c>
      <c r="C45" s="632" t="s">
        <v>71</v>
      </c>
      <c r="D45" s="632" t="s">
        <v>127</v>
      </c>
      <c r="E45" s="633">
        <v>43389.769386574073</v>
      </c>
      <c r="F45" s="638">
        <v>43389.769386574073</v>
      </c>
      <c r="G45" s="634">
        <v>0.76874999999999993</v>
      </c>
      <c r="H45" s="635" t="s">
        <v>115</v>
      </c>
      <c r="I45" s="635" t="s">
        <v>115</v>
      </c>
      <c r="J45" s="635" t="s">
        <v>115</v>
      </c>
      <c r="K45" s="635">
        <v>0.9666666666666659</v>
      </c>
      <c r="L45" s="635"/>
      <c r="M45" s="635">
        <v>0.9666666666666659</v>
      </c>
      <c r="N45" s="635">
        <v>0</v>
      </c>
      <c r="O45" s="587"/>
      <c r="P45" s="9"/>
      <c r="Q45" s="345"/>
      <c r="R45" s="372"/>
      <c r="S45" s="374"/>
      <c r="T45" s="375"/>
      <c r="U45" s="375"/>
      <c r="V45" s="375"/>
      <c r="W45" s="9"/>
      <c r="X45" s="395"/>
    </row>
    <row r="46" spans="1:24" s="63" customFormat="1">
      <c r="A46" s="632">
        <v>13772</v>
      </c>
      <c r="B46" s="632" t="s">
        <v>70</v>
      </c>
      <c r="C46" s="632" t="s">
        <v>71</v>
      </c>
      <c r="D46" s="632" t="s">
        <v>128</v>
      </c>
      <c r="E46" s="633">
        <v>43389.809513888889</v>
      </c>
      <c r="F46" s="638">
        <v>43389.809513888889</v>
      </c>
      <c r="G46" s="634">
        <v>0.80902777777777779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587"/>
      <c r="P46" s="9"/>
      <c r="Q46" s="345"/>
      <c r="R46" s="372"/>
      <c r="S46" s="345"/>
      <c r="T46" s="335"/>
      <c r="U46" s="335"/>
      <c r="V46" s="335"/>
      <c r="W46" s="9"/>
      <c r="X46" s="395"/>
    </row>
    <row r="47" spans="1:24" s="16" customFormat="1">
      <c r="A47" s="632">
        <v>13778</v>
      </c>
      <c r="B47" s="632" t="s">
        <v>71</v>
      </c>
      <c r="C47" s="632" t="s">
        <v>71</v>
      </c>
      <c r="D47" s="632" t="s">
        <v>125</v>
      </c>
      <c r="E47" s="633">
        <v>43390.36383101852</v>
      </c>
      <c r="F47" s="638">
        <v>43390.36383101852</v>
      </c>
      <c r="G47" s="634">
        <v>0.36319444444444443</v>
      </c>
      <c r="H47" s="635">
        <v>9.9333333333333336</v>
      </c>
      <c r="I47" s="635">
        <v>8</v>
      </c>
      <c r="J47" s="635" t="s">
        <v>115</v>
      </c>
      <c r="K47" s="635"/>
      <c r="L47" s="635"/>
      <c r="M47" s="635"/>
      <c r="N47" s="635"/>
      <c r="O47" s="587"/>
      <c r="P47" s="9"/>
      <c r="Q47" s="345"/>
      <c r="R47" s="372"/>
      <c r="S47" s="372"/>
      <c r="T47" s="373"/>
      <c r="U47" s="373"/>
      <c r="V47" s="373"/>
      <c r="W47" s="9"/>
      <c r="X47" s="63"/>
    </row>
    <row r="48" spans="1:24" s="16" customFormat="1">
      <c r="A48" s="632">
        <v>13793</v>
      </c>
      <c r="B48" s="632" t="s">
        <v>70</v>
      </c>
      <c r="C48" s="632" t="s">
        <v>71</v>
      </c>
      <c r="D48" s="632" t="s">
        <v>126</v>
      </c>
      <c r="E48" s="633">
        <v>43390.777638888889</v>
      </c>
      <c r="F48" s="638">
        <v>43390.777638888889</v>
      </c>
      <c r="G48" s="634">
        <v>0.77708333333333324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587"/>
      <c r="P48" s="9"/>
      <c r="Q48" s="345"/>
      <c r="R48" s="372"/>
      <c r="S48" s="18"/>
      <c r="T48" s="63"/>
      <c r="U48" s="63"/>
      <c r="V48" s="63"/>
      <c r="W48" s="9"/>
      <c r="X48" s="63"/>
    </row>
    <row r="49" spans="1:24" s="63" customFormat="1">
      <c r="A49" s="632">
        <v>13794</v>
      </c>
      <c r="B49" s="632" t="s">
        <v>70</v>
      </c>
      <c r="C49" s="632" t="s">
        <v>71</v>
      </c>
      <c r="D49" s="632" t="s">
        <v>127</v>
      </c>
      <c r="E49" s="633">
        <v>43390.777662037035</v>
      </c>
      <c r="F49" s="638">
        <v>43390.777662037035</v>
      </c>
      <c r="G49" s="634">
        <v>0.77708333333333324</v>
      </c>
      <c r="H49" s="635" t="s">
        <v>115</v>
      </c>
      <c r="I49" s="635" t="s">
        <v>115</v>
      </c>
      <c r="J49" s="635" t="s">
        <v>115</v>
      </c>
      <c r="K49" s="635">
        <v>0.36666666666666536</v>
      </c>
      <c r="L49" s="635"/>
      <c r="M49" s="635">
        <v>0.36666666666666536</v>
      </c>
      <c r="N49" s="635">
        <v>0</v>
      </c>
      <c r="O49" s="587"/>
      <c r="P49" s="9"/>
      <c r="Q49" s="345"/>
      <c r="R49" s="372"/>
      <c r="S49" s="16"/>
      <c r="T49" s="16"/>
      <c r="U49" s="16"/>
      <c r="V49" s="16"/>
      <c r="W49" s="137"/>
    </row>
    <row r="50" spans="1:24" s="63" customFormat="1">
      <c r="A50" s="632">
        <v>13799</v>
      </c>
      <c r="B50" s="632" t="s">
        <v>70</v>
      </c>
      <c r="C50" s="632" t="s">
        <v>71</v>
      </c>
      <c r="D50" s="632" t="s">
        <v>128</v>
      </c>
      <c r="E50" s="633">
        <v>43390.792719907404</v>
      </c>
      <c r="F50" s="638">
        <v>43390.792719907404</v>
      </c>
      <c r="G50" s="634">
        <v>0.79236111111111107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587"/>
      <c r="P50" s="9"/>
      <c r="Q50" s="345"/>
      <c r="R50" s="372"/>
      <c r="S50" s="16"/>
      <c r="T50" s="16"/>
      <c r="U50" s="16"/>
      <c r="V50" s="16"/>
      <c r="W50" s="137"/>
    </row>
    <row r="51" spans="1:24" s="2" customFormat="1">
      <c r="A51" s="632">
        <v>13811</v>
      </c>
      <c r="B51" s="632" t="s">
        <v>71</v>
      </c>
      <c r="C51" s="632" t="s">
        <v>71</v>
      </c>
      <c r="D51" s="632" t="s">
        <v>125</v>
      </c>
      <c r="E51" s="633">
        <v>43391.369398148148</v>
      </c>
      <c r="F51" s="638">
        <v>43391.369398148148</v>
      </c>
      <c r="G51" s="634">
        <v>0.36874999999999997</v>
      </c>
      <c r="H51" s="635">
        <v>9.6333333333333329</v>
      </c>
      <c r="I51" s="635">
        <v>8</v>
      </c>
      <c r="J51" s="635" t="s">
        <v>115</v>
      </c>
      <c r="K51" s="635"/>
      <c r="L51" s="635"/>
      <c r="M51" s="635"/>
      <c r="N51" s="635"/>
      <c r="O51" s="587"/>
      <c r="P51" s="9"/>
      <c r="Q51" s="345"/>
      <c r="R51" s="372"/>
      <c r="S51" s="370"/>
      <c r="T51" s="371"/>
      <c r="U51" s="371"/>
      <c r="V51" s="371"/>
      <c r="W51" s="18"/>
      <c r="X51" s="63"/>
    </row>
    <row r="52" spans="1:24">
      <c r="A52" s="632">
        <v>13820</v>
      </c>
      <c r="B52" s="632" t="s">
        <v>70</v>
      </c>
      <c r="C52" s="632" t="s">
        <v>71</v>
      </c>
      <c r="D52" s="632" t="s">
        <v>126</v>
      </c>
      <c r="E52" s="633">
        <v>43391.770578703705</v>
      </c>
      <c r="F52" s="638">
        <v>43391.770578703705</v>
      </c>
      <c r="G52" s="634">
        <v>0.77013888888888893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O52" s="587"/>
      <c r="P52" s="9"/>
      <c r="R52" s="372"/>
      <c r="S52" s="18"/>
      <c r="T52" s="63"/>
      <c r="U52" s="63"/>
      <c r="V52" s="63"/>
      <c r="W52" s="18"/>
    </row>
    <row r="53" spans="1:24" s="16" customFormat="1">
      <c r="A53" s="632">
        <v>13821</v>
      </c>
      <c r="B53" s="632" t="s">
        <v>70</v>
      </c>
      <c r="C53" s="632" t="s">
        <v>71</v>
      </c>
      <c r="D53" s="632" t="s">
        <v>127</v>
      </c>
      <c r="E53" s="633">
        <v>43391.770613425928</v>
      </c>
      <c r="F53" s="638">
        <v>43391.770613425928</v>
      </c>
      <c r="G53" s="634">
        <v>0.77013888888888893</v>
      </c>
      <c r="H53" s="635" t="s">
        <v>115</v>
      </c>
      <c r="I53" s="635" t="s">
        <v>115</v>
      </c>
      <c r="J53" s="635" t="s">
        <v>115</v>
      </c>
      <c r="K53" s="635">
        <v>0.19999999999999929</v>
      </c>
      <c r="L53" s="635"/>
      <c r="M53" s="635">
        <v>0.19999999999999929</v>
      </c>
      <c r="N53" s="635">
        <v>0</v>
      </c>
      <c r="O53" s="587"/>
      <c r="P53" s="9"/>
      <c r="Q53" s="345"/>
      <c r="R53" s="372"/>
      <c r="S53" s="18"/>
      <c r="T53" s="63"/>
      <c r="U53" s="63"/>
      <c r="V53" s="63"/>
      <c r="W53" s="137"/>
      <c r="X53"/>
    </row>
    <row r="54" spans="1:24" s="586" customFormat="1">
      <c r="A54" s="632">
        <v>13823</v>
      </c>
      <c r="B54" s="632" t="s">
        <v>70</v>
      </c>
      <c r="C54" s="632" t="s">
        <v>71</v>
      </c>
      <c r="D54" s="632" t="s">
        <v>128</v>
      </c>
      <c r="E54" s="633">
        <v>43391.778738425928</v>
      </c>
      <c r="F54" s="638">
        <v>43391.778738425928</v>
      </c>
      <c r="G54" s="634">
        <v>0.77847222222222223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  <c r="O54" s="587"/>
      <c r="P54" s="444"/>
      <c r="Q54" s="444"/>
      <c r="R54" s="588"/>
      <c r="S54" s="588"/>
      <c r="W54" s="588"/>
      <c r="X54" s="589"/>
    </row>
    <row r="55" spans="1:24" s="404" customFormat="1">
      <c r="A55" s="585"/>
      <c r="B55" s="585"/>
      <c r="C55" s="585"/>
      <c r="D55" s="585" t="s">
        <v>141</v>
      </c>
      <c r="E55" s="534">
        <v>43392.354166666664</v>
      </c>
      <c r="F55" s="582">
        <v>43392.354166666664</v>
      </c>
      <c r="G55" s="538">
        <v>0.35416666666666669</v>
      </c>
      <c r="H55" s="521"/>
      <c r="I55" s="521">
        <v>8</v>
      </c>
      <c r="J55" s="521"/>
      <c r="K55" s="521"/>
      <c r="L55" s="521"/>
      <c r="M55" s="521"/>
      <c r="N55" s="521"/>
      <c r="O55" s="651" t="s">
        <v>169</v>
      </c>
      <c r="P55" s="323"/>
      <c r="Q55" s="323"/>
    </row>
    <row r="56" spans="1:24" s="404" customFormat="1">
      <c r="A56" s="585"/>
      <c r="B56" s="585"/>
      <c r="C56" s="585"/>
      <c r="D56" s="585" t="s">
        <v>129</v>
      </c>
      <c r="E56" s="534">
        <v>43392.770833333336</v>
      </c>
      <c r="F56" s="582">
        <v>43392.770833333336</v>
      </c>
      <c r="G56" s="538">
        <v>0.75</v>
      </c>
      <c r="H56" s="521"/>
      <c r="I56" s="521"/>
      <c r="J56" s="521"/>
      <c r="K56" s="521"/>
      <c r="L56" s="521"/>
      <c r="M56" s="521"/>
      <c r="N56" s="521"/>
      <c r="O56" s="651"/>
      <c r="P56" s="323"/>
      <c r="Q56" s="323"/>
    </row>
    <row r="57" spans="1:24" s="586" customFormat="1">
      <c r="A57" s="632">
        <v>13850</v>
      </c>
      <c r="B57" s="632" t="s">
        <v>71</v>
      </c>
      <c r="C57" s="632" t="s">
        <v>71</v>
      </c>
      <c r="D57" s="632" t="s">
        <v>125</v>
      </c>
      <c r="E57" s="633">
        <v>43395.367708333331</v>
      </c>
      <c r="F57" s="638">
        <v>43395.367708333331</v>
      </c>
      <c r="G57" s="634">
        <v>0.36736111111111108</v>
      </c>
      <c r="H57" s="635">
        <v>9.8166666666666664</v>
      </c>
      <c r="I57" s="635">
        <v>8</v>
      </c>
      <c r="J57" s="635" t="s">
        <v>115</v>
      </c>
      <c r="K57" s="635"/>
      <c r="L57" s="635"/>
      <c r="M57" s="635"/>
      <c r="N57" s="635"/>
      <c r="O57" s="587"/>
      <c r="P57" s="444"/>
      <c r="Q57" s="444"/>
      <c r="R57" s="588"/>
      <c r="S57" s="444"/>
      <c r="T57" s="589"/>
      <c r="U57" s="589"/>
      <c r="V57" s="589"/>
      <c r="W57" s="588"/>
    </row>
    <row r="58" spans="1:24">
      <c r="A58" s="632">
        <v>13868</v>
      </c>
      <c r="B58" s="632" t="s">
        <v>70</v>
      </c>
      <c r="C58" s="632" t="s">
        <v>71</v>
      </c>
      <c r="D58" s="632" t="s">
        <v>126</v>
      </c>
      <c r="E58" s="633">
        <v>43395.776817129627</v>
      </c>
      <c r="F58" s="638">
        <v>43395.776817129627</v>
      </c>
      <c r="G58" s="634">
        <v>0.77638888888888891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  <c r="O58" s="587"/>
      <c r="P58" s="9"/>
      <c r="R58" s="372"/>
      <c r="W58" s="18"/>
      <c r="X58" s="63"/>
    </row>
    <row r="59" spans="1:24">
      <c r="A59" s="632">
        <v>13881</v>
      </c>
      <c r="B59" s="632" t="s">
        <v>71</v>
      </c>
      <c r="C59" s="632" t="s">
        <v>71</v>
      </c>
      <c r="D59" s="632" t="s">
        <v>125</v>
      </c>
      <c r="E59" s="633">
        <v>43396.367604166669</v>
      </c>
      <c r="F59" s="638">
        <v>43396.367604166669</v>
      </c>
      <c r="G59" s="634">
        <v>0.36736111111111108</v>
      </c>
      <c r="H59" s="635">
        <v>5.9666666666666668</v>
      </c>
      <c r="I59" s="635">
        <v>4.5</v>
      </c>
      <c r="J59" s="635">
        <v>3.5</v>
      </c>
      <c r="K59" s="635"/>
      <c r="L59" s="635"/>
      <c r="M59" s="635"/>
      <c r="N59" s="635"/>
      <c r="O59" s="587" t="s">
        <v>165</v>
      </c>
      <c r="P59" s="9"/>
      <c r="R59" s="372"/>
      <c r="S59" s="370"/>
      <c r="T59" s="371"/>
      <c r="U59" s="371"/>
      <c r="V59" s="371"/>
      <c r="W59" s="18"/>
      <c r="X59" s="137"/>
    </row>
    <row r="60" spans="1:24" s="2" customFormat="1">
      <c r="A60" s="632">
        <v>13888</v>
      </c>
      <c r="B60" s="632" t="s">
        <v>70</v>
      </c>
      <c r="C60" s="632" t="s">
        <v>71</v>
      </c>
      <c r="D60" s="632" t="s">
        <v>126</v>
      </c>
      <c r="E60" s="633">
        <v>43396.616064814814</v>
      </c>
      <c r="F60" s="638">
        <v>43396.616064814814</v>
      </c>
      <c r="G60" s="634">
        <v>0.61597222222222225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  <c r="O60" s="587"/>
      <c r="P60" s="9"/>
      <c r="Q60" s="345"/>
      <c r="R60" s="372"/>
      <c r="S60" s="370"/>
      <c r="T60" s="371"/>
      <c r="U60" s="371"/>
      <c r="V60" s="371"/>
      <c r="W60" s="18"/>
      <c r="X60" s="137"/>
    </row>
    <row r="61" spans="1:24" s="63" customFormat="1">
      <c r="A61" s="632"/>
      <c r="B61" s="632"/>
      <c r="C61" s="632"/>
      <c r="D61" s="632" t="s">
        <v>125</v>
      </c>
      <c r="E61" s="633">
        <v>43397.354166666664</v>
      </c>
      <c r="F61" s="638">
        <v>43397.354166666664</v>
      </c>
      <c r="G61" s="634">
        <v>0.35416666666666669</v>
      </c>
      <c r="H61" s="635"/>
      <c r="I61" s="635">
        <v>0</v>
      </c>
      <c r="J61" s="635">
        <v>8</v>
      </c>
      <c r="K61" s="635"/>
      <c r="L61" s="635"/>
      <c r="M61" s="635"/>
      <c r="N61" s="635"/>
      <c r="O61" s="628" t="s">
        <v>165</v>
      </c>
      <c r="P61" s="627"/>
      <c r="Q61" s="345"/>
      <c r="R61" s="372"/>
      <c r="S61" s="372"/>
      <c r="T61" s="373"/>
      <c r="U61" s="373"/>
      <c r="V61" s="373"/>
    </row>
    <row r="62" spans="1:24" s="63" customFormat="1">
      <c r="A62" s="632"/>
      <c r="B62" s="632"/>
      <c r="C62" s="632"/>
      <c r="D62" s="632" t="s">
        <v>126</v>
      </c>
      <c r="E62" s="633">
        <v>43397.770833333336</v>
      </c>
      <c r="F62" s="638">
        <v>43397.770833333336</v>
      </c>
      <c r="G62" s="634">
        <v>0.75</v>
      </c>
      <c r="H62" s="635"/>
      <c r="I62" s="635"/>
      <c r="J62" s="635"/>
      <c r="K62" s="635"/>
      <c r="L62" s="635"/>
      <c r="M62" s="635"/>
      <c r="N62" s="635"/>
      <c r="O62" s="628"/>
      <c r="P62" s="627"/>
      <c r="Q62" s="345"/>
      <c r="R62" s="372"/>
      <c r="S62" s="372"/>
      <c r="T62" s="373"/>
      <c r="U62" s="373"/>
      <c r="V62" s="373"/>
    </row>
    <row r="63" spans="1:24">
      <c r="A63" s="632">
        <v>13937</v>
      </c>
      <c r="B63" s="632" t="s">
        <v>71</v>
      </c>
      <c r="C63" s="632" t="s">
        <v>71</v>
      </c>
      <c r="D63" s="632" t="s">
        <v>125</v>
      </c>
      <c r="E63" s="633">
        <v>43398.367719907408</v>
      </c>
      <c r="F63" s="638">
        <v>43398.367719907408</v>
      </c>
      <c r="G63" s="634">
        <v>0.36736111111111108</v>
      </c>
      <c r="H63" s="635">
        <v>9.5499999999999972</v>
      </c>
      <c r="I63" s="635">
        <v>8</v>
      </c>
      <c r="J63" s="635" t="s">
        <v>115</v>
      </c>
      <c r="K63" s="635"/>
      <c r="L63" s="635"/>
      <c r="M63" s="635"/>
      <c r="N63" s="635"/>
      <c r="O63" s="587"/>
      <c r="P63" s="9"/>
      <c r="R63" s="372"/>
      <c r="S63" s="370"/>
      <c r="T63" s="371"/>
      <c r="U63" s="371"/>
      <c r="V63" s="371"/>
      <c r="W63" s="18"/>
      <c r="X63" s="9"/>
    </row>
    <row r="64" spans="1:24">
      <c r="A64" s="632">
        <v>13944</v>
      </c>
      <c r="B64" s="632" t="s">
        <v>70</v>
      </c>
      <c r="C64" s="632" t="s">
        <v>71</v>
      </c>
      <c r="D64" s="632" t="s">
        <v>126</v>
      </c>
      <c r="E64" s="633">
        <v>43398.765300925923</v>
      </c>
      <c r="F64" s="638">
        <v>43398.765300925923</v>
      </c>
      <c r="G64" s="634">
        <v>0.76527777777777783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  <c r="O64" s="587"/>
      <c r="P64" s="9"/>
      <c r="R64" s="372"/>
      <c r="S64" s="18"/>
      <c r="T64" s="63"/>
      <c r="U64" s="63"/>
      <c r="V64" s="63"/>
      <c r="W64" s="18"/>
      <c r="X64" s="9"/>
    </row>
    <row r="65" spans="1:24">
      <c r="A65" s="632">
        <v>13945</v>
      </c>
      <c r="B65" s="632" t="s">
        <v>70</v>
      </c>
      <c r="C65" s="632" t="s">
        <v>71</v>
      </c>
      <c r="D65" s="632" t="s">
        <v>127</v>
      </c>
      <c r="E65" s="633">
        <v>43398.765335648146</v>
      </c>
      <c r="F65" s="638">
        <v>43398.765335648146</v>
      </c>
      <c r="G65" s="634">
        <v>0.76527777777777783</v>
      </c>
      <c r="H65" s="635" t="s">
        <v>115</v>
      </c>
      <c r="I65" s="635" t="s">
        <v>115</v>
      </c>
      <c r="J65" s="635" t="s">
        <v>115</v>
      </c>
      <c r="K65" s="635">
        <v>1.700000000000002</v>
      </c>
      <c r="L65" s="635"/>
      <c r="M65" s="635">
        <v>1.700000000000002</v>
      </c>
      <c r="N65" s="635">
        <v>0</v>
      </c>
      <c r="O65" s="587"/>
      <c r="P65" s="9"/>
      <c r="R65" s="372"/>
      <c r="S65" s="137"/>
      <c r="T65" s="137"/>
      <c r="U65" s="137"/>
      <c r="V65" s="137"/>
      <c r="W65" s="18"/>
      <c r="X65" s="18"/>
    </row>
    <row r="66" spans="1:24">
      <c r="A66" s="632">
        <v>13956</v>
      </c>
      <c r="B66" s="632" t="s">
        <v>70</v>
      </c>
      <c r="C66" s="632" t="s">
        <v>71</v>
      </c>
      <c r="D66" s="632" t="s">
        <v>128</v>
      </c>
      <c r="E66" s="633">
        <v>43398.836122685185</v>
      </c>
      <c r="F66" s="638">
        <v>43398.836122685185</v>
      </c>
      <c r="G66" s="634">
        <v>0.83611111111111114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  <c r="O66" s="587"/>
      <c r="P66" s="9"/>
      <c r="R66" s="372"/>
      <c r="S66" s="137"/>
      <c r="T66" s="137"/>
      <c r="U66" s="137"/>
      <c r="V66" s="137"/>
      <c r="W66" s="18"/>
      <c r="X66" s="9"/>
    </row>
    <row r="67" spans="1:24" s="137" customFormat="1">
      <c r="A67" s="632">
        <v>13963</v>
      </c>
      <c r="B67" s="632" t="s">
        <v>71</v>
      </c>
      <c r="C67" s="632" t="s">
        <v>71</v>
      </c>
      <c r="D67" s="632" t="s">
        <v>125</v>
      </c>
      <c r="E67" s="633">
        <v>43399.36787037037</v>
      </c>
      <c r="F67" s="638">
        <v>43399.36787037037</v>
      </c>
      <c r="G67" s="634">
        <v>0.36736111111111108</v>
      </c>
      <c r="H67" s="635">
        <v>9.8833333333333329</v>
      </c>
      <c r="I67" s="635">
        <v>8</v>
      </c>
      <c r="J67" s="635" t="s">
        <v>115</v>
      </c>
      <c r="K67" s="635"/>
      <c r="L67" s="635"/>
      <c r="M67" s="635"/>
      <c r="N67" s="635"/>
      <c r="O67" s="587"/>
      <c r="P67" s="9"/>
      <c r="Q67" s="345"/>
      <c r="R67" s="372"/>
      <c r="W67" s="63"/>
      <c r="X67" s="63"/>
    </row>
    <row r="68" spans="1:24" s="137" customFormat="1">
      <c r="A68" s="632">
        <v>13973</v>
      </c>
      <c r="B68" s="632" t="s">
        <v>70</v>
      </c>
      <c r="C68" s="632" t="s">
        <v>71</v>
      </c>
      <c r="D68" s="632" t="s">
        <v>126</v>
      </c>
      <c r="E68" s="633">
        <v>43399.779652777775</v>
      </c>
      <c r="F68" s="638">
        <v>43399.779652777775</v>
      </c>
      <c r="G68" s="634">
        <v>0.77916666666666667</v>
      </c>
      <c r="H68" s="635" t="s">
        <v>115</v>
      </c>
      <c r="I68" s="635" t="s">
        <v>115</v>
      </c>
      <c r="J68" s="635" t="s">
        <v>115</v>
      </c>
      <c r="K68" s="635"/>
      <c r="L68" s="635"/>
      <c r="M68" s="635"/>
      <c r="N68" s="635"/>
      <c r="O68" s="587"/>
      <c r="P68" s="9"/>
      <c r="Q68" s="345"/>
      <c r="R68" s="372"/>
      <c r="W68" s="63"/>
      <c r="X68"/>
    </row>
    <row r="69" spans="1:24" s="18" customFormat="1">
      <c r="A69" s="632">
        <v>13983</v>
      </c>
      <c r="B69" s="632" t="s">
        <v>71</v>
      </c>
      <c r="C69" s="632" t="s">
        <v>71</v>
      </c>
      <c r="D69" s="632" t="s">
        <v>125</v>
      </c>
      <c r="E69" s="633">
        <v>43402.367106481484</v>
      </c>
      <c r="F69" s="638">
        <v>43402.367106481484</v>
      </c>
      <c r="G69" s="634">
        <v>0.3666666666666667</v>
      </c>
      <c r="H69" s="635">
        <v>9.9333333333333336</v>
      </c>
      <c r="I69" s="635">
        <v>8</v>
      </c>
      <c r="J69" s="635" t="s">
        <v>115</v>
      </c>
      <c r="K69" s="635"/>
      <c r="L69" s="635"/>
      <c r="M69" s="635"/>
      <c r="N69" s="635"/>
      <c r="O69" s="587"/>
      <c r="P69" s="9"/>
      <c r="Q69" s="345"/>
      <c r="R69" s="372"/>
      <c r="S69" s="137"/>
      <c r="T69" s="137"/>
      <c r="U69" s="137"/>
      <c r="V69" s="137"/>
      <c r="W69" s="63"/>
      <c r="X69"/>
    </row>
    <row r="70" spans="1:24" s="18" customFormat="1">
      <c r="A70" s="632">
        <v>14000</v>
      </c>
      <c r="B70" s="632" t="s">
        <v>70</v>
      </c>
      <c r="C70" s="632" t="s">
        <v>71</v>
      </c>
      <c r="D70" s="632" t="s">
        <v>126</v>
      </c>
      <c r="E70" s="633">
        <v>43402.780787037038</v>
      </c>
      <c r="F70" s="638">
        <v>43402.780787037038</v>
      </c>
      <c r="G70" s="634">
        <v>0.78055555555555556</v>
      </c>
      <c r="H70" s="635" t="s">
        <v>115</v>
      </c>
      <c r="I70" s="635" t="s">
        <v>115</v>
      </c>
      <c r="J70" s="635" t="s">
        <v>115</v>
      </c>
      <c r="K70" s="635"/>
      <c r="L70" s="635"/>
      <c r="M70" s="635"/>
      <c r="N70" s="635"/>
      <c r="O70" s="587"/>
      <c r="P70" s="9"/>
      <c r="Q70" s="345"/>
      <c r="R70" s="372"/>
      <c r="S70" s="137"/>
      <c r="T70" s="137"/>
      <c r="U70" s="137"/>
      <c r="V70" s="137"/>
      <c r="W70" s="63"/>
      <c r="X70" s="2"/>
    </row>
    <row r="71" spans="1:24" s="9" customFormat="1">
      <c r="A71" s="632">
        <v>14001</v>
      </c>
      <c r="B71" s="632" t="s">
        <v>70</v>
      </c>
      <c r="C71" s="632" t="s">
        <v>71</v>
      </c>
      <c r="D71" s="632" t="s">
        <v>127</v>
      </c>
      <c r="E71" s="633">
        <v>43402.780810185184</v>
      </c>
      <c r="F71" s="638">
        <v>43402.780810185184</v>
      </c>
      <c r="G71" s="634">
        <v>0.78055555555555556</v>
      </c>
      <c r="H71" s="635" t="s">
        <v>115</v>
      </c>
      <c r="I71" s="635" t="s">
        <v>115</v>
      </c>
      <c r="J71" s="635" t="s">
        <v>115</v>
      </c>
      <c r="K71" s="635">
        <v>0.83333333333333304</v>
      </c>
      <c r="L71" s="635"/>
      <c r="M71" s="635">
        <v>0.83333333333333304</v>
      </c>
      <c r="N71" s="635">
        <v>0</v>
      </c>
      <c r="O71" s="587"/>
      <c r="Q71" s="345"/>
      <c r="R71" s="372"/>
      <c r="S71" s="18"/>
      <c r="T71" s="63"/>
      <c r="U71" s="63"/>
      <c r="V71" s="63"/>
      <c r="W71" s="63"/>
      <c r="X71" s="63"/>
    </row>
    <row r="72" spans="1:24" s="9" customFormat="1">
      <c r="A72" s="632">
        <v>14005</v>
      </c>
      <c r="B72" s="632" t="s">
        <v>70</v>
      </c>
      <c r="C72" s="632" t="s">
        <v>71</v>
      </c>
      <c r="D72" s="632" t="s">
        <v>128</v>
      </c>
      <c r="E72" s="633">
        <v>43402.815393518518</v>
      </c>
      <c r="F72" s="638">
        <v>43402.815393518518</v>
      </c>
      <c r="G72" s="634">
        <v>0.81527777777777777</v>
      </c>
      <c r="H72" s="635" t="s">
        <v>115</v>
      </c>
      <c r="I72" s="635" t="s">
        <v>115</v>
      </c>
      <c r="J72" s="635" t="s">
        <v>115</v>
      </c>
      <c r="K72" s="635"/>
      <c r="L72" s="635"/>
      <c r="M72" s="635"/>
      <c r="N72" s="635"/>
      <c r="O72" s="587"/>
      <c r="Q72" s="345"/>
      <c r="R72" s="372"/>
      <c r="S72" s="345"/>
      <c r="T72" s="335"/>
      <c r="U72" s="335"/>
      <c r="V72" s="335"/>
      <c r="W72" s="63"/>
      <c r="X72" s="63"/>
    </row>
    <row r="73" spans="1:24" s="9" customFormat="1">
      <c r="A73" s="632">
        <v>14012</v>
      </c>
      <c r="B73" s="632" t="s">
        <v>71</v>
      </c>
      <c r="C73" s="632" t="s">
        <v>71</v>
      </c>
      <c r="D73" s="632" t="s">
        <v>125</v>
      </c>
      <c r="E73" s="633">
        <v>43403.369016203702</v>
      </c>
      <c r="F73" s="638">
        <v>43403.369016203702</v>
      </c>
      <c r="G73" s="634">
        <v>0.36874999999999997</v>
      </c>
      <c r="H73" s="635">
        <v>9.8999999999999986</v>
      </c>
      <c r="I73" s="635">
        <v>8</v>
      </c>
      <c r="J73" s="635" t="s">
        <v>115</v>
      </c>
      <c r="K73" s="635"/>
      <c r="L73" s="635"/>
      <c r="M73" s="635"/>
      <c r="N73" s="635"/>
      <c r="O73" s="587"/>
      <c r="Q73" s="345"/>
      <c r="R73" s="372"/>
      <c r="S73" s="374"/>
      <c r="T73" s="375"/>
      <c r="U73" s="375"/>
      <c r="V73" s="375"/>
      <c r="W73" s="63"/>
      <c r="X73"/>
    </row>
    <row r="74" spans="1:24" s="18" customFormat="1">
      <c r="A74" s="632">
        <v>14025</v>
      </c>
      <c r="B74" s="632" t="s">
        <v>70</v>
      </c>
      <c r="C74" s="632" t="s">
        <v>71</v>
      </c>
      <c r="D74" s="632" t="s">
        <v>126</v>
      </c>
      <c r="E74" s="633">
        <v>43403.781469907408</v>
      </c>
      <c r="F74" s="638">
        <v>43403.781469907408</v>
      </c>
      <c r="G74" s="634">
        <v>0.78125</v>
      </c>
      <c r="H74" s="635" t="s">
        <v>115</v>
      </c>
      <c r="I74" s="635" t="s">
        <v>115</v>
      </c>
      <c r="J74" s="635" t="s">
        <v>115</v>
      </c>
      <c r="K74" s="635"/>
      <c r="L74" s="635"/>
      <c r="M74" s="635"/>
      <c r="N74" s="635"/>
      <c r="O74" s="587"/>
      <c r="P74" s="9"/>
      <c r="Q74" s="345"/>
      <c r="R74" s="372"/>
      <c r="S74" s="345"/>
      <c r="T74" s="335"/>
      <c r="U74" s="335"/>
      <c r="V74" s="335"/>
      <c r="W74"/>
      <c r="X74"/>
    </row>
    <row r="75" spans="1:24" s="444" customFormat="1">
      <c r="A75" s="632">
        <v>14026</v>
      </c>
      <c r="B75" s="632" t="s">
        <v>70</v>
      </c>
      <c r="C75" s="632" t="s">
        <v>71</v>
      </c>
      <c r="D75" s="632" t="s">
        <v>127</v>
      </c>
      <c r="E75" s="633">
        <v>43403.7815162037</v>
      </c>
      <c r="F75" s="638">
        <v>43403.7815162037</v>
      </c>
      <c r="G75" s="634">
        <v>0.78125</v>
      </c>
      <c r="H75" s="635" t="s">
        <v>115</v>
      </c>
      <c r="I75" s="635" t="s">
        <v>115</v>
      </c>
      <c r="J75" s="635" t="s">
        <v>115</v>
      </c>
      <c r="K75" s="635">
        <v>0.55000000000000071</v>
      </c>
      <c r="L75" s="635"/>
      <c r="M75" s="635">
        <v>0.55000000000000071</v>
      </c>
      <c r="N75" s="635">
        <v>0</v>
      </c>
      <c r="O75" s="587"/>
      <c r="R75" s="137"/>
      <c r="S75" s="137"/>
      <c r="T75" s="16"/>
      <c r="U75" s="16"/>
      <c r="V75" s="16"/>
      <c r="W75" s="16"/>
      <c r="X75" s="16"/>
    </row>
    <row r="76" spans="1:24" s="444" customFormat="1">
      <c r="A76" s="632">
        <v>14029</v>
      </c>
      <c r="B76" s="632" t="s">
        <v>70</v>
      </c>
      <c r="C76" s="632" t="s">
        <v>71</v>
      </c>
      <c r="D76" s="632" t="s">
        <v>128</v>
      </c>
      <c r="E76" s="633">
        <v>43403.804282407407</v>
      </c>
      <c r="F76" s="638">
        <v>43403.804282407407</v>
      </c>
      <c r="G76" s="634">
        <v>0.8041666666666667</v>
      </c>
      <c r="H76" s="635" t="s">
        <v>115</v>
      </c>
      <c r="I76" s="635" t="s">
        <v>115</v>
      </c>
      <c r="J76" s="635" t="s">
        <v>115</v>
      </c>
      <c r="K76" s="635"/>
      <c r="L76" s="635"/>
      <c r="M76" s="635"/>
      <c r="N76" s="635"/>
      <c r="O76" s="587"/>
      <c r="R76" s="137"/>
      <c r="T76" s="398"/>
      <c r="U76" s="398"/>
      <c r="V76" s="398"/>
      <c r="W76" s="16"/>
      <c r="X76" s="16"/>
    </row>
    <row r="77" spans="1:24" s="444" customFormat="1">
      <c r="A77" s="632">
        <v>14035</v>
      </c>
      <c r="B77" s="632" t="s">
        <v>71</v>
      </c>
      <c r="C77" s="632" t="s">
        <v>71</v>
      </c>
      <c r="D77" s="632" t="s">
        <v>125</v>
      </c>
      <c r="E77" s="633">
        <v>43404.368067129632</v>
      </c>
      <c r="F77" s="638">
        <v>43404.368067129632</v>
      </c>
      <c r="G77" s="634">
        <v>0.36805555555555558</v>
      </c>
      <c r="H77" s="635">
        <v>9.6000000000000014</v>
      </c>
      <c r="I77" s="635">
        <v>8</v>
      </c>
      <c r="J77" s="635" t="s">
        <v>115</v>
      </c>
      <c r="K77" s="635"/>
      <c r="L77" s="635"/>
      <c r="M77" s="635"/>
      <c r="N77" s="635"/>
      <c r="O77" s="587"/>
      <c r="R77" s="137"/>
      <c r="T77" s="398"/>
      <c r="U77" s="398"/>
      <c r="V77" s="398"/>
      <c r="W77" s="16"/>
      <c r="X77" s="16"/>
    </row>
    <row r="78" spans="1:24" s="444" customFormat="1">
      <c r="A78" s="632">
        <v>14042</v>
      </c>
      <c r="B78" s="632" t="s">
        <v>70</v>
      </c>
      <c r="C78" s="632" t="s">
        <v>71</v>
      </c>
      <c r="D78" s="632" t="s">
        <v>126</v>
      </c>
      <c r="E78" s="633">
        <v>43404.768368055556</v>
      </c>
      <c r="F78" s="638">
        <v>43404.768368055556</v>
      </c>
      <c r="G78" s="634">
        <v>0.7680555555555556</v>
      </c>
      <c r="H78" s="635" t="s">
        <v>115</v>
      </c>
      <c r="I78" s="635" t="s">
        <v>115</v>
      </c>
      <c r="J78" s="635" t="s">
        <v>115</v>
      </c>
      <c r="K78" s="635"/>
      <c r="L78" s="635"/>
      <c r="M78" s="635"/>
      <c r="N78" s="635"/>
      <c r="O78" s="587"/>
      <c r="R78" s="137"/>
      <c r="T78" s="398"/>
      <c r="U78" s="398"/>
      <c r="V78" s="398"/>
      <c r="W78" s="16"/>
      <c r="X78" s="16"/>
    </row>
    <row r="79" spans="1:24" s="625" customFormat="1">
      <c r="A79"/>
      <c r="B79"/>
      <c r="C79" s="3"/>
      <c r="D79" s="3"/>
      <c r="E79" s="3"/>
      <c r="F79" s="16"/>
      <c r="G79" s="17"/>
      <c r="H79" s="51"/>
      <c r="I79" s="21"/>
      <c r="J79" s="21"/>
      <c r="K79" s="22"/>
      <c r="L79" s="22"/>
      <c r="M79" s="22"/>
      <c r="N79" s="22"/>
      <c r="O79" s="454"/>
      <c r="P79" s="627"/>
      <c r="Q79" s="345"/>
      <c r="R79" s="372"/>
      <c r="S79" s="345"/>
      <c r="T79" s="335"/>
      <c r="U79" s="335"/>
      <c r="V79" s="335"/>
      <c r="W79" s="586"/>
      <c r="X79" s="63"/>
    </row>
    <row r="80" spans="1:24" s="625" customFormat="1">
      <c r="A80"/>
      <c r="B80"/>
      <c r="C80" s="3"/>
      <c r="D80" s="9" t="s">
        <v>36</v>
      </c>
      <c r="E80" s="3"/>
      <c r="F80" s="16"/>
      <c r="G80" s="17"/>
      <c r="H80" s="51"/>
      <c r="I80" s="21"/>
      <c r="J80" s="21"/>
      <c r="K80" s="22"/>
      <c r="L80" s="22"/>
      <c r="M80" s="22"/>
      <c r="N80" s="22"/>
      <c r="O80" s="454"/>
      <c r="P80" s="627"/>
      <c r="Q80" s="345"/>
      <c r="R80" s="372"/>
      <c r="S80" s="345"/>
      <c r="T80" s="335"/>
      <c r="U80" s="335"/>
      <c r="V80" s="335"/>
      <c r="W80" s="586"/>
      <c r="X80" s="63"/>
    </row>
    <row r="81" spans="1:24" s="625" customFormat="1">
      <c r="A81"/>
      <c r="B81"/>
      <c r="C81" s="3"/>
      <c r="D81" s="9" t="s">
        <v>35</v>
      </c>
      <c r="E81" s="3"/>
      <c r="F81" s="16"/>
      <c r="G81" s="17"/>
      <c r="H81" s="51"/>
      <c r="I81" s="21"/>
      <c r="J81" s="21"/>
      <c r="K81" s="22"/>
      <c r="L81" s="22"/>
      <c r="M81" s="22"/>
      <c r="N81" s="22"/>
      <c r="O81" s="28"/>
      <c r="P81" s="627"/>
      <c r="Q81" s="345"/>
      <c r="R81" s="372"/>
      <c r="S81" s="345"/>
      <c r="T81" s="335"/>
      <c r="U81" s="335"/>
      <c r="V81" s="335"/>
      <c r="W81" s="586"/>
      <c r="X81" s="63"/>
    </row>
    <row r="82" spans="1:24">
      <c r="D82" s="172" t="s">
        <v>63</v>
      </c>
      <c r="P82" s="9"/>
      <c r="R82" s="372"/>
      <c r="S82" s="374"/>
      <c r="T82" s="375"/>
      <c r="U82" s="375"/>
      <c r="V82" s="375"/>
      <c r="W82" s="16"/>
    </row>
    <row r="83" spans="1:24">
      <c r="D83" t="s">
        <v>66</v>
      </c>
      <c r="P83" s="9"/>
      <c r="R83" s="372"/>
      <c r="W83" s="16"/>
    </row>
    <row r="84" spans="1:24">
      <c r="D84" t="s">
        <v>64</v>
      </c>
      <c r="E84" s="336"/>
      <c r="F84" s="373"/>
      <c r="G84" s="376"/>
      <c r="H84" s="377"/>
      <c r="I84" s="378"/>
      <c r="J84" s="378"/>
      <c r="K84" s="379"/>
      <c r="L84" s="379"/>
      <c r="M84" s="379"/>
      <c r="N84" s="379"/>
      <c r="P84" s="9"/>
      <c r="R84" s="372"/>
      <c r="S84" s="374"/>
      <c r="T84" s="375"/>
      <c r="U84" s="375"/>
      <c r="V84" s="375"/>
    </row>
    <row r="85" spans="1:24">
      <c r="D85" t="s">
        <v>68</v>
      </c>
      <c r="E85" s="336"/>
      <c r="F85" s="373"/>
      <c r="G85" s="376"/>
      <c r="H85" s="377"/>
      <c r="I85" s="378"/>
      <c r="J85" s="378"/>
      <c r="K85" s="379"/>
      <c r="L85" s="379"/>
      <c r="M85" s="379"/>
      <c r="N85" s="379"/>
      <c r="P85" s="9"/>
      <c r="R85" s="372"/>
      <c r="S85" s="18"/>
      <c r="T85" s="63"/>
      <c r="U85" s="63"/>
      <c r="V85" s="63"/>
    </row>
    <row r="86" spans="1:24">
      <c r="D86" t="s">
        <v>69</v>
      </c>
      <c r="E86" s="336"/>
      <c r="F86" s="373"/>
      <c r="G86" s="376"/>
      <c r="H86" s="377"/>
      <c r="I86" s="378"/>
      <c r="J86" s="378"/>
      <c r="K86" s="379"/>
      <c r="L86" s="379"/>
      <c r="M86" s="379"/>
      <c r="N86" s="379"/>
      <c r="P86" s="9"/>
      <c r="R86" s="372"/>
      <c r="S86" s="137"/>
      <c r="T86" s="16"/>
      <c r="U86" s="16"/>
      <c r="V86" s="16"/>
    </row>
    <row r="87" spans="1:24">
      <c r="D87" t="s">
        <v>116</v>
      </c>
      <c r="E87" s="336"/>
      <c r="F87" s="373"/>
      <c r="G87" s="376"/>
      <c r="H87" s="377"/>
      <c r="I87" s="378"/>
      <c r="J87" s="378"/>
      <c r="K87" s="379"/>
      <c r="L87" s="379"/>
      <c r="M87" s="379"/>
      <c r="N87" s="379"/>
      <c r="P87" s="9"/>
      <c r="R87" s="372"/>
      <c r="S87" s="137"/>
      <c r="T87" s="16"/>
      <c r="U87" s="16"/>
      <c r="V87" s="16"/>
    </row>
    <row r="88" spans="1:24">
      <c r="D88" t="s">
        <v>67</v>
      </c>
      <c r="E88" s="336"/>
      <c r="F88" s="373"/>
      <c r="G88" s="376"/>
      <c r="H88" s="377"/>
      <c r="I88" s="378"/>
      <c r="J88" s="378"/>
      <c r="K88" s="379"/>
      <c r="L88" s="379"/>
      <c r="M88" s="379"/>
      <c r="N88" s="379"/>
      <c r="P88" s="9"/>
      <c r="R88" s="372"/>
      <c r="S88" s="137"/>
      <c r="T88" s="16"/>
      <c r="U88" s="16"/>
      <c r="V88" s="16"/>
    </row>
    <row r="89" spans="1:24">
      <c r="P89" s="18"/>
      <c r="Q89" s="18"/>
      <c r="R89" s="18"/>
      <c r="S89" s="18"/>
      <c r="T89" s="63"/>
      <c r="U89" s="63"/>
      <c r="V89" s="63"/>
    </row>
    <row r="107" spans="19:22">
      <c r="S107" s="444"/>
      <c r="T107" s="398"/>
      <c r="U107" s="398"/>
      <c r="V107" s="398"/>
    </row>
  </sheetData>
  <phoneticPr fontId="18" type="noConversion"/>
  <conditionalFormatting sqref="I7:I26 I33:I54 I63:I78 I57:I60">
    <cfRule type="cellIs" dxfId="22" priority="7" operator="lessThan">
      <formula>4</formula>
    </cfRule>
  </conditionalFormatting>
  <conditionalFormatting sqref="I27:I28">
    <cfRule type="cellIs" dxfId="21" priority="5" operator="lessThan">
      <formula>4</formula>
    </cfRule>
  </conditionalFormatting>
  <conditionalFormatting sqref="I29:I30">
    <cfRule type="cellIs" dxfId="20" priority="4" operator="lessThan">
      <formula>4</formula>
    </cfRule>
  </conditionalFormatting>
  <conditionalFormatting sqref="I61:I62">
    <cfRule type="cellIs" dxfId="19" priority="3" operator="lessThan">
      <formula>4</formula>
    </cfRule>
  </conditionalFormatting>
  <conditionalFormatting sqref="I31:I32">
    <cfRule type="cellIs" dxfId="18" priority="2" operator="lessThan">
      <formula>4</formula>
    </cfRule>
  </conditionalFormatting>
  <conditionalFormatting sqref="I55:I56">
    <cfRule type="cellIs" dxfId="17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77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>
    <tabColor theme="4"/>
  </sheetPr>
  <dimension ref="A1:V99"/>
  <sheetViews>
    <sheetView view="pageBreakPreview" topLeftCell="A73" zoomScaleNormal="100" zoomScaleSheetLayoutView="100" workbookViewId="0">
      <selection activeCell="A79" sqref="A79:XFD84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.875" style="3" customWidth="1"/>
    <col min="5" max="5" width="17.25" style="3" customWidth="1"/>
    <col min="6" max="6" width="8" style="16" customWidth="1"/>
    <col min="7" max="7" width="8.625" style="17" customWidth="1" outlineLevel="1"/>
    <col min="8" max="8" width="11.125" style="51" customWidth="1" outlineLevel="1"/>
    <col min="9" max="9" width="10.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125" style="22" customWidth="1"/>
    <col min="15" max="15" width="14.875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</cols>
  <sheetData>
    <row r="1" spans="1:22" s="4" customFormat="1" ht="28.5" thickBot="1">
      <c r="C1" s="5"/>
      <c r="D1" s="6"/>
      <c r="E1" s="6"/>
      <c r="F1" s="10"/>
      <c r="G1" s="11"/>
      <c r="H1" s="12"/>
      <c r="I1" s="13" t="str">
        <f>B7</f>
        <v>ruby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</row>
    <row r="2" spans="1:22">
      <c r="D2" s="133" t="s">
        <v>74</v>
      </c>
      <c r="E2" s="184">
        <f>44.5-36-8+80-12</f>
        <v>68.5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2" ht="17.25" thickBot="1">
      <c r="D3" s="24" t="s">
        <v>76</v>
      </c>
      <c r="E3" s="644">
        <v>0</v>
      </c>
      <c r="F3" s="25"/>
      <c r="G3" s="26"/>
      <c r="H3" s="26"/>
      <c r="I3" s="88"/>
      <c r="J3" s="54">
        <f>D5+E5</f>
        <v>4</v>
      </c>
      <c r="K3" s="53">
        <f>SUM(K7:K194)</f>
        <v>10.199999999999992</v>
      </c>
      <c r="L3" s="53">
        <f>J3</f>
        <v>4</v>
      </c>
      <c r="M3" s="53">
        <f>M6-J3</f>
        <v>6.1999999999999922</v>
      </c>
      <c r="N3" s="53">
        <f>N6</f>
        <v>0</v>
      </c>
      <c r="O3" s="50"/>
    </row>
    <row r="4" spans="1:22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184</v>
      </c>
    </row>
    <row r="5" spans="1:22">
      <c r="D5" s="87">
        <v>0</v>
      </c>
      <c r="E5" s="86">
        <v>4</v>
      </c>
      <c r="F5" s="86">
        <v>12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6.3749999999999946E-2</v>
      </c>
    </row>
    <row r="6" spans="1:22">
      <c r="A6" t="s">
        <v>0</v>
      </c>
      <c r="B6" t="s">
        <v>1</v>
      </c>
      <c r="C6" s="3" t="s">
        <v>2</v>
      </c>
      <c r="D6" s="524" t="s">
        <v>3</v>
      </c>
      <c r="E6" s="525" t="s">
        <v>4</v>
      </c>
      <c r="F6" s="507"/>
      <c r="G6" s="523"/>
      <c r="H6" s="525" t="s">
        <v>22</v>
      </c>
      <c r="I6" s="509">
        <f>SUM(I7:I194)</f>
        <v>160</v>
      </c>
      <c r="J6" s="509">
        <f t="shared" ref="J6:N6" si="0">SUM(J7:J194)</f>
        <v>24</v>
      </c>
      <c r="K6" s="509">
        <f t="shared" si="0"/>
        <v>10.199999999999992</v>
      </c>
      <c r="L6" s="509">
        <f t="shared" si="0"/>
        <v>0</v>
      </c>
      <c r="M6" s="509">
        <f t="shared" si="0"/>
        <v>10.199999999999992</v>
      </c>
      <c r="N6" s="509">
        <f t="shared" si="0"/>
        <v>0</v>
      </c>
      <c r="O6" s="498"/>
      <c r="T6" s="345"/>
    </row>
    <row r="7" spans="1:22" s="63" customFormat="1">
      <c r="A7" s="632">
        <v>13460</v>
      </c>
      <c r="B7" s="632" t="s">
        <v>14</v>
      </c>
      <c r="C7" s="632" t="s">
        <v>14</v>
      </c>
      <c r="D7" s="632" t="s">
        <v>125</v>
      </c>
      <c r="E7" s="633">
        <v>43374.366956018515</v>
      </c>
      <c r="F7" s="638">
        <v>43374.366956018515</v>
      </c>
      <c r="G7" s="634">
        <v>0.3666666666666667</v>
      </c>
      <c r="H7" s="635">
        <v>9.6500000000000021</v>
      </c>
      <c r="I7" s="635">
        <v>8</v>
      </c>
      <c r="J7" s="635" t="s">
        <v>115</v>
      </c>
      <c r="K7" s="635"/>
      <c r="L7" s="635"/>
      <c r="M7" s="635"/>
      <c r="N7" s="635"/>
      <c r="O7" s="603"/>
      <c r="P7" s="345"/>
      <c r="Q7" s="369"/>
      <c r="R7" s="149"/>
      <c r="S7" s="149"/>
      <c r="T7" s="130"/>
      <c r="U7" s="130"/>
      <c r="V7" s="130"/>
    </row>
    <row r="8" spans="1:22" s="63" customFormat="1">
      <c r="A8" s="632">
        <v>13473</v>
      </c>
      <c r="B8" s="632" t="s">
        <v>14</v>
      </c>
      <c r="C8" s="632" t="s">
        <v>14</v>
      </c>
      <c r="D8" s="632" t="s">
        <v>126</v>
      </c>
      <c r="E8" s="633">
        <v>43374.769155092596</v>
      </c>
      <c r="F8" s="638">
        <v>43374.769155092596</v>
      </c>
      <c r="G8" s="634">
        <v>0.76874999999999993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03"/>
      <c r="P8" s="345"/>
      <c r="Q8" s="369"/>
      <c r="R8" s="149"/>
      <c r="S8" s="149"/>
      <c r="T8" s="130"/>
      <c r="U8" s="130"/>
      <c r="V8" s="130"/>
    </row>
    <row r="9" spans="1:22" s="63" customFormat="1">
      <c r="A9" s="632">
        <v>13474</v>
      </c>
      <c r="B9" s="632" t="s">
        <v>14</v>
      </c>
      <c r="C9" s="632" t="s">
        <v>14</v>
      </c>
      <c r="D9" s="632" t="s">
        <v>127</v>
      </c>
      <c r="E9" s="633">
        <v>43374.770844907405</v>
      </c>
      <c r="F9" s="638">
        <v>43374.770844907405</v>
      </c>
      <c r="G9" s="634">
        <v>0.77083333333333337</v>
      </c>
      <c r="H9" s="635" t="s">
        <v>115</v>
      </c>
      <c r="I9" s="635" t="s">
        <v>115</v>
      </c>
      <c r="J9" s="635" t="s">
        <v>115</v>
      </c>
      <c r="K9" s="635">
        <v>1.3333333333333313</v>
      </c>
      <c r="L9" s="635"/>
      <c r="M9" s="635">
        <v>1.3333333333333313</v>
      </c>
      <c r="N9" s="635">
        <v>0</v>
      </c>
      <c r="O9" s="603"/>
      <c r="P9" s="373"/>
      <c r="Q9" s="373"/>
      <c r="R9" s="372"/>
      <c r="S9" s="372"/>
      <c r="T9" s="373"/>
      <c r="U9" s="373"/>
      <c r="V9" s="373"/>
    </row>
    <row r="10" spans="1:22" s="63" customFormat="1">
      <c r="A10" s="632">
        <v>13490</v>
      </c>
      <c r="B10" s="632" t="s">
        <v>14</v>
      </c>
      <c r="C10" s="632" t="s">
        <v>14</v>
      </c>
      <c r="D10" s="632" t="s">
        <v>128</v>
      </c>
      <c r="E10" s="633">
        <v>43374.826516203706</v>
      </c>
      <c r="F10" s="638">
        <v>43374.826516203706</v>
      </c>
      <c r="G10" s="634">
        <v>0.82638888888888884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603"/>
      <c r="R10" s="18"/>
      <c r="S10" s="18"/>
    </row>
    <row r="11" spans="1:22" s="63" customFormat="1">
      <c r="A11" s="632">
        <v>13501</v>
      </c>
      <c r="B11" s="632" t="s">
        <v>92</v>
      </c>
      <c r="C11" s="632" t="s">
        <v>14</v>
      </c>
      <c r="D11" s="632" t="s">
        <v>125</v>
      </c>
      <c r="E11" s="633">
        <v>43375.371747685182</v>
      </c>
      <c r="F11" s="638">
        <v>43375.371747685182</v>
      </c>
      <c r="G11" s="634">
        <v>0.37152777777777773</v>
      </c>
      <c r="H11" s="635">
        <v>9.533333333333335</v>
      </c>
      <c r="I11" s="635">
        <v>8</v>
      </c>
      <c r="J11" s="635" t="s">
        <v>115</v>
      </c>
      <c r="K11" s="635"/>
      <c r="L11" s="635"/>
      <c r="M11" s="635"/>
      <c r="N11" s="635"/>
      <c r="O11" s="603"/>
      <c r="P11" s="345"/>
      <c r="Q11" s="369"/>
      <c r="R11" s="18"/>
      <c r="S11" s="18"/>
    </row>
    <row r="12" spans="1:22" s="63" customFormat="1">
      <c r="A12" s="632">
        <v>13514</v>
      </c>
      <c r="B12" s="632" t="s">
        <v>14</v>
      </c>
      <c r="C12" s="632" t="s">
        <v>14</v>
      </c>
      <c r="D12" s="632" t="s">
        <v>126</v>
      </c>
      <c r="E12" s="633">
        <v>43375.768750000003</v>
      </c>
      <c r="F12" s="638">
        <v>43375.768750000003</v>
      </c>
      <c r="G12" s="634">
        <v>0.76874999999999993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603"/>
      <c r="P12" s="345"/>
      <c r="Q12" s="369"/>
      <c r="R12" s="372"/>
      <c r="S12" s="372"/>
      <c r="T12" s="373"/>
      <c r="U12" s="373"/>
      <c r="V12" s="373"/>
    </row>
    <row r="13" spans="1:22" s="63" customFormat="1">
      <c r="A13" s="632">
        <v>13527</v>
      </c>
      <c r="B13" s="632" t="s">
        <v>14</v>
      </c>
      <c r="C13" s="632" t="s">
        <v>14</v>
      </c>
      <c r="D13" s="632" t="s">
        <v>125</v>
      </c>
      <c r="E13" s="633">
        <v>43376.370104166665</v>
      </c>
      <c r="F13" s="638">
        <v>43376.370104166665</v>
      </c>
      <c r="G13" s="634">
        <v>0.36944444444444446</v>
      </c>
      <c r="H13" s="635">
        <v>9.5833333333333339</v>
      </c>
      <c r="I13" s="635">
        <v>8</v>
      </c>
      <c r="J13" s="635" t="s">
        <v>115</v>
      </c>
      <c r="K13" s="635"/>
      <c r="L13" s="635"/>
      <c r="M13" s="635"/>
      <c r="N13" s="635"/>
      <c r="O13" s="603"/>
      <c r="P13" s="137"/>
      <c r="Q13" s="397"/>
      <c r="R13" s="137"/>
      <c r="S13" s="137"/>
      <c r="T13" s="16"/>
      <c r="U13" s="16"/>
      <c r="V13" s="16"/>
    </row>
    <row r="14" spans="1:22" s="63" customFormat="1">
      <c r="A14" s="632">
        <v>13535</v>
      </c>
      <c r="B14" s="632" t="s">
        <v>14</v>
      </c>
      <c r="C14" s="632" t="s">
        <v>14</v>
      </c>
      <c r="D14" s="632" t="s">
        <v>126</v>
      </c>
      <c r="E14" s="633">
        <v>43376.769282407404</v>
      </c>
      <c r="F14" s="638">
        <v>43376.769282407404</v>
      </c>
      <c r="G14" s="634">
        <v>0.76874999999999993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603"/>
      <c r="P14" s="137"/>
      <c r="Q14" s="397"/>
      <c r="R14" s="137"/>
      <c r="S14" s="137"/>
      <c r="T14" s="16"/>
      <c r="U14" s="16"/>
      <c r="V14" s="16"/>
    </row>
    <row r="15" spans="1:22" s="63" customFormat="1">
      <c r="A15" s="632">
        <v>13537</v>
      </c>
      <c r="B15" s="632" t="s">
        <v>14</v>
      </c>
      <c r="C15" s="632" t="s">
        <v>14</v>
      </c>
      <c r="D15" s="632" t="s">
        <v>127</v>
      </c>
      <c r="E15" s="633">
        <v>43376.771597222221</v>
      </c>
      <c r="F15" s="638">
        <v>43376.771597222221</v>
      </c>
      <c r="G15" s="634">
        <v>0.7715277777777777</v>
      </c>
      <c r="H15" s="635" t="s">
        <v>115</v>
      </c>
      <c r="I15" s="635" t="s">
        <v>115</v>
      </c>
      <c r="J15" s="635" t="s">
        <v>115</v>
      </c>
      <c r="K15" s="635">
        <v>1.5499999999999998</v>
      </c>
      <c r="L15" s="635"/>
      <c r="M15" s="635">
        <v>1.5499999999999998</v>
      </c>
      <c r="N15" s="635">
        <v>0</v>
      </c>
      <c r="O15" s="605"/>
      <c r="P15" s="137"/>
      <c r="Q15" s="397"/>
      <c r="R15" s="137"/>
      <c r="S15" s="137"/>
      <c r="T15" s="16"/>
      <c r="U15" s="16"/>
      <c r="V15" s="16"/>
    </row>
    <row r="16" spans="1:22" s="63" customFormat="1">
      <c r="A16" s="632">
        <v>13551</v>
      </c>
      <c r="B16" s="632" t="s">
        <v>14</v>
      </c>
      <c r="C16" s="632" t="s">
        <v>14</v>
      </c>
      <c r="D16" s="632" t="s">
        <v>128</v>
      </c>
      <c r="E16" s="633">
        <v>43376.83625</v>
      </c>
      <c r="F16" s="638">
        <v>43376.83625</v>
      </c>
      <c r="G16" s="634">
        <v>0.83611111111111114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605"/>
      <c r="P16" s="137"/>
      <c r="Q16" s="397"/>
      <c r="R16" s="137"/>
      <c r="S16" s="137"/>
      <c r="T16" s="16"/>
      <c r="U16" s="16"/>
      <c r="V16" s="16"/>
    </row>
    <row r="17" spans="1:22" s="187" customFormat="1">
      <c r="A17" s="632">
        <v>13556</v>
      </c>
      <c r="B17" s="632" t="s">
        <v>14</v>
      </c>
      <c r="C17" s="632" t="s">
        <v>14</v>
      </c>
      <c r="D17" s="632" t="s">
        <v>125</v>
      </c>
      <c r="E17" s="633">
        <v>43377.368032407408</v>
      </c>
      <c r="F17" s="638">
        <v>43377.368032407408</v>
      </c>
      <c r="G17" s="634">
        <v>0.36736111111111108</v>
      </c>
      <c r="H17" s="635">
        <v>9.65</v>
      </c>
      <c r="I17" s="635">
        <v>8</v>
      </c>
      <c r="J17" s="635" t="s">
        <v>115</v>
      </c>
      <c r="K17" s="635"/>
      <c r="L17" s="635"/>
      <c r="M17" s="635"/>
      <c r="N17" s="635"/>
      <c r="O17" s="603"/>
      <c r="P17" s="345"/>
      <c r="Q17" s="369"/>
      <c r="R17" s="372"/>
      <c r="S17" s="372"/>
      <c r="T17" s="373"/>
      <c r="U17" s="373"/>
      <c r="V17" s="373"/>
    </row>
    <row r="18" spans="1:22" s="63" customFormat="1">
      <c r="A18" s="632">
        <v>13565</v>
      </c>
      <c r="B18" s="632" t="s">
        <v>14</v>
      </c>
      <c r="C18" s="632" t="s">
        <v>14</v>
      </c>
      <c r="D18" s="632" t="s">
        <v>126</v>
      </c>
      <c r="E18" s="633">
        <v>43377.769594907404</v>
      </c>
      <c r="F18" s="638">
        <v>43377.769594907404</v>
      </c>
      <c r="G18" s="634">
        <v>0.76944444444444438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603"/>
      <c r="P18" s="345"/>
      <c r="Q18" s="369"/>
      <c r="R18" s="372"/>
      <c r="S18" s="372"/>
      <c r="T18" s="373"/>
      <c r="U18" s="373"/>
      <c r="V18" s="373"/>
    </row>
    <row r="19" spans="1:22" s="9" customFormat="1">
      <c r="A19" s="632">
        <v>13566</v>
      </c>
      <c r="B19" s="632" t="s">
        <v>14</v>
      </c>
      <c r="C19" s="632" t="s">
        <v>14</v>
      </c>
      <c r="D19" s="632" t="s">
        <v>127</v>
      </c>
      <c r="E19" s="633">
        <v>43377.769629629627</v>
      </c>
      <c r="F19" s="638">
        <v>43377.769629629627</v>
      </c>
      <c r="G19" s="634">
        <v>0.76944444444444438</v>
      </c>
      <c r="H19" s="635" t="s">
        <v>115</v>
      </c>
      <c r="I19" s="635" t="s">
        <v>115</v>
      </c>
      <c r="J19" s="635" t="s">
        <v>115</v>
      </c>
      <c r="K19" s="635">
        <v>0.9833333333333325</v>
      </c>
      <c r="L19" s="635"/>
      <c r="M19" s="635">
        <v>0.9833333333333325</v>
      </c>
      <c r="N19" s="635">
        <v>0</v>
      </c>
      <c r="O19" s="603"/>
      <c r="Q19" s="448"/>
      <c r="R19" s="372"/>
      <c r="S19" s="372"/>
      <c r="T19" s="373"/>
      <c r="U19" s="373"/>
      <c r="V19" s="373"/>
    </row>
    <row r="20" spans="1:22">
      <c r="A20" s="632">
        <v>13581</v>
      </c>
      <c r="B20" s="632" t="s">
        <v>92</v>
      </c>
      <c r="C20" s="632" t="s">
        <v>14</v>
      </c>
      <c r="D20" s="632" t="s">
        <v>128</v>
      </c>
      <c r="E20" s="633">
        <v>43377.810428240744</v>
      </c>
      <c r="F20" s="638">
        <v>43377.810428240744</v>
      </c>
      <c r="G20" s="634">
        <v>0.81041666666666667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603"/>
      <c r="P20" s="9"/>
      <c r="R20" s="372"/>
      <c r="S20" s="372"/>
      <c r="T20" s="373"/>
      <c r="U20" s="373"/>
      <c r="V20" s="373"/>
    </row>
    <row r="21" spans="1:22" s="398" customFormat="1">
      <c r="A21" s="632">
        <v>13588</v>
      </c>
      <c r="B21" s="632" t="s">
        <v>14</v>
      </c>
      <c r="C21" s="632" t="s">
        <v>14</v>
      </c>
      <c r="D21" s="632" t="s">
        <v>125</v>
      </c>
      <c r="E21" s="633">
        <v>43378.369201388887</v>
      </c>
      <c r="F21" s="638">
        <v>43378.369201388887</v>
      </c>
      <c r="G21" s="634">
        <v>0.36874999999999997</v>
      </c>
      <c r="H21" s="635">
        <v>9.65</v>
      </c>
      <c r="I21" s="635">
        <v>8</v>
      </c>
      <c r="J21" s="635" t="s">
        <v>115</v>
      </c>
      <c r="K21" s="635"/>
      <c r="L21" s="635"/>
      <c r="M21" s="635"/>
      <c r="N21" s="635"/>
      <c r="O21" s="602"/>
      <c r="P21" s="444"/>
      <c r="Q21" s="444"/>
      <c r="R21" s="137"/>
      <c r="S21" s="137"/>
      <c r="T21" s="16"/>
      <c r="U21" s="16"/>
      <c r="V21" s="16"/>
    </row>
    <row r="22" spans="1:22" s="63" customFormat="1">
      <c r="A22" s="632">
        <v>13596</v>
      </c>
      <c r="B22" s="632" t="s">
        <v>14</v>
      </c>
      <c r="C22" s="632" t="s">
        <v>14</v>
      </c>
      <c r="D22" s="632" t="s">
        <v>126</v>
      </c>
      <c r="E22" s="633">
        <v>43378.770844907405</v>
      </c>
      <c r="F22" s="638">
        <v>43378.770844907405</v>
      </c>
      <c r="G22" s="634">
        <v>0.77083333333333337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603"/>
      <c r="P22" s="9"/>
      <c r="Q22" s="345"/>
      <c r="R22" s="372"/>
      <c r="S22" s="372"/>
      <c r="T22" s="373"/>
      <c r="U22" s="373"/>
      <c r="V22" s="373"/>
    </row>
    <row r="23" spans="1:22" s="16" customFormat="1">
      <c r="A23" s="632">
        <v>13602</v>
      </c>
      <c r="B23" s="632" t="s">
        <v>14</v>
      </c>
      <c r="C23" s="632" t="s">
        <v>14</v>
      </c>
      <c r="D23" s="632" t="s">
        <v>127</v>
      </c>
      <c r="E23" s="633">
        <v>43378.771643518521</v>
      </c>
      <c r="F23" s="638">
        <v>43378.771643518521</v>
      </c>
      <c r="G23" s="634">
        <v>0.7715277777777777</v>
      </c>
      <c r="H23" s="635" t="s">
        <v>115</v>
      </c>
      <c r="I23" s="635" t="s">
        <v>115</v>
      </c>
      <c r="J23" s="635" t="s">
        <v>115</v>
      </c>
      <c r="K23" s="635">
        <v>0.2333333333333325</v>
      </c>
      <c r="L23" s="635"/>
      <c r="M23" s="635">
        <v>0.2333333333333325</v>
      </c>
      <c r="N23" s="635">
        <v>0</v>
      </c>
      <c r="O23" s="602"/>
      <c r="P23" s="444"/>
      <c r="Q23" s="444"/>
      <c r="R23" s="137"/>
      <c r="S23" s="137"/>
    </row>
    <row r="24" spans="1:22" s="63" customFormat="1">
      <c r="A24" s="632">
        <v>13608</v>
      </c>
      <c r="B24" s="632" t="s">
        <v>14</v>
      </c>
      <c r="C24" s="632" t="s">
        <v>14</v>
      </c>
      <c r="D24" s="632" t="s">
        <v>128</v>
      </c>
      <c r="E24" s="633">
        <v>43378.781377314815</v>
      </c>
      <c r="F24" s="638">
        <v>43378.781377314815</v>
      </c>
      <c r="G24" s="634">
        <v>0.78125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603"/>
      <c r="P24" s="9"/>
      <c r="Q24" s="345"/>
      <c r="R24" s="372"/>
      <c r="S24" s="372"/>
      <c r="T24" s="373"/>
      <c r="U24" s="373"/>
      <c r="V24" s="373"/>
    </row>
    <row r="25" spans="1:22" s="16" customFormat="1">
      <c r="A25" s="632">
        <v>13620</v>
      </c>
      <c r="B25" s="632" t="s">
        <v>14</v>
      </c>
      <c r="C25" s="632" t="s">
        <v>14</v>
      </c>
      <c r="D25" s="632" t="s">
        <v>125</v>
      </c>
      <c r="E25" s="633">
        <v>43381.369317129633</v>
      </c>
      <c r="F25" s="638">
        <v>43381.369317129633</v>
      </c>
      <c r="G25" s="634">
        <v>0.36874999999999997</v>
      </c>
      <c r="H25" s="635">
        <v>9.65</v>
      </c>
      <c r="I25" s="635">
        <v>8</v>
      </c>
      <c r="J25" s="635" t="s">
        <v>115</v>
      </c>
      <c r="K25" s="635"/>
      <c r="L25" s="635"/>
      <c r="M25" s="635"/>
      <c r="N25" s="635"/>
      <c r="O25" s="603"/>
      <c r="P25" s="9"/>
      <c r="Q25" s="345"/>
      <c r="R25" s="372"/>
      <c r="S25" s="372"/>
      <c r="T25" s="373"/>
      <c r="U25" s="373"/>
      <c r="V25" s="373"/>
    </row>
    <row r="26" spans="1:22" s="63" customFormat="1">
      <c r="A26" s="632">
        <v>13633</v>
      </c>
      <c r="B26" s="632" t="s">
        <v>14</v>
      </c>
      <c r="C26" s="632" t="s">
        <v>14</v>
      </c>
      <c r="D26" s="632" t="s">
        <v>126</v>
      </c>
      <c r="E26" s="633">
        <v>43381.771238425928</v>
      </c>
      <c r="F26" s="638">
        <v>43381.771238425928</v>
      </c>
      <c r="G26" s="634">
        <v>0.77083333333333337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603"/>
      <c r="P26" s="9"/>
      <c r="Q26" s="345"/>
      <c r="R26" s="372"/>
      <c r="S26" s="372"/>
      <c r="T26" s="373"/>
      <c r="U26" s="373"/>
      <c r="V26" s="373"/>
    </row>
    <row r="27" spans="1:22">
      <c r="A27" s="632">
        <v>13645</v>
      </c>
      <c r="B27" s="632" t="s">
        <v>14</v>
      </c>
      <c r="C27" s="632" t="s">
        <v>14</v>
      </c>
      <c r="D27" s="632" t="s">
        <v>125</v>
      </c>
      <c r="E27" s="633">
        <v>43382.371006944442</v>
      </c>
      <c r="F27" s="638">
        <v>43382.371006944442</v>
      </c>
      <c r="G27" s="634">
        <v>0.37083333333333335</v>
      </c>
      <c r="H27" s="635">
        <v>9.6333333333333329</v>
      </c>
      <c r="I27" s="635">
        <v>8</v>
      </c>
      <c r="J27" s="635" t="s">
        <v>115</v>
      </c>
      <c r="K27" s="635"/>
      <c r="L27" s="635"/>
      <c r="M27" s="635"/>
      <c r="N27" s="635"/>
      <c r="O27" s="603"/>
      <c r="P27" s="9"/>
      <c r="R27" s="372"/>
      <c r="S27" s="372"/>
      <c r="T27" s="373"/>
      <c r="U27" s="373"/>
      <c r="V27" s="373"/>
    </row>
    <row r="28" spans="1:22">
      <c r="A28" s="632">
        <v>13659</v>
      </c>
      <c r="B28" s="632" t="s">
        <v>92</v>
      </c>
      <c r="C28" s="632" t="s">
        <v>14</v>
      </c>
      <c r="D28" s="632" t="s">
        <v>126</v>
      </c>
      <c r="E28" s="633">
        <v>43382.772222222222</v>
      </c>
      <c r="F28" s="638">
        <v>43382.772222222222</v>
      </c>
      <c r="G28" s="634">
        <v>0.77222222222222225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603"/>
      <c r="P28" s="9"/>
      <c r="R28" s="372"/>
      <c r="S28" s="372"/>
      <c r="T28" s="373"/>
      <c r="U28" s="373"/>
      <c r="V28" s="373"/>
    </row>
    <row r="29" spans="1:22" s="63" customFormat="1">
      <c r="A29" s="632"/>
      <c r="B29" s="632"/>
      <c r="C29" s="632"/>
      <c r="D29" s="632" t="s">
        <v>125</v>
      </c>
      <c r="E29" s="633">
        <v>43383.354409722226</v>
      </c>
      <c r="F29" s="638">
        <v>43383.354409722226</v>
      </c>
      <c r="G29" s="634">
        <v>0.35416666666666669</v>
      </c>
      <c r="H29" s="635"/>
      <c r="I29" s="635">
        <v>0</v>
      </c>
      <c r="J29" s="635">
        <v>8</v>
      </c>
      <c r="K29" s="635"/>
      <c r="L29" s="635"/>
      <c r="M29" s="635"/>
      <c r="N29" s="635"/>
      <c r="O29" s="628" t="s">
        <v>161</v>
      </c>
      <c r="P29" s="627"/>
      <c r="Q29" s="345"/>
      <c r="R29" s="372"/>
      <c r="S29" s="372"/>
      <c r="T29" s="373"/>
      <c r="U29" s="373"/>
      <c r="V29" s="373"/>
    </row>
    <row r="30" spans="1:22" s="63" customFormat="1">
      <c r="A30" s="632"/>
      <c r="B30" s="632"/>
      <c r="C30" s="632"/>
      <c r="D30" s="632" t="s">
        <v>126</v>
      </c>
      <c r="E30" s="633">
        <v>43383.75</v>
      </c>
      <c r="F30" s="638">
        <v>43383.771435185183</v>
      </c>
      <c r="G30" s="634">
        <v>0.75</v>
      </c>
      <c r="H30" s="635"/>
      <c r="I30" s="635"/>
      <c r="J30" s="635"/>
      <c r="K30" s="635"/>
      <c r="L30" s="635"/>
      <c r="M30" s="635"/>
      <c r="N30" s="635"/>
      <c r="O30" s="628"/>
      <c r="P30" s="627"/>
      <c r="Q30" s="345"/>
      <c r="R30" s="372"/>
      <c r="S30" s="372"/>
      <c r="T30" s="373"/>
      <c r="U30" s="373"/>
      <c r="V30" s="373"/>
    </row>
    <row r="31" spans="1:22" s="444" customFormat="1">
      <c r="A31" s="632">
        <v>13663</v>
      </c>
      <c r="B31" s="632" t="s">
        <v>14</v>
      </c>
      <c r="C31" s="632" t="s">
        <v>14</v>
      </c>
      <c r="D31" s="632" t="s">
        <v>125</v>
      </c>
      <c r="E31" s="633">
        <v>43384.367083333331</v>
      </c>
      <c r="F31" s="638">
        <v>43384.367083333331</v>
      </c>
      <c r="G31" s="634">
        <v>0.3666666666666667</v>
      </c>
      <c r="H31" s="635">
        <v>9.6500000000000021</v>
      </c>
      <c r="I31" s="635">
        <v>8</v>
      </c>
      <c r="J31" s="635" t="s">
        <v>115</v>
      </c>
      <c r="K31" s="635"/>
      <c r="L31" s="635"/>
      <c r="M31" s="635"/>
      <c r="N31" s="635"/>
      <c r="O31" s="493"/>
      <c r="R31" s="137"/>
      <c r="S31" s="137"/>
      <c r="T31" s="137"/>
      <c r="U31" s="137"/>
      <c r="V31" s="137"/>
    </row>
    <row r="32" spans="1:22" s="444" customFormat="1">
      <c r="A32" s="632">
        <v>13673</v>
      </c>
      <c r="B32" s="632" t="s">
        <v>14</v>
      </c>
      <c r="C32" s="632" t="s">
        <v>14</v>
      </c>
      <c r="D32" s="632" t="s">
        <v>126</v>
      </c>
      <c r="E32" s="633">
        <v>43384.76935185185</v>
      </c>
      <c r="F32" s="638">
        <v>43384.76935185185</v>
      </c>
      <c r="G32" s="634">
        <v>0.76874999999999993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602"/>
      <c r="R32" s="137"/>
      <c r="S32" s="137"/>
      <c r="T32" s="137"/>
      <c r="U32" s="137"/>
      <c r="V32" s="137"/>
    </row>
    <row r="33" spans="1:22" s="398" customFormat="1">
      <c r="A33" s="632">
        <v>13674</v>
      </c>
      <c r="B33" s="632" t="s">
        <v>14</v>
      </c>
      <c r="C33" s="632" t="s">
        <v>14</v>
      </c>
      <c r="D33" s="632" t="s">
        <v>127</v>
      </c>
      <c r="E33" s="633">
        <v>43384.769421296296</v>
      </c>
      <c r="F33" s="638">
        <v>43384.769421296296</v>
      </c>
      <c r="G33" s="634">
        <v>0.76874999999999993</v>
      </c>
      <c r="H33" s="635" t="s">
        <v>115</v>
      </c>
      <c r="I33" s="635" t="s">
        <v>115</v>
      </c>
      <c r="J33" s="635" t="s">
        <v>115</v>
      </c>
      <c r="K33" s="635">
        <v>0.68333333333333357</v>
      </c>
      <c r="L33" s="635"/>
      <c r="M33" s="635">
        <v>0.68333333333333357</v>
      </c>
      <c r="N33" s="635">
        <v>0</v>
      </c>
      <c r="O33" s="605"/>
      <c r="P33" s="9"/>
      <c r="Q33" s="345"/>
      <c r="R33" s="372"/>
      <c r="S33" s="401"/>
      <c r="T33" s="401"/>
      <c r="U33" s="401"/>
      <c r="V33" s="401"/>
    </row>
    <row r="34" spans="1:22" s="398" customFormat="1">
      <c r="A34" s="632">
        <v>13685</v>
      </c>
      <c r="B34" s="632" t="s">
        <v>14</v>
      </c>
      <c r="C34" s="632" t="s">
        <v>14</v>
      </c>
      <c r="D34" s="632" t="s">
        <v>128</v>
      </c>
      <c r="E34" s="633">
        <v>43384.797708333332</v>
      </c>
      <c r="F34" s="638">
        <v>43384.797708333332</v>
      </c>
      <c r="G34" s="634">
        <v>0.79722222222222217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605"/>
      <c r="P34" s="9"/>
      <c r="Q34" s="345"/>
      <c r="R34" s="372"/>
      <c r="S34" s="372"/>
      <c r="T34" s="373"/>
      <c r="U34" s="373"/>
      <c r="V34" s="373"/>
    </row>
    <row r="35" spans="1:22" s="631" customFormat="1">
      <c r="A35" s="632"/>
      <c r="B35" s="632"/>
      <c r="C35" s="632"/>
      <c r="D35" s="632" t="s">
        <v>125</v>
      </c>
      <c r="E35" s="633">
        <v>43385.354166666664</v>
      </c>
      <c r="F35" s="638">
        <v>43385.354166666664</v>
      </c>
      <c r="G35" s="634">
        <v>0.33333333333333331</v>
      </c>
      <c r="H35" s="635"/>
      <c r="I35" s="635">
        <v>0</v>
      </c>
      <c r="J35" s="635">
        <v>4</v>
      </c>
      <c r="K35" s="635"/>
      <c r="L35" s="635"/>
      <c r="M35" s="635"/>
      <c r="N35" s="635"/>
      <c r="O35" s="628" t="s">
        <v>165</v>
      </c>
      <c r="P35" s="627"/>
      <c r="Q35" s="345"/>
      <c r="R35" s="372"/>
      <c r="S35" s="372"/>
      <c r="T35" s="373"/>
      <c r="U35" s="373"/>
      <c r="V35" s="373"/>
    </row>
    <row r="36" spans="1:22" s="631" customFormat="1">
      <c r="A36" s="632"/>
      <c r="B36" s="632"/>
      <c r="C36" s="632"/>
      <c r="D36" s="632" t="s">
        <v>126</v>
      </c>
      <c r="E36" s="633">
        <v>43385.583333333336</v>
      </c>
      <c r="F36" s="638">
        <v>43385.75</v>
      </c>
      <c r="G36" s="634">
        <v>0.58333333333333337</v>
      </c>
      <c r="H36" s="635"/>
      <c r="I36" s="635"/>
      <c r="J36" s="635"/>
      <c r="K36" s="635"/>
      <c r="L36" s="635"/>
      <c r="M36" s="635"/>
      <c r="N36" s="635"/>
      <c r="O36" s="628"/>
      <c r="P36" s="627"/>
      <c r="Q36" s="345"/>
      <c r="R36" s="372"/>
      <c r="S36" s="372"/>
      <c r="T36" s="373"/>
      <c r="U36" s="373"/>
      <c r="V36" s="373"/>
    </row>
    <row r="37" spans="1:22" s="631" customFormat="1">
      <c r="A37" s="632"/>
      <c r="B37" s="632"/>
      <c r="C37" s="632"/>
      <c r="D37" s="632" t="s">
        <v>125</v>
      </c>
      <c r="E37" s="633">
        <v>43385.583333333336</v>
      </c>
      <c r="F37" s="638">
        <v>43385.354166666664</v>
      </c>
      <c r="G37" s="634">
        <v>0.58333333333333337</v>
      </c>
      <c r="H37" s="635"/>
      <c r="I37" s="635">
        <v>0</v>
      </c>
      <c r="J37" s="635">
        <v>4</v>
      </c>
      <c r="K37" s="635"/>
      <c r="L37" s="635"/>
      <c r="M37" s="635"/>
      <c r="N37" s="635"/>
      <c r="O37" s="628" t="s">
        <v>160</v>
      </c>
      <c r="P37" s="627"/>
      <c r="Q37" s="345"/>
      <c r="R37" s="372"/>
      <c r="S37" s="372"/>
      <c r="T37" s="373"/>
      <c r="U37" s="373"/>
      <c r="V37" s="373"/>
    </row>
    <row r="38" spans="1:22" s="631" customFormat="1">
      <c r="A38" s="632"/>
      <c r="B38" s="632"/>
      <c r="C38" s="632"/>
      <c r="D38" s="632" t="s">
        <v>126</v>
      </c>
      <c r="E38" s="633">
        <v>43385.75</v>
      </c>
      <c r="F38" s="638">
        <v>43385.75</v>
      </c>
      <c r="G38" s="634">
        <v>0.75</v>
      </c>
      <c r="H38" s="635"/>
      <c r="I38" s="635"/>
      <c r="J38" s="635"/>
      <c r="K38" s="635"/>
      <c r="L38" s="635"/>
      <c r="M38" s="635"/>
      <c r="N38" s="635"/>
      <c r="O38" s="628"/>
      <c r="P38" s="627"/>
      <c r="Q38" s="345"/>
      <c r="R38" s="372"/>
      <c r="S38" s="372"/>
      <c r="T38" s="373"/>
      <c r="U38" s="373"/>
      <c r="V38" s="373"/>
    </row>
    <row r="39" spans="1:22" s="9" customFormat="1">
      <c r="A39" s="632">
        <v>13723</v>
      </c>
      <c r="B39" s="632" t="s">
        <v>14</v>
      </c>
      <c r="C39" s="632" t="s">
        <v>14</v>
      </c>
      <c r="D39" s="632" t="s">
        <v>125</v>
      </c>
      <c r="E39" s="633">
        <v>43388.363634259258</v>
      </c>
      <c r="F39" s="638">
        <v>43388.363634259258</v>
      </c>
      <c r="G39" s="634">
        <v>0.36319444444444443</v>
      </c>
      <c r="H39" s="635">
        <v>9.8166666666666682</v>
      </c>
      <c r="I39" s="635">
        <v>8</v>
      </c>
      <c r="J39" s="635" t="s">
        <v>115</v>
      </c>
      <c r="K39" s="635"/>
      <c r="L39" s="635"/>
      <c r="M39" s="635"/>
      <c r="N39" s="635"/>
      <c r="O39" s="603"/>
      <c r="Q39" s="345"/>
      <c r="R39" s="372"/>
      <c r="S39" s="374"/>
      <c r="T39" s="375"/>
      <c r="U39" s="375"/>
      <c r="V39" s="375"/>
    </row>
    <row r="40" spans="1:22" s="9" customFormat="1">
      <c r="A40" s="632">
        <v>13740</v>
      </c>
      <c r="B40" s="632" t="s">
        <v>14</v>
      </c>
      <c r="C40" s="632" t="s">
        <v>14</v>
      </c>
      <c r="D40" s="632" t="s">
        <v>126</v>
      </c>
      <c r="E40" s="633">
        <v>43388.772905092592</v>
      </c>
      <c r="F40" s="638">
        <v>43388.772905092592</v>
      </c>
      <c r="G40" s="634">
        <v>0.77222222222222225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603"/>
      <c r="Q40" s="345"/>
      <c r="R40" s="372"/>
      <c r="S40" s="345"/>
      <c r="T40" s="335"/>
      <c r="U40" s="335"/>
      <c r="V40" s="335"/>
    </row>
    <row r="41" spans="1:22" s="9" customFormat="1">
      <c r="A41" s="632">
        <v>13748</v>
      </c>
      <c r="B41" s="632" t="s">
        <v>92</v>
      </c>
      <c r="C41" s="632" t="s">
        <v>14</v>
      </c>
      <c r="D41" s="632" t="s">
        <v>125</v>
      </c>
      <c r="E41" s="633">
        <v>43389.363634259258</v>
      </c>
      <c r="F41" s="638">
        <v>43389.363634259258</v>
      </c>
      <c r="G41" s="634">
        <v>0.36319444444444443</v>
      </c>
      <c r="H41" s="635">
        <v>9.7000000000000011</v>
      </c>
      <c r="I41" s="635">
        <v>8</v>
      </c>
      <c r="J41" s="635" t="s">
        <v>115</v>
      </c>
      <c r="K41" s="635"/>
      <c r="L41" s="635"/>
      <c r="M41" s="635"/>
      <c r="N41" s="635"/>
      <c r="O41" s="603"/>
      <c r="Q41" s="345"/>
      <c r="R41" s="372"/>
      <c r="S41" s="372"/>
      <c r="T41" s="373"/>
      <c r="U41" s="373"/>
      <c r="V41" s="373"/>
    </row>
    <row r="42" spans="1:22" s="9" customFormat="1">
      <c r="A42" s="632">
        <v>13762</v>
      </c>
      <c r="B42" s="632" t="s">
        <v>14</v>
      </c>
      <c r="C42" s="632" t="s">
        <v>14</v>
      </c>
      <c r="D42" s="632" t="s">
        <v>126</v>
      </c>
      <c r="E42" s="633">
        <v>43389.767789351848</v>
      </c>
      <c r="F42" s="638">
        <v>43389.767789351848</v>
      </c>
      <c r="G42" s="634">
        <v>0.76736111111111116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03"/>
      <c r="Q42" s="345"/>
      <c r="R42" s="372"/>
      <c r="S42" s="18"/>
      <c r="T42" s="63"/>
      <c r="U42" s="63"/>
      <c r="V42" s="63"/>
    </row>
    <row r="43" spans="1:22" s="137" customFormat="1">
      <c r="A43" s="632">
        <v>13765</v>
      </c>
      <c r="B43" s="632" t="s">
        <v>14</v>
      </c>
      <c r="C43" s="632" t="s">
        <v>14</v>
      </c>
      <c r="D43" s="632" t="s">
        <v>127</v>
      </c>
      <c r="E43" s="633">
        <v>43389.76971064815</v>
      </c>
      <c r="F43" s="638">
        <v>43389.76971064815</v>
      </c>
      <c r="G43" s="634">
        <v>0.76944444444444438</v>
      </c>
      <c r="H43" s="635" t="s">
        <v>115</v>
      </c>
      <c r="I43" s="635" t="s">
        <v>115</v>
      </c>
      <c r="J43" s="635" t="s">
        <v>115</v>
      </c>
      <c r="K43" s="635">
        <v>0.84999999999999964</v>
      </c>
      <c r="L43" s="635"/>
      <c r="M43" s="635">
        <v>0.84999999999999964</v>
      </c>
      <c r="N43" s="635">
        <v>0</v>
      </c>
      <c r="O43" s="603"/>
      <c r="P43" s="9"/>
      <c r="Q43" s="345"/>
      <c r="R43" s="372"/>
      <c r="S43" s="16"/>
      <c r="T43" s="16"/>
      <c r="U43" s="16"/>
      <c r="V43" s="16"/>
    </row>
    <row r="44" spans="1:22" s="137" customFormat="1">
      <c r="A44" s="632">
        <v>13770</v>
      </c>
      <c r="B44" s="632" t="s">
        <v>92</v>
      </c>
      <c r="C44" s="632" t="s">
        <v>14</v>
      </c>
      <c r="D44" s="632" t="s">
        <v>128</v>
      </c>
      <c r="E44" s="633">
        <v>43389.80505787037</v>
      </c>
      <c r="F44" s="638">
        <v>43389.80505787037</v>
      </c>
      <c r="G44" s="634">
        <v>0.80486111111111114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603"/>
      <c r="P44" s="9"/>
      <c r="Q44" s="345"/>
      <c r="R44" s="372"/>
      <c r="S44" s="16"/>
      <c r="T44" s="16"/>
      <c r="U44" s="16"/>
      <c r="V44" s="16"/>
    </row>
    <row r="45" spans="1:22" s="18" customFormat="1">
      <c r="A45" s="632">
        <v>13779</v>
      </c>
      <c r="B45" s="632" t="s">
        <v>92</v>
      </c>
      <c r="C45" s="632" t="s">
        <v>14</v>
      </c>
      <c r="D45" s="632" t="s">
        <v>125</v>
      </c>
      <c r="E45" s="633">
        <v>43390.364178240743</v>
      </c>
      <c r="F45" s="638">
        <v>43390.364178240743</v>
      </c>
      <c r="G45" s="634">
        <v>0.36388888888888887</v>
      </c>
      <c r="H45" s="635">
        <v>9.6833333333333353</v>
      </c>
      <c r="I45" s="635">
        <v>8</v>
      </c>
      <c r="J45" s="635" t="s">
        <v>115</v>
      </c>
      <c r="K45" s="635"/>
      <c r="L45" s="635"/>
      <c r="M45" s="635"/>
      <c r="N45" s="635"/>
      <c r="O45" s="603"/>
      <c r="P45" s="9"/>
      <c r="Q45" s="345"/>
      <c r="R45" s="372"/>
      <c r="S45" s="370"/>
      <c r="T45" s="371"/>
      <c r="U45" s="371"/>
      <c r="V45" s="371"/>
    </row>
    <row r="46" spans="1:22" s="18" customFormat="1">
      <c r="A46" s="632">
        <v>13785</v>
      </c>
      <c r="B46" s="632" t="s">
        <v>14</v>
      </c>
      <c r="C46" s="632" t="s">
        <v>14</v>
      </c>
      <c r="D46" s="632" t="s">
        <v>126</v>
      </c>
      <c r="E46" s="633">
        <v>43390.767395833333</v>
      </c>
      <c r="F46" s="638">
        <v>43390.767395833333</v>
      </c>
      <c r="G46" s="634">
        <v>0.76736111111111116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603"/>
      <c r="P46" s="9"/>
      <c r="Q46" s="345"/>
      <c r="R46" s="372"/>
      <c r="T46" s="63"/>
      <c r="U46" s="63"/>
      <c r="V46" s="63"/>
    </row>
    <row r="47" spans="1:22" s="137" customFormat="1">
      <c r="A47" s="632">
        <v>13787</v>
      </c>
      <c r="B47" s="632" t="s">
        <v>14</v>
      </c>
      <c r="C47" s="632" t="s">
        <v>14</v>
      </c>
      <c r="D47" s="632" t="s">
        <v>127</v>
      </c>
      <c r="E47" s="633">
        <v>43390.771168981482</v>
      </c>
      <c r="F47" s="638">
        <v>43390.771168981482</v>
      </c>
      <c r="G47" s="634">
        <v>0.77083333333333337</v>
      </c>
      <c r="H47" s="635" t="s">
        <v>115</v>
      </c>
      <c r="I47" s="635" t="s">
        <v>115</v>
      </c>
      <c r="J47" s="635" t="s">
        <v>115</v>
      </c>
      <c r="K47" s="635">
        <v>0.49999999999999822</v>
      </c>
      <c r="L47" s="635"/>
      <c r="M47" s="635">
        <v>0.49999999999999822</v>
      </c>
      <c r="N47" s="635">
        <v>0</v>
      </c>
      <c r="O47" s="603"/>
      <c r="P47" s="9"/>
      <c r="Q47" s="345"/>
      <c r="R47" s="372"/>
      <c r="S47" s="18"/>
      <c r="T47" s="63"/>
      <c r="U47" s="63"/>
      <c r="V47" s="63"/>
    </row>
    <row r="48" spans="1:22" s="18" customFormat="1">
      <c r="A48" s="632">
        <v>13798</v>
      </c>
      <c r="B48" s="632" t="s">
        <v>14</v>
      </c>
      <c r="C48" s="632" t="s">
        <v>14</v>
      </c>
      <c r="D48" s="632" t="s">
        <v>128</v>
      </c>
      <c r="E48" s="633">
        <v>43390.791863425926</v>
      </c>
      <c r="F48" s="638">
        <v>43390.791863425926</v>
      </c>
      <c r="G48" s="634">
        <v>0.79166666666666663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603"/>
      <c r="P48" s="9"/>
      <c r="Q48" s="345"/>
      <c r="R48" s="372"/>
      <c r="S48" s="370"/>
      <c r="T48" s="371"/>
      <c r="U48" s="371"/>
      <c r="V48" s="371"/>
    </row>
    <row r="49" spans="1:22" s="18" customFormat="1">
      <c r="A49" s="632">
        <v>13809</v>
      </c>
      <c r="B49" s="632" t="s">
        <v>14</v>
      </c>
      <c r="C49" s="632" t="s">
        <v>14</v>
      </c>
      <c r="D49" s="632" t="s">
        <v>125</v>
      </c>
      <c r="E49" s="633">
        <v>43391.358425925922</v>
      </c>
      <c r="F49" s="638">
        <v>43391.358425925922</v>
      </c>
      <c r="G49" s="634">
        <v>0.35833333333333334</v>
      </c>
      <c r="H49" s="635">
        <v>9.8166666666666682</v>
      </c>
      <c r="I49" s="635">
        <v>8</v>
      </c>
      <c r="J49" s="635" t="s">
        <v>115</v>
      </c>
      <c r="K49" s="635"/>
      <c r="L49" s="635"/>
      <c r="M49" s="635"/>
      <c r="N49" s="635"/>
      <c r="O49" s="603"/>
      <c r="P49" s="9"/>
      <c r="Q49" s="345"/>
      <c r="R49" s="372"/>
      <c r="S49" s="374"/>
      <c r="T49" s="375"/>
      <c r="U49" s="375"/>
      <c r="V49" s="375"/>
    </row>
    <row r="50" spans="1:22" s="18" customFormat="1">
      <c r="A50" s="632">
        <v>13817</v>
      </c>
      <c r="B50" s="632" t="s">
        <v>14</v>
      </c>
      <c r="C50" s="632" t="s">
        <v>14</v>
      </c>
      <c r="D50" s="632" t="s">
        <v>126</v>
      </c>
      <c r="E50" s="633">
        <v>43391.767997685187</v>
      </c>
      <c r="F50" s="638">
        <v>43391.767997685187</v>
      </c>
      <c r="G50" s="634">
        <v>0.76736111111111116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603"/>
      <c r="P50" s="9"/>
      <c r="Q50" s="345"/>
      <c r="R50" s="372"/>
      <c r="S50" s="345"/>
      <c r="T50" s="335"/>
      <c r="U50" s="335"/>
      <c r="V50" s="335"/>
    </row>
    <row r="51" spans="1:22" s="18" customFormat="1">
      <c r="A51" s="632">
        <v>13829</v>
      </c>
      <c r="B51" s="632" t="s">
        <v>14</v>
      </c>
      <c r="C51" s="632" t="s">
        <v>14</v>
      </c>
      <c r="D51" s="632" t="s">
        <v>125</v>
      </c>
      <c r="E51" s="633">
        <v>43392.36513888889</v>
      </c>
      <c r="F51" s="638">
        <v>43392.36513888889</v>
      </c>
      <c r="G51" s="634">
        <v>0.36458333333333331</v>
      </c>
      <c r="H51" s="635">
        <v>9.7000000000000011</v>
      </c>
      <c r="I51" s="635">
        <v>8</v>
      </c>
      <c r="J51" s="635" t="s">
        <v>115</v>
      </c>
      <c r="K51" s="635"/>
      <c r="L51" s="635"/>
      <c r="M51" s="635"/>
      <c r="N51" s="635"/>
      <c r="O51" s="603"/>
      <c r="P51" s="9"/>
      <c r="Q51" s="345"/>
      <c r="R51" s="372"/>
      <c r="S51" s="370"/>
      <c r="T51" s="371"/>
      <c r="U51" s="371"/>
      <c r="V51" s="371"/>
    </row>
    <row r="52" spans="1:22" s="18" customFormat="1">
      <c r="A52" s="632">
        <v>13840</v>
      </c>
      <c r="B52" s="632" t="s">
        <v>14</v>
      </c>
      <c r="C52" s="632" t="s">
        <v>14</v>
      </c>
      <c r="D52" s="632" t="s">
        <v>126</v>
      </c>
      <c r="E52" s="633">
        <v>43392.768796296295</v>
      </c>
      <c r="F52" s="638">
        <v>43392.768796296295</v>
      </c>
      <c r="G52" s="634">
        <v>0.76874999999999993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O52" s="603"/>
      <c r="P52" s="9"/>
      <c r="Q52" s="345"/>
      <c r="R52" s="372"/>
      <c r="S52" s="370"/>
      <c r="T52" s="371"/>
      <c r="U52" s="371"/>
      <c r="V52" s="371"/>
    </row>
    <row r="53" spans="1:22" s="63" customFormat="1">
      <c r="A53" s="632"/>
      <c r="B53" s="632"/>
      <c r="C53" s="632"/>
      <c r="D53" s="632" t="s">
        <v>125</v>
      </c>
      <c r="E53" s="633">
        <v>43395.354166666664</v>
      </c>
      <c r="F53" s="638">
        <v>43395.354166666664</v>
      </c>
      <c r="G53" s="634">
        <v>0.35416666666666669</v>
      </c>
      <c r="H53" s="635"/>
      <c r="I53" s="635">
        <v>0</v>
      </c>
      <c r="J53" s="635">
        <v>8</v>
      </c>
      <c r="K53" s="635"/>
      <c r="L53" s="635"/>
      <c r="M53" s="635"/>
      <c r="N53" s="635"/>
      <c r="O53" s="628" t="s">
        <v>160</v>
      </c>
      <c r="P53" s="627"/>
      <c r="Q53" s="345"/>
      <c r="R53" s="372"/>
      <c r="S53" s="372"/>
      <c r="T53" s="373"/>
      <c r="U53" s="373"/>
      <c r="V53" s="373"/>
    </row>
    <row r="54" spans="1:22" s="63" customFormat="1">
      <c r="A54" s="632"/>
      <c r="B54" s="632"/>
      <c r="C54" s="632"/>
      <c r="D54" s="632" t="s">
        <v>126</v>
      </c>
      <c r="E54" s="633">
        <v>43395.75</v>
      </c>
      <c r="F54" s="638">
        <v>43395.75</v>
      </c>
      <c r="G54" s="634">
        <v>0.75</v>
      </c>
      <c r="H54" s="635"/>
      <c r="I54" s="635"/>
      <c r="J54" s="635"/>
      <c r="K54" s="635"/>
      <c r="L54" s="635"/>
      <c r="M54" s="635"/>
      <c r="N54" s="635"/>
      <c r="O54" s="628"/>
      <c r="P54" s="627"/>
      <c r="Q54" s="345"/>
      <c r="R54" s="372"/>
      <c r="S54" s="372"/>
      <c r="T54" s="373"/>
      <c r="U54" s="373"/>
      <c r="V54" s="373"/>
    </row>
    <row r="55" spans="1:22" s="18" customFormat="1">
      <c r="A55" s="632">
        <v>13879</v>
      </c>
      <c r="B55" s="632" t="s">
        <v>14</v>
      </c>
      <c r="C55" s="632" t="s">
        <v>14</v>
      </c>
      <c r="D55" s="632" t="s">
        <v>125</v>
      </c>
      <c r="E55" s="633">
        <v>43396.357256944444</v>
      </c>
      <c r="F55" s="638">
        <v>43396.357256944444</v>
      </c>
      <c r="G55" s="634">
        <v>0.35694444444444445</v>
      </c>
      <c r="H55" s="635">
        <v>9.7999999999999989</v>
      </c>
      <c r="I55" s="635">
        <v>8</v>
      </c>
      <c r="J55" s="635" t="s">
        <v>115</v>
      </c>
      <c r="K55" s="635"/>
      <c r="L55" s="635"/>
      <c r="M55" s="635"/>
      <c r="N55" s="635"/>
      <c r="O55" s="603"/>
      <c r="P55" s="9"/>
      <c r="Q55" s="345"/>
      <c r="R55" s="372"/>
      <c r="S55" s="370"/>
      <c r="T55" s="371"/>
      <c r="U55" s="371"/>
      <c r="V55" s="371"/>
    </row>
    <row r="56" spans="1:22" s="18" customFormat="1">
      <c r="A56" s="632">
        <v>13893</v>
      </c>
      <c r="B56" s="632" t="s">
        <v>14</v>
      </c>
      <c r="C56" s="632" t="s">
        <v>14</v>
      </c>
      <c r="D56" s="632" t="s">
        <v>126</v>
      </c>
      <c r="E56" s="633">
        <v>43396.7656712963</v>
      </c>
      <c r="F56" s="638">
        <v>43396.7656712963</v>
      </c>
      <c r="G56" s="634">
        <v>0.76527777777777783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  <c r="O56" s="603"/>
      <c r="P56" s="9"/>
      <c r="Q56" s="345"/>
      <c r="R56" s="372"/>
      <c r="T56" s="63"/>
      <c r="U56" s="63"/>
      <c r="V56" s="63"/>
    </row>
    <row r="57" spans="1:22" s="18" customFormat="1">
      <c r="A57" s="632">
        <v>13894</v>
      </c>
      <c r="B57" s="632" t="s">
        <v>14</v>
      </c>
      <c r="C57" s="632" t="s">
        <v>14</v>
      </c>
      <c r="D57" s="632" t="s">
        <v>127</v>
      </c>
      <c r="E57" s="633">
        <v>43396.770960648151</v>
      </c>
      <c r="F57" s="638">
        <v>43396.770960648151</v>
      </c>
      <c r="G57" s="634">
        <v>0.77083333333333337</v>
      </c>
      <c r="H57" s="635" t="s">
        <v>115</v>
      </c>
      <c r="I57" s="635" t="s">
        <v>115</v>
      </c>
      <c r="J57" s="635" t="s">
        <v>115</v>
      </c>
      <c r="K57" s="635">
        <v>0.9666666666666659</v>
      </c>
      <c r="L57" s="635"/>
      <c r="M57" s="635">
        <v>0.9666666666666659</v>
      </c>
      <c r="N57" s="635">
        <v>0</v>
      </c>
      <c r="O57" s="603"/>
      <c r="P57" s="9"/>
      <c r="Q57" s="345"/>
      <c r="R57" s="372"/>
      <c r="S57" s="137"/>
      <c r="T57" s="137"/>
      <c r="U57" s="137"/>
      <c r="V57" s="137"/>
    </row>
    <row r="58" spans="1:22" s="18" customFormat="1">
      <c r="A58" s="632">
        <v>13905</v>
      </c>
      <c r="B58" s="632" t="s">
        <v>14</v>
      </c>
      <c r="C58" s="632" t="s">
        <v>14</v>
      </c>
      <c r="D58" s="632" t="s">
        <v>128</v>
      </c>
      <c r="E58" s="633">
        <v>43396.81150462963</v>
      </c>
      <c r="F58" s="638">
        <v>43396.81150462963</v>
      </c>
      <c r="G58" s="634">
        <v>0.81111111111111101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  <c r="O58" s="603"/>
      <c r="P58" s="9"/>
      <c r="Q58" s="345"/>
      <c r="R58" s="372"/>
      <c r="S58" s="137"/>
      <c r="T58" s="137"/>
      <c r="U58" s="137"/>
      <c r="V58" s="137"/>
    </row>
    <row r="59" spans="1:22" s="63" customFormat="1">
      <c r="A59" s="632">
        <v>13914</v>
      </c>
      <c r="B59" s="632" t="s">
        <v>14</v>
      </c>
      <c r="C59" s="632" t="s">
        <v>14</v>
      </c>
      <c r="D59" s="632" t="s">
        <v>125</v>
      </c>
      <c r="E59" s="633">
        <v>43397.3674537037</v>
      </c>
      <c r="F59" s="638">
        <v>43397.3674537037</v>
      </c>
      <c r="G59" s="634">
        <v>0.36736111111111108</v>
      </c>
      <c r="H59" s="635">
        <v>9.6666666666666679</v>
      </c>
      <c r="I59" s="635">
        <v>8</v>
      </c>
      <c r="J59" s="635" t="s">
        <v>115</v>
      </c>
      <c r="K59" s="635"/>
      <c r="L59" s="635"/>
      <c r="M59" s="635"/>
      <c r="N59" s="635"/>
      <c r="O59" s="603"/>
      <c r="P59" s="9"/>
      <c r="Q59" s="345"/>
      <c r="R59" s="372"/>
      <c r="S59" s="137"/>
      <c r="T59" s="137"/>
      <c r="U59" s="137"/>
      <c r="V59" s="137"/>
    </row>
    <row r="60" spans="1:22" s="63" customFormat="1">
      <c r="A60" s="632">
        <v>13922</v>
      </c>
      <c r="B60" s="632" t="s">
        <v>14</v>
      </c>
      <c r="C60" s="632" t="s">
        <v>14</v>
      </c>
      <c r="D60" s="632" t="s">
        <v>126</v>
      </c>
      <c r="E60" s="633">
        <v>43397.770439814813</v>
      </c>
      <c r="F60" s="638">
        <v>43397.770439814813</v>
      </c>
      <c r="G60" s="634">
        <v>0.77013888888888893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  <c r="O60" s="603"/>
      <c r="P60" s="9"/>
      <c r="Q60" s="345"/>
      <c r="R60" s="372"/>
      <c r="S60" s="137"/>
      <c r="T60" s="137"/>
      <c r="U60" s="137"/>
      <c r="V60" s="137"/>
    </row>
    <row r="61" spans="1:22" s="16" customFormat="1">
      <c r="A61" s="632">
        <v>13924</v>
      </c>
      <c r="B61" s="632" t="s">
        <v>14</v>
      </c>
      <c r="C61" s="632" t="s">
        <v>14</v>
      </c>
      <c r="D61" s="632" t="s">
        <v>127</v>
      </c>
      <c r="E61" s="633">
        <v>43397.770914351851</v>
      </c>
      <c r="F61" s="638">
        <v>43397.770914351851</v>
      </c>
      <c r="G61" s="634">
        <v>0.77083333333333337</v>
      </c>
      <c r="H61" s="635" t="s">
        <v>115</v>
      </c>
      <c r="I61" s="635" t="s">
        <v>115</v>
      </c>
      <c r="J61" s="635" t="s">
        <v>115</v>
      </c>
      <c r="K61" s="635">
        <v>0.63333333333333375</v>
      </c>
      <c r="L61" s="635"/>
      <c r="M61" s="635">
        <v>0.63333333333333375</v>
      </c>
      <c r="N61" s="635">
        <v>0</v>
      </c>
      <c r="O61" s="602"/>
      <c r="P61" s="444"/>
      <c r="Q61" s="444"/>
      <c r="R61" s="137"/>
      <c r="S61" s="137"/>
      <c r="T61" s="137"/>
      <c r="U61" s="137"/>
      <c r="V61" s="137"/>
    </row>
    <row r="62" spans="1:22" s="63" customFormat="1">
      <c r="A62" s="632">
        <v>13930</v>
      </c>
      <c r="B62" s="632" t="s">
        <v>14</v>
      </c>
      <c r="C62" s="632" t="s">
        <v>14</v>
      </c>
      <c r="D62" s="632" t="s">
        <v>128</v>
      </c>
      <c r="E62" s="633">
        <v>43397.797673611109</v>
      </c>
      <c r="F62" s="638">
        <v>43397.797673611109</v>
      </c>
      <c r="G62" s="634">
        <v>0.79722222222222217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  <c r="O62" s="603"/>
      <c r="P62" s="9"/>
      <c r="Q62" s="345"/>
      <c r="R62" s="372"/>
      <c r="S62" s="137"/>
      <c r="T62" s="137"/>
      <c r="U62" s="137"/>
      <c r="V62" s="137"/>
    </row>
    <row r="63" spans="1:22" s="63" customFormat="1">
      <c r="A63" s="632">
        <v>13939</v>
      </c>
      <c r="B63" s="632" t="s">
        <v>14</v>
      </c>
      <c r="C63" s="632" t="s">
        <v>14</v>
      </c>
      <c r="D63" s="632" t="s">
        <v>125</v>
      </c>
      <c r="E63" s="633">
        <v>43398.369212962964</v>
      </c>
      <c r="F63" s="638">
        <v>43398.369212962964</v>
      </c>
      <c r="G63" s="634">
        <v>0.36874999999999997</v>
      </c>
      <c r="H63" s="635">
        <v>9.65</v>
      </c>
      <c r="I63" s="635">
        <v>8</v>
      </c>
      <c r="J63" s="635" t="s">
        <v>115</v>
      </c>
      <c r="K63" s="635"/>
      <c r="L63" s="635"/>
      <c r="M63" s="635"/>
      <c r="N63" s="635"/>
      <c r="O63" s="603"/>
      <c r="P63" s="9"/>
      <c r="Q63" s="345"/>
      <c r="R63" s="372"/>
      <c r="S63" s="18"/>
    </row>
    <row r="64" spans="1:22" s="63" customFormat="1">
      <c r="A64" s="632">
        <v>13947</v>
      </c>
      <c r="B64" s="632" t="s">
        <v>14</v>
      </c>
      <c r="C64" s="632" t="s">
        <v>14</v>
      </c>
      <c r="D64" s="632" t="s">
        <v>126</v>
      </c>
      <c r="E64" s="633">
        <v>43398.771226851852</v>
      </c>
      <c r="F64" s="638">
        <v>43398.771226851852</v>
      </c>
      <c r="G64" s="634">
        <v>0.77083333333333337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  <c r="O64" s="603"/>
      <c r="P64" s="9"/>
      <c r="Q64" s="345"/>
      <c r="R64" s="372"/>
      <c r="S64" s="345"/>
      <c r="T64" s="335"/>
      <c r="U64" s="335"/>
      <c r="V64" s="335"/>
    </row>
    <row r="65" spans="1:22" s="63" customFormat="1">
      <c r="A65" s="632">
        <v>13948</v>
      </c>
      <c r="B65" s="632" t="s">
        <v>14</v>
      </c>
      <c r="C65" s="632" t="s">
        <v>14</v>
      </c>
      <c r="D65" s="632" t="s">
        <v>127</v>
      </c>
      <c r="E65" s="633">
        <v>43398.771261574075</v>
      </c>
      <c r="F65" s="638">
        <v>43398.771261574075</v>
      </c>
      <c r="G65" s="634">
        <v>0.77083333333333337</v>
      </c>
      <c r="H65" s="635" t="s">
        <v>115</v>
      </c>
      <c r="I65" s="635" t="s">
        <v>115</v>
      </c>
      <c r="J65" s="635" t="s">
        <v>115</v>
      </c>
      <c r="K65" s="635">
        <v>0.99999999999999911</v>
      </c>
      <c r="L65" s="635"/>
      <c r="M65" s="635">
        <v>0.99999999999999911</v>
      </c>
      <c r="N65" s="635">
        <v>0</v>
      </c>
      <c r="O65" s="604"/>
      <c r="P65" s="9"/>
      <c r="Q65" s="345"/>
      <c r="R65" s="372"/>
      <c r="S65" s="374"/>
      <c r="T65" s="375"/>
      <c r="U65" s="375"/>
      <c r="V65" s="375"/>
    </row>
    <row r="66" spans="1:22">
      <c r="A66" s="585"/>
      <c r="B66" s="585" t="s">
        <v>14</v>
      </c>
      <c r="C66" s="585" t="s">
        <v>14</v>
      </c>
      <c r="D66" s="585" t="s">
        <v>157</v>
      </c>
      <c r="E66" s="534">
        <v>43398.812662037039</v>
      </c>
      <c r="F66" s="638">
        <v>43398.812662037039</v>
      </c>
      <c r="G66" s="634">
        <v>0.8125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  <c r="O66" s="603"/>
      <c r="P66" s="9"/>
      <c r="R66" s="372"/>
    </row>
    <row r="67" spans="1:22">
      <c r="A67" s="632">
        <v>13962</v>
      </c>
      <c r="B67" s="632" t="s">
        <v>14</v>
      </c>
      <c r="C67" s="632" t="s">
        <v>14</v>
      </c>
      <c r="D67" s="632" t="s">
        <v>125</v>
      </c>
      <c r="E67" s="633">
        <v>43399.365127314813</v>
      </c>
      <c r="F67" s="638">
        <v>43399.365127314813</v>
      </c>
      <c r="G67" s="634">
        <v>0.36458333333333331</v>
      </c>
      <c r="H67" s="635">
        <v>9.7000000000000011</v>
      </c>
      <c r="I67" s="635">
        <v>8</v>
      </c>
      <c r="J67" s="635" t="s">
        <v>115</v>
      </c>
      <c r="K67" s="635"/>
      <c r="L67" s="635"/>
      <c r="M67" s="635"/>
      <c r="N67" s="635"/>
      <c r="O67" s="603"/>
      <c r="P67" s="9"/>
      <c r="R67" s="372"/>
    </row>
    <row r="68" spans="1:22">
      <c r="A68" s="632">
        <v>13968</v>
      </c>
      <c r="B68" s="632" t="s">
        <v>92</v>
      </c>
      <c r="C68" s="632" t="s">
        <v>14</v>
      </c>
      <c r="D68" s="632" t="s">
        <v>126</v>
      </c>
      <c r="E68" s="633">
        <v>43399.769062500003</v>
      </c>
      <c r="F68" s="638">
        <v>43399.769062500003</v>
      </c>
      <c r="G68" s="634">
        <v>0.76874999999999993</v>
      </c>
      <c r="H68" s="635" t="s">
        <v>115</v>
      </c>
      <c r="I68" s="635" t="s">
        <v>115</v>
      </c>
      <c r="J68" s="635" t="s">
        <v>115</v>
      </c>
      <c r="K68" s="635"/>
      <c r="L68" s="635"/>
      <c r="M68" s="635"/>
      <c r="N68" s="635"/>
      <c r="O68" s="602"/>
      <c r="P68" s="9"/>
      <c r="R68" s="372"/>
    </row>
    <row r="69" spans="1:22">
      <c r="A69" s="632">
        <v>13980</v>
      </c>
      <c r="B69" s="632" t="s">
        <v>14</v>
      </c>
      <c r="C69" s="632" t="s">
        <v>14</v>
      </c>
      <c r="D69" s="632" t="s">
        <v>125</v>
      </c>
      <c r="E69" s="633">
        <v>43402.364618055559</v>
      </c>
      <c r="F69" s="638">
        <v>43402.364618055559</v>
      </c>
      <c r="G69" s="634">
        <v>0.36458333333333331</v>
      </c>
      <c r="H69" s="635">
        <v>9.7333333333333343</v>
      </c>
      <c r="I69" s="635">
        <v>8</v>
      </c>
      <c r="J69" s="635" t="s">
        <v>115</v>
      </c>
      <c r="K69" s="635"/>
      <c r="L69" s="635"/>
      <c r="M69" s="635"/>
      <c r="N69" s="635"/>
      <c r="O69" s="603"/>
      <c r="P69" s="9"/>
      <c r="R69" s="372"/>
      <c r="S69" s="137"/>
      <c r="T69" s="16"/>
      <c r="U69" s="16"/>
      <c r="V69" s="16"/>
    </row>
    <row r="70" spans="1:22">
      <c r="A70" s="632">
        <v>13994</v>
      </c>
      <c r="B70" s="632" t="s">
        <v>14</v>
      </c>
      <c r="C70" s="632" t="s">
        <v>14</v>
      </c>
      <c r="D70" s="632" t="s">
        <v>126</v>
      </c>
      <c r="E70" s="633">
        <v>43402.770613425928</v>
      </c>
      <c r="F70" s="638">
        <v>43402.770613425928</v>
      </c>
      <c r="G70" s="634">
        <v>0.77013888888888893</v>
      </c>
      <c r="H70" s="635" t="s">
        <v>115</v>
      </c>
      <c r="I70" s="635" t="s">
        <v>115</v>
      </c>
      <c r="J70" s="635" t="s">
        <v>115</v>
      </c>
      <c r="K70" s="635"/>
      <c r="L70" s="635"/>
      <c r="M70" s="635"/>
      <c r="N70" s="635"/>
      <c r="O70" s="603"/>
      <c r="P70" s="9"/>
      <c r="R70" s="372"/>
      <c r="S70" s="137"/>
      <c r="T70" s="16"/>
      <c r="U70" s="16"/>
      <c r="V70" s="16"/>
    </row>
    <row r="71" spans="1:22">
      <c r="A71" s="632">
        <v>13995</v>
      </c>
      <c r="B71" s="632" t="s">
        <v>14</v>
      </c>
      <c r="C71" s="632" t="s">
        <v>14</v>
      </c>
      <c r="D71" s="632" t="s">
        <v>127</v>
      </c>
      <c r="E71" s="633">
        <v>43402.770671296297</v>
      </c>
      <c r="F71" s="638">
        <v>43402.770671296297</v>
      </c>
      <c r="G71" s="634">
        <v>0.77013888888888893</v>
      </c>
      <c r="H71" s="635" t="s">
        <v>115</v>
      </c>
      <c r="I71" s="635" t="s">
        <v>115</v>
      </c>
      <c r="J71" s="635" t="s">
        <v>115</v>
      </c>
      <c r="K71" s="635">
        <v>0.36666666666666536</v>
      </c>
      <c r="L71" s="635"/>
      <c r="M71" s="635">
        <v>0.36666666666666536</v>
      </c>
      <c r="N71" s="635">
        <v>0</v>
      </c>
      <c r="O71" s="603"/>
      <c r="P71" s="137"/>
      <c r="Q71" s="137"/>
      <c r="R71" s="137"/>
      <c r="S71" s="137"/>
      <c r="T71" s="16"/>
      <c r="U71" s="16"/>
      <c r="V71" s="16"/>
    </row>
    <row r="72" spans="1:22">
      <c r="A72" s="632">
        <v>14002</v>
      </c>
      <c r="B72" s="632" t="s">
        <v>14</v>
      </c>
      <c r="C72" s="632" t="s">
        <v>14</v>
      </c>
      <c r="D72" s="632" t="s">
        <v>128</v>
      </c>
      <c r="E72" s="633">
        <v>43402.785578703704</v>
      </c>
      <c r="F72" s="638">
        <v>43402.785578703704</v>
      </c>
      <c r="G72" s="634">
        <v>0.78541666666666676</v>
      </c>
      <c r="H72" s="635" t="s">
        <v>115</v>
      </c>
      <c r="I72" s="635" t="s">
        <v>115</v>
      </c>
      <c r="J72" s="635" t="s">
        <v>115</v>
      </c>
      <c r="K72" s="635"/>
      <c r="L72" s="635"/>
      <c r="M72" s="635"/>
      <c r="N72" s="635"/>
      <c r="O72" s="604"/>
      <c r="P72" s="137"/>
      <c r="Q72" s="137"/>
      <c r="R72" s="137"/>
      <c r="S72" s="137"/>
      <c r="T72" s="16"/>
      <c r="U72" s="16"/>
      <c r="V72" s="16"/>
    </row>
    <row r="73" spans="1:22">
      <c r="A73" s="632">
        <v>14014</v>
      </c>
      <c r="B73" s="632" t="s">
        <v>14</v>
      </c>
      <c r="C73" s="632" t="s">
        <v>14</v>
      </c>
      <c r="D73" s="632" t="s">
        <v>125</v>
      </c>
      <c r="E73" s="633">
        <v>43403.369212962964</v>
      </c>
      <c r="F73" s="638">
        <v>43403.369212962964</v>
      </c>
      <c r="G73" s="634">
        <v>0.36874999999999997</v>
      </c>
      <c r="H73" s="635">
        <v>9.6166666666666671</v>
      </c>
      <c r="I73" s="635">
        <v>8</v>
      </c>
      <c r="J73" s="635" t="s">
        <v>115</v>
      </c>
      <c r="K73" s="635"/>
      <c r="L73" s="635"/>
      <c r="M73" s="635"/>
      <c r="N73" s="635"/>
      <c r="O73" s="603"/>
    </row>
    <row r="74" spans="1:22">
      <c r="A74" s="632">
        <v>14022</v>
      </c>
      <c r="B74" s="632" t="s">
        <v>14</v>
      </c>
      <c r="C74" s="632" t="s">
        <v>14</v>
      </c>
      <c r="D74" s="632" t="s">
        <v>126</v>
      </c>
      <c r="E74" s="633">
        <v>43403.769560185188</v>
      </c>
      <c r="F74" s="638">
        <v>43403.769560185188</v>
      </c>
      <c r="G74" s="634">
        <v>0.76944444444444438</v>
      </c>
      <c r="H74" s="635" t="s">
        <v>115</v>
      </c>
      <c r="I74" s="635" t="s">
        <v>115</v>
      </c>
      <c r="J74" s="635" t="s">
        <v>115</v>
      </c>
      <c r="K74" s="635"/>
      <c r="L74" s="635"/>
      <c r="M74" s="635"/>
      <c r="N74" s="635"/>
      <c r="O74" s="603"/>
    </row>
    <row r="75" spans="1:22">
      <c r="A75" s="632">
        <v>14023</v>
      </c>
      <c r="B75" s="632" t="s">
        <v>14</v>
      </c>
      <c r="C75" s="632" t="s">
        <v>14</v>
      </c>
      <c r="D75" s="632" t="s">
        <v>127</v>
      </c>
      <c r="E75" s="633">
        <v>43403.769884259258</v>
      </c>
      <c r="F75" s="638">
        <v>43403.769884259258</v>
      </c>
      <c r="G75" s="634">
        <v>0.76944444444444438</v>
      </c>
      <c r="H75" s="635" t="s">
        <v>115</v>
      </c>
      <c r="I75" s="635" t="s">
        <v>115</v>
      </c>
      <c r="J75" s="635" t="s">
        <v>115</v>
      </c>
      <c r="K75" s="635">
        <v>1.0999999999999988</v>
      </c>
      <c r="L75" s="635"/>
      <c r="M75" s="635">
        <v>1.0999999999999988</v>
      </c>
      <c r="N75" s="635">
        <v>0</v>
      </c>
      <c r="O75" s="602"/>
    </row>
    <row r="76" spans="1:22">
      <c r="A76" s="632">
        <v>14030</v>
      </c>
      <c r="B76" s="632" t="s">
        <v>14</v>
      </c>
      <c r="C76" s="632" t="s">
        <v>14</v>
      </c>
      <c r="D76" s="632" t="s">
        <v>128</v>
      </c>
      <c r="E76" s="633">
        <v>43403.815347222226</v>
      </c>
      <c r="F76" s="638">
        <v>43403.815347222226</v>
      </c>
      <c r="G76" s="634">
        <v>0.81527777777777777</v>
      </c>
      <c r="H76" s="635" t="s">
        <v>115</v>
      </c>
      <c r="I76" s="635" t="s">
        <v>115</v>
      </c>
      <c r="J76" s="635" t="s">
        <v>115</v>
      </c>
      <c r="K76" s="635"/>
      <c r="L76" s="635"/>
      <c r="M76" s="635"/>
      <c r="N76" s="635"/>
      <c r="O76" s="603"/>
    </row>
    <row r="77" spans="1:22" s="398" customFormat="1">
      <c r="A77" s="632">
        <v>14034</v>
      </c>
      <c r="B77" s="632" t="s">
        <v>14</v>
      </c>
      <c r="C77" s="632" t="s">
        <v>14</v>
      </c>
      <c r="D77" s="632" t="s">
        <v>125</v>
      </c>
      <c r="E77" s="633">
        <v>43404.364699074074</v>
      </c>
      <c r="F77" s="638">
        <v>43404.364699074074</v>
      </c>
      <c r="G77" s="634">
        <v>0.36458333333333331</v>
      </c>
      <c r="H77" s="635">
        <v>9.7500000000000018</v>
      </c>
      <c r="I77" s="635">
        <v>8</v>
      </c>
      <c r="J77" s="635" t="s">
        <v>115</v>
      </c>
      <c r="K77" s="635"/>
      <c r="L77" s="635"/>
      <c r="M77" s="635"/>
      <c r="N77" s="635"/>
      <c r="O77" s="602"/>
      <c r="P77" s="444"/>
      <c r="Q77" s="444"/>
      <c r="R77" s="444"/>
      <c r="S77" s="444"/>
    </row>
    <row r="78" spans="1:22" s="398" customFormat="1">
      <c r="A78" s="632">
        <v>14046</v>
      </c>
      <c r="B78" s="632" t="s">
        <v>14</v>
      </c>
      <c r="C78" s="632" t="s">
        <v>14</v>
      </c>
      <c r="D78" s="632" t="s">
        <v>126</v>
      </c>
      <c r="E78" s="633">
        <v>43404.771238425928</v>
      </c>
      <c r="F78" s="638">
        <v>43404.771238425928</v>
      </c>
      <c r="G78" s="634">
        <v>0.77083333333333337</v>
      </c>
      <c r="H78" s="635" t="s">
        <v>115</v>
      </c>
      <c r="I78" s="635" t="s">
        <v>115</v>
      </c>
      <c r="J78" s="635" t="s">
        <v>115</v>
      </c>
      <c r="K78" s="635"/>
      <c r="L78" s="635"/>
      <c r="M78" s="635"/>
      <c r="N78" s="635"/>
      <c r="O78" s="602"/>
      <c r="P78" s="444"/>
      <c r="Q78" s="444"/>
      <c r="R78" s="444"/>
      <c r="S78" s="444"/>
    </row>
    <row r="79" spans="1:22">
      <c r="D79" s="9"/>
      <c r="O79" s="454"/>
    </row>
    <row r="80" spans="1:22">
      <c r="D80" s="9" t="s">
        <v>36</v>
      </c>
      <c r="O80" s="454"/>
    </row>
    <row r="81" spans="4:22">
      <c r="D81" s="9" t="s">
        <v>35</v>
      </c>
      <c r="O81" s="454"/>
      <c r="P81" s="18"/>
      <c r="Q81" s="18"/>
      <c r="R81" s="18"/>
      <c r="S81" s="18"/>
      <c r="T81" s="63"/>
      <c r="U81" s="63"/>
      <c r="V81" s="63"/>
    </row>
    <row r="82" spans="4:22">
      <c r="D82" s="172" t="s">
        <v>63</v>
      </c>
      <c r="O82" s="454"/>
    </row>
    <row r="83" spans="4:22">
      <c r="D83" s="458" t="s">
        <v>66</v>
      </c>
      <c r="O83" s="454"/>
    </row>
    <row r="84" spans="4:22">
      <c r="D84" s="458" t="s">
        <v>64</v>
      </c>
      <c r="E84" s="336"/>
      <c r="F84" s="373"/>
      <c r="G84" s="376"/>
      <c r="H84" s="377"/>
      <c r="I84" s="378"/>
      <c r="J84" s="378"/>
      <c r="K84" s="379"/>
      <c r="L84" s="379"/>
      <c r="M84" s="379"/>
      <c r="N84" s="379"/>
      <c r="O84" s="454"/>
    </row>
    <row r="85" spans="4:22">
      <c r="D85" s="458" t="s">
        <v>68</v>
      </c>
      <c r="E85" s="336"/>
      <c r="F85" s="373"/>
      <c r="G85" s="376"/>
      <c r="H85" s="377"/>
      <c r="I85" s="378"/>
      <c r="J85" s="378"/>
      <c r="K85" s="379"/>
      <c r="L85" s="379"/>
      <c r="M85" s="379"/>
      <c r="N85" s="379"/>
      <c r="O85" s="454"/>
    </row>
    <row r="86" spans="4:22">
      <c r="D86" s="458" t="s">
        <v>69</v>
      </c>
      <c r="E86" s="336"/>
      <c r="F86" s="373"/>
      <c r="G86" s="376"/>
      <c r="H86" s="377"/>
      <c r="I86" s="378"/>
      <c r="J86" s="378"/>
      <c r="K86" s="379"/>
      <c r="L86" s="379"/>
      <c r="M86" s="379"/>
      <c r="N86" s="379"/>
      <c r="O86" s="454"/>
    </row>
    <row r="87" spans="4:22">
      <c r="D87" s="458" t="s">
        <v>116</v>
      </c>
      <c r="E87" s="336"/>
      <c r="F87" s="373"/>
      <c r="G87" s="376"/>
      <c r="H87" s="377"/>
      <c r="I87" s="378"/>
      <c r="J87" s="378"/>
      <c r="K87" s="379"/>
      <c r="L87" s="379"/>
      <c r="M87" s="379"/>
      <c r="N87" s="379"/>
    </row>
    <row r="88" spans="4:22">
      <c r="D88" s="458" t="s">
        <v>67</v>
      </c>
      <c r="E88" s="336"/>
      <c r="F88" s="373"/>
      <c r="G88" s="376"/>
      <c r="H88" s="377"/>
      <c r="I88" s="378"/>
      <c r="J88" s="378"/>
      <c r="K88" s="379"/>
      <c r="L88" s="379"/>
      <c r="M88" s="379"/>
      <c r="N88" s="379"/>
    </row>
    <row r="99" spans="19:22">
      <c r="S99" s="444"/>
      <c r="T99" s="398"/>
      <c r="U99" s="398"/>
      <c r="V99" s="398"/>
    </row>
  </sheetData>
  <phoneticPr fontId="18" type="noConversion"/>
  <conditionalFormatting sqref="I7:I28 I31:I36 I39:I52 I55:I78">
    <cfRule type="cellIs" dxfId="16" priority="4" operator="lessThan">
      <formula>4</formula>
    </cfRule>
  </conditionalFormatting>
  <conditionalFormatting sqref="I29:I30">
    <cfRule type="cellIs" dxfId="15" priority="3" operator="lessThan">
      <formula>4</formula>
    </cfRule>
  </conditionalFormatting>
  <conditionalFormatting sqref="I37:I38">
    <cfRule type="cellIs" dxfId="14" priority="2" operator="lessThan">
      <formula>4</formula>
    </cfRule>
  </conditionalFormatting>
  <conditionalFormatting sqref="I53:I54">
    <cfRule type="cellIs" dxfId="13" priority="1" operator="lessThan">
      <formula>4</formula>
    </cfRule>
  </conditionalFormatting>
  <printOptions horizontalCentered="1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2">
    <tabColor theme="4"/>
    <pageSetUpPr fitToPage="1"/>
  </sheetPr>
  <dimension ref="A1:Y89"/>
  <sheetViews>
    <sheetView view="pageBreakPreview" topLeftCell="A52" zoomScaleNormal="100" zoomScaleSheetLayoutView="100" workbookViewId="0">
      <selection activeCell="K71" sqref="K71"/>
    </sheetView>
  </sheetViews>
  <sheetFormatPr defaultRowHeight="16.5" outlineLevelCol="1"/>
  <cols>
    <col min="1" max="1" width="5.625" style="143" customWidth="1" outlineLevel="1"/>
    <col min="2" max="2" width="6.875" style="143" customWidth="1" outlineLevel="1"/>
    <col min="3" max="3" width="6.5" style="155" customWidth="1" outlineLevel="1"/>
    <col min="4" max="4" width="9" style="155"/>
    <col min="5" max="5" width="16.5" style="155" customWidth="1"/>
    <col min="6" max="6" width="6.25" style="138" customWidth="1"/>
    <col min="7" max="7" width="8.625" style="471" customWidth="1" outlineLevel="1"/>
    <col min="8" max="8" width="11.125" style="472" customWidth="1" outlineLevel="1"/>
    <col min="9" max="9" width="10.25" style="416" customWidth="1"/>
    <col min="10" max="10" width="10" style="416" customWidth="1"/>
    <col min="11" max="11" width="8.375" style="417" customWidth="1" outlineLevel="1"/>
    <col min="12" max="12" width="8.375" style="417" customWidth="1"/>
    <col min="13" max="13" width="10.5" style="417" customWidth="1"/>
    <col min="14" max="14" width="8.75" style="417" customWidth="1"/>
    <col min="15" max="15" width="13.625" style="628" customWidth="1"/>
    <col min="16" max="16" width="9" style="9"/>
    <col min="17" max="17" width="2.5" style="9" customWidth="1"/>
    <col min="18" max="18" width="9" style="9"/>
    <col min="19" max="19" width="3" style="456" customWidth="1"/>
    <col min="20" max="20" width="7.5" style="456" customWidth="1"/>
    <col min="21" max="16384" width="9" style="456"/>
  </cols>
  <sheetData>
    <row r="1" spans="1:21" s="4" customFormat="1" ht="27.75">
      <c r="A1" s="488"/>
      <c r="B1" s="488"/>
      <c r="C1" s="489"/>
      <c r="D1" s="6"/>
      <c r="E1" s="6"/>
      <c r="F1" s="10"/>
      <c r="G1" s="11"/>
      <c r="H1" s="12"/>
      <c r="I1" s="13" t="str">
        <f>Willy!B11</f>
        <v>willy</v>
      </c>
      <c r="J1" s="46" t="s">
        <v>29</v>
      </c>
      <c r="K1" s="14"/>
      <c r="L1" s="14"/>
      <c r="M1" s="14"/>
      <c r="N1" s="14"/>
      <c r="O1" s="628"/>
      <c r="P1" s="19"/>
      <c r="Q1" s="19"/>
      <c r="R1" s="19"/>
    </row>
    <row r="2" spans="1:21">
      <c r="A2" s="141"/>
      <c r="B2" s="141"/>
      <c r="C2" s="153"/>
      <c r="D2" s="481" t="s">
        <v>74</v>
      </c>
      <c r="E2" s="482">
        <v>0</v>
      </c>
      <c r="F2" s="483" t="s">
        <v>75</v>
      </c>
      <c r="G2" s="484"/>
      <c r="H2" s="484"/>
      <c r="I2" s="485"/>
      <c r="J2" s="485" t="s">
        <v>34</v>
      </c>
      <c r="K2" s="486"/>
      <c r="L2" s="481" t="s">
        <v>20</v>
      </c>
      <c r="M2" s="487" t="s">
        <v>17</v>
      </c>
      <c r="N2" s="487" t="s">
        <v>18</v>
      </c>
      <c r="O2" s="628" t="s">
        <v>162</v>
      </c>
    </row>
    <row r="3" spans="1:21" ht="17.25" thickBot="1">
      <c r="D3" s="463" t="s">
        <v>76</v>
      </c>
      <c r="E3" s="649">
        <v>0</v>
      </c>
      <c r="F3" s="464"/>
      <c r="G3" s="465"/>
      <c r="H3" s="465"/>
      <c r="I3" s="466"/>
      <c r="J3" s="350">
        <f>D5+E5</f>
        <v>12.5</v>
      </c>
      <c r="K3" s="351">
        <f>SUM(K35:K196)</f>
        <v>2.1333333333333311</v>
      </c>
      <c r="L3" s="53">
        <f>J3</f>
        <v>12.5</v>
      </c>
      <c r="M3" s="53">
        <f>M6-J3</f>
        <v>-7.7666666666666702</v>
      </c>
      <c r="N3" s="53">
        <f>N6</f>
        <v>0</v>
      </c>
    </row>
    <row r="4" spans="1:21">
      <c r="D4" s="100" t="s">
        <v>43</v>
      </c>
      <c r="E4" s="100" t="s">
        <v>44</v>
      </c>
      <c r="F4" s="100" t="s">
        <v>46</v>
      </c>
      <c r="G4" s="72"/>
      <c r="H4" s="72"/>
      <c r="I4" s="73" t="s">
        <v>33</v>
      </c>
      <c r="J4" s="73" t="s">
        <v>25</v>
      </c>
      <c r="K4" s="73"/>
      <c r="L4" s="73" t="s">
        <v>12</v>
      </c>
      <c r="M4" s="73" t="s">
        <v>12</v>
      </c>
      <c r="N4" s="73" t="s">
        <v>12</v>
      </c>
      <c r="P4" s="461" t="s">
        <v>23</v>
      </c>
      <c r="Q4" s="9" t="s">
        <v>30</v>
      </c>
      <c r="R4" s="15" t="s">
        <v>25</v>
      </c>
      <c r="S4" s="48" t="s">
        <v>31</v>
      </c>
      <c r="T4" s="49">
        <f>I6+J6</f>
        <v>184</v>
      </c>
    </row>
    <row r="5" spans="1:21">
      <c r="D5" s="86">
        <v>12.5</v>
      </c>
      <c r="E5" s="86">
        <v>0</v>
      </c>
      <c r="F5" s="642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628" t="s">
        <v>170</v>
      </c>
      <c r="P5" s="9" t="s">
        <v>40</v>
      </c>
      <c r="R5" s="57">
        <f>(L6+M6+N6)/160</f>
        <v>2.9583333333333312E-2</v>
      </c>
    </row>
    <row r="6" spans="1:21">
      <c r="A6" s="143" t="s">
        <v>0</v>
      </c>
      <c r="B6" s="143" t="s">
        <v>1</v>
      </c>
      <c r="C6" s="155" t="s">
        <v>2</v>
      </c>
      <c r="D6" s="100" t="s">
        <v>3</v>
      </c>
      <c r="E6" s="100" t="s">
        <v>4</v>
      </c>
      <c r="F6" s="99"/>
      <c r="G6" s="72"/>
      <c r="H6" s="100" t="s">
        <v>22</v>
      </c>
      <c r="I6" s="470">
        <f>SUM(I7:I196)</f>
        <v>163.5</v>
      </c>
      <c r="J6" s="470">
        <f t="shared" ref="J6:N6" si="0">SUM(J7:J196)</f>
        <v>20.5</v>
      </c>
      <c r="K6" s="470">
        <f t="shared" si="0"/>
        <v>4.7333333333333298</v>
      </c>
      <c r="L6" s="470">
        <f t="shared" si="0"/>
        <v>0</v>
      </c>
      <c r="M6" s="470">
        <f t="shared" si="0"/>
        <v>4.7333333333333298</v>
      </c>
      <c r="N6" s="470">
        <f t="shared" si="0"/>
        <v>0</v>
      </c>
      <c r="O6" s="628">
        <f>Willy!O7+Willy!O9</f>
        <v>0</v>
      </c>
      <c r="P6" s="47"/>
      <c r="U6" s="503">
        <f>U7+U9</f>
        <v>0</v>
      </c>
    </row>
    <row r="7" spans="1:21" s="444" customFormat="1">
      <c r="A7" s="632">
        <v>13456</v>
      </c>
      <c r="B7" s="632" t="s">
        <v>120</v>
      </c>
      <c r="C7" s="632" t="s">
        <v>120</v>
      </c>
      <c r="D7" s="632" t="s">
        <v>125</v>
      </c>
      <c r="E7" s="633">
        <v>43374.351875</v>
      </c>
      <c r="F7" s="638">
        <v>43374.351875</v>
      </c>
      <c r="G7" s="634">
        <v>0.35138888888888892</v>
      </c>
      <c r="H7" s="635">
        <v>10.066666666666668</v>
      </c>
      <c r="I7" s="635">
        <v>8</v>
      </c>
      <c r="J7" s="635" t="s">
        <v>115</v>
      </c>
      <c r="K7" s="635"/>
      <c r="L7" s="635"/>
      <c r="M7" s="635"/>
      <c r="N7" s="635"/>
      <c r="O7" s="628"/>
      <c r="U7" s="502">
        <f>Willy!M7+Willy!N7</f>
        <v>0</v>
      </c>
    </row>
    <row r="8" spans="1:21" s="444" customFormat="1">
      <c r="A8" s="632">
        <v>13476</v>
      </c>
      <c r="B8" s="632" t="s">
        <v>121</v>
      </c>
      <c r="C8" s="632" t="s">
        <v>120</v>
      </c>
      <c r="D8" s="632" t="s">
        <v>126</v>
      </c>
      <c r="E8" s="633">
        <v>43374.770925925928</v>
      </c>
      <c r="F8" s="638">
        <v>43374.770925925928</v>
      </c>
      <c r="G8" s="634">
        <v>0.77083333333333337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28"/>
      <c r="U8" s="502"/>
    </row>
    <row r="9" spans="1:21" s="444" customFormat="1">
      <c r="A9" s="632">
        <v>13477</v>
      </c>
      <c r="B9" s="632" t="s">
        <v>121</v>
      </c>
      <c r="C9" s="632" t="s">
        <v>120</v>
      </c>
      <c r="D9" s="632" t="s">
        <v>127</v>
      </c>
      <c r="E9" s="633">
        <v>43374.770972222221</v>
      </c>
      <c r="F9" s="638">
        <v>43374.770972222221</v>
      </c>
      <c r="G9" s="634">
        <v>0.77083333333333337</v>
      </c>
      <c r="H9" s="635" t="s">
        <v>115</v>
      </c>
      <c r="I9" s="635" t="s">
        <v>115</v>
      </c>
      <c r="J9" s="635" t="s">
        <v>115</v>
      </c>
      <c r="K9" s="635">
        <v>0.16666666666666607</v>
      </c>
      <c r="L9" s="635"/>
      <c r="M9" s="635">
        <v>0.16666666666666607</v>
      </c>
      <c r="N9" s="635">
        <v>0</v>
      </c>
      <c r="O9" s="628"/>
      <c r="U9" s="502">
        <f>Willy!M9+Willy!N9</f>
        <v>0</v>
      </c>
    </row>
    <row r="10" spans="1:21" s="444" customFormat="1">
      <c r="A10" s="632">
        <v>13482</v>
      </c>
      <c r="B10" s="632" t="s">
        <v>121</v>
      </c>
      <c r="C10" s="632" t="s">
        <v>120</v>
      </c>
      <c r="D10" s="632" t="s">
        <v>128</v>
      </c>
      <c r="E10" s="633">
        <v>43374.778020833335</v>
      </c>
      <c r="F10" s="638">
        <v>43374.778020833335</v>
      </c>
      <c r="G10" s="634">
        <v>0.77777777777777779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628"/>
    </row>
    <row r="11" spans="1:21">
      <c r="A11" s="632">
        <v>13494</v>
      </c>
      <c r="B11" s="632" t="s">
        <v>121</v>
      </c>
      <c r="C11" s="632" t="s">
        <v>120</v>
      </c>
      <c r="D11" s="632" t="s">
        <v>125</v>
      </c>
      <c r="E11" s="633">
        <v>43375.351261574076</v>
      </c>
      <c r="F11" s="638">
        <v>43375.351261574076</v>
      </c>
      <c r="G11" s="634">
        <v>0.35069444444444442</v>
      </c>
      <c r="H11" s="635">
        <v>9.9666666666666686</v>
      </c>
      <c r="I11" s="635">
        <v>8</v>
      </c>
      <c r="J11" s="635" t="s">
        <v>115</v>
      </c>
      <c r="K11" s="635"/>
      <c r="L11" s="635"/>
      <c r="M11" s="635"/>
      <c r="N11" s="635"/>
    </row>
    <row r="12" spans="1:21">
      <c r="A12" s="632">
        <v>13513</v>
      </c>
      <c r="B12" s="632" t="s">
        <v>121</v>
      </c>
      <c r="C12" s="632" t="s">
        <v>120</v>
      </c>
      <c r="D12" s="632" t="s">
        <v>126</v>
      </c>
      <c r="E12" s="633">
        <v>43375.766388888886</v>
      </c>
      <c r="F12" s="638">
        <v>43375.766388888886</v>
      </c>
      <c r="G12" s="634">
        <v>0.76597222222222217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</row>
    <row r="13" spans="1:21">
      <c r="A13" s="632">
        <v>13523</v>
      </c>
      <c r="B13" s="632" t="s">
        <v>121</v>
      </c>
      <c r="C13" s="632" t="s">
        <v>120</v>
      </c>
      <c r="D13" s="632" t="s">
        <v>125</v>
      </c>
      <c r="E13" s="633">
        <v>43376.351967592593</v>
      </c>
      <c r="F13" s="638">
        <v>43376.351967592593</v>
      </c>
      <c r="G13" s="634">
        <v>0.35138888888888892</v>
      </c>
      <c r="H13" s="635">
        <v>10.050000000000001</v>
      </c>
      <c r="I13" s="635">
        <v>8</v>
      </c>
      <c r="J13" s="635" t="s">
        <v>115</v>
      </c>
      <c r="K13" s="635"/>
      <c r="L13" s="635"/>
      <c r="M13" s="635"/>
      <c r="N13" s="635"/>
    </row>
    <row r="14" spans="1:21">
      <c r="A14" s="632">
        <v>13536</v>
      </c>
      <c r="B14" s="632" t="s">
        <v>121</v>
      </c>
      <c r="C14" s="632" t="s">
        <v>120</v>
      </c>
      <c r="D14" s="632" t="s">
        <v>126</v>
      </c>
      <c r="E14" s="633">
        <v>43376.770358796297</v>
      </c>
      <c r="F14" s="638">
        <v>43376.770358796297</v>
      </c>
      <c r="G14" s="634">
        <v>0.77013888888888893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</row>
    <row r="15" spans="1:21">
      <c r="A15" s="632">
        <v>13552</v>
      </c>
      <c r="B15" s="632" t="s">
        <v>120</v>
      </c>
      <c r="C15" s="632" t="s">
        <v>120</v>
      </c>
      <c r="D15" s="632" t="s">
        <v>125</v>
      </c>
      <c r="E15" s="633">
        <v>43377.348703703705</v>
      </c>
      <c r="F15" s="638">
        <v>43377.348703703705</v>
      </c>
      <c r="G15" s="634">
        <v>0.34861111111111115</v>
      </c>
      <c r="H15" s="635">
        <v>10.050000000000001</v>
      </c>
      <c r="I15" s="635">
        <v>8</v>
      </c>
      <c r="J15" s="635" t="s">
        <v>115</v>
      </c>
      <c r="K15" s="635"/>
      <c r="L15" s="635"/>
      <c r="M15" s="635"/>
      <c r="N15" s="635"/>
    </row>
    <row r="16" spans="1:21">
      <c r="A16" s="632">
        <v>13564</v>
      </c>
      <c r="B16" s="632" t="s">
        <v>121</v>
      </c>
      <c r="C16" s="632" t="s">
        <v>120</v>
      </c>
      <c r="D16" s="632" t="s">
        <v>126</v>
      </c>
      <c r="E16" s="633">
        <v>43377.76761574074</v>
      </c>
      <c r="F16" s="638">
        <v>43377.76761574074</v>
      </c>
      <c r="G16" s="634">
        <v>0.76736111111111116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</row>
    <row r="17" spans="1:25">
      <c r="A17" s="632">
        <v>13582</v>
      </c>
      <c r="B17" s="632" t="s">
        <v>120</v>
      </c>
      <c r="C17" s="632" t="s">
        <v>120</v>
      </c>
      <c r="D17" s="632" t="s">
        <v>125</v>
      </c>
      <c r="E17" s="633">
        <v>43378.349120370367</v>
      </c>
      <c r="F17" s="638">
        <v>43378.349120370367</v>
      </c>
      <c r="G17" s="634">
        <v>0.34861111111111115</v>
      </c>
      <c r="H17" s="635">
        <v>10.166666666666668</v>
      </c>
      <c r="I17" s="635">
        <v>8</v>
      </c>
      <c r="J17" s="635" t="s">
        <v>115</v>
      </c>
      <c r="K17" s="635"/>
      <c r="L17" s="635"/>
      <c r="M17" s="635"/>
      <c r="N17" s="635"/>
    </row>
    <row r="18" spans="1:25">
      <c r="A18" s="632">
        <v>13606</v>
      </c>
      <c r="B18" s="632" t="s">
        <v>120</v>
      </c>
      <c r="C18" s="632" t="s">
        <v>120</v>
      </c>
      <c r="D18" s="632" t="s">
        <v>126</v>
      </c>
      <c r="E18" s="633">
        <v>43378.772604166668</v>
      </c>
      <c r="F18" s="638">
        <v>43378.772604166668</v>
      </c>
      <c r="G18" s="634">
        <v>0.77222222222222225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</row>
    <row r="19" spans="1:25" s="398" customFormat="1">
      <c r="A19" s="632">
        <v>13613</v>
      </c>
      <c r="B19" s="632" t="s">
        <v>120</v>
      </c>
      <c r="C19" s="632" t="s">
        <v>120</v>
      </c>
      <c r="D19" s="632" t="s">
        <v>125</v>
      </c>
      <c r="E19" s="633">
        <v>43381.348229166666</v>
      </c>
      <c r="F19" s="638">
        <v>43381.348229166666</v>
      </c>
      <c r="G19" s="634">
        <v>0.34791666666666665</v>
      </c>
      <c r="H19" s="635">
        <v>10.100000000000001</v>
      </c>
      <c r="I19" s="635">
        <v>8</v>
      </c>
      <c r="J19" s="635" t="s">
        <v>115</v>
      </c>
      <c r="K19" s="635"/>
      <c r="L19" s="635"/>
      <c r="M19" s="635"/>
      <c r="N19" s="635"/>
      <c r="O19" s="628"/>
      <c r="P19" s="444"/>
      <c r="Q19" s="444"/>
      <c r="R19" s="444"/>
    </row>
    <row r="20" spans="1:25" s="398" customFormat="1">
      <c r="A20" s="632">
        <v>13628</v>
      </c>
      <c r="B20" s="632" t="s">
        <v>120</v>
      </c>
      <c r="C20" s="632" t="s">
        <v>120</v>
      </c>
      <c r="D20" s="632" t="s">
        <v>126</v>
      </c>
      <c r="E20" s="633">
        <v>43381.769097222219</v>
      </c>
      <c r="F20" s="638">
        <v>43381.769097222219</v>
      </c>
      <c r="G20" s="634">
        <v>0.76874999999999993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628"/>
      <c r="P20" s="444"/>
      <c r="Q20" s="444"/>
      <c r="R20" s="444"/>
    </row>
    <row r="21" spans="1:25">
      <c r="A21" s="632">
        <v>13641</v>
      </c>
      <c r="B21" s="632" t="s">
        <v>120</v>
      </c>
      <c r="C21" s="632" t="s">
        <v>120</v>
      </c>
      <c r="D21" s="632" t="s">
        <v>125</v>
      </c>
      <c r="E21" s="633">
        <v>43382.349537037036</v>
      </c>
      <c r="F21" s="638">
        <v>43382.349537037036</v>
      </c>
      <c r="G21" s="634">
        <v>0.34930555555555554</v>
      </c>
      <c r="H21" s="635">
        <v>4.1500000000000012</v>
      </c>
      <c r="I21" s="635">
        <v>3.5</v>
      </c>
      <c r="J21" s="635">
        <v>4.5</v>
      </c>
      <c r="K21" s="635"/>
      <c r="L21" s="635"/>
      <c r="M21" s="635"/>
      <c r="N21" s="635"/>
      <c r="O21" s="628" t="s">
        <v>165</v>
      </c>
    </row>
    <row r="22" spans="1:25">
      <c r="A22" s="632">
        <v>13652</v>
      </c>
      <c r="B22" s="632" t="s">
        <v>121</v>
      </c>
      <c r="C22" s="632" t="s">
        <v>120</v>
      </c>
      <c r="D22" s="632" t="s">
        <v>126</v>
      </c>
      <c r="E22" s="633">
        <v>43382.522685185184</v>
      </c>
      <c r="F22" s="638">
        <v>43382.522685185184</v>
      </c>
      <c r="G22" s="634">
        <v>0.52222222222222225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</row>
    <row r="23" spans="1:25" s="63" customFormat="1">
      <c r="A23" s="632"/>
      <c r="B23" s="632"/>
      <c r="C23" s="632"/>
      <c r="D23" s="632" t="s">
        <v>125</v>
      </c>
      <c r="E23" s="633">
        <v>43383.354409722226</v>
      </c>
      <c r="F23" s="638">
        <v>43383.354409722226</v>
      </c>
      <c r="G23" s="634">
        <v>0.35416666666666669</v>
      </c>
      <c r="H23" s="635"/>
      <c r="I23" s="635">
        <v>0</v>
      </c>
      <c r="J23" s="635">
        <v>8</v>
      </c>
      <c r="K23" s="635"/>
      <c r="L23" s="635"/>
      <c r="M23" s="635"/>
      <c r="N23" s="635"/>
      <c r="O23" s="628" t="s">
        <v>161</v>
      </c>
      <c r="P23" s="627"/>
      <c r="Q23" s="345"/>
      <c r="R23" s="372"/>
      <c r="S23" s="372"/>
      <c r="T23" s="373"/>
      <c r="U23" s="373"/>
      <c r="V23" s="373"/>
    </row>
    <row r="24" spans="1:25" s="63" customFormat="1">
      <c r="A24" s="632"/>
      <c r="B24" s="632"/>
      <c r="C24" s="632"/>
      <c r="D24" s="632" t="s">
        <v>126</v>
      </c>
      <c r="E24" s="633">
        <v>43383.75</v>
      </c>
      <c r="F24" s="638">
        <v>43383.771435185183</v>
      </c>
      <c r="G24" s="634">
        <v>0.75</v>
      </c>
      <c r="H24" s="635"/>
      <c r="I24" s="635"/>
      <c r="J24" s="635"/>
      <c r="K24" s="635"/>
      <c r="L24" s="635"/>
      <c r="M24" s="635"/>
      <c r="N24" s="635"/>
      <c r="O24" s="628"/>
      <c r="P24" s="627"/>
      <c r="Q24" s="345"/>
      <c r="R24" s="372"/>
      <c r="S24" s="372"/>
      <c r="T24" s="373"/>
      <c r="U24" s="373"/>
      <c r="V24" s="373"/>
    </row>
    <row r="25" spans="1:25">
      <c r="A25" s="632">
        <v>13660</v>
      </c>
      <c r="B25" s="632" t="s">
        <v>120</v>
      </c>
      <c r="C25" s="632" t="s">
        <v>120</v>
      </c>
      <c r="D25" s="632" t="s">
        <v>125</v>
      </c>
      <c r="E25" s="633">
        <v>43384.347731481481</v>
      </c>
      <c r="F25" s="638">
        <v>43384.347731481481</v>
      </c>
      <c r="G25" s="634">
        <v>0.34722222222222227</v>
      </c>
      <c r="H25" s="635">
        <v>10.183333333333334</v>
      </c>
      <c r="I25" s="635">
        <v>8</v>
      </c>
      <c r="J25" s="635" t="s">
        <v>115</v>
      </c>
      <c r="K25" s="635"/>
      <c r="L25" s="635"/>
      <c r="M25" s="635"/>
      <c r="N25" s="635"/>
    </row>
    <row r="26" spans="1:25">
      <c r="A26" s="632">
        <v>13677</v>
      </c>
      <c r="B26" s="632" t="s">
        <v>121</v>
      </c>
      <c r="C26" s="632" t="s">
        <v>120</v>
      </c>
      <c r="D26" s="632" t="s">
        <v>126</v>
      </c>
      <c r="E26" s="633">
        <v>43384.772060185183</v>
      </c>
      <c r="F26" s="638">
        <v>43384.772060185183</v>
      </c>
      <c r="G26" s="634">
        <v>0.7715277777777777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</row>
    <row r="27" spans="1:25">
      <c r="A27" s="632">
        <v>13678</v>
      </c>
      <c r="B27" s="632" t="s">
        <v>121</v>
      </c>
      <c r="C27" s="632" t="s">
        <v>120</v>
      </c>
      <c r="D27" s="632" t="s">
        <v>127</v>
      </c>
      <c r="E27" s="633">
        <v>43384.772094907406</v>
      </c>
      <c r="F27" s="638">
        <v>43384.772094907406</v>
      </c>
      <c r="G27" s="634">
        <v>0.7715277777777777</v>
      </c>
      <c r="H27" s="635" t="s">
        <v>115</v>
      </c>
      <c r="I27" s="635" t="s">
        <v>115</v>
      </c>
      <c r="J27" s="635" t="s">
        <v>115</v>
      </c>
      <c r="K27" s="635">
        <v>0.68333333333333357</v>
      </c>
      <c r="L27" s="635"/>
      <c r="M27" s="635">
        <v>0.68333333333333357</v>
      </c>
      <c r="N27" s="635">
        <v>0</v>
      </c>
    </row>
    <row r="28" spans="1:25">
      <c r="A28" s="632">
        <v>13686</v>
      </c>
      <c r="B28" s="632" t="s">
        <v>120</v>
      </c>
      <c r="C28" s="632" t="s">
        <v>120</v>
      </c>
      <c r="D28" s="632" t="s">
        <v>128</v>
      </c>
      <c r="E28" s="633">
        <v>43384.800335648149</v>
      </c>
      <c r="F28" s="638">
        <v>43384.800335648149</v>
      </c>
      <c r="G28" s="634">
        <v>0.79999999999999993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U28" s="626"/>
      <c r="V28" s="626"/>
      <c r="W28" s="626"/>
      <c r="X28" s="626"/>
      <c r="Y28" s="639"/>
    </row>
    <row r="29" spans="1:25">
      <c r="A29" s="632">
        <v>13692</v>
      </c>
      <c r="B29" s="632" t="s">
        <v>120</v>
      </c>
      <c r="C29" s="632" t="s">
        <v>120</v>
      </c>
      <c r="D29" s="632" t="s">
        <v>125</v>
      </c>
      <c r="E29" s="633">
        <v>43385.348090277781</v>
      </c>
      <c r="F29" s="638">
        <v>43385.348090277781</v>
      </c>
      <c r="G29" s="634">
        <v>0.34791666666666665</v>
      </c>
      <c r="H29" s="635">
        <v>10.583333333333332</v>
      </c>
      <c r="I29" s="635">
        <v>8</v>
      </c>
      <c r="J29" s="635" t="s">
        <v>115</v>
      </c>
      <c r="K29" s="635"/>
      <c r="L29" s="635"/>
      <c r="M29" s="635"/>
      <c r="N29" s="635"/>
    </row>
    <row r="30" spans="1:25">
      <c r="A30" s="632">
        <v>13714</v>
      </c>
      <c r="B30" s="632" t="s">
        <v>120</v>
      </c>
      <c r="C30" s="632" t="s">
        <v>120</v>
      </c>
      <c r="D30" s="632" t="s">
        <v>126</v>
      </c>
      <c r="E30" s="633">
        <v>43385.789444444446</v>
      </c>
      <c r="F30" s="638">
        <v>43385.789444444446</v>
      </c>
      <c r="G30" s="634">
        <v>0.78888888888888886</v>
      </c>
      <c r="H30" s="635" t="s">
        <v>115</v>
      </c>
      <c r="I30" s="635" t="s">
        <v>115</v>
      </c>
      <c r="J30" s="635" t="s">
        <v>115</v>
      </c>
      <c r="K30" s="635"/>
      <c r="L30" s="635"/>
      <c r="M30" s="635"/>
      <c r="N30" s="635"/>
    </row>
    <row r="31" spans="1:25">
      <c r="A31" s="632">
        <v>13719</v>
      </c>
      <c r="B31" s="632" t="s">
        <v>121</v>
      </c>
      <c r="C31" s="632" t="s">
        <v>120</v>
      </c>
      <c r="D31" s="632" t="s">
        <v>125</v>
      </c>
      <c r="E31" s="633">
        <v>43388.349849537037</v>
      </c>
      <c r="F31" s="638">
        <v>43388.349849537037</v>
      </c>
      <c r="G31" s="634">
        <v>0.34930555555555554</v>
      </c>
      <c r="H31" s="635">
        <v>9.8999999999999986</v>
      </c>
      <c r="I31" s="635">
        <v>8</v>
      </c>
      <c r="J31" s="635" t="s">
        <v>115</v>
      </c>
      <c r="K31" s="635"/>
      <c r="L31" s="635"/>
      <c r="M31" s="635"/>
      <c r="N31" s="635"/>
    </row>
    <row r="32" spans="1:25">
      <c r="A32" s="632">
        <v>13733</v>
      </c>
      <c r="B32" s="632" t="s">
        <v>121</v>
      </c>
      <c r="C32" s="632" t="s">
        <v>120</v>
      </c>
      <c r="D32" s="632" t="s">
        <v>126</v>
      </c>
      <c r="E32" s="633">
        <v>43388.762048611112</v>
      </c>
      <c r="F32" s="638">
        <v>43388.762048611112</v>
      </c>
      <c r="G32" s="634">
        <v>0.76180555555555562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</row>
    <row r="33" spans="1:18" s="444" customFormat="1">
      <c r="A33" s="632">
        <v>13737</v>
      </c>
      <c r="B33" s="632" t="s">
        <v>121</v>
      </c>
      <c r="C33" s="632" t="s">
        <v>120</v>
      </c>
      <c r="D33" s="632" t="s">
        <v>127</v>
      </c>
      <c r="E33" s="633">
        <v>43388.771018518521</v>
      </c>
      <c r="F33" s="638">
        <v>43388.771018518521</v>
      </c>
      <c r="G33" s="634">
        <v>0.77083333333333337</v>
      </c>
      <c r="H33" s="635" t="s">
        <v>115</v>
      </c>
      <c r="I33" s="635" t="s">
        <v>115</v>
      </c>
      <c r="J33" s="635" t="s">
        <v>115</v>
      </c>
      <c r="K33" s="635">
        <v>1.7499999999999991</v>
      </c>
      <c r="L33" s="635"/>
      <c r="M33" s="635">
        <v>1.7499999999999991</v>
      </c>
      <c r="N33" s="635">
        <v>0</v>
      </c>
      <c r="O33" s="628"/>
    </row>
    <row r="34" spans="1:18" s="444" customFormat="1">
      <c r="A34" s="632">
        <v>13686</v>
      </c>
      <c r="B34" s="636" t="s">
        <v>120</v>
      </c>
      <c r="C34" s="636" t="s">
        <v>120</v>
      </c>
      <c r="D34" s="636" t="s">
        <v>152</v>
      </c>
      <c r="E34" s="637">
        <v>43388.844085648147</v>
      </c>
      <c r="F34" s="638">
        <v>43388.844085648147</v>
      </c>
      <c r="G34" s="634">
        <v>0.84375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628"/>
    </row>
    <row r="35" spans="1:18" s="444" customFormat="1">
      <c r="A35" s="632">
        <v>13745</v>
      </c>
      <c r="B35" s="632" t="s">
        <v>120</v>
      </c>
      <c r="C35" s="632" t="s">
        <v>120</v>
      </c>
      <c r="D35" s="632" t="s">
        <v>125</v>
      </c>
      <c r="E35" s="633">
        <v>43389.345219907409</v>
      </c>
      <c r="F35" s="638">
        <v>43389.345219907409</v>
      </c>
      <c r="G35" s="634">
        <v>0.34513888888888888</v>
      </c>
      <c r="H35" s="635">
        <v>10.100000000000001</v>
      </c>
      <c r="I35" s="635">
        <v>8</v>
      </c>
      <c r="J35" s="635" t="s">
        <v>115</v>
      </c>
      <c r="K35" s="635"/>
      <c r="L35" s="635"/>
      <c r="M35" s="635"/>
      <c r="N35" s="635"/>
      <c r="O35" s="628"/>
    </row>
    <row r="36" spans="1:18" s="631" customFormat="1">
      <c r="A36" s="632">
        <v>13761</v>
      </c>
      <c r="B36" s="632" t="s">
        <v>120</v>
      </c>
      <c r="C36" s="632" t="s">
        <v>120</v>
      </c>
      <c r="D36" s="632" t="s">
        <v>126</v>
      </c>
      <c r="E36" s="633">
        <v>43389.766574074078</v>
      </c>
      <c r="F36" s="638">
        <v>43389.766574074078</v>
      </c>
      <c r="G36" s="634">
        <v>0.76597222222222217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628"/>
      <c r="P36" s="444"/>
      <c r="Q36" s="444"/>
      <c r="R36" s="444"/>
    </row>
    <row r="37" spans="1:18" s="631" customFormat="1">
      <c r="A37" s="632">
        <v>13775</v>
      </c>
      <c r="B37" s="632" t="s">
        <v>120</v>
      </c>
      <c r="C37" s="632" t="s">
        <v>120</v>
      </c>
      <c r="D37" s="632" t="s">
        <v>125</v>
      </c>
      <c r="E37" s="633">
        <v>43390.345706018517</v>
      </c>
      <c r="F37" s="638">
        <v>43390.345706018517</v>
      </c>
      <c r="G37" s="634">
        <v>0.34513888888888888</v>
      </c>
      <c r="H37" s="635">
        <v>10.133333333333335</v>
      </c>
      <c r="I37" s="635">
        <v>8</v>
      </c>
      <c r="J37" s="635" t="s">
        <v>115</v>
      </c>
      <c r="K37" s="635"/>
      <c r="L37" s="635"/>
      <c r="M37" s="635"/>
      <c r="N37" s="635"/>
      <c r="O37" s="628"/>
      <c r="P37" s="444"/>
      <c r="Q37" s="444"/>
      <c r="R37" s="444"/>
    </row>
    <row r="38" spans="1:18">
      <c r="A38" s="632">
        <v>13786</v>
      </c>
      <c r="B38" s="632" t="s">
        <v>121</v>
      </c>
      <c r="C38" s="632" t="s">
        <v>120</v>
      </c>
      <c r="D38" s="632" t="s">
        <v>126</v>
      </c>
      <c r="E38" s="633">
        <v>43390.767430555556</v>
      </c>
      <c r="F38" s="638">
        <v>43390.767430555556</v>
      </c>
      <c r="G38" s="634">
        <v>0.76736111111111116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</row>
    <row r="39" spans="1:18" s="625" customFormat="1">
      <c r="A39" s="632">
        <v>13805</v>
      </c>
      <c r="B39" s="632" t="s">
        <v>120</v>
      </c>
      <c r="C39" s="632" t="s">
        <v>120</v>
      </c>
      <c r="D39" s="632" t="s">
        <v>125</v>
      </c>
      <c r="E39" s="633">
        <v>43391.347824074073</v>
      </c>
      <c r="F39" s="638">
        <v>43391.347824074073</v>
      </c>
      <c r="G39" s="634">
        <v>0.34722222222222227</v>
      </c>
      <c r="H39" s="635">
        <v>10.183333333333334</v>
      </c>
      <c r="I39" s="635">
        <v>8</v>
      </c>
      <c r="J39" s="635" t="s">
        <v>115</v>
      </c>
      <c r="K39" s="635"/>
      <c r="L39" s="635"/>
      <c r="M39" s="635"/>
      <c r="N39" s="635"/>
      <c r="O39" s="628"/>
      <c r="P39" s="627"/>
      <c r="Q39" s="627"/>
      <c r="R39" s="627"/>
    </row>
    <row r="40" spans="1:18" s="625" customFormat="1">
      <c r="A40" s="632">
        <v>13822</v>
      </c>
      <c r="B40" s="632" t="s">
        <v>121</v>
      </c>
      <c r="C40" s="632" t="s">
        <v>120</v>
      </c>
      <c r="D40" s="632" t="s">
        <v>126</v>
      </c>
      <c r="E40" s="633">
        <v>43391.772013888891</v>
      </c>
      <c r="F40" s="638">
        <v>43391.772013888891</v>
      </c>
      <c r="G40" s="634">
        <v>0.7715277777777777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628"/>
      <c r="P40" s="627"/>
      <c r="Q40" s="627"/>
      <c r="R40" s="627"/>
    </row>
    <row r="41" spans="1:18">
      <c r="A41" s="632">
        <v>13825</v>
      </c>
      <c r="B41" s="632" t="s">
        <v>120</v>
      </c>
      <c r="C41" s="632" t="s">
        <v>120</v>
      </c>
      <c r="D41" s="632" t="s">
        <v>125</v>
      </c>
      <c r="E41" s="633">
        <v>43392.348599537036</v>
      </c>
      <c r="F41" s="638">
        <v>43392.348599537036</v>
      </c>
      <c r="G41" s="634">
        <v>0.34791666666666665</v>
      </c>
      <c r="H41" s="635">
        <v>9.7666666666666657</v>
      </c>
      <c r="I41" s="635">
        <v>8</v>
      </c>
      <c r="J41" s="635" t="s">
        <v>115</v>
      </c>
      <c r="K41" s="635"/>
      <c r="L41" s="635"/>
      <c r="M41" s="635"/>
      <c r="N41" s="635"/>
    </row>
    <row r="42" spans="1:18" s="398" customFormat="1">
      <c r="A42" s="632">
        <v>13838</v>
      </c>
      <c r="B42" s="632" t="s">
        <v>121</v>
      </c>
      <c r="C42" s="632" t="s">
        <v>120</v>
      </c>
      <c r="D42" s="632" t="s">
        <v>126</v>
      </c>
      <c r="E42" s="633">
        <v>43392.755208333336</v>
      </c>
      <c r="F42" s="638">
        <v>43392.755208333336</v>
      </c>
      <c r="G42" s="634">
        <v>0.75486111111111109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28"/>
      <c r="P42" s="444"/>
      <c r="Q42" s="444"/>
      <c r="R42" s="444"/>
    </row>
    <row r="43" spans="1:18" s="398" customFormat="1">
      <c r="A43" s="632">
        <v>13844</v>
      </c>
      <c r="B43" s="632" t="s">
        <v>120</v>
      </c>
      <c r="C43" s="632" t="s">
        <v>120</v>
      </c>
      <c r="D43" s="632" t="s">
        <v>125</v>
      </c>
      <c r="E43" s="633">
        <v>43395.347627314812</v>
      </c>
      <c r="F43" s="638">
        <v>43395.347627314812</v>
      </c>
      <c r="G43" s="634">
        <v>0.34722222222222227</v>
      </c>
      <c r="H43" s="635">
        <v>10.166666666666668</v>
      </c>
      <c r="I43" s="635">
        <v>8</v>
      </c>
      <c r="J43" s="635" t="s">
        <v>115</v>
      </c>
      <c r="K43" s="635"/>
      <c r="L43" s="635"/>
      <c r="M43" s="635"/>
      <c r="N43" s="635"/>
      <c r="O43" s="628"/>
      <c r="P43" s="444"/>
      <c r="Q43" s="444"/>
      <c r="R43" s="444"/>
    </row>
    <row r="44" spans="1:18">
      <c r="A44" s="632">
        <v>13857</v>
      </c>
      <c r="B44" s="632" t="s">
        <v>121</v>
      </c>
      <c r="C44" s="632" t="s">
        <v>120</v>
      </c>
      <c r="D44" s="632" t="s">
        <v>126</v>
      </c>
      <c r="E44" s="633">
        <v>43395.771354166667</v>
      </c>
      <c r="F44" s="638">
        <v>43395.771354166667</v>
      </c>
      <c r="G44" s="634">
        <v>0.77083333333333337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</row>
    <row r="45" spans="1:18">
      <c r="A45" s="632">
        <v>13858</v>
      </c>
      <c r="B45" s="632" t="s">
        <v>121</v>
      </c>
      <c r="C45" s="632" t="s">
        <v>120</v>
      </c>
      <c r="D45" s="632" t="s">
        <v>127</v>
      </c>
      <c r="E45" s="633">
        <v>43395.771423611113</v>
      </c>
      <c r="F45" s="638">
        <v>43395.771423611113</v>
      </c>
      <c r="G45" s="634">
        <v>0.77083333333333337</v>
      </c>
      <c r="H45" s="635" t="s">
        <v>115</v>
      </c>
      <c r="I45" s="635" t="s">
        <v>115</v>
      </c>
      <c r="J45" s="635" t="s">
        <v>115</v>
      </c>
      <c r="K45" s="635">
        <v>0.88333333333333286</v>
      </c>
      <c r="L45" s="635"/>
      <c r="M45" s="635">
        <v>0.88333333333333286</v>
      </c>
      <c r="N45" s="635">
        <v>0</v>
      </c>
    </row>
    <row r="46" spans="1:18">
      <c r="A46" s="632">
        <v>13871</v>
      </c>
      <c r="B46" s="632" t="s">
        <v>121</v>
      </c>
      <c r="C46" s="632" t="s">
        <v>120</v>
      </c>
      <c r="D46" s="632" t="s">
        <v>128</v>
      </c>
      <c r="E46" s="633">
        <v>43395.808032407411</v>
      </c>
      <c r="F46" s="638">
        <v>43395.808032407411</v>
      </c>
      <c r="G46" s="634">
        <v>0.80763888888888891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</row>
    <row r="47" spans="1:18">
      <c r="A47" s="632">
        <v>13876</v>
      </c>
      <c r="B47" s="632" t="s">
        <v>120</v>
      </c>
      <c r="C47" s="632" t="s">
        <v>120</v>
      </c>
      <c r="D47" s="632" t="s">
        <v>125</v>
      </c>
      <c r="E47" s="633">
        <v>43396.34747685185</v>
      </c>
      <c r="F47" s="638">
        <v>43396.34747685185</v>
      </c>
      <c r="G47" s="634">
        <v>0.34722222222222227</v>
      </c>
      <c r="H47" s="635">
        <v>10.166666666666668</v>
      </c>
      <c r="I47" s="635">
        <v>8</v>
      </c>
      <c r="J47" s="635" t="s">
        <v>115</v>
      </c>
      <c r="K47" s="635"/>
      <c r="L47" s="635"/>
      <c r="M47" s="635"/>
      <c r="N47" s="635"/>
    </row>
    <row r="48" spans="1:18">
      <c r="A48" s="632">
        <v>13897</v>
      </c>
      <c r="B48" s="632" t="s">
        <v>121</v>
      </c>
      <c r="C48" s="632" t="s">
        <v>120</v>
      </c>
      <c r="D48" s="632" t="s">
        <v>126</v>
      </c>
      <c r="E48" s="633">
        <v>43396.771053240744</v>
      </c>
      <c r="F48" s="638">
        <v>43396.771053240744</v>
      </c>
      <c r="G48" s="634">
        <v>0.77083333333333337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</row>
    <row r="49" spans="1:22">
      <c r="A49" s="632">
        <v>13898</v>
      </c>
      <c r="B49" s="632" t="s">
        <v>121</v>
      </c>
      <c r="C49" s="632" t="s">
        <v>120</v>
      </c>
      <c r="D49" s="632" t="s">
        <v>127</v>
      </c>
      <c r="E49" s="633">
        <v>43396.771099537036</v>
      </c>
      <c r="F49" s="638">
        <v>43396.771099537036</v>
      </c>
      <c r="G49" s="634">
        <v>0.77083333333333337</v>
      </c>
      <c r="H49" s="635" t="s">
        <v>115</v>
      </c>
      <c r="I49" s="635" t="s">
        <v>115</v>
      </c>
      <c r="J49" s="635" t="s">
        <v>115</v>
      </c>
      <c r="K49" s="635">
        <v>0.70000000000000018</v>
      </c>
      <c r="L49" s="635"/>
      <c r="M49" s="635">
        <v>0.70000000000000018</v>
      </c>
      <c r="N49" s="635">
        <v>0</v>
      </c>
    </row>
    <row r="50" spans="1:22">
      <c r="A50" s="632">
        <v>13904</v>
      </c>
      <c r="B50" s="632" t="s">
        <v>121</v>
      </c>
      <c r="C50" s="632" t="s">
        <v>120</v>
      </c>
      <c r="D50" s="632" t="s">
        <v>128</v>
      </c>
      <c r="E50" s="633">
        <v>43396.800671296296</v>
      </c>
      <c r="F50" s="638">
        <v>43396.800671296296</v>
      </c>
      <c r="G50" s="634">
        <v>0.79999999999999993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</row>
    <row r="51" spans="1:22">
      <c r="A51" s="632">
        <v>13911</v>
      </c>
      <c r="B51" s="632" t="s">
        <v>120</v>
      </c>
      <c r="C51" s="632" t="s">
        <v>120</v>
      </c>
      <c r="D51" s="632" t="s">
        <v>125</v>
      </c>
      <c r="E51" s="633">
        <v>43397.347870370373</v>
      </c>
      <c r="F51" s="638">
        <v>43397.347870370373</v>
      </c>
      <c r="G51" s="634">
        <v>0.34722222222222227</v>
      </c>
      <c r="H51" s="635">
        <v>10</v>
      </c>
      <c r="I51" s="635">
        <v>8</v>
      </c>
      <c r="J51" s="635" t="s">
        <v>115</v>
      </c>
      <c r="K51" s="635"/>
      <c r="L51" s="635"/>
      <c r="M51" s="635"/>
      <c r="N51" s="635"/>
    </row>
    <row r="52" spans="1:22">
      <c r="A52" s="632">
        <v>13921</v>
      </c>
      <c r="B52" s="632" t="s">
        <v>121</v>
      </c>
      <c r="C52" s="632" t="s">
        <v>120</v>
      </c>
      <c r="D52" s="632" t="s">
        <v>126</v>
      </c>
      <c r="E52" s="633">
        <v>43397.764305555553</v>
      </c>
      <c r="F52" s="638">
        <v>43397.764305555553</v>
      </c>
      <c r="G52" s="634">
        <v>0.76388888888888884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</row>
    <row r="53" spans="1:22">
      <c r="A53" s="632">
        <v>13933</v>
      </c>
      <c r="B53" s="632" t="s">
        <v>120</v>
      </c>
      <c r="C53" s="632" t="s">
        <v>120</v>
      </c>
      <c r="D53" s="632" t="s">
        <v>125</v>
      </c>
      <c r="E53" s="633">
        <v>43398.348182870373</v>
      </c>
      <c r="F53" s="638">
        <v>43398.348182870373</v>
      </c>
      <c r="G53" s="634">
        <v>0.34791666666666665</v>
      </c>
      <c r="H53" s="635">
        <v>10.3</v>
      </c>
      <c r="I53" s="635">
        <v>8</v>
      </c>
      <c r="J53" s="635" t="s">
        <v>115</v>
      </c>
      <c r="K53" s="635"/>
      <c r="L53" s="635"/>
      <c r="M53" s="635"/>
      <c r="N53" s="635"/>
    </row>
    <row r="54" spans="1:22">
      <c r="A54" s="632">
        <v>13953</v>
      </c>
      <c r="B54" s="632" t="s">
        <v>121</v>
      </c>
      <c r="C54" s="632" t="s">
        <v>120</v>
      </c>
      <c r="D54" s="632" t="s">
        <v>126</v>
      </c>
      <c r="E54" s="633">
        <v>43398.777175925927</v>
      </c>
      <c r="F54" s="638">
        <v>43398.777175925927</v>
      </c>
      <c r="G54" s="634">
        <v>0.77708333333333324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</row>
    <row r="55" spans="1:22">
      <c r="A55" s="632">
        <v>13958</v>
      </c>
      <c r="B55" s="632" t="s">
        <v>120</v>
      </c>
      <c r="C55" s="632" t="s">
        <v>120</v>
      </c>
      <c r="D55" s="632" t="s">
        <v>125</v>
      </c>
      <c r="E55" s="633">
        <v>43399.348958333336</v>
      </c>
      <c r="F55" s="638">
        <v>43399.348958333336</v>
      </c>
      <c r="G55" s="634">
        <v>0.34861111111111115</v>
      </c>
      <c r="H55" s="635">
        <v>10.016666666666669</v>
      </c>
      <c r="I55" s="635">
        <v>8</v>
      </c>
      <c r="J55" s="635" t="s">
        <v>115</v>
      </c>
      <c r="K55" s="635"/>
      <c r="L55" s="635"/>
      <c r="M55" s="635"/>
      <c r="N55" s="635"/>
    </row>
    <row r="56" spans="1:22">
      <c r="A56" s="632">
        <v>13966</v>
      </c>
      <c r="B56" s="632" t="s">
        <v>121</v>
      </c>
      <c r="C56" s="632" t="s">
        <v>120</v>
      </c>
      <c r="D56" s="632" t="s">
        <v>126</v>
      </c>
      <c r="E56" s="633">
        <v>43399.76599537037</v>
      </c>
      <c r="F56" s="638">
        <v>43399.76599537037</v>
      </c>
      <c r="G56" s="634">
        <v>0.76597222222222217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</row>
    <row r="57" spans="1:22">
      <c r="A57" s="632">
        <v>13976</v>
      </c>
      <c r="B57" s="632" t="s">
        <v>120</v>
      </c>
      <c r="C57" s="632" t="s">
        <v>120</v>
      </c>
      <c r="D57" s="632" t="s">
        <v>125</v>
      </c>
      <c r="E57" s="633">
        <v>43402.345694444448</v>
      </c>
      <c r="F57" s="638">
        <v>43402.345694444448</v>
      </c>
      <c r="G57" s="634">
        <v>0.34513888888888888</v>
      </c>
      <c r="H57" s="635">
        <v>10.200000000000001</v>
      </c>
      <c r="I57" s="635">
        <v>8</v>
      </c>
      <c r="J57" s="635" t="s">
        <v>115</v>
      </c>
      <c r="K57" s="635"/>
      <c r="L57" s="635"/>
      <c r="M57" s="635"/>
      <c r="N57" s="635"/>
    </row>
    <row r="58" spans="1:22">
      <c r="A58" s="632">
        <v>13993</v>
      </c>
      <c r="B58" s="632" t="s">
        <v>121</v>
      </c>
      <c r="C58" s="632" t="s">
        <v>120</v>
      </c>
      <c r="D58" s="632" t="s">
        <v>126</v>
      </c>
      <c r="E58" s="633">
        <v>43402.770138888889</v>
      </c>
      <c r="F58" s="638">
        <v>43402.770138888889</v>
      </c>
      <c r="G58" s="634">
        <v>0.77013888888888893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</row>
    <row r="59" spans="1:22" s="63" customFormat="1">
      <c r="A59" s="632"/>
      <c r="B59" s="632"/>
      <c r="C59" s="632"/>
      <c r="D59" s="632" t="s">
        <v>125</v>
      </c>
      <c r="E59" s="633">
        <v>43403.354409722226</v>
      </c>
      <c r="F59" s="638">
        <v>43383.354409722226</v>
      </c>
      <c r="G59" s="634">
        <v>0.35416666666666669</v>
      </c>
      <c r="H59" s="635"/>
      <c r="I59" s="635">
        <v>0</v>
      </c>
      <c r="J59" s="635">
        <v>8</v>
      </c>
      <c r="K59" s="635"/>
      <c r="L59" s="635"/>
      <c r="M59" s="635"/>
      <c r="N59" s="635"/>
      <c r="O59" s="628" t="s">
        <v>165</v>
      </c>
      <c r="P59" s="627"/>
      <c r="Q59" s="345"/>
      <c r="R59" s="372"/>
      <c r="S59" s="372"/>
      <c r="T59" s="373"/>
      <c r="U59" s="373"/>
      <c r="V59" s="373"/>
    </row>
    <row r="60" spans="1:22" s="63" customFormat="1">
      <c r="A60" s="632"/>
      <c r="B60" s="632"/>
      <c r="C60" s="632"/>
      <c r="D60" s="632" t="s">
        <v>126</v>
      </c>
      <c r="E60" s="633">
        <v>43403.75</v>
      </c>
      <c r="F60" s="638">
        <v>43383.771435185183</v>
      </c>
      <c r="G60" s="634">
        <v>0.75</v>
      </c>
      <c r="H60" s="635"/>
      <c r="I60" s="635"/>
      <c r="J60" s="635"/>
      <c r="K60" s="635"/>
      <c r="L60" s="635"/>
      <c r="M60" s="635"/>
      <c r="N60" s="635"/>
      <c r="O60" s="628"/>
      <c r="P60" s="627"/>
      <c r="Q60" s="345"/>
      <c r="R60" s="372"/>
      <c r="S60" s="372"/>
      <c r="T60" s="373"/>
      <c r="U60" s="373"/>
      <c r="V60" s="373"/>
    </row>
    <row r="61" spans="1:22">
      <c r="A61" s="632">
        <v>14031</v>
      </c>
      <c r="B61" s="632" t="s">
        <v>120</v>
      </c>
      <c r="C61" s="632" t="s">
        <v>120</v>
      </c>
      <c r="D61" s="632" t="s">
        <v>125</v>
      </c>
      <c r="E61" s="633">
        <v>43404.347719907404</v>
      </c>
      <c r="F61" s="638">
        <v>43404.347719907404</v>
      </c>
      <c r="G61" s="634">
        <v>0.34722222222222227</v>
      </c>
      <c r="H61" s="635">
        <v>10.166666666666668</v>
      </c>
      <c r="I61" s="635">
        <v>8</v>
      </c>
      <c r="J61" s="635" t="s">
        <v>115</v>
      </c>
      <c r="K61" s="635"/>
      <c r="L61" s="635"/>
      <c r="M61" s="635"/>
      <c r="N61" s="635"/>
    </row>
    <row r="62" spans="1:22">
      <c r="A62" s="632">
        <v>14044</v>
      </c>
      <c r="B62" s="632" t="s">
        <v>121</v>
      </c>
      <c r="C62" s="632" t="s">
        <v>120</v>
      </c>
      <c r="D62" s="632" t="s">
        <v>126</v>
      </c>
      <c r="E62" s="633">
        <v>43404.770983796298</v>
      </c>
      <c r="F62" s="638">
        <v>43404.770983796298</v>
      </c>
      <c r="G62" s="634">
        <v>0.77083333333333337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</row>
    <row r="63" spans="1:22">
      <c r="A63" s="632">
        <v>14045</v>
      </c>
      <c r="B63" s="632" t="s">
        <v>121</v>
      </c>
      <c r="C63" s="632" t="s">
        <v>120</v>
      </c>
      <c r="D63" s="632" t="s">
        <v>127</v>
      </c>
      <c r="E63" s="633">
        <v>43404.77103009259</v>
      </c>
      <c r="F63" s="638">
        <v>43404.77103009259</v>
      </c>
      <c r="G63" s="634">
        <v>0.77083333333333337</v>
      </c>
      <c r="H63" s="635" t="s">
        <v>115</v>
      </c>
      <c r="I63" s="635" t="s">
        <v>115</v>
      </c>
      <c r="J63" s="635" t="s">
        <v>115</v>
      </c>
      <c r="K63" s="635">
        <v>0.54999999999999805</v>
      </c>
      <c r="L63" s="635"/>
      <c r="M63" s="635">
        <v>0.54999999999999805</v>
      </c>
      <c r="N63" s="635">
        <v>0</v>
      </c>
    </row>
    <row r="64" spans="1:22">
      <c r="A64" s="632">
        <v>14051</v>
      </c>
      <c r="B64" s="632" t="s">
        <v>121</v>
      </c>
      <c r="C64" s="632" t="s">
        <v>120</v>
      </c>
      <c r="D64" s="632" t="s">
        <v>128</v>
      </c>
      <c r="E64" s="633">
        <v>43404.794004629628</v>
      </c>
      <c r="F64" s="638">
        <v>43404.794004629628</v>
      </c>
      <c r="G64" s="634">
        <v>0.79375000000000007</v>
      </c>
      <c r="H64" s="635"/>
      <c r="I64" s="635"/>
      <c r="J64" s="635"/>
      <c r="K64" s="635"/>
      <c r="L64" s="635"/>
      <c r="M64" s="635"/>
      <c r="N64" s="635"/>
    </row>
    <row r="65" spans="2:14">
      <c r="B65" s="629"/>
      <c r="C65" s="490"/>
      <c r="D65" s="152"/>
      <c r="E65" s="152"/>
      <c r="F65" s="475"/>
      <c r="G65" s="476"/>
      <c r="H65" s="477"/>
      <c r="I65" s="478"/>
      <c r="J65" s="478"/>
      <c r="K65" s="479"/>
      <c r="L65" s="479"/>
      <c r="M65" s="479"/>
      <c r="N65" s="479"/>
    </row>
    <row r="66" spans="2:14">
      <c r="C66" s="474"/>
      <c r="D66" s="9" t="s">
        <v>36</v>
      </c>
      <c r="E66" s="3"/>
      <c r="F66" s="16"/>
      <c r="G66" s="17"/>
      <c r="H66" s="51"/>
      <c r="I66" s="21"/>
      <c r="J66" s="21"/>
      <c r="K66" s="22"/>
      <c r="L66" s="22"/>
      <c r="M66" s="22"/>
      <c r="N66" s="22"/>
    </row>
    <row r="67" spans="2:14">
      <c r="C67" s="474"/>
      <c r="D67" s="9" t="s">
        <v>35</v>
      </c>
      <c r="E67" s="3"/>
      <c r="F67" s="16"/>
      <c r="G67" s="17"/>
      <c r="H67" s="51"/>
      <c r="I67" s="21"/>
      <c r="J67" s="21"/>
      <c r="K67" s="22"/>
      <c r="L67" s="22"/>
      <c r="M67" s="22"/>
      <c r="N67" s="22"/>
    </row>
    <row r="68" spans="2:14">
      <c r="C68" s="474"/>
      <c r="D68" s="172" t="s">
        <v>63</v>
      </c>
      <c r="E68" s="3"/>
      <c r="F68" s="16"/>
      <c r="G68" s="17"/>
      <c r="H68" s="51"/>
      <c r="I68" s="21"/>
      <c r="J68" s="21"/>
      <c r="K68" s="22"/>
      <c r="L68" s="22"/>
      <c r="M68" s="22"/>
      <c r="N68" s="22"/>
    </row>
    <row r="69" spans="2:14">
      <c r="C69" s="474"/>
      <c r="D69" s="458" t="s">
        <v>66</v>
      </c>
      <c r="E69" s="3"/>
      <c r="F69" s="16"/>
      <c r="G69" s="17"/>
      <c r="H69" s="51"/>
      <c r="I69" s="21"/>
      <c r="J69" s="21"/>
      <c r="K69" s="22"/>
      <c r="L69" s="22"/>
      <c r="M69" s="22"/>
      <c r="N69" s="22"/>
    </row>
    <row r="70" spans="2:14">
      <c r="C70" s="474"/>
      <c r="D70" s="458" t="s">
        <v>64</v>
      </c>
      <c r="E70" s="336"/>
      <c r="F70" s="373"/>
      <c r="G70" s="376"/>
      <c r="H70" s="377"/>
      <c r="I70" s="378"/>
      <c r="J70" s="378"/>
      <c r="K70" s="379"/>
      <c r="L70" s="379"/>
      <c r="M70" s="379"/>
      <c r="N70" s="379"/>
    </row>
    <row r="71" spans="2:14">
      <c r="C71" s="474"/>
      <c r="D71" s="458" t="s">
        <v>68</v>
      </c>
      <c r="E71" s="336"/>
      <c r="F71" s="373"/>
      <c r="G71" s="376"/>
      <c r="H71" s="377"/>
      <c r="I71" s="378"/>
      <c r="J71" s="378"/>
      <c r="K71" s="379"/>
      <c r="L71" s="379"/>
      <c r="M71" s="379"/>
      <c r="N71" s="379"/>
    </row>
    <row r="72" spans="2:14">
      <c r="C72" s="474"/>
      <c r="D72" s="458" t="s">
        <v>69</v>
      </c>
      <c r="E72" s="336"/>
      <c r="F72" s="373"/>
      <c r="G72" s="376"/>
      <c r="H72" s="377"/>
      <c r="I72" s="378"/>
      <c r="J72" s="378"/>
      <c r="K72" s="379"/>
      <c r="L72" s="379"/>
      <c r="M72" s="379"/>
      <c r="N72" s="379"/>
    </row>
    <row r="73" spans="2:14">
      <c r="C73" s="474"/>
      <c r="D73" s="458" t="s">
        <v>116</v>
      </c>
      <c r="E73" s="336"/>
      <c r="F73" s="373"/>
      <c r="G73" s="376"/>
      <c r="H73" s="377"/>
      <c r="I73" s="378"/>
      <c r="J73" s="378"/>
      <c r="K73" s="379"/>
      <c r="L73" s="379"/>
      <c r="M73" s="379"/>
      <c r="N73" s="379"/>
    </row>
    <row r="74" spans="2:14">
      <c r="C74" s="474"/>
      <c r="D74" s="458" t="s">
        <v>67</v>
      </c>
      <c r="E74" s="336"/>
      <c r="F74" s="373"/>
      <c r="G74" s="376"/>
      <c r="H74" s="377"/>
      <c r="I74" s="378"/>
      <c r="J74" s="378"/>
      <c r="K74" s="379"/>
      <c r="L74" s="379"/>
      <c r="M74" s="379"/>
      <c r="N74" s="379"/>
    </row>
    <row r="75" spans="2:14">
      <c r="C75" s="474"/>
      <c r="D75" s="152"/>
      <c r="E75" s="152"/>
      <c r="F75" s="475"/>
      <c r="G75" s="476"/>
      <c r="H75" s="477"/>
      <c r="I75" s="478"/>
      <c r="J75" s="478"/>
      <c r="K75" s="479"/>
      <c r="L75" s="479"/>
      <c r="M75" s="479"/>
      <c r="N75" s="479"/>
    </row>
    <row r="76" spans="2:14">
      <c r="C76" s="474"/>
      <c r="D76" s="152"/>
      <c r="E76" s="152"/>
      <c r="F76" s="475"/>
      <c r="G76" s="476"/>
      <c r="H76" s="477"/>
      <c r="I76" s="478"/>
      <c r="J76" s="478"/>
      <c r="K76" s="479"/>
      <c r="L76" s="479"/>
      <c r="M76" s="479"/>
      <c r="N76" s="479"/>
    </row>
    <row r="77" spans="2:14">
      <c r="C77" s="474"/>
      <c r="D77" s="152"/>
      <c r="E77" s="152"/>
      <c r="F77" s="475"/>
      <c r="G77" s="476"/>
      <c r="H77" s="477"/>
      <c r="I77" s="478"/>
      <c r="J77" s="478"/>
      <c r="K77" s="479"/>
      <c r="L77" s="479"/>
      <c r="M77" s="479"/>
      <c r="N77" s="479"/>
    </row>
    <row r="78" spans="2:14">
      <c r="C78" s="474"/>
      <c r="D78" s="152"/>
      <c r="E78" s="152"/>
      <c r="F78" s="475"/>
      <c r="G78" s="476"/>
      <c r="H78" s="477"/>
      <c r="I78" s="478"/>
      <c r="J78" s="478"/>
      <c r="K78" s="479"/>
      <c r="L78" s="479"/>
      <c r="M78" s="479"/>
      <c r="N78" s="479"/>
    </row>
    <row r="79" spans="2:14">
      <c r="C79" s="474"/>
      <c r="D79" s="152"/>
      <c r="E79" s="152"/>
      <c r="F79" s="475"/>
      <c r="G79" s="476"/>
      <c r="H79" s="477"/>
      <c r="I79" s="478"/>
      <c r="J79" s="478"/>
      <c r="K79" s="479"/>
      <c r="L79" s="479"/>
      <c r="M79" s="479"/>
      <c r="N79" s="479"/>
    </row>
    <row r="80" spans="2:14">
      <c r="C80" s="474"/>
      <c r="D80" s="152"/>
      <c r="E80" s="152"/>
      <c r="F80" s="475"/>
      <c r="G80" s="476"/>
      <c r="H80" s="477"/>
      <c r="I80" s="478"/>
      <c r="J80" s="478"/>
      <c r="K80" s="479"/>
      <c r="L80" s="479"/>
      <c r="M80" s="479"/>
      <c r="N80" s="479"/>
    </row>
    <row r="81" spans="3:14">
      <c r="C81" s="474"/>
      <c r="D81" s="152"/>
      <c r="E81" s="152"/>
      <c r="F81" s="475"/>
      <c r="G81" s="476"/>
      <c r="H81" s="477"/>
      <c r="I81" s="478"/>
      <c r="J81" s="478"/>
      <c r="K81" s="479"/>
      <c r="L81" s="479"/>
      <c r="M81" s="479"/>
      <c r="N81" s="479"/>
    </row>
    <row r="82" spans="3:14">
      <c r="C82" s="474"/>
      <c r="D82" s="152"/>
      <c r="E82" s="152"/>
      <c r="F82" s="475"/>
      <c r="G82" s="476"/>
      <c r="H82" s="477"/>
      <c r="I82" s="478"/>
      <c r="J82" s="478"/>
      <c r="K82" s="479"/>
      <c r="L82" s="479"/>
      <c r="M82" s="479"/>
      <c r="N82" s="479"/>
    </row>
    <row r="83" spans="3:14">
      <c r="C83" s="474"/>
      <c r="D83" s="152"/>
      <c r="E83" s="152"/>
      <c r="F83" s="475"/>
      <c r="G83" s="476"/>
      <c r="H83" s="477"/>
      <c r="I83" s="478"/>
      <c r="J83" s="478"/>
      <c r="K83" s="479"/>
      <c r="L83" s="479"/>
      <c r="M83" s="479"/>
      <c r="N83" s="479"/>
    </row>
    <row r="84" spans="3:14">
      <c r="C84" s="474"/>
      <c r="D84" s="152"/>
      <c r="E84" s="152"/>
      <c r="F84" s="475"/>
      <c r="G84" s="476"/>
      <c r="H84" s="477"/>
      <c r="I84" s="478"/>
      <c r="J84" s="478"/>
      <c r="K84" s="479"/>
      <c r="L84" s="479"/>
      <c r="M84" s="479"/>
      <c r="N84" s="479"/>
    </row>
    <row r="85" spans="3:14">
      <c r="C85" s="474"/>
      <c r="D85" s="152"/>
      <c r="E85" s="152"/>
      <c r="F85" s="475"/>
      <c r="G85" s="476"/>
      <c r="H85" s="477"/>
      <c r="I85" s="478"/>
      <c r="J85" s="478"/>
      <c r="K85" s="479"/>
      <c r="L85" s="479"/>
      <c r="M85" s="479"/>
      <c r="N85" s="479"/>
    </row>
    <row r="86" spans="3:14">
      <c r="C86" s="474"/>
      <c r="D86" s="152"/>
      <c r="E86" s="152"/>
      <c r="F86" s="475"/>
      <c r="G86" s="476"/>
      <c r="H86" s="477"/>
      <c r="I86" s="478"/>
      <c r="J86" s="478"/>
      <c r="K86" s="479"/>
      <c r="L86" s="479"/>
      <c r="M86" s="479"/>
      <c r="N86" s="479"/>
    </row>
    <row r="87" spans="3:14">
      <c r="C87" s="474"/>
      <c r="D87" s="152"/>
      <c r="E87" s="152"/>
      <c r="F87" s="475"/>
      <c r="G87" s="476"/>
      <c r="H87" s="477"/>
      <c r="I87" s="478"/>
      <c r="J87" s="478"/>
      <c r="K87" s="479"/>
      <c r="L87" s="479"/>
      <c r="M87" s="479"/>
      <c r="N87" s="479"/>
    </row>
    <row r="88" spans="3:14">
      <c r="C88" s="474"/>
      <c r="D88" s="152"/>
      <c r="E88" s="152"/>
      <c r="F88" s="475"/>
      <c r="G88" s="476"/>
      <c r="H88" s="477"/>
      <c r="I88" s="478"/>
      <c r="J88" s="478"/>
      <c r="K88" s="479"/>
      <c r="L88" s="479"/>
      <c r="M88" s="479"/>
      <c r="N88" s="479"/>
    </row>
    <row r="89" spans="3:14">
      <c r="C89" s="474"/>
      <c r="D89" s="152"/>
      <c r="E89" s="152"/>
      <c r="F89" s="475"/>
      <c r="G89" s="476"/>
      <c r="H89" s="477"/>
      <c r="I89" s="478"/>
      <c r="J89" s="478"/>
      <c r="K89" s="479"/>
      <c r="L89" s="479"/>
      <c r="M89" s="479"/>
      <c r="N89" s="479"/>
    </row>
  </sheetData>
  <phoneticPr fontId="18" type="noConversion"/>
  <conditionalFormatting sqref="I7:I22 I25:I58 I61:I64">
    <cfRule type="cellIs" dxfId="12" priority="3" operator="lessThan">
      <formula>4</formula>
    </cfRule>
  </conditionalFormatting>
  <conditionalFormatting sqref="I23:I24">
    <cfRule type="cellIs" dxfId="11" priority="2" operator="lessThan">
      <formula>4</formula>
    </cfRule>
  </conditionalFormatting>
  <conditionalFormatting sqref="I59:I60">
    <cfRule type="cellIs" dxfId="10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81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13"/>
  <dimension ref="A1"/>
  <sheetViews>
    <sheetView workbookViewId="0">
      <selection activeCell="P32" sqref="P32"/>
    </sheetView>
  </sheetViews>
  <sheetFormatPr defaultRowHeight="16.5"/>
  <sheetData/>
  <phoneticPr fontId="18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14">
    <tabColor theme="4"/>
  </sheetPr>
  <dimension ref="A1:U32"/>
  <sheetViews>
    <sheetView view="pageBreakPreview" zoomScaleNormal="100" zoomScaleSheetLayoutView="100" workbookViewId="0">
      <selection activeCell="I3" sqref="I3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10.25" style="3" customWidth="1"/>
    <col min="5" max="5" width="16.875" style="3" customWidth="1"/>
    <col min="6" max="6" width="5.75" style="16" customWidth="1"/>
    <col min="7" max="7" width="8.625" style="17" customWidth="1" outlineLevel="1"/>
    <col min="8" max="8" width="11.125" style="51" customWidth="1" outlineLevel="1"/>
    <col min="9" max="9" width="10.25" style="21" customWidth="1"/>
    <col min="10" max="10" width="12.625" style="21" customWidth="1"/>
    <col min="11" max="11" width="8.375" style="22" customWidth="1" outlineLevel="1"/>
    <col min="12" max="12" width="12.5" style="22" customWidth="1"/>
    <col min="13" max="13" width="6.25" style="22" customWidth="1"/>
    <col min="14" max="14" width="16.5" style="28" customWidth="1"/>
    <col min="15" max="15" width="9" style="9"/>
    <col min="21" max="21" width="22.62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B9</f>
        <v>paul</v>
      </c>
      <c r="J1" s="46" t="s">
        <v>29</v>
      </c>
      <c r="K1" s="14"/>
      <c r="L1" s="14"/>
      <c r="M1" s="14"/>
      <c r="N1" s="27"/>
      <c r="O1" s="19"/>
    </row>
    <row r="2" spans="1:21">
      <c r="D2" s="23"/>
      <c r="E2" s="29"/>
      <c r="F2" s="105" t="s">
        <v>28</v>
      </c>
      <c r="G2" s="106"/>
      <c r="H2" s="106"/>
      <c r="I2" s="107" t="s">
        <v>24</v>
      </c>
      <c r="J2" s="107" t="s">
        <v>84</v>
      </c>
      <c r="K2" s="108"/>
      <c r="L2" s="29" t="s">
        <v>85</v>
      </c>
      <c r="M2" s="110"/>
      <c r="N2" s="111" t="s">
        <v>27</v>
      </c>
    </row>
    <row r="3" spans="1:21" ht="17.25" thickBot="1">
      <c r="D3" s="24"/>
      <c r="E3" s="30"/>
      <c r="F3" s="25"/>
      <c r="G3" s="26"/>
      <c r="H3" s="26"/>
      <c r="I3" s="52">
        <f>L3+J3</f>
        <v>78.833333333333329</v>
      </c>
      <c r="J3" s="54">
        <f>I6+J6</f>
        <v>78.833333333333329</v>
      </c>
      <c r="K3" s="53"/>
      <c r="L3" s="189">
        <f>L6</f>
        <v>0</v>
      </c>
      <c r="M3" s="53"/>
      <c r="N3" s="50"/>
    </row>
    <row r="4" spans="1:21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5"/>
    </row>
    <row r="5" spans="1:21">
      <c r="D5" s="40"/>
      <c r="E5" s="7"/>
      <c r="F5" s="116" t="s">
        <v>26</v>
      </c>
      <c r="G5" s="117"/>
      <c r="H5" s="117"/>
      <c r="I5" s="118" t="s">
        <v>81</v>
      </c>
      <c r="J5" s="118" t="s">
        <v>82</v>
      </c>
      <c r="K5" s="118"/>
      <c r="L5" s="118" t="s">
        <v>83</v>
      </c>
      <c r="M5" s="119"/>
      <c r="N5" s="120"/>
    </row>
    <row r="6" spans="1:21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SUM(I7:I54)</f>
        <v>68.98333333333332</v>
      </c>
      <c r="J6" s="124">
        <f>SUM(J9:J54)</f>
        <v>9.8500000000000032</v>
      </c>
      <c r="K6" s="124"/>
      <c r="L6" s="124">
        <f>SUM(L7:L54)</f>
        <v>0</v>
      </c>
      <c r="M6" s="124">
        <f>SUM(M11:M27)</f>
        <v>0</v>
      </c>
      <c r="N6" s="45"/>
    </row>
    <row r="7" spans="1:21" s="446" customFormat="1">
      <c r="A7" s="632">
        <v>13468</v>
      </c>
      <c r="B7" s="632" t="s">
        <v>11</v>
      </c>
      <c r="C7" s="632" t="s">
        <v>11</v>
      </c>
      <c r="D7" s="632" t="s">
        <v>125</v>
      </c>
      <c r="E7" s="633">
        <v>43374.378923611112</v>
      </c>
      <c r="F7" s="638">
        <v>43374.378923611112</v>
      </c>
      <c r="G7" s="634">
        <v>0.37847222222222227</v>
      </c>
      <c r="H7" s="635">
        <v>8.3333333333333321</v>
      </c>
      <c r="I7" s="635">
        <v>6.8333333333333321</v>
      </c>
      <c r="J7" s="635">
        <v>1.1666666666666679</v>
      </c>
      <c r="K7" s="635"/>
      <c r="L7" s="635"/>
      <c r="M7" s="635"/>
      <c r="N7" s="635"/>
      <c r="O7" s="396"/>
      <c r="Q7" s="446">
        <v>7550</v>
      </c>
      <c r="R7" s="446" t="s">
        <v>11</v>
      </c>
      <c r="S7" s="446" t="s">
        <v>11</v>
      </c>
      <c r="T7" s="446" t="s">
        <v>6</v>
      </c>
      <c r="U7" s="447">
        <v>43112.591782407406</v>
      </c>
    </row>
    <row r="8" spans="1:21" s="446" customFormat="1">
      <c r="A8" s="632">
        <v>13470</v>
      </c>
      <c r="B8" s="632" t="s">
        <v>11</v>
      </c>
      <c r="C8" s="632" t="s">
        <v>11</v>
      </c>
      <c r="D8" s="632" t="s">
        <v>126</v>
      </c>
      <c r="E8" s="633">
        <v>43374.725740740738</v>
      </c>
      <c r="F8" s="638">
        <v>43374.725740740738</v>
      </c>
      <c r="G8" s="634">
        <v>0.72569444444444453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396"/>
      <c r="Q8" s="446">
        <v>7564</v>
      </c>
      <c r="R8" s="446" t="s">
        <v>11</v>
      </c>
      <c r="S8" s="446" t="s">
        <v>11</v>
      </c>
      <c r="T8" s="446" t="s">
        <v>5</v>
      </c>
      <c r="U8" s="447">
        <v>43112.792210648149</v>
      </c>
    </row>
    <row r="9" spans="1:21" s="16" customFormat="1">
      <c r="A9" s="632">
        <v>13496</v>
      </c>
      <c r="B9" s="632" t="s">
        <v>11</v>
      </c>
      <c r="C9" s="632" t="s">
        <v>11</v>
      </c>
      <c r="D9" s="632" t="s">
        <v>125</v>
      </c>
      <c r="E9" s="633">
        <v>43375.355520833335</v>
      </c>
      <c r="F9" s="638">
        <v>43375.355520833335</v>
      </c>
      <c r="G9" s="634">
        <v>0.35486111111111113</v>
      </c>
      <c r="H9" s="635">
        <v>7.5333333333333314</v>
      </c>
      <c r="I9" s="635">
        <v>6.0333333333333314</v>
      </c>
      <c r="J9" s="635">
        <v>1.9666666666666686</v>
      </c>
      <c r="K9" s="635"/>
      <c r="L9" s="635"/>
      <c r="M9" s="635"/>
      <c r="N9" s="635"/>
      <c r="O9" s="137"/>
      <c r="Q9" s="16">
        <v>7550</v>
      </c>
      <c r="R9" s="16" t="s">
        <v>11</v>
      </c>
      <c r="S9" s="16" t="s">
        <v>11</v>
      </c>
      <c r="T9" s="16" t="s">
        <v>6</v>
      </c>
      <c r="U9" s="385">
        <v>43112.591782407406</v>
      </c>
    </row>
    <row r="10" spans="1:21" s="16" customFormat="1">
      <c r="A10" s="632">
        <v>13506</v>
      </c>
      <c r="B10" s="632" t="s">
        <v>11</v>
      </c>
      <c r="C10" s="632" t="s">
        <v>11</v>
      </c>
      <c r="D10" s="632" t="s">
        <v>126</v>
      </c>
      <c r="E10" s="633">
        <v>43375.668819444443</v>
      </c>
      <c r="F10" s="638">
        <v>43375.668819444443</v>
      </c>
      <c r="G10" s="634">
        <v>0.66875000000000007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137"/>
      <c r="Q10" s="16">
        <v>7564</v>
      </c>
      <c r="R10" s="16" t="s">
        <v>11</v>
      </c>
      <c r="S10" s="16" t="s">
        <v>11</v>
      </c>
      <c r="T10" s="16" t="s">
        <v>5</v>
      </c>
      <c r="U10" s="385">
        <v>43112.792210648149</v>
      </c>
    </row>
    <row r="11" spans="1:21">
      <c r="A11" s="632">
        <v>13622</v>
      </c>
      <c r="B11" s="632" t="s">
        <v>11</v>
      </c>
      <c r="C11" s="632" t="s">
        <v>11</v>
      </c>
      <c r="D11" s="632" t="s">
        <v>125</v>
      </c>
      <c r="E11" s="633">
        <v>43381.384976851848</v>
      </c>
      <c r="F11" s="638">
        <v>43381.384976851848</v>
      </c>
      <c r="G11" s="634">
        <v>0.38472222222222219</v>
      </c>
      <c r="H11" s="635">
        <v>9.1166666666666654</v>
      </c>
      <c r="I11" s="635">
        <v>7.6166666666666654</v>
      </c>
      <c r="J11" s="635">
        <v>0.38333333333333464</v>
      </c>
      <c r="K11" s="635"/>
      <c r="L11" s="635"/>
      <c r="M11" s="635"/>
      <c r="N11" s="635"/>
    </row>
    <row r="12" spans="1:21">
      <c r="A12" s="632">
        <v>13626</v>
      </c>
      <c r="B12" s="632" t="s">
        <v>11</v>
      </c>
      <c r="C12" s="632" t="s">
        <v>11</v>
      </c>
      <c r="D12" s="632" t="s">
        <v>126</v>
      </c>
      <c r="E12" s="633">
        <v>43381.765023148146</v>
      </c>
      <c r="F12" s="638">
        <v>43381.765023148146</v>
      </c>
      <c r="G12" s="634">
        <v>0.76458333333333339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</row>
    <row r="13" spans="1:21">
      <c r="A13" s="632">
        <v>13648</v>
      </c>
      <c r="B13" s="632" t="s">
        <v>11</v>
      </c>
      <c r="C13" s="632" t="s">
        <v>11</v>
      </c>
      <c r="D13" s="632" t="s">
        <v>125</v>
      </c>
      <c r="E13" s="633">
        <v>43382.377442129633</v>
      </c>
      <c r="F13" s="638">
        <v>43382.377442129633</v>
      </c>
      <c r="G13" s="634">
        <v>0.37708333333333338</v>
      </c>
      <c r="H13" s="635">
        <v>7.8500000000000014</v>
      </c>
      <c r="I13" s="635">
        <v>6.3500000000000014</v>
      </c>
      <c r="J13" s="635">
        <v>1.6499999999999986</v>
      </c>
      <c r="K13" s="635"/>
      <c r="L13" s="635"/>
      <c r="M13" s="635"/>
      <c r="N13" s="635"/>
    </row>
    <row r="14" spans="1:21">
      <c r="A14" s="632">
        <v>13654</v>
      </c>
      <c r="B14" s="632" t="s">
        <v>11</v>
      </c>
      <c r="C14" s="632" t="s">
        <v>11</v>
      </c>
      <c r="D14" s="632" t="s">
        <v>126</v>
      </c>
      <c r="E14" s="633">
        <v>43382.704594907409</v>
      </c>
      <c r="F14" s="638">
        <v>43382.704594907409</v>
      </c>
      <c r="G14" s="634">
        <v>0.70416666666666661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</row>
    <row r="15" spans="1:21">
      <c r="A15" s="632">
        <v>13725</v>
      </c>
      <c r="B15" s="632" t="s">
        <v>11</v>
      </c>
      <c r="C15" s="632" t="s">
        <v>11</v>
      </c>
      <c r="D15" s="632" t="s">
        <v>125</v>
      </c>
      <c r="E15" s="633">
        <v>43388.371076388888</v>
      </c>
      <c r="F15" s="638">
        <v>43388.371076388888</v>
      </c>
      <c r="G15" s="634">
        <v>0.37083333333333335</v>
      </c>
      <c r="H15" s="635">
        <v>9.3333333333333321</v>
      </c>
      <c r="I15" s="635">
        <v>7.8333333333333321</v>
      </c>
      <c r="J15" s="635">
        <v>0.16666666666666785</v>
      </c>
      <c r="K15" s="635"/>
      <c r="L15" s="635"/>
      <c r="M15" s="635"/>
      <c r="N15" s="635"/>
    </row>
    <row r="16" spans="1:21">
      <c r="A16" s="632">
        <v>13731</v>
      </c>
      <c r="B16" s="632" t="s">
        <v>11</v>
      </c>
      <c r="C16" s="632" t="s">
        <v>11</v>
      </c>
      <c r="D16" s="632" t="s">
        <v>126</v>
      </c>
      <c r="E16" s="633">
        <v>43388.759733796294</v>
      </c>
      <c r="F16" s="638">
        <v>43388.759733796294</v>
      </c>
      <c r="G16" s="634">
        <v>0.7597222222222223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</row>
    <row r="17" spans="1:14">
      <c r="A17" s="632">
        <v>13754</v>
      </c>
      <c r="B17" s="632" t="s">
        <v>11</v>
      </c>
      <c r="C17" s="632" t="s">
        <v>11</v>
      </c>
      <c r="D17" s="632" t="s">
        <v>125</v>
      </c>
      <c r="E17" s="633">
        <v>43389.377615740741</v>
      </c>
      <c r="F17" s="638">
        <v>43389.377615740741</v>
      </c>
      <c r="G17" s="634">
        <v>0.37708333333333338</v>
      </c>
      <c r="H17" s="635">
        <v>9.0666666666666664</v>
      </c>
      <c r="I17" s="635">
        <v>7.5666666666666664</v>
      </c>
      <c r="J17" s="635">
        <v>0.43333333333333357</v>
      </c>
      <c r="K17" s="635"/>
      <c r="L17" s="635"/>
      <c r="M17" s="635"/>
      <c r="N17" s="635"/>
    </row>
    <row r="18" spans="1:14">
      <c r="A18" s="632">
        <v>13757</v>
      </c>
      <c r="B18" s="632" t="s">
        <v>11</v>
      </c>
      <c r="C18" s="632" t="s">
        <v>11</v>
      </c>
      <c r="D18" s="632" t="s">
        <v>126</v>
      </c>
      <c r="E18" s="633">
        <v>43389.755520833336</v>
      </c>
      <c r="F18" s="638">
        <v>43389.755520833336</v>
      </c>
      <c r="G18" s="634">
        <v>0.75486111111111109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</row>
    <row r="19" spans="1:14">
      <c r="A19" s="632">
        <v>13853</v>
      </c>
      <c r="B19" s="632" t="s">
        <v>11</v>
      </c>
      <c r="C19" s="632" t="s">
        <v>11</v>
      </c>
      <c r="D19" s="632" t="s">
        <v>125</v>
      </c>
      <c r="E19" s="633">
        <v>43395.380462962959</v>
      </c>
      <c r="F19" s="638">
        <v>43395.380462962959</v>
      </c>
      <c r="G19" s="634">
        <v>0.37986111111111115</v>
      </c>
      <c r="H19" s="635">
        <v>9.3666666666666671</v>
      </c>
      <c r="I19" s="635">
        <v>7.8666666666666671</v>
      </c>
      <c r="J19" s="635">
        <v>0.13333333333333286</v>
      </c>
      <c r="K19" s="635"/>
      <c r="L19" s="635"/>
      <c r="M19" s="635"/>
      <c r="N19" s="635"/>
    </row>
    <row r="20" spans="1:14">
      <c r="A20" s="632">
        <v>13856</v>
      </c>
      <c r="B20" s="632" t="s">
        <v>11</v>
      </c>
      <c r="C20" s="632" t="s">
        <v>11</v>
      </c>
      <c r="D20" s="632" t="s">
        <v>126</v>
      </c>
      <c r="E20" s="633">
        <v>43395.770462962966</v>
      </c>
      <c r="F20" s="638">
        <v>43395.770462962966</v>
      </c>
      <c r="G20" s="634">
        <v>0.77013888888888893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</row>
    <row r="21" spans="1:14">
      <c r="A21" s="632">
        <v>13886</v>
      </c>
      <c r="B21" s="632" t="s">
        <v>11</v>
      </c>
      <c r="C21" s="632" t="s">
        <v>11</v>
      </c>
      <c r="D21" s="632" t="s">
        <v>125</v>
      </c>
      <c r="E21" s="633">
        <v>43396.384641203702</v>
      </c>
      <c r="F21" s="638">
        <v>43396.384641203702</v>
      </c>
      <c r="G21" s="634">
        <v>0.3840277777777778</v>
      </c>
      <c r="H21" s="635">
        <v>7.2999999999999989</v>
      </c>
      <c r="I21" s="635">
        <v>5.7999999999999989</v>
      </c>
      <c r="J21" s="635">
        <v>2.2000000000000011</v>
      </c>
      <c r="K21" s="635"/>
      <c r="L21" s="635"/>
      <c r="M21" s="635"/>
      <c r="N21" s="635"/>
    </row>
    <row r="22" spans="1:14">
      <c r="A22" s="632">
        <v>13889</v>
      </c>
      <c r="B22" s="632" t="s">
        <v>11</v>
      </c>
      <c r="C22" s="632" t="s">
        <v>11</v>
      </c>
      <c r="D22" s="632" t="s">
        <v>126</v>
      </c>
      <c r="E22" s="633">
        <v>43396.688333333332</v>
      </c>
      <c r="F22" s="638">
        <v>43396.688333333332</v>
      </c>
      <c r="G22" s="634">
        <v>0.68819444444444444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</row>
    <row r="23" spans="1:14">
      <c r="A23" s="632">
        <v>13987</v>
      </c>
      <c r="B23" s="632" t="s">
        <v>11</v>
      </c>
      <c r="C23" s="632" t="s">
        <v>11</v>
      </c>
      <c r="D23" s="632" t="s">
        <v>125</v>
      </c>
      <c r="E23" s="633">
        <v>43402.392025462963</v>
      </c>
      <c r="F23" s="638">
        <v>43402.392025462963</v>
      </c>
      <c r="G23" s="634">
        <v>0.39166666666666666</v>
      </c>
      <c r="H23" s="635">
        <v>7.0166666666666675</v>
      </c>
      <c r="I23" s="635">
        <v>5.5166666666666675</v>
      </c>
      <c r="J23" s="635">
        <v>2.4833333333333325</v>
      </c>
      <c r="K23" s="635"/>
      <c r="L23" s="635"/>
      <c r="M23" s="635"/>
      <c r="N23" s="635"/>
    </row>
    <row r="24" spans="1:14">
      <c r="A24" s="632">
        <v>13989</v>
      </c>
      <c r="B24" s="632" t="s">
        <v>11</v>
      </c>
      <c r="C24" s="632" t="s">
        <v>11</v>
      </c>
      <c r="D24" s="632" t="s">
        <v>126</v>
      </c>
      <c r="E24" s="633">
        <v>43402.684328703705</v>
      </c>
      <c r="F24" s="638">
        <v>43402.684328703705</v>
      </c>
      <c r="G24" s="634">
        <v>0.68402777777777779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</row>
    <row r="25" spans="1:14">
      <c r="A25" s="632">
        <v>14011</v>
      </c>
      <c r="B25" s="632" t="s">
        <v>11</v>
      </c>
      <c r="C25" s="632" t="s">
        <v>11</v>
      </c>
      <c r="D25" s="632" t="s">
        <v>125</v>
      </c>
      <c r="E25" s="633">
        <v>43403.367615740739</v>
      </c>
      <c r="F25" s="638">
        <v>43403.367615740739</v>
      </c>
      <c r="G25" s="634">
        <v>0.36736111111111108</v>
      </c>
      <c r="H25" s="635">
        <v>9.0666666666666664</v>
      </c>
      <c r="I25" s="635">
        <v>7.5666666666666664</v>
      </c>
      <c r="J25" s="635">
        <v>0.43333333333333357</v>
      </c>
      <c r="K25" s="635"/>
      <c r="L25" s="635"/>
      <c r="M25" s="635"/>
      <c r="N25" s="635"/>
    </row>
    <row r="26" spans="1:14">
      <c r="A26" s="632">
        <v>14018</v>
      </c>
      <c r="B26" s="632" t="s">
        <v>11</v>
      </c>
      <c r="C26" s="632" t="s">
        <v>11</v>
      </c>
      <c r="D26" s="632" t="s">
        <v>126</v>
      </c>
      <c r="E26" s="633">
        <v>43403.745578703703</v>
      </c>
      <c r="F26" s="638">
        <v>43403.745578703703</v>
      </c>
      <c r="G26" s="634">
        <v>0.74513888888888891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</row>
    <row r="27" spans="1:14">
      <c r="A27" s="596"/>
      <c r="B27" s="596"/>
      <c r="C27" s="596"/>
      <c r="D27" s="596"/>
      <c r="E27" s="597"/>
      <c r="F27" s="600"/>
      <c r="G27" s="598"/>
      <c r="H27" s="599"/>
      <c r="I27" s="599"/>
      <c r="J27" s="599"/>
      <c r="K27" s="599"/>
      <c r="L27" s="599"/>
      <c r="M27" s="601"/>
      <c r="N27" s="601"/>
    </row>
    <row r="28" spans="1:14">
      <c r="A28" s="596"/>
      <c r="B28" s="596"/>
      <c r="C28" s="596"/>
      <c r="D28" s="596"/>
      <c r="E28" s="597"/>
      <c r="F28" s="600"/>
      <c r="G28" s="598"/>
      <c r="H28" s="599"/>
      <c r="I28" s="599"/>
      <c r="J28" s="599"/>
      <c r="K28" s="599"/>
      <c r="L28" s="599"/>
      <c r="M28" s="601"/>
      <c r="N28" s="601"/>
    </row>
    <row r="29" spans="1:14">
      <c r="A29" s="596"/>
      <c r="B29" s="596"/>
      <c r="C29" s="596"/>
      <c r="D29" s="596"/>
      <c r="E29" s="597"/>
      <c r="F29" s="600"/>
      <c r="G29" s="598"/>
      <c r="H29" s="599"/>
      <c r="I29" s="599"/>
      <c r="J29" s="599"/>
      <c r="K29" s="599"/>
      <c r="L29" s="599"/>
      <c r="M29" s="601"/>
      <c r="N29" s="601"/>
    </row>
    <row r="30" spans="1:14">
      <c r="A30" s="596"/>
      <c r="B30" s="596"/>
      <c r="C30" s="596"/>
      <c r="D30" s="596"/>
      <c r="E30" s="597"/>
      <c r="F30" s="600"/>
      <c r="G30" s="598"/>
      <c r="H30" s="599"/>
      <c r="I30" s="599"/>
      <c r="J30" s="599"/>
      <c r="K30" s="599"/>
      <c r="L30" s="599"/>
      <c r="M30" s="601"/>
      <c r="N30" s="601"/>
    </row>
    <row r="31" spans="1:14">
      <c r="A31" s="596"/>
      <c r="B31" s="596"/>
      <c r="C31" s="596"/>
      <c r="D31" s="596"/>
      <c r="E31" s="597"/>
      <c r="F31" s="600"/>
      <c r="G31" s="598"/>
      <c r="H31" s="599"/>
      <c r="I31" s="599"/>
      <c r="J31" s="599"/>
      <c r="K31" s="599"/>
      <c r="L31" s="599"/>
      <c r="M31" s="601"/>
      <c r="N31" s="601"/>
    </row>
    <row r="32" spans="1:14">
      <c r="A32" s="596"/>
      <c r="B32" s="596"/>
      <c r="C32" s="596"/>
      <c r="D32" s="596"/>
      <c r="E32" s="597"/>
      <c r="F32" s="600"/>
      <c r="G32" s="598"/>
      <c r="H32" s="599"/>
      <c r="I32" s="599"/>
      <c r="J32" s="599"/>
      <c r="K32" s="599"/>
      <c r="L32" s="599"/>
      <c r="M32" s="601"/>
      <c r="N32" s="601"/>
    </row>
  </sheetData>
  <phoneticPr fontId="18" type="noConversion"/>
  <conditionalFormatting sqref="I27:I32">
    <cfRule type="cellIs" dxfId="9" priority="5" operator="lessThan">
      <formula>4</formula>
    </cfRule>
  </conditionalFormatting>
  <conditionalFormatting sqref="I7:I26">
    <cfRule type="cellIs" dxfId="8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15">
    <tabColor theme="4"/>
  </sheetPr>
  <dimension ref="A1:O52"/>
  <sheetViews>
    <sheetView view="pageBreakPreview" topLeftCell="A16" zoomScaleNormal="100" zoomScaleSheetLayoutView="100" workbookViewId="0">
      <selection activeCell="K29" sqref="K29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10.375" style="3" customWidth="1"/>
    <col min="5" max="5" width="15.75" style="3" customWidth="1"/>
    <col min="6" max="6" width="7.875" style="16" customWidth="1"/>
    <col min="7" max="7" width="8.625" style="17" customWidth="1" outlineLevel="1"/>
    <col min="8" max="8" width="11.125" style="51" customWidth="1" outlineLevel="1"/>
    <col min="9" max="9" width="12.625" style="21" customWidth="1"/>
    <col min="10" max="10" width="13.5" style="21" customWidth="1"/>
    <col min="11" max="11" width="11" style="22" customWidth="1" outlineLevel="1"/>
    <col min="12" max="12" width="17.125" style="22" customWidth="1"/>
    <col min="13" max="13" width="18.75" style="28" customWidth="1"/>
    <col min="14" max="14" width="9" style="9"/>
  </cols>
  <sheetData>
    <row r="1" spans="1:15" s="4" customFormat="1" ht="28.5" thickBot="1">
      <c r="C1" s="5"/>
      <c r="D1" s="6"/>
      <c r="E1" s="6"/>
      <c r="F1" s="10"/>
      <c r="G1" s="11"/>
      <c r="H1" s="12"/>
      <c r="I1" s="13" t="str">
        <f>B7</f>
        <v>WILLY</v>
      </c>
      <c r="J1" s="46" t="s">
        <v>29</v>
      </c>
      <c r="K1" s="14"/>
      <c r="L1" s="14"/>
      <c r="M1" s="27"/>
      <c r="N1" s="19"/>
    </row>
    <row r="2" spans="1:15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1" t="s">
        <v>27</v>
      </c>
    </row>
    <row r="3" spans="1:15" ht="17.25" thickBot="1">
      <c r="D3" s="24"/>
      <c r="E3" s="30"/>
      <c r="F3" s="25"/>
      <c r="G3" s="26"/>
      <c r="H3" s="26"/>
      <c r="I3" s="52">
        <f>I6+J6+L6</f>
        <v>39</v>
      </c>
      <c r="J3" s="54"/>
      <c r="K3" s="53"/>
      <c r="L3" s="53"/>
      <c r="M3" s="50"/>
    </row>
    <row r="4" spans="1:15">
      <c r="D4" s="37"/>
      <c r="E4" s="38"/>
      <c r="F4" s="112"/>
      <c r="G4" s="113"/>
      <c r="H4" s="113"/>
      <c r="I4" s="114" t="s">
        <v>20</v>
      </c>
      <c r="J4" s="114" t="s">
        <v>101</v>
      </c>
      <c r="K4" s="114" t="s">
        <v>97</v>
      </c>
      <c r="L4" s="114" t="s">
        <v>98</v>
      </c>
      <c r="M4" s="115"/>
    </row>
    <row r="5" spans="1:15">
      <c r="D5" s="40"/>
      <c r="E5" s="7"/>
      <c r="F5" s="116" t="s">
        <v>26</v>
      </c>
      <c r="G5" s="117"/>
      <c r="H5" s="117"/>
      <c r="I5" s="118" t="s">
        <v>81</v>
      </c>
      <c r="J5" s="118" t="s">
        <v>99</v>
      </c>
      <c r="K5" s="118" t="s">
        <v>100</v>
      </c>
      <c r="L5" s="118" t="s">
        <v>102</v>
      </c>
      <c r="M5" s="120"/>
    </row>
    <row r="6" spans="1:15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SUM(I7:I200)</f>
        <v>39</v>
      </c>
      <c r="J6" s="124">
        <f>SUM(J7:J200)</f>
        <v>0</v>
      </c>
      <c r="K6" s="124">
        <f>SUM(K7:K200)</f>
        <v>0</v>
      </c>
      <c r="L6" s="124">
        <f>SUM(L7:L200)</f>
        <v>0</v>
      </c>
      <c r="M6" s="45"/>
    </row>
    <row r="7" spans="1:15" s="63" customFormat="1">
      <c r="A7" s="632">
        <v>13462</v>
      </c>
      <c r="B7" s="632" t="s">
        <v>158</v>
      </c>
      <c r="C7" s="632" t="s">
        <v>88</v>
      </c>
      <c r="D7" s="632" t="s">
        <v>125</v>
      </c>
      <c r="E7" s="633">
        <v>43374.368460648147</v>
      </c>
      <c r="F7" s="638">
        <v>43374.368460648147</v>
      </c>
      <c r="G7" s="634">
        <v>0.36805555555555558</v>
      </c>
      <c r="H7" s="635">
        <v>3.1999999999999993</v>
      </c>
      <c r="I7" s="635">
        <v>3</v>
      </c>
      <c r="J7" s="635"/>
      <c r="K7" s="635"/>
      <c r="L7" s="635"/>
      <c r="M7" s="635"/>
      <c r="N7" s="635"/>
      <c r="O7" s="630"/>
    </row>
    <row r="8" spans="1:15">
      <c r="A8" s="632">
        <v>13469</v>
      </c>
      <c r="B8" s="632" t="s">
        <v>88</v>
      </c>
      <c r="C8" s="632" t="s">
        <v>88</v>
      </c>
      <c r="D8" s="632" t="s">
        <v>126</v>
      </c>
      <c r="E8" s="633">
        <v>43374.501689814817</v>
      </c>
      <c r="F8" s="638">
        <v>43374.501689814817</v>
      </c>
      <c r="G8" s="634">
        <v>0.50138888888888888</v>
      </c>
      <c r="H8" s="635" t="s">
        <v>115</v>
      </c>
      <c r="I8" s="635" t="s">
        <v>115</v>
      </c>
      <c r="J8" s="635"/>
      <c r="K8" s="635"/>
      <c r="L8" s="635"/>
      <c r="M8" s="635"/>
      <c r="N8" s="635"/>
      <c r="O8" s="630"/>
    </row>
    <row r="9" spans="1:15" s="63" customFormat="1">
      <c r="A9" s="632">
        <v>13504</v>
      </c>
      <c r="B9" s="632" t="s">
        <v>88</v>
      </c>
      <c r="C9" s="632" t="s">
        <v>88</v>
      </c>
      <c r="D9" s="632" t="s">
        <v>125</v>
      </c>
      <c r="E9" s="633">
        <v>43375.375520833331</v>
      </c>
      <c r="F9" s="638">
        <v>43375.375520833331</v>
      </c>
      <c r="G9" s="634">
        <v>0.375</v>
      </c>
      <c r="H9" s="635">
        <v>3.8666666666666663</v>
      </c>
      <c r="I9" s="635">
        <v>3</v>
      </c>
      <c r="J9" s="635"/>
      <c r="K9" s="635"/>
      <c r="L9" s="635"/>
      <c r="M9" s="635"/>
      <c r="N9" s="635"/>
      <c r="O9" s="630"/>
    </row>
    <row r="10" spans="1:15">
      <c r="A10" s="632">
        <v>13505</v>
      </c>
      <c r="B10" s="632" t="s">
        <v>88</v>
      </c>
      <c r="C10" s="632" t="s">
        <v>88</v>
      </c>
      <c r="D10" s="632" t="s">
        <v>126</v>
      </c>
      <c r="E10" s="633">
        <v>43375.536574074074</v>
      </c>
      <c r="F10" s="638">
        <v>43375.536574074074</v>
      </c>
      <c r="G10" s="634">
        <v>0.53611111111111109</v>
      </c>
      <c r="H10" s="635" t="s">
        <v>115</v>
      </c>
      <c r="I10" s="635" t="s">
        <v>115</v>
      </c>
      <c r="J10" s="635"/>
      <c r="K10" s="635"/>
      <c r="L10" s="635"/>
      <c r="M10" s="635"/>
      <c r="N10" s="635"/>
      <c r="O10" s="630"/>
    </row>
    <row r="11" spans="1:15">
      <c r="A11" s="632">
        <v>13590</v>
      </c>
      <c r="B11" s="632" t="s">
        <v>88</v>
      </c>
      <c r="C11" s="632" t="s">
        <v>88</v>
      </c>
      <c r="D11" s="632" t="s">
        <v>125</v>
      </c>
      <c r="E11" s="633">
        <v>43378.371261574073</v>
      </c>
      <c r="F11" s="638">
        <v>43378.371261574073</v>
      </c>
      <c r="G11" s="634">
        <v>0.37083333333333335</v>
      </c>
      <c r="H11" s="635">
        <v>4.2333333333333343</v>
      </c>
      <c r="I11" s="635">
        <v>3</v>
      </c>
      <c r="J11" s="635"/>
      <c r="K11" s="635"/>
      <c r="L11" s="635"/>
      <c r="M11" s="635"/>
      <c r="N11" s="635"/>
      <c r="O11" s="630"/>
    </row>
    <row r="12" spans="1:15">
      <c r="A12" s="632">
        <v>13593</v>
      </c>
      <c r="B12" s="632" t="s">
        <v>88</v>
      </c>
      <c r="C12" s="632" t="s">
        <v>88</v>
      </c>
      <c r="D12" s="632" t="s">
        <v>126</v>
      </c>
      <c r="E12" s="633">
        <v>43378.547893518517</v>
      </c>
      <c r="F12" s="638">
        <v>43378.547893518517</v>
      </c>
      <c r="G12" s="634">
        <v>0.54722222222222217</v>
      </c>
      <c r="H12" s="635" t="s">
        <v>115</v>
      </c>
      <c r="I12" s="635" t="s">
        <v>115</v>
      </c>
      <c r="J12" s="635"/>
      <c r="K12" s="635"/>
      <c r="L12" s="635"/>
      <c r="M12" s="635"/>
      <c r="N12" s="635"/>
      <c r="O12" s="630"/>
    </row>
    <row r="13" spans="1:15">
      <c r="A13" s="632">
        <v>13621</v>
      </c>
      <c r="B13" s="632" t="s">
        <v>88</v>
      </c>
      <c r="C13" s="632" t="s">
        <v>88</v>
      </c>
      <c r="D13" s="632" t="s">
        <v>125</v>
      </c>
      <c r="E13" s="633">
        <v>43381.374178240738</v>
      </c>
      <c r="F13" s="638">
        <v>43381.374178240738</v>
      </c>
      <c r="G13" s="634">
        <v>0.37361111111111112</v>
      </c>
      <c r="H13" s="635">
        <v>3.1666666666666661</v>
      </c>
      <c r="I13" s="635">
        <v>3</v>
      </c>
      <c r="J13" s="635"/>
      <c r="K13" s="635"/>
      <c r="L13" s="635"/>
      <c r="M13" s="635"/>
      <c r="N13" s="635"/>
      <c r="O13" s="630"/>
    </row>
    <row r="14" spans="1:15">
      <c r="A14" s="632">
        <v>13623</v>
      </c>
      <c r="B14" s="632" t="s">
        <v>88</v>
      </c>
      <c r="C14" s="632" t="s">
        <v>88</v>
      </c>
      <c r="D14" s="632" t="s">
        <v>126</v>
      </c>
      <c r="E14" s="633">
        <v>43381.505902777775</v>
      </c>
      <c r="F14" s="638">
        <v>43381.505902777775</v>
      </c>
      <c r="G14" s="634">
        <v>0.50555555555555554</v>
      </c>
      <c r="H14" s="635" t="s">
        <v>115</v>
      </c>
      <c r="I14" s="635" t="s">
        <v>115</v>
      </c>
      <c r="J14" s="635"/>
      <c r="K14" s="635"/>
      <c r="L14" s="635"/>
      <c r="M14" s="635"/>
      <c r="N14" s="635"/>
      <c r="O14" s="630"/>
    </row>
    <row r="15" spans="1:15">
      <c r="A15" s="632">
        <v>13646</v>
      </c>
      <c r="B15" s="632" t="s">
        <v>88</v>
      </c>
      <c r="C15" s="632" t="s">
        <v>88</v>
      </c>
      <c r="D15" s="632" t="s">
        <v>125</v>
      </c>
      <c r="E15" s="633">
        <v>43382.371064814812</v>
      </c>
      <c r="F15" s="638">
        <v>43382.371064814812</v>
      </c>
      <c r="G15" s="634">
        <v>0.37083333333333335</v>
      </c>
      <c r="H15" s="635">
        <v>3.1499999999999995</v>
      </c>
      <c r="I15" s="635">
        <v>3</v>
      </c>
      <c r="J15" s="635"/>
      <c r="K15" s="635"/>
      <c r="L15" s="635"/>
      <c r="M15" s="635"/>
      <c r="N15" s="635"/>
      <c r="O15" s="630"/>
    </row>
    <row r="16" spans="1:15">
      <c r="A16" s="632">
        <v>13650</v>
      </c>
      <c r="B16" s="632" t="s">
        <v>88</v>
      </c>
      <c r="C16" s="632" t="s">
        <v>88</v>
      </c>
      <c r="D16" s="632" t="s">
        <v>126</v>
      </c>
      <c r="E16" s="633">
        <v>43382.502627314818</v>
      </c>
      <c r="F16" s="638">
        <v>43382.502627314818</v>
      </c>
      <c r="G16" s="634">
        <v>0.50208333333333333</v>
      </c>
      <c r="H16" s="635" t="s">
        <v>115</v>
      </c>
      <c r="I16" s="635" t="s">
        <v>115</v>
      </c>
      <c r="J16" s="635"/>
      <c r="K16" s="635"/>
      <c r="L16" s="635"/>
      <c r="M16" s="635"/>
      <c r="N16" s="635"/>
      <c r="O16" s="630"/>
    </row>
    <row r="17" spans="1:15">
      <c r="A17" s="632">
        <v>13696</v>
      </c>
      <c r="B17" s="632" t="s">
        <v>88</v>
      </c>
      <c r="C17" s="632" t="s">
        <v>88</v>
      </c>
      <c r="D17" s="632" t="s">
        <v>125</v>
      </c>
      <c r="E17" s="633">
        <v>43385.367384259262</v>
      </c>
      <c r="F17" s="638">
        <v>43385.367384259262</v>
      </c>
      <c r="G17" s="634">
        <v>0.36736111111111108</v>
      </c>
      <c r="H17" s="635">
        <v>3.549999999999998</v>
      </c>
      <c r="I17" s="635">
        <v>3</v>
      </c>
      <c r="J17" s="635"/>
      <c r="K17" s="635"/>
      <c r="L17" s="635"/>
      <c r="M17" s="635"/>
      <c r="N17" s="635"/>
      <c r="O17" s="630"/>
    </row>
    <row r="18" spans="1:15">
      <c r="A18" s="632">
        <v>13701</v>
      </c>
      <c r="B18" s="632" t="s">
        <v>88</v>
      </c>
      <c r="C18" s="632" t="s">
        <v>88</v>
      </c>
      <c r="D18" s="632" t="s">
        <v>126</v>
      </c>
      <c r="E18" s="633">
        <v>43385.515810185185</v>
      </c>
      <c r="F18" s="638">
        <v>43385.515810185185</v>
      </c>
      <c r="G18" s="634">
        <v>0.51527777777777783</v>
      </c>
      <c r="H18" s="635" t="s">
        <v>115</v>
      </c>
      <c r="I18" s="635" t="s">
        <v>115</v>
      </c>
      <c r="J18" s="635"/>
      <c r="K18" s="635"/>
      <c r="L18" s="635"/>
      <c r="M18" s="635"/>
      <c r="N18" s="635"/>
      <c r="O18" s="630"/>
    </row>
    <row r="19" spans="1:15">
      <c r="A19" s="632">
        <v>13726</v>
      </c>
      <c r="B19" s="632" t="s">
        <v>88</v>
      </c>
      <c r="C19" s="632" t="s">
        <v>88</v>
      </c>
      <c r="D19" s="632" t="s">
        <v>125</v>
      </c>
      <c r="E19" s="633">
        <v>43388.37228009259</v>
      </c>
      <c r="F19" s="638">
        <v>43388.37228009259</v>
      </c>
      <c r="G19" s="634">
        <v>0.37222222222222223</v>
      </c>
      <c r="H19" s="635">
        <v>3.5500000000000007</v>
      </c>
      <c r="I19" s="635">
        <v>3</v>
      </c>
      <c r="J19" s="635"/>
      <c r="K19" s="635"/>
      <c r="L19" s="635"/>
      <c r="M19" s="635"/>
      <c r="N19" s="635"/>
      <c r="O19" s="628"/>
    </row>
    <row r="20" spans="1:15">
      <c r="A20" s="632">
        <v>13729</v>
      </c>
      <c r="B20" s="632" t="s">
        <v>88</v>
      </c>
      <c r="C20" s="632" t="s">
        <v>88</v>
      </c>
      <c r="D20" s="632" t="s">
        <v>126</v>
      </c>
      <c r="E20" s="633">
        <v>43388.520497685182</v>
      </c>
      <c r="F20" s="638">
        <v>43388.520497685182</v>
      </c>
      <c r="G20" s="634">
        <v>0.52013888888888882</v>
      </c>
      <c r="H20" s="635" t="s">
        <v>115</v>
      </c>
      <c r="I20" s="635" t="s">
        <v>115</v>
      </c>
      <c r="J20" s="635"/>
      <c r="K20" s="635"/>
      <c r="L20" s="635"/>
      <c r="M20" s="635"/>
      <c r="N20" s="635"/>
      <c r="O20" s="628"/>
    </row>
    <row r="21" spans="1:15">
      <c r="A21" s="632">
        <v>13753</v>
      </c>
      <c r="B21" s="632" t="s">
        <v>88</v>
      </c>
      <c r="C21" s="632" t="s">
        <v>88</v>
      </c>
      <c r="D21" s="632" t="s">
        <v>125</v>
      </c>
      <c r="E21" s="633">
        <v>43389.371435185189</v>
      </c>
      <c r="F21" s="638">
        <v>43389.371435185189</v>
      </c>
      <c r="G21" s="634">
        <v>0.37083333333333335</v>
      </c>
      <c r="H21" s="635">
        <v>3.1666666666666661</v>
      </c>
      <c r="I21" s="635">
        <v>3</v>
      </c>
      <c r="J21" s="635"/>
      <c r="K21" s="635"/>
      <c r="L21" s="635"/>
      <c r="M21" s="635"/>
      <c r="N21" s="635"/>
      <c r="O21" s="630"/>
    </row>
    <row r="22" spans="1:15">
      <c r="A22" s="632">
        <v>13755</v>
      </c>
      <c r="B22" s="632" t="s">
        <v>88</v>
      </c>
      <c r="C22" s="632" t="s">
        <v>88</v>
      </c>
      <c r="D22" s="632" t="s">
        <v>126</v>
      </c>
      <c r="E22" s="633">
        <v>43389.503275462965</v>
      </c>
      <c r="F22" s="638">
        <v>43389.503275462965</v>
      </c>
      <c r="G22" s="634">
        <v>0.50277777777777777</v>
      </c>
      <c r="H22" s="635" t="s">
        <v>115</v>
      </c>
      <c r="I22" s="635" t="s">
        <v>115</v>
      </c>
      <c r="J22" s="635"/>
      <c r="K22" s="635"/>
      <c r="L22" s="635"/>
      <c r="M22" s="635"/>
      <c r="N22" s="635"/>
      <c r="O22" s="630"/>
    </row>
    <row r="23" spans="1:15">
      <c r="A23" s="632">
        <v>13834</v>
      </c>
      <c r="B23" s="632" t="s">
        <v>88</v>
      </c>
      <c r="C23" s="632" t="s">
        <v>88</v>
      </c>
      <c r="D23" s="632" t="s">
        <v>125</v>
      </c>
      <c r="E23" s="633">
        <v>43392.374618055554</v>
      </c>
      <c r="F23" s="638">
        <v>43392.374618055554</v>
      </c>
      <c r="G23" s="634">
        <v>0.3743055555555555</v>
      </c>
      <c r="H23" s="635">
        <v>3.1833333333333327</v>
      </c>
      <c r="I23" s="635">
        <v>3</v>
      </c>
      <c r="J23" s="635"/>
      <c r="K23" s="635"/>
      <c r="L23" s="635"/>
      <c r="M23" s="635"/>
      <c r="N23" s="635"/>
      <c r="O23" s="630"/>
    </row>
    <row r="24" spans="1:15">
      <c r="A24" s="632">
        <v>13835</v>
      </c>
      <c r="B24" s="632" t="s">
        <v>88</v>
      </c>
      <c r="C24" s="632" t="s">
        <v>88</v>
      </c>
      <c r="D24" s="632" t="s">
        <v>126</v>
      </c>
      <c r="E24" s="633">
        <v>43392.507337962961</v>
      </c>
      <c r="F24" s="638">
        <v>43392.507337962961</v>
      </c>
      <c r="G24" s="634">
        <v>0.50694444444444442</v>
      </c>
      <c r="H24" s="635" t="s">
        <v>115</v>
      </c>
      <c r="I24" s="635" t="s">
        <v>115</v>
      </c>
      <c r="J24" s="635"/>
      <c r="K24" s="635"/>
      <c r="L24" s="635"/>
      <c r="M24" s="635"/>
      <c r="N24" s="635"/>
      <c r="O24" s="630"/>
    </row>
    <row r="25" spans="1:15">
      <c r="A25" s="632">
        <v>13851</v>
      </c>
      <c r="B25" s="632" t="s">
        <v>88</v>
      </c>
      <c r="C25" s="632" t="s">
        <v>88</v>
      </c>
      <c r="D25" s="632" t="s">
        <v>125</v>
      </c>
      <c r="E25" s="633">
        <v>43395.371701388889</v>
      </c>
      <c r="F25" s="638">
        <v>43395.371701388889</v>
      </c>
      <c r="G25" s="634">
        <v>0.37152777777777773</v>
      </c>
      <c r="H25" s="635">
        <v>3.2333333333333325</v>
      </c>
      <c r="I25" s="635">
        <v>3</v>
      </c>
      <c r="J25" s="635"/>
      <c r="K25" s="635"/>
      <c r="L25" s="635"/>
      <c r="M25" s="635"/>
      <c r="N25" s="635"/>
      <c r="O25" s="630"/>
    </row>
    <row r="26" spans="1:15">
      <c r="A26" s="632">
        <v>13854</v>
      </c>
      <c r="B26" s="632" t="s">
        <v>88</v>
      </c>
      <c r="C26" s="632" t="s">
        <v>88</v>
      </c>
      <c r="D26" s="632" t="s">
        <v>126</v>
      </c>
      <c r="E26" s="633">
        <v>43395.506793981483</v>
      </c>
      <c r="F26" s="638">
        <v>43395.506793981483</v>
      </c>
      <c r="G26" s="634">
        <v>0.50624999999999998</v>
      </c>
      <c r="H26" s="635" t="s">
        <v>115</v>
      </c>
      <c r="I26" s="635" t="s">
        <v>115</v>
      </c>
      <c r="J26" s="635"/>
      <c r="K26" s="635"/>
      <c r="L26" s="635"/>
      <c r="M26" s="635"/>
      <c r="N26" s="635"/>
      <c r="O26" s="630"/>
    </row>
    <row r="27" spans="1:15">
      <c r="A27" s="632">
        <v>13883</v>
      </c>
      <c r="B27" s="632" t="s">
        <v>88</v>
      </c>
      <c r="C27" s="632" t="s">
        <v>88</v>
      </c>
      <c r="D27" s="632" t="s">
        <v>125</v>
      </c>
      <c r="E27" s="633">
        <v>43396.370636574073</v>
      </c>
      <c r="F27" s="638">
        <v>43396.370636574073</v>
      </c>
      <c r="G27" s="634">
        <v>0.37013888888888885</v>
      </c>
      <c r="H27" s="635">
        <v>3.5833333333333339</v>
      </c>
      <c r="I27" s="635">
        <v>3</v>
      </c>
      <c r="J27" s="635"/>
      <c r="K27" s="635"/>
      <c r="L27" s="635"/>
      <c r="M27" s="635"/>
      <c r="N27" s="635"/>
      <c r="O27" s="630"/>
    </row>
    <row r="28" spans="1:15">
      <c r="A28" s="632">
        <v>13887</v>
      </c>
      <c r="B28" s="632" t="s">
        <v>88</v>
      </c>
      <c r="C28" s="632" t="s">
        <v>88</v>
      </c>
      <c r="D28" s="632" t="s">
        <v>126</v>
      </c>
      <c r="E28" s="633">
        <v>43396.52</v>
      </c>
      <c r="F28" s="638">
        <v>43396.52</v>
      </c>
      <c r="G28" s="634">
        <v>0.51944444444444449</v>
      </c>
      <c r="H28" s="635" t="s">
        <v>115</v>
      </c>
      <c r="I28" s="635" t="s">
        <v>115</v>
      </c>
      <c r="J28" s="635"/>
      <c r="K28" s="635"/>
      <c r="L28" s="635"/>
      <c r="M28" s="635"/>
      <c r="N28" s="635"/>
      <c r="O28" s="630"/>
    </row>
    <row r="29" spans="1:15">
      <c r="A29" s="632">
        <v>13986</v>
      </c>
      <c r="B29" s="632" t="s">
        <v>88</v>
      </c>
      <c r="C29" s="632" t="s">
        <v>88</v>
      </c>
      <c r="D29" s="632" t="s">
        <v>125</v>
      </c>
      <c r="E29" s="633">
        <v>43402.372094907405</v>
      </c>
      <c r="F29" s="638">
        <v>43402.372094907405</v>
      </c>
      <c r="G29" s="634">
        <v>0.37152777777777773</v>
      </c>
      <c r="H29" s="635">
        <v>3.4166666666666652</v>
      </c>
      <c r="I29" s="635">
        <v>3</v>
      </c>
      <c r="J29" s="635"/>
      <c r="K29" s="635"/>
      <c r="L29" s="635"/>
      <c r="M29" s="635"/>
      <c r="N29" s="635"/>
      <c r="O29" s="630"/>
    </row>
    <row r="30" spans="1:15">
      <c r="A30" s="632">
        <v>13988</v>
      </c>
      <c r="B30" s="632" t="s">
        <v>88</v>
      </c>
      <c r="C30" s="632" t="s">
        <v>88</v>
      </c>
      <c r="D30" s="632" t="s">
        <v>126</v>
      </c>
      <c r="E30" s="633">
        <v>43402.513981481483</v>
      </c>
      <c r="F30" s="638">
        <v>43402.513981481483</v>
      </c>
      <c r="G30" s="634">
        <v>0.51388888888888895</v>
      </c>
      <c r="H30" s="635" t="s">
        <v>115</v>
      </c>
      <c r="I30" s="635" t="s">
        <v>115</v>
      </c>
      <c r="J30" s="635"/>
      <c r="K30" s="635"/>
      <c r="L30" s="635"/>
      <c r="M30" s="635"/>
      <c r="N30" s="635"/>
      <c r="O30" s="630"/>
    </row>
    <row r="31" spans="1:15">
      <c r="A31" s="632">
        <v>14016</v>
      </c>
      <c r="B31" s="632" t="s">
        <v>88</v>
      </c>
      <c r="C31" s="632" t="s">
        <v>88</v>
      </c>
      <c r="D31" s="632" t="s">
        <v>125</v>
      </c>
      <c r="E31" s="633">
        <v>43403.371979166666</v>
      </c>
      <c r="F31" s="638">
        <v>43403.371979166666</v>
      </c>
      <c r="G31" s="634">
        <v>0.37152777777777773</v>
      </c>
      <c r="H31" s="635">
        <v>3.2499999999999991</v>
      </c>
      <c r="I31" s="635">
        <v>3</v>
      </c>
      <c r="J31" s="635"/>
      <c r="K31" s="635"/>
      <c r="L31" s="635"/>
      <c r="M31" s="635"/>
      <c r="N31" s="635"/>
      <c r="O31" s="630"/>
    </row>
    <row r="32" spans="1:15">
      <c r="A32" s="632">
        <v>14017</v>
      </c>
      <c r="B32" s="632" t="s">
        <v>88</v>
      </c>
      <c r="C32" s="632" t="s">
        <v>88</v>
      </c>
      <c r="D32" s="632" t="s">
        <v>126</v>
      </c>
      <c r="E32" s="633">
        <v>43403.507557870369</v>
      </c>
      <c r="F32" s="638">
        <v>43403.507557870369</v>
      </c>
      <c r="G32" s="634">
        <v>0.50694444444444442</v>
      </c>
      <c r="H32" s="635" t="s">
        <v>115</v>
      </c>
      <c r="I32" s="635" t="s">
        <v>115</v>
      </c>
      <c r="J32" s="635"/>
      <c r="K32" s="635"/>
      <c r="L32" s="635"/>
      <c r="M32" s="635"/>
      <c r="N32" s="635"/>
      <c r="O32" s="630"/>
    </row>
    <row r="33" spans="1:13">
      <c r="A33" s="623"/>
      <c r="B33" s="623"/>
      <c r="C33" s="623"/>
      <c r="D33" s="585"/>
      <c r="E33" s="534"/>
      <c r="F33" s="582"/>
      <c r="G33" s="538"/>
      <c r="H33" s="521"/>
      <c r="I33" s="521"/>
      <c r="J33" s="624"/>
      <c r="K33" s="440"/>
      <c r="L33" s="429"/>
      <c r="M33" s="429"/>
    </row>
    <row r="34" spans="1:13">
      <c r="A34" s="623"/>
      <c r="B34" s="623"/>
      <c r="C34" s="623"/>
      <c r="D34" s="585"/>
      <c r="E34" s="534"/>
      <c r="F34" s="582"/>
      <c r="G34" s="538"/>
      <c r="H34" s="521"/>
      <c r="I34" s="521"/>
      <c r="J34" s="624"/>
      <c r="K34" s="440"/>
      <c r="L34" s="522"/>
      <c r="M34" s="429"/>
    </row>
    <row r="35" spans="1:13">
      <c r="A35" s="445"/>
      <c r="B35" s="445"/>
      <c r="C35" s="445"/>
      <c r="D35" s="445"/>
      <c r="E35" s="431"/>
      <c r="F35" s="457"/>
      <c r="G35" s="439"/>
      <c r="H35" s="440"/>
      <c r="I35" s="440"/>
      <c r="J35" s="440"/>
      <c r="K35" s="440"/>
      <c r="L35" s="429"/>
      <c r="M35" s="429"/>
    </row>
    <row r="36" spans="1:13">
      <c r="A36" s="445"/>
      <c r="B36" s="445"/>
      <c r="C36" s="445"/>
      <c r="D36" s="445"/>
      <c r="E36" s="431"/>
      <c r="F36" s="457"/>
      <c r="G36" s="439"/>
      <c r="H36" s="440"/>
      <c r="I36" s="440"/>
      <c r="J36" s="440"/>
      <c r="K36" s="440"/>
      <c r="L36" s="429"/>
      <c r="M36" s="429"/>
    </row>
    <row r="37" spans="1:13">
      <c r="A37" s="445"/>
      <c r="B37" s="445"/>
      <c r="C37" s="445"/>
      <c r="D37" s="445"/>
      <c r="E37" s="431"/>
      <c r="F37" s="457"/>
      <c r="G37" s="439"/>
      <c r="H37" s="440"/>
      <c r="I37" s="440"/>
      <c r="J37" s="440"/>
      <c r="K37" s="440"/>
      <c r="L37" s="429"/>
      <c r="M37" s="429"/>
    </row>
    <row r="38" spans="1:13">
      <c r="A38" s="445"/>
      <c r="B38" s="445"/>
      <c r="C38" s="445"/>
      <c r="D38" s="445"/>
      <c r="E38" s="431"/>
      <c r="F38" s="457"/>
      <c r="G38" s="439"/>
      <c r="H38" s="440"/>
      <c r="I38" s="440"/>
      <c r="J38" s="440"/>
      <c r="K38" s="440"/>
      <c r="L38" s="429"/>
      <c r="M38" s="429"/>
    </row>
    <row r="39" spans="1:13">
      <c r="A39" s="445"/>
      <c r="B39" s="445"/>
      <c r="C39" s="445"/>
      <c r="D39" s="445"/>
      <c r="E39" s="431"/>
      <c r="F39" s="457"/>
      <c r="G39" s="439"/>
      <c r="H39" s="440"/>
      <c r="I39" s="440"/>
      <c r="J39" s="440"/>
      <c r="K39" s="440"/>
      <c r="L39" s="429"/>
      <c r="M39" s="429"/>
    </row>
    <row r="40" spans="1:13">
      <c r="A40" s="445"/>
      <c r="B40" s="445"/>
      <c r="C40" s="445"/>
      <c r="D40" s="445"/>
      <c r="E40" s="431"/>
      <c r="F40" s="457"/>
      <c r="G40" s="439"/>
      <c r="H40" s="440"/>
      <c r="I40" s="440"/>
      <c r="J40" s="440"/>
      <c r="K40" s="440"/>
      <c r="L40" s="429"/>
      <c r="M40" s="429"/>
    </row>
    <row r="41" spans="1:13">
      <c r="A41" s="445"/>
      <c r="B41" s="445"/>
      <c r="C41" s="445"/>
      <c r="D41" s="445"/>
      <c r="E41" s="431"/>
      <c r="F41" s="457"/>
      <c r="G41" s="439"/>
      <c r="H41" s="440"/>
      <c r="I41" s="440"/>
      <c r="J41" s="440"/>
      <c r="K41" s="440"/>
      <c r="L41" s="429"/>
      <c r="M41" s="429"/>
    </row>
    <row r="42" spans="1:13">
      <c r="A42" s="445"/>
      <c r="B42" s="445"/>
      <c r="C42" s="445"/>
      <c r="D42" s="445"/>
      <c r="E42" s="431"/>
      <c r="F42" s="457"/>
      <c r="G42" s="439"/>
      <c r="H42" s="440"/>
      <c r="I42" s="440"/>
      <c r="J42" s="440"/>
      <c r="K42" s="440"/>
      <c r="L42" s="429"/>
      <c r="M42" s="429"/>
    </row>
    <row r="43" spans="1:13">
      <c r="A43" s="445"/>
      <c r="B43" s="445"/>
      <c r="C43" s="445"/>
      <c r="D43" s="445"/>
      <c r="E43" s="431"/>
      <c r="F43" s="457"/>
      <c r="G43" s="439"/>
      <c r="H43" s="440"/>
      <c r="I43" s="440"/>
      <c r="J43" s="440"/>
      <c r="K43" s="440"/>
      <c r="L43" s="429"/>
      <c r="M43" s="429"/>
    </row>
    <row r="44" spans="1:13">
      <c r="A44" s="445"/>
      <c r="B44" s="445"/>
      <c r="C44" s="445"/>
      <c r="D44" s="445"/>
      <c r="E44" s="431"/>
      <c r="F44" s="457"/>
      <c r="G44" s="439"/>
      <c r="H44" s="440"/>
      <c r="I44" s="440"/>
      <c r="J44" s="440"/>
      <c r="K44" s="440"/>
      <c r="L44" s="429"/>
      <c r="M44" s="429"/>
    </row>
    <row r="45" spans="1:13">
      <c r="A45" s="445"/>
      <c r="B45" s="445"/>
      <c r="C45" s="445"/>
      <c r="D45" s="445"/>
      <c r="E45" s="431"/>
      <c r="F45" s="457"/>
      <c r="G45" s="439"/>
      <c r="H45" s="440"/>
      <c r="I45" s="440"/>
      <c r="J45" s="440"/>
      <c r="K45" s="440"/>
      <c r="L45" s="429"/>
      <c r="M45" s="429"/>
    </row>
    <row r="46" spans="1:13">
      <c r="A46" s="445"/>
      <c r="B46" s="445"/>
      <c r="C46" s="445"/>
      <c r="D46" s="445"/>
      <c r="E46" s="431"/>
      <c r="F46" s="457"/>
      <c r="G46" s="439"/>
      <c r="H46" s="440"/>
      <c r="I46" s="440"/>
      <c r="J46" s="440"/>
      <c r="K46" s="440"/>
      <c r="L46" s="429"/>
      <c r="M46" s="429"/>
    </row>
    <row r="47" spans="1:13">
      <c r="A47" s="445"/>
      <c r="B47" s="445"/>
      <c r="C47" s="445"/>
      <c r="D47" s="445"/>
      <c r="E47" s="431"/>
      <c r="F47" s="457"/>
      <c r="G47" s="439"/>
      <c r="H47" s="440"/>
      <c r="I47" s="440"/>
      <c r="J47" s="440"/>
      <c r="K47" s="440"/>
      <c r="L47" s="429"/>
      <c r="M47" s="429"/>
    </row>
    <row r="48" spans="1:13">
      <c r="A48" s="445"/>
      <c r="B48" s="445"/>
      <c r="C48" s="445"/>
      <c r="D48" s="445"/>
      <c r="E48" s="431"/>
      <c r="F48" s="457"/>
      <c r="G48" s="439"/>
      <c r="H48" s="440"/>
      <c r="I48" s="440"/>
      <c r="J48" s="440"/>
      <c r="K48" s="440"/>
      <c r="L48" s="429"/>
      <c r="M48" s="429"/>
    </row>
    <row r="49" spans="1:13">
      <c r="A49" s="445"/>
      <c r="B49" s="445"/>
      <c r="C49" s="445"/>
      <c r="D49" s="445"/>
      <c r="E49" s="431"/>
      <c r="F49" s="457"/>
      <c r="G49" s="439"/>
      <c r="H49" s="440"/>
      <c r="I49" s="440"/>
      <c r="J49" s="440"/>
      <c r="K49" s="440"/>
      <c r="L49" s="429"/>
      <c r="M49" s="429"/>
    </row>
    <row r="50" spans="1:13">
      <c r="A50" s="445"/>
      <c r="B50" s="445"/>
      <c r="C50" s="445"/>
      <c r="D50" s="445"/>
      <c r="E50" s="431"/>
      <c r="F50" s="457"/>
      <c r="G50" s="439"/>
      <c r="H50" s="440"/>
      <c r="I50" s="440"/>
      <c r="J50" s="440"/>
      <c r="K50" s="440"/>
      <c r="L50" s="429"/>
      <c r="M50" s="429"/>
    </row>
    <row r="51" spans="1:13">
      <c r="A51" s="445"/>
      <c r="B51" s="445"/>
      <c r="C51" s="445"/>
      <c r="D51" s="445"/>
      <c r="E51" s="431"/>
      <c r="F51" s="457"/>
      <c r="G51" s="439"/>
      <c r="H51" s="440"/>
      <c r="I51" s="440"/>
      <c r="J51" s="440"/>
      <c r="K51" s="440"/>
      <c r="L51" s="429"/>
      <c r="M51" s="429"/>
    </row>
    <row r="52" spans="1:13">
      <c r="A52" s="445"/>
      <c r="B52" s="445"/>
      <c r="C52" s="445"/>
      <c r="D52" s="445"/>
      <c r="E52" s="431"/>
      <c r="F52" s="457"/>
      <c r="G52" s="439"/>
      <c r="H52" s="440"/>
      <c r="I52" s="440"/>
      <c r="J52" s="440"/>
      <c r="K52" s="440"/>
      <c r="L52" s="429"/>
      <c r="M52" s="429"/>
    </row>
  </sheetData>
  <phoneticPr fontId="18" type="noConversion"/>
  <conditionalFormatting sqref="I33:I52">
    <cfRule type="cellIs" dxfId="7" priority="3" operator="lessThan">
      <formula>4</formula>
    </cfRule>
  </conditionalFormatting>
  <conditionalFormatting sqref="I7:I32">
    <cfRule type="cellIs" dxfId="6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16">
    <tabColor rgb="FF00B0F0"/>
  </sheetPr>
  <dimension ref="A1:N73"/>
  <sheetViews>
    <sheetView view="pageBreakPreview" zoomScaleNormal="100" zoomScaleSheetLayoutView="100" workbookViewId="0">
      <selection activeCell="I10" sqref="I10"/>
    </sheetView>
  </sheetViews>
  <sheetFormatPr defaultRowHeight="16.5" outlineLevelCol="1"/>
  <cols>
    <col min="1" max="1" width="5.625" style="458" customWidth="1" outlineLevel="1"/>
    <col min="2" max="2" width="6.875" style="458" customWidth="1" outlineLevel="1"/>
    <col min="3" max="3" width="6.5" style="3" customWidth="1" outlineLevel="1"/>
    <col min="4" max="4" width="10.375" style="3" customWidth="1"/>
    <col min="5" max="5" width="19.5" style="3" customWidth="1"/>
    <col min="6" max="6" width="7.875" style="16" customWidth="1"/>
    <col min="7" max="7" width="8.625" style="17" customWidth="1" outlineLevel="1"/>
    <col min="8" max="8" width="11.125" style="51" customWidth="1" outlineLevel="1"/>
    <col min="9" max="9" width="12.625" style="21" customWidth="1"/>
    <col min="10" max="10" width="13.5" style="21" customWidth="1"/>
    <col min="11" max="11" width="11" style="22" customWidth="1" outlineLevel="1"/>
    <col min="12" max="12" width="16.625" style="22" customWidth="1"/>
    <col min="13" max="13" width="12.5" style="28" customWidth="1"/>
    <col min="14" max="14" width="9" style="9"/>
    <col min="15" max="16384" width="9" style="458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B7</f>
        <v>scott</v>
      </c>
      <c r="J1" s="46" t="s">
        <v>29</v>
      </c>
      <c r="K1" s="14"/>
      <c r="L1" s="14"/>
      <c r="M1" s="27"/>
      <c r="N1" s="19"/>
    </row>
    <row r="2" spans="1:14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1" t="s">
        <v>27</v>
      </c>
    </row>
    <row r="3" spans="1:14" ht="17.25" thickBot="1">
      <c r="D3" s="24"/>
      <c r="E3" s="30"/>
      <c r="F3" s="25"/>
      <c r="G3" s="26"/>
      <c r="H3" s="26"/>
      <c r="I3" s="52">
        <f>I6+J6+L6</f>
        <v>8.9333333333333336</v>
      </c>
      <c r="J3" s="54"/>
      <c r="K3" s="53"/>
      <c r="L3" s="53"/>
      <c r="M3" s="50"/>
    </row>
    <row r="4" spans="1:14">
      <c r="D4" s="37"/>
      <c r="E4" s="38"/>
      <c r="F4" s="112"/>
      <c r="G4" s="113"/>
      <c r="H4" s="113"/>
      <c r="I4" s="114" t="s">
        <v>20</v>
      </c>
      <c r="J4" s="114" t="s">
        <v>97</v>
      </c>
      <c r="K4" s="114" t="s">
        <v>97</v>
      </c>
      <c r="L4" s="114" t="s">
        <v>98</v>
      </c>
      <c r="M4" s="115"/>
    </row>
    <row r="5" spans="1:14">
      <c r="D5" s="40"/>
      <c r="E5" s="7"/>
      <c r="F5" s="116" t="s">
        <v>26</v>
      </c>
      <c r="G5" s="117"/>
      <c r="H5" s="117"/>
      <c r="I5" s="118" t="s">
        <v>81</v>
      </c>
      <c r="J5" s="118" t="s">
        <v>99</v>
      </c>
      <c r="K5" s="118" t="s">
        <v>100</v>
      </c>
      <c r="L5" s="118" t="s">
        <v>102</v>
      </c>
      <c r="M5" s="120"/>
    </row>
    <row r="6" spans="1:14">
      <c r="A6" s="458" t="s">
        <v>0</v>
      </c>
      <c r="B6" s="458" t="s">
        <v>1</v>
      </c>
      <c r="C6" s="3" t="s">
        <v>2</v>
      </c>
      <c r="D6" s="182" t="s">
        <v>3</v>
      </c>
      <c r="E6" s="183" t="s">
        <v>4</v>
      </c>
      <c r="F6" s="494"/>
      <c r="G6" s="495"/>
      <c r="H6" s="496" t="s">
        <v>22</v>
      </c>
      <c r="I6" s="497">
        <f>SUM(I7:I86)</f>
        <v>8.9333333333333336</v>
      </c>
      <c r="J6" s="497">
        <f>SUM(J7:J86)</f>
        <v>0</v>
      </c>
      <c r="K6" s="497">
        <f>SUM(J9:J22)</f>
        <v>0</v>
      </c>
      <c r="L6" s="497">
        <f>SUM(L7:L190)</f>
        <v>0</v>
      </c>
      <c r="M6" s="498"/>
    </row>
    <row r="7" spans="1:14" s="63" customFormat="1">
      <c r="A7" s="632">
        <v>13141</v>
      </c>
      <c r="B7" s="632" t="s">
        <v>123</v>
      </c>
      <c r="C7" s="632" t="s">
        <v>123</v>
      </c>
      <c r="D7" s="632" t="s">
        <v>125</v>
      </c>
      <c r="E7" s="633">
        <v>43357.375</v>
      </c>
      <c r="F7" s="638">
        <v>43357.375</v>
      </c>
      <c r="G7" s="634">
        <v>0.375</v>
      </c>
      <c r="H7" s="635">
        <v>3.9499999999999993</v>
      </c>
      <c r="I7" s="635">
        <v>3</v>
      </c>
      <c r="J7" s="635"/>
      <c r="K7" s="635"/>
      <c r="L7" s="635"/>
      <c r="M7" s="635"/>
      <c r="N7" s="635"/>
    </row>
    <row r="8" spans="1:14">
      <c r="A8" s="632">
        <v>13143</v>
      </c>
      <c r="B8" s="632" t="s">
        <v>124</v>
      </c>
      <c r="C8" s="632" t="s">
        <v>123</v>
      </c>
      <c r="D8" s="632" t="s">
        <v>126</v>
      </c>
      <c r="E8" s="633">
        <v>43357.539768518516</v>
      </c>
      <c r="F8" s="638">
        <v>43357.539768518516</v>
      </c>
      <c r="G8" s="634">
        <v>0.5395833333333333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</row>
    <row r="9" spans="1:14">
      <c r="A9" s="640">
        <v>13143</v>
      </c>
      <c r="B9" s="640" t="s">
        <v>124</v>
      </c>
      <c r="C9" s="640" t="s">
        <v>123</v>
      </c>
      <c r="D9" s="640" t="s">
        <v>151</v>
      </c>
      <c r="E9" s="641">
        <v>43360.372916666667</v>
      </c>
      <c r="F9" s="638">
        <v>43360.372916666667</v>
      </c>
      <c r="G9" s="634">
        <v>0.37291666666666662</v>
      </c>
      <c r="H9" s="635">
        <v>7.4333333333333336</v>
      </c>
      <c r="I9" s="635">
        <v>5.9333333333333336</v>
      </c>
      <c r="J9" s="635"/>
      <c r="K9" s="635"/>
      <c r="L9" s="635"/>
      <c r="M9" s="635"/>
      <c r="N9" s="635"/>
    </row>
    <row r="10" spans="1:14">
      <c r="A10" s="632">
        <v>13164</v>
      </c>
      <c r="B10" s="632" t="s">
        <v>123</v>
      </c>
      <c r="C10" s="632" t="s">
        <v>123</v>
      </c>
      <c r="D10" s="632" t="s">
        <v>126</v>
      </c>
      <c r="E10" s="633">
        <v>43360.682928240742</v>
      </c>
      <c r="F10" s="638">
        <v>43360.682928240742</v>
      </c>
      <c r="G10" s="634">
        <v>0.68263888888888891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</row>
    <row r="11" spans="1:14">
      <c r="A11" s="607"/>
      <c r="B11" s="607"/>
      <c r="C11" s="607"/>
      <c r="D11" s="607"/>
      <c r="E11" s="608"/>
      <c r="F11" s="611"/>
      <c r="G11" s="609"/>
      <c r="H11" s="616"/>
      <c r="I11" s="616"/>
      <c r="J11" s="614"/>
      <c r="K11" s="620"/>
      <c r="L11" s="620"/>
      <c r="M11" s="616"/>
      <c r="N11" s="606"/>
    </row>
    <row r="12" spans="1:14">
      <c r="A12" s="607"/>
      <c r="B12" s="607"/>
      <c r="C12" s="607"/>
      <c r="D12" s="607"/>
      <c r="E12" s="608"/>
      <c r="F12" s="611"/>
      <c r="G12" s="609"/>
      <c r="H12" s="616"/>
      <c r="I12" s="616"/>
      <c r="J12" s="614"/>
      <c r="K12" s="620"/>
      <c r="L12" s="620"/>
      <c r="M12" s="616"/>
      <c r="N12" s="606"/>
    </row>
    <row r="13" spans="1:14">
      <c r="A13" s="607"/>
      <c r="B13" s="607"/>
      <c r="C13" s="607"/>
      <c r="D13" s="607"/>
      <c r="E13" s="608"/>
      <c r="F13" s="611"/>
      <c r="G13" s="609"/>
      <c r="H13" s="616"/>
      <c r="I13" s="616"/>
      <c r="J13" s="614"/>
      <c r="K13" s="620"/>
      <c r="L13" s="620"/>
      <c r="M13" s="616"/>
      <c r="N13" s="606"/>
    </row>
    <row r="14" spans="1:14">
      <c r="A14" s="607"/>
      <c r="B14" s="607"/>
      <c r="C14" s="607"/>
      <c r="D14" s="607"/>
      <c r="E14" s="608"/>
      <c r="F14" s="611"/>
      <c r="G14" s="609"/>
      <c r="H14" s="616"/>
      <c r="I14" s="616"/>
      <c r="J14" s="614"/>
      <c r="K14" s="620"/>
      <c r="L14" s="620"/>
      <c r="M14" s="616"/>
      <c r="N14" s="606"/>
    </row>
    <row r="15" spans="1:14">
      <c r="A15" s="607"/>
      <c r="B15" s="607"/>
      <c r="C15" s="607"/>
      <c r="D15" s="607"/>
      <c r="E15" s="608"/>
      <c r="F15" s="611"/>
      <c r="G15" s="609"/>
      <c r="H15" s="616"/>
      <c r="I15" s="616"/>
      <c r="J15" s="614"/>
      <c r="K15" s="620"/>
      <c r="L15" s="620"/>
      <c r="M15" s="616"/>
      <c r="N15" s="606"/>
    </row>
    <row r="16" spans="1:14">
      <c r="A16" s="607"/>
      <c r="B16" s="607"/>
      <c r="C16" s="607"/>
      <c r="D16" s="607"/>
      <c r="E16" s="608"/>
      <c r="F16" s="611"/>
      <c r="G16" s="609"/>
      <c r="H16" s="616"/>
      <c r="I16" s="616"/>
      <c r="J16" s="614"/>
      <c r="K16" s="620"/>
      <c r="L16" s="620"/>
      <c r="M16" s="616"/>
      <c r="N16" s="606"/>
    </row>
    <row r="17" spans="1:14">
      <c r="A17" s="607"/>
      <c r="B17" s="607"/>
      <c r="C17" s="607"/>
      <c r="D17" s="607"/>
      <c r="E17" s="608"/>
      <c r="F17" s="611"/>
      <c r="G17" s="609"/>
      <c r="H17" s="616"/>
      <c r="I17" s="616"/>
      <c r="J17" s="614"/>
      <c r="K17" s="620"/>
      <c r="L17" s="620"/>
      <c r="M17" s="616"/>
      <c r="N17" s="606"/>
    </row>
    <row r="18" spans="1:14">
      <c r="A18" s="607"/>
      <c r="B18" s="607"/>
      <c r="C18" s="607"/>
      <c r="D18" s="607"/>
      <c r="E18" s="608"/>
      <c r="F18" s="611"/>
      <c r="G18" s="609"/>
      <c r="H18" s="616"/>
      <c r="I18" s="616"/>
      <c r="J18" s="614"/>
      <c r="K18" s="620"/>
      <c r="L18" s="620"/>
      <c r="M18" s="616"/>
      <c r="N18" s="606"/>
    </row>
    <row r="19" spans="1:14">
      <c r="A19" s="607"/>
      <c r="B19" s="607"/>
      <c r="C19" s="607"/>
      <c r="D19" s="607"/>
      <c r="E19" s="608"/>
      <c r="F19" s="611"/>
      <c r="G19" s="609"/>
      <c r="H19" s="616"/>
      <c r="I19" s="616"/>
      <c r="J19" s="614"/>
      <c r="K19" s="620"/>
      <c r="L19" s="620"/>
      <c r="M19" s="616"/>
      <c r="N19" s="606"/>
    </row>
    <row r="20" spans="1:14">
      <c r="A20" s="607"/>
      <c r="B20" s="607"/>
      <c r="C20" s="607"/>
      <c r="D20" s="607"/>
      <c r="E20" s="608"/>
      <c r="F20" s="611"/>
      <c r="G20" s="609"/>
      <c r="H20" s="616"/>
      <c r="I20" s="616"/>
      <c r="J20" s="614"/>
      <c r="K20" s="620"/>
      <c r="L20" s="620"/>
      <c r="M20" s="616"/>
      <c r="N20" s="606"/>
    </row>
    <row r="21" spans="1:14">
      <c r="A21" s="607"/>
      <c r="B21" s="607"/>
      <c r="C21" s="607"/>
      <c r="D21" s="607"/>
      <c r="E21" s="608"/>
      <c r="F21" s="611"/>
      <c r="G21" s="609"/>
      <c r="H21" s="616"/>
      <c r="I21" s="616"/>
      <c r="J21" s="616"/>
      <c r="K21" s="621"/>
      <c r="L21" s="621"/>
      <c r="M21" s="616"/>
      <c r="N21" s="499"/>
    </row>
    <row r="22" spans="1:14">
      <c r="A22" s="607"/>
      <c r="B22" s="607"/>
      <c r="C22" s="607"/>
      <c r="D22" s="607"/>
      <c r="E22" s="608"/>
      <c r="F22" s="611"/>
      <c r="G22" s="609"/>
      <c r="H22" s="616"/>
      <c r="I22" s="616"/>
      <c r="J22" s="614"/>
      <c r="K22" s="620"/>
      <c r="L22" s="620"/>
      <c r="M22" s="616"/>
      <c r="N22" s="606"/>
    </row>
    <row r="23" spans="1:14">
      <c r="A23" s="607"/>
      <c r="B23" s="607"/>
      <c r="C23" s="607"/>
      <c r="D23" s="607"/>
      <c r="E23" s="608"/>
      <c r="F23" s="611"/>
      <c r="G23" s="609"/>
      <c r="H23" s="616"/>
      <c r="I23" s="616"/>
      <c r="J23" s="614"/>
      <c r="K23" s="620"/>
      <c r="L23" s="620"/>
      <c r="M23" s="616"/>
      <c r="N23" s="606"/>
    </row>
    <row r="24" spans="1:14">
      <c r="A24" s="607"/>
      <c r="B24" s="607"/>
      <c r="C24" s="607"/>
      <c r="D24" s="607"/>
      <c r="E24" s="608"/>
      <c r="F24" s="611"/>
      <c r="G24" s="609"/>
      <c r="H24" s="616"/>
      <c r="I24" s="616"/>
      <c r="J24" s="614"/>
      <c r="K24" s="620"/>
      <c r="L24" s="620"/>
      <c r="M24" s="616"/>
      <c r="N24" s="606"/>
    </row>
    <row r="25" spans="1:14">
      <c r="A25" s="607"/>
      <c r="B25" s="607"/>
      <c r="C25" s="607"/>
      <c r="D25" s="607"/>
      <c r="E25" s="608"/>
      <c r="F25" s="611"/>
      <c r="G25" s="609"/>
      <c r="H25" s="616"/>
      <c r="I25" s="616"/>
      <c r="J25" s="614"/>
      <c r="K25" s="620"/>
      <c r="L25" s="620"/>
      <c r="M25" s="616"/>
      <c r="N25" s="606"/>
    </row>
    <row r="26" spans="1:14">
      <c r="A26" s="607"/>
      <c r="B26" s="607"/>
      <c r="C26" s="607"/>
      <c r="D26" s="607"/>
      <c r="E26" s="608"/>
      <c r="F26" s="611"/>
      <c r="G26" s="609"/>
      <c r="H26" s="616"/>
      <c r="I26" s="616"/>
      <c r="J26" s="614"/>
      <c r="K26" s="620"/>
      <c r="L26" s="620"/>
      <c r="M26" s="616"/>
      <c r="N26" s="606"/>
    </row>
    <row r="27" spans="1:14">
      <c r="A27" s="607"/>
      <c r="B27" s="607"/>
      <c r="C27" s="607"/>
      <c r="D27" s="607"/>
      <c r="E27" s="608"/>
      <c r="F27" s="611"/>
      <c r="G27" s="609"/>
      <c r="H27" s="616"/>
      <c r="I27" s="616"/>
      <c r="J27" s="614"/>
      <c r="K27" s="620"/>
      <c r="L27" s="620"/>
      <c r="M27" s="616"/>
      <c r="N27" s="606"/>
    </row>
    <row r="28" spans="1:14">
      <c r="A28" s="607"/>
      <c r="B28" s="607"/>
      <c r="C28" s="607"/>
      <c r="D28" s="607"/>
      <c r="E28" s="608"/>
      <c r="F28" s="611"/>
      <c r="G28" s="609"/>
      <c r="H28" s="616"/>
      <c r="I28" s="616"/>
      <c r="J28" s="614"/>
      <c r="K28" s="620"/>
      <c r="L28" s="620"/>
      <c r="M28" s="616"/>
      <c r="N28" s="606"/>
    </row>
    <row r="29" spans="1:14">
      <c r="A29" s="607"/>
      <c r="B29" s="607"/>
      <c r="C29" s="607"/>
      <c r="D29" s="607"/>
      <c r="E29" s="608"/>
      <c r="F29" s="611"/>
      <c r="G29" s="609"/>
      <c r="H29" s="616"/>
      <c r="I29" s="616"/>
      <c r="J29" s="614"/>
      <c r="K29" s="620"/>
      <c r="L29" s="620"/>
      <c r="M29" s="616"/>
      <c r="N29" s="606"/>
    </row>
    <row r="30" spans="1:14">
      <c r="A30" s="607"/>
      <c r="B30" s="607"/>
      <c r="C30" s="607"/>
      <c r="D30" s="607"/>
      <c r="E30" s="608"/>
      <c r="F30" s="611"/>
      <c r="G30" s="609"/>
      <c r="H30" s="616"/>
      <c r="I30" s="616"/>
      <c r="J30" s="614"/>
      <c r="K30" s="620"/>
      <c r="L30" s="620"/>
      <c r="M30" s="616"/>
      <c r="N30" s="606"/>
    </row>
    <row r="31" spans="1:14">
      <c r="A31" s="607"/>
      <c r="B31" s="607"/>
      <c r="C31" s="607"/>
      <c r="D31" s="607"/>
      <c r="E31" s="608"/>
      <c r="F31" s="611"/>
      <c r="G31" s="609"/>
      <c r="H31" s="616"/>
      <c r="I31" s="616"/>
      <c r="J31" s="614"/>
      <c r="K31" s="620"/>
      <c r="L31" s="620"/>
      <c r="M31" s="616"/>
      <c r="N31" s="606"/>
    </row>
    <row r="32" spans="1:14">
      <c r="A32" s="607"/>
      <c r="B32" s="607"/>
      <c r="C32" s="607"/>
      <c r="D32" s="607"/>
      <c r="E32" s="608"/>
      <c r="F32" s="611"/>
      <c r="G32" s="610"/>
      <c r="H32" s="617"/>
      <c r="I32" s="617"/>
      <c r="J32" s="617"/>
      <c r="K32" s="622"/>
      <c r="L32" s="622"/>
      <c r="M32" s="616"/>
      <c r="N32" s="581"/>
    </row>
    <row r="33" spans="1:14">
      <c r="A33" s="607"/>
      <c r="B33" s="607"/>
      <c r="C33" s="607"/>
      <c r="D33" s="607"/>
      <c r="E33" s="608"/>
      <c r="F33" s="611"/>
      <c r="G33" s="609"/>
      <c r="H33" s="616"/>
      <c r="I33" s="616"/>
      <c r="J33" s="616"/>
      <c r="K33" s="621"/>
      <c r="L33" s="621"/>
      <c r="M33" s="616"/>
      <c r="N33" s="499"/>
    </row>
    <row r="34" spans="1:14">
      <c r="A34" s="607"/>
      <c r="B34" s="607"/>
      <c r="C34" s="607"/>
      <c r="D34" s="607"/>
      <c r="E34" s="608"/>
      <c r="F34" s="611"/>
      <c r="G34" s="609"/>
      <c r="H34" s="616"/>
      <c r="I34" s="616"/>
      <c r="J34" s="614"/>
      <c r="K34" s="620"/>
      <c r="L34" s="620"/>
      <c r="M34" s="616"/>
      <c r="N34" s="606"/>
    </row>
    <row r="35" spans="1:14">
      <c r="A35" s="607"/>
      <c r="B35" s="607"/>
      <c r="C35" s="607"/>
      <c r="D35" s="607"/>
      <c r="E35" s="608"/>
      <c r="F35" s="611"/>
      <c r="G35" s="609"/>
      <c r="H35" s="616"/>
      <c r="I35" s="616"/>
      <c r="J35" s="614"/>
      <c r="K35" s="620"/>
      <c r="L35" s="620"/>
      <c r="M35" s="616"/>
      <c r="N35" s="606"/>
    </row>
    <row r="36" spans="1:14">
      <c r="A36" s="607"/>
      <c r="B36" s="607"/>
      <c r="C36" s="607"/>
      <c r="D36" s="607"/>
      <c r="E36" s="608"/>
      <c r="F36" s="611"/>
      <c r="G36" s="609"/>
      <c r="H36" s="616"/>
      <c r="I36" s="616"/>
      <c r="J36" s="614"/>
      <c r="K36" s="620"/>
      <c r="L36" s="620"/>
      <c r="M36" s="616"/>
      <c r="N36" s="606"/>
    </row>
    <row r="37" spans="1:14">
      <c r="A37" s="607"/>
      <c r="B37" s="607"/>
      <c r="C37" s="607"/>
      <c r="D37" s="607"/>
      <c r="E37" s="608"/>
      <c r="F37" s="611"/>
      <c r="G37" s="609"/>
      <c r="H37" s="616"/>
      <c r="I37" s="616"/>
      <c r="J37" s="616"/>
      <c r="K37" s="621"/>
      <c r="L37" s="621"/>
      <c r="M37" s="616"/>
      <c r="N37" s="499"/>
    </row>
    <row r="38" spans="1:14">
      <c r="A38" s="607"/>
      <c r="B38" s="607"/>
      <c r="C38" s="607"/>
      <c r="D38" s="607"/>
      <c r="E38" s="608"/>
      <c r="F38" s="611"/>
      <c r="G38" s="609"/>
      <c r="H38" s="616"/>
      <c r="I38" s="616"/>
      <c r="J38" s="614"/>
      <c r="K38" s="620"/>
      <c r="L38" s="620"/>
      <c r="M38" s="616"/>
      <c r="N38" s="606"/>
    </row>
    <row r="39" spans="1:14">
      <c r="A39" s="607"/>
      <c r="B39" s="607"/>
      <c r="C39" s="607"/>
      <c r="D39" s="607"/>
      <c r="E39" s="608"/>
      <c r="F39" s="611"/>
      <c r="G39" s="609"/>
      <c r="H39" s="616"/>
      <c r="I39" s="616"/>
      <c r="J39" s="614"/>
      <c r="K39" s="620"/>
      <c r="L39" s="620"/>
      <c r="M39" s="616"/>
      <c r="N39" s="606"/>
    </row>
    <row r="40" spans="1:14">
      <c r="A40" s="607"/>
      <c r="B40" s="607"/>
      <c r="C40" s="607"/>
      <c r="D40" s="607"/>
      <c r="E40" s="608"/>
      <c r="F40" s="611"/>
      <c r="G40" s="609"/>
      <c r="H40" s="616"/>
      <c r="I40" s="616"/>
      <c r="J40" s="614"/>
      <c r="K40" s="620"/>
      <c r="L40" s="620"/>
      <c r="M40" s="616"/>
      <c r="N40" s="606"/>
    </row>
    <row r="41" spans="1:14">
      <c r="A41" s="607"/>
      <c r="B41" s="607"/>
      <c r="C41" s="607"/>
      <c r="D41" s="607"/>
      <c r="E41" s="608"/>
      <c r="F41" s="611"/>
      <c r="G41" s="609"/>
      <c r="H41" s="616"/>
      <c r="I41" s="616"/>
      <c r="J41" s="616"/>
      <c r="K41" s="621"/>
      <c r="L41" s="621"/>
      <c r="M41" s="616"/>
      <c r="N41" s="499"/>
    </row>
    <row r="42" spans="1:14">
      <c r="A42" s="607"/>
      <c r="B42" s="607"/>
      <c r="C42" s="607"/>
      <c r="D42" s="607"/>
      <c r="E42" s="608"/>
      <c r="F42" s="611"/>
      <c r="G42" s="609"/>
      <c r="H42" s="616"/>
      <c r="I42" s="616"/>
      <c r="J42" s="614"/>
      <c r="K42" s="620"/>
      <c r="L42" s="620"/>
      <c r="M42" s="616"/>
      <c r="N42" s="606"/>
    </row>
    <row r="43" spans="1:14">
      <c r="A43" s="607"/>
      <c r="B43" s="607"/>
      <c r="C43" s="607"/>
      <c r="D43" s="607"/>
      <c r="E43" s="608"/>
      <c r="F43" s="611"/>
      <c r="G43" s="609"/>
      <c r="H43" s="616"/>
      <c r="I43" s="616"/>
      <c r="J43" s="614"/>
      <c r="K43" s="620"/>
      <c r="L43" s="620"/>
      <c r="M43" s="616"/>
      <c r="N43" s="606"/>
    </row>
    <row r="44" spans="1:14">
      <c r="A44" s="607"/>
      <c r="B44" s="607"/>
      <c r="C44" s="607"/>
      <c r="D44" s="607"/>
      <c r="E44" s="608"/>
      <c r="F44" s="611"/>
      <c r="G44" s="609"/>
      <c r="H44" s="616"/>
      <c r="I44" s="616"/>
      <c r="J44" s="614"/>
      <c r="K44" s="620"/>
      <c r="L44" s="620"/>
      <c r="M44" s="616"/>
      <c r="N44" s="606"/>
    </row>
    <row r="45" spans="1:14">
      <c r="A45" s="607"/>
      <c r="B45" s="607"/>
      <c r="C45" s="607"/>
      <c r="D45" s="607"/>
      <c r="E45" s="608"/>
      <c r="F45" s="611"/>
      <c r="G45" s="609"/>
      <c r="H45" s="616"/>
      <c r="I45" s="616"/>
      <c r="J45" s="614"/>
      <c r="K45" s="620"/>
      <c r="L45" s="620"/>
      <c r="M45" s="616"/>
      <c r="N45" s="606"/>
    </row>
    <row r="46" spans="1:14">
      <c r="A46" s="607"/>
      <c r="B46" s="607"/>
      <c r="C46" s="607"/>
      <c r="D46" s="607"/>
      <c r="E46" s="608"/>
      <c r="F46" s="611"/>
      <c r="G46" s="609"/>
      <c r="H46" s="616"/>
      <c r="I46" s="616"/>
      <c r="J46" s="614"/>
      <c r="K46" s="620"/>
      <c r="L46" s="620"/>
      <c r="M46" s="616"/>
      <c r="N46" s="606"/>
    </row>
    <row r="47" spans="1:14">
      <c r="A47" s="607"/>
      <c r="B47" s="607"/>
      <c r="C47" s="607"/>
      <c r="D47" s="607"/>
      <c r="E47" s="608"/>
      <c r="F47" s="611"/>
      <c r="G47" s="609"/>
      <c r="H47" s="616"/>
      <c r="I47" s="616"/>
      <c r="J47" s="614"/>
      <c r="K47" s="620"/>
      <c r="L47" s="620"/>
      <c r="M47" s="616"/>
      <c r="N47" s="606"/>
    </row>
    <row r="48" spans="1:14">
      <c r="A48" s="607"/>
      <c r="B48" s="607"/>
      <c r="C48" s="607"/>
      <c r="D48" s="607"/>
      <c r="E48" s="608"/>
      <c r="F48" s="611"/>
      <c r="G48" s="609"/>
      <c r="H48" s="616"/>
      <c r="I48" s="616"/>
      <c r="J48" s="614"/>
      <c r="K48" s="620"/>
      <c r="L48" s="620"/>
      <c r="M48" s="616"/>
      <c r="N48" s="606"/>
    </row>
    <row r="49" spans="1:14">
      <c r="A49" s="607"/>
      <c r="B49" s="607"/>
      <c r="C49" s="607"/>
      <c r="D49" s="607"/>
      <c r="E49" s="608"/>
      <c r="F49" s="611"/>
      <c r="G49" s="609"/>
      <c r="H49" s="616"/>
      <c r="I49" s="616"/>
      <c r="J49" s="616"/>
      <c r="K49" s="621"/>
      <c r="L49" s="621"/>
      <c r="M49" s="616"/>
      <c r="N49" s="499"/>
    </row>
    <row r="50" spans="1:14">
      <c r="A50" s="607"/>
      <c r="B50" s="607"/>
      <c r="C50" s="607"/>
      <c r="D50" s="607"/>
      <c r="E50" s="608"/>
      <c r="F50" s="611"/>
      <c r="G50" s="609"/>
      <c r="H50" s="616"/>
      <c r="I50" s="616"/>
      <c r="J50" s="614"/>
      <c r="K50" s="620"/>
      <c r="L50" s="620"/>
      <c r="M50" s="616"/>
      <c r="N50" s="606"/>
    </row>
    <row r="51" spans="1:14">
      <c r="A51" s="607"/>
      <c r="B51" s="607"/>
      <c r="C51" s="607"/>
      <c r="D51" s="607"/>
      <c r="E51" s="608"/>
      <c r="F51" s="611"/>
      <c r="G51" s="609"/>
      <c r="H51" s="616"/>
      <c r="I51" s="616"/>
      <c r="J51" s="614"/>
      <c r="K51" s="620"/>
      <c r="L51" s="620"/>
      <c r="M51" s="616"/>
      <c r="N51" s="606"/>
    </row>
    <row r="52" spans="1:14">
      <c r="A52" s="607"/>
      <c r="B52" s="607"/>
      <c r="C52" s="607"/>
      <c r="D52" s="607"/>
      <c r="E52" s="608"/>
      <c r="F52" s="611"/>
      <c r="G52" s="609"/>
      <c r="H52" s="616"/>
      <c r="I52" s="616"/>
      <c r="J52" s="614"/>
      <c r="K52" s="620"/>
      <c r="L52" s="620"/>
      <c r="M52" s="616"/>
      <c r="N52" s="606"/>
    </row>
    <row r="53" spans="1:14">
      <c r="A53" s="607"/>
      <c r="B53" s="607"/>
      <c r="C53" s="607"/>
      <c r="D53" s="607"/>
      <c r="E53" s="608"/>
      <c r="F53" s="611"/>
      <c r="G53" s="609"/>
      <c r="H53" s="616"/>
      <c r="I53" s="616"/>
      <c r="J53" s="616"/>
      <c r="K53" s="621"/>
      <c r="L53" s="621"/>
      <c r="M53" s="616"/>
      <c r="N53" s="499"/>
    </row>
    <row r="54" spans="1:14">
      <c r="A54" s="607"/>
      <c r="B54" s="607"/>
      <c r="C54" s="607"/>
      <c r="D54" s="607"/>
      <c r="E54" s="608"/>
      <c r="F54" s="611"/>
      <c r="G54" s="609"/>
      <c r="H54" s="616"/>
      <c r="I54" s="616"/>
      <c r="J54" s="614"/>
      <c r="K54" s="620"/>
      <c r="L54" s="620"/>
      <c r="M54" s="616"/>
      <c r="N54" s="606"/>
    </row>
    <row r="55" spans="1:14">
      <c r="A55" s="607"/>
      <c r="B55" s="607"/>
      <c r="C55" s="607"/>
      <c r="D55" s="607"/>
      <c r="E55" s="608"/>
      <c r="F55" s="611"/>
      <c r="G55" s="609"/>
      <c r="H55" s="616"/>
      <c r="I55" s="616"/>
      <c r="J55" s="614"/>
      <c r="K55" s="620"/>
      <c r="L55" s="620"/>
      <c r="M55" s="616"/>
      <c r="N55" s="606"/>
    </row>
    <row r="56" spans="1:14">
      <c r="A56" s="607"/>
      <c r="B56" s="607"/>
      <c r="C56" s="607"/>
      <c r="D56" s="607"/>
      <c r="E56" s="608"/>
      <c r="F56" s="611"/>
      <c r="G56" s="609"/>
      <c r="H56" s="616"/>
      <c r="I56" s="616"/>
      <c r="J56" s="614"/>
      <c r="K56" s="620"/>
      <c r="L56" s="620"/>
      <c r="M56" s="616"/>
      <c r="N56" s="606"/>
    </row>
    <row r="57" spans="1:14">
      <c r="A57" s="607"/>
      <c r="B57" s="607"/>
      <c r="C57" s="607"/>
      <c r="D57" s="607"/>
      <c r="E57" s="608"/>
      <c r="F57" s="611"/>
      <c r="G57" s="609"/>
      <c r="H57" s="616"/>
      <c r="I57" s="616"/>
      <c r="J57" s="616"/>
      <c r="K57" s="621"/>
      <c r="L57" s="621"/>
      <c r="M57" s="616"/>
      <c r="N57" s="499"/>
    </row>
    <row r="58" spans="1:14">
      <c r="A58" s="607"/>
      <c r="B58" s="607"/>
      <c r="C58" s="607"/>
      <c r="D58" s="607"/>
      <c r="E58" s="608"/>
      <c r="F58" s="611"/>
      <c r="G58" s="609"/>
      <c r="H58" s="616"/>
      <c r="I58" s="616"/>
      <c r="J58" s="614"/>
      <c r="K58" s="620"/>
      <c r="L58" s="620"/>
      <c r="M58" s="616"/>
      <c r="N58" s="606"/>
    </row>
    <row r="59" spans="1:14">
      <c r="A59" s="607"/>
      <c r="B59" s="607"/>
      <c r="C59" s="607"/>
      <c r="D59" s="607"/>
      <c r="E59" s="608"/>
      <c r="F59" s="611"/>
      <c r="G59" s="609"/>
      <c r="H59" s="616"/>
      <c r="I59" s="616"/>
      <c r="J59" s="614"/>
      <c r="K59" s="620"/>
      <c r="L59" s="620"/>
      <c r="M59" s="616"/>
      <c r="N59" s="606"/>
    </row>
    <row r="60" spans="1:14">
      <c r="A60" s="607"/>
      <c r="B60" s="607"/>
      <c r="C60" s="607"/>
      <c r="D60" s="607"/>
      <c r="E60" s="608"/>
      <c r="F60" s="611"/>
      <c r="G60" s="609"/>
      <c r="H60" s="616"/>
      <c r="I60" s="616"/>
      <c r="J60" s="614"/>
      <c r="K60" s="620"/>
      <c r="L60" s="620"/>
      <c r="M60" s="616"/>
      <c r="N60" s="606"/>
    </row>
    <row r="61" spans="1:14">
      <c r="A61" s="607"/>
      <c r="B61" s="607"/>
      <c r="C61" s="607"/>
      <c r="D61" s="607"/>
      <c r="E61" s="608"/>
      <c r="F61" s="611"/>
      <c r="G61" s="609"/>
      <c r="H61" s="616"/>
      <c r="I61" s="616"/>
      <c r="J61" s="616"/>
      <c r="K61" s="621"/>
      <c r="L61" s="621"/>
      <c r="M61" s="616"/>
      <c r="N61" s="499"/>
    </row>
    <row r="62" spans="1:14">
      <c r="A62" s="607"/>
      <c r="B62" s="607"/>
      <c r="C62" s="607"/>
      <c r="D62" s="607"/>
      <c r="E62" s="608"/>
      <c r="F62" s="611"/>
      <c r="G62" s="609"/>
      <c r="H62" s="616"/>
      <c r="I62" s="616"/>
      <c r="J62" s="614"/>
      <c r="K62" s="620"/>
      <c r="L62" s="620"/>
      <c r="M62" s="616"/>
      <c r="N62" s="606"/>
    </row>
    <row r="63" spans="1:14">
      <c r="A63" s="607"/>
      <c r="B63" s="607"/>
      <c r="C63" s="607"/>
      <c r="D63" s="607"/>
      <c r="E63" s="608"/>
      <c r="F63" s="611"/>
      <c r="G63" s="609"/>
      <c r="H63" s="616"/>
      <c r="I63" s="616"/>
      <c r="J63" s="614"/>
      <c r="K63" s="620"/>
      <c r="L63" s="620"/>
      <c r="M63" s="616"/>
      <c r="N63" s="606"/>
    </row>
    <row r="64" spans="1:14">
      <c r="A64" s="607"/>
      <c r="B64" s="607"/>
      <c r="C64" s="607"/>
      <c r="D64" s="607"/>
      <c r="E64" s="608"/>
      <c r="F64" s="611"/>
      <c r="G64" s="609"/>
      <c r="H64" s="616"/>
      <c r="I64" s="616"/>
      <c r="J64" s="614"/>
      <c r="K64" s="620"/>
      <c r="L64" s="620"/>
      <c r="M64" s="616"/>
      <c r="N64" s="606"/>
    </row>
    <row r="65" spans="1:14">
      <c r="A65" s="607"/>
      <c r="B65" s="607"/>
      <c r="C65" s="607"/>
      <c r="D65" s="607"/>
      <c r="E65" s="608"/>
      <c r="F65" s="611"/>
      <c r="G65" s="609"/>
      <c r="H65" s="616"/>
      <c r="I65" s="616"/>
      <c r="J65" s="614"/>
      <c r="K65" s="620"/>
      <c r="L65" s="620"/>
      <c r="M65" s="616"/>
      <c r="N65" s="606"/>
    </row>
    <row r="66" spans="1:14">
      <c r="A66" s="607"/>
      <c r="B66" s="607"/>
      <c r="C66" s="607"/>
      <c r="D66" s="607"/>
      <c r="E66" s="608"/>
      <c r="F66" s="611"/>
      <c r="G66" s="609"/>
      <c r="H66" s="616"/>
      <c r="I66" s="616"/>
      <c r="J66" s="614"/>
      <c r="K66" s="620"/>
      <c r="L66" s="620"/>
      <c r="M66" s="616"/>
      <c r="N66" s="606"/>
    </row>
    <row r="67" spans="1:14">
      <c r="A67" s="607"/>
      <c r="B67" s="607"/>
      <c r="C67" s="607"/>
      <c r="D67" s="607"/>
      <c r="E67" s="608"/>
      <c r="F67" s="611"/>
      <c r="G67" s="609"/>
      <c r="H67" s="616"/>
      <c r="I67" s="616"/>
      <c r="J67" s="614"/>
      <c r="K67" s="620"/>
      <c r="L67" s="620"/>
      <c r="M67" s="616"/>
      <c r="N67" s="606"/>
    </row>
    <row r="68" spans="1:14">
      <c r="A68" s="607"/>
      <c r="B68" s="607"/>
      <c r="C68" s="607"/>
      <c r="D68" s="607"/>
      <c r="E68" s="608"/>
      <c r="F68" s="611"/>
      <c r="G68" s="609"/>
      <c r="H68" s="616"/>
      <c r="I68" s="616"/>
      <c r="J68" s="614"/>
      <c r="K68" s="620"/>
      <c r="L68" s="620"/>
      <c r="M68" s="616"/>
      <c r="N68" s="606"/>
    </row>
    <row r="69" spans="1:14">
      <c r="A69" s="607"/>
      <c r="B69" s="607"/>
      <c r="C69" s="607"/>
      <c r="D69" s="607"/>
      <c r="E69" s="608"/>
      <c r="F69" s="611"/>
      <c r="G69" s="609"/>
      <c r="H69" s="616"/>
      <c r="I69" s="616"/>
      <c r="J69" s="614"/>
      <c r="K69" s="620"/>
      <c r="L69" s="620"/>
      <c r="M69" s="616"/>
      <c r="N69" s="606"/>
    </row>
    <row r="70" spans="1:14">
      <c r="A70" s="612"/>
      <c r="B70" s="613"/>
      <c r="C70" s="613"/>
      <c r="D70" s="613"/>
      <c r="E70" s="613"/>
      <c r="F70" s="611"/>
      <c r="G70" s="615"/>
      <c r="H70" s="616"/>
      <c r="I70" s="616"/>
      <c r="J70" s="614"/>
      <c r="K70" s="620"/>
      <c r="L70" s="620"/>
      <c r="M70" s="616"/>
      <c r="N70" s="606"/>
    </row>
    <row r="71" spans="1:14">
      <c r="A71" s="612"/>
      <c r="B71" s="613"/>
      <c r="C71" s="613"/>
      <c r="D71" s="613"/>
      <c r="E71" s="613"/>
      <c r="F71" s="611"/>
      <c r="G71" s="609"/>
      <c r="H71" s="616"/>
      <c r="I71" s="616"/>
      <c r="J71" s="616"/>
      <c r="K71" s="621"/>
      <c r="L71" s="621"/>
      <c r="M71" s="616"/>
      <c r="N71" s="499"/>
    </row>
    <row r="72" spans="1:14">
      <c r="A72" s="612"/>
      <c r="B72" s="613"/>
      <c r="C72" s="613"/>
      <c r="D72" s="613"/>
      <c r="E72" s="613"/>
      <c r="F72" s="611"/>
      <c r="G72" s="609"/>
      <c r="H72" s="616"/>
      <c r="I72" s="616"/>
      <c r="J72" s="614"/>
      <c r="K72" s="619"/>
      <c r="L72" s="619"/>
      <c r="M72" s="616"/>
      <c r="N72" s="606"/>
    </row>
    <row r="73" spans="1:14">
      <c r="L73" s="618"/>
      <c r="M73" s="616"/>
    </row>
  </sheetData>
  <phoneticPr fontId="18" type="noConversion"/>
  <conditionalFormatting sqref="I11:I36">
    <cfRule type="cellIs" dxfId="5" priority="3" operator="lessThan">
      <formula>4</formula>
    </cfRule>
  </conditionalFormatting>
  <conditionalFormatting sqref="I7:I10">
    <cfRule type="cellIs" dxfId="4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17"/>
  <dimension ref="A1:O52"/>
  <sheetViews>
    <sheetView workbookViewId="0">
      <selection activeCell="Q13" sqref="Q13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.125" style="3" customWidth="1"/>
    <col min="5" max="5" width="15.7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1.75" style="21" customWidth="1" collapsed="1"/>
    <col min="10" max="10" width="14.125" style="21" hidden="1" customWidth="1" outlineLevel="1"/>
    <col min="11" max="11" width="11.125" style="22" customWidth="1" collapsed="1"/>
    <col min="12" max="12" width="10.375" style="22" customWidth="1"/>
    <col min="13" max="13" width="15.5" style="28" customWidth="1"/>
    <col min="14" max="14" width="8.875" style="9"/>
  </cols>
  <sheetData>
    <row r="1" spans="1:15" ht="28.5" thickBot="1">
      <c r="A1" s="4"/>
      <c r="B1" s="4"/>
      <c r="C1" s="5"/>
      <c r="D1" s="6"/>
      <c r="E1" s="6"/>
      <c r="F1" s="10"/>
      <c r="G1" s="11"/>
      <c r="H1" s="12"/>
      <c r="I1" s="13"/>
      <c r="J1" s="46"/>
      <c r="K1" s="407"/>
      <c r="L1" s="14"/>
      <c r="M1" s="27"/>
      <c r="N1" s="19"/>
      <c r="O1" s="4"/>
    </row>
    <row r="2" spans="1:15">
      <c r="D2" s="23"/>
      <c r="E2" s="29"/>
      <c r="F2" s="105"/>
      <c r="G2" s="106"/>
      <c r="H2" s="106"/>
      <c r="I2" s="107"/>
      <c r="J2" s="107"/>
      <c r="K2" s="108"/>
      <c r="L2" s="109"/>
      <c r="M2" s="111"/>
    </row>
    <row r="3" spans="1:15" ht="17.25" thickBot="1">
      <c r="D3" s="24"/>
      <c r="E3" s="30"/>
      <c r="F3" s="25"/>
      <c r="G3" s="26"/>
      <c r="H3" s="26"/>
      <c r="I3" s="52"/>
      <c r="J3" s="54"/>
      <c r="K3" s="53"/>
      <c r="L3" s="53"/>
      <c r="M3" s="50"/>
    </row>
    <row r="4" spans="1:15">
      <c r="D4" s="37"/>
      <c r="E4" s="38"/>
      <c r="F4" s="112"/>
      <c r="G4" s="113"/>
      <c r="H4" s="113"/>
      <c r="I4" s="114"/>
      <c r="J4" s="114"/>
      <c r="K4" s="114"/>
      <c r="L4" s="114"/>
      <c r="M4" s="115"/>
    </row>
    <row r="5" spans="1:15">
      <c r="D5" s="40"/>
      <c r="E5" s="7"/>
      <c r="F5" s="116"/>
      <c r="G5" s="117"/>
      <c r="H5" s="117"/>
      <c r="I5" s="118"/>
      <c r="J5" s="118"/>
      <c r="K5" s="118"/>
      <c r="L5" s="118"/>
      <c r="M5" s="120"/>
    </row>
    <row r="6" spans="1:15" ht="17.25" thickBot="1">
      <c r="D6" s="42"/>
      <c r="E6" s="43"/>
      <c r="F6" s="121"/>
      <c r="G6" s="122"/>
      <c r="H6" s="123"/>
      <c r="I6" s="124"/>
      <c r="J6" s="124"/>
      <c r="K6" s="124"/>
      <c r="L6" s="124"/>
      <c r="M6" s="45"/>
    </row>
    <row r="7" spans="1:15">
      <c r="C7"/>
      <c r="D7" s="141"/>
      <c r="E7" s="142"/>
      <c r="F7" s="104"/>
      <c r="G7" s="125"/>
      <c r="H7" s="33"/>
      <c r="I7" s="92"/>
      <c r="J7" s="92"/>
      <c r="K7" s="93"/>
      <c r="L7" s="93"/>
      <c r="M7" s="164"/>
      <c r="N7" s="18"/>
      <c r="O7" s="63"/>
    </row>
    <row r="8" spans="1:15">
      <c r="C8"/>
      <c r="D8" s="143"/>
      <c r="E8" s="144"/>
      <c r="F8" s="408"/>
      <c r="G8" s="409"/>
      <c r="H8" s="33"/>
      <c r="I8" s="92"/>
      <c r="J8" s="92"/>
      <c r="K8" s="93"/>
      <c r="L8" s="93"/>
      <c r="M8" s="164"/>
    </row>
    <row r="9" spans="1:15">
      <c r="C9"/>
      <c r="D9" s="143"/>
      <c r="E9" s="144"/>
      <c r="F9" s="408"/>
      <c r="G9" s="409"/>
      <c r="H9" s="33"/>
      <c r="I9" s="92"/>
      <c r="J9" s="92"/>
      <c r="K9" s="93"/>
      <c r="L9" s="93"/>
      <c r="M9" s="164"/>
      <c r="N9" s="18"/>
      <c r="O9" s="63"/>
    </row>
    <row r="10" spans="1:15">
      <c r="A10" s="410"/>
      <c r="B10" s="410"/>
      <c r="C10" s="410"/>
      <c r="D10" s="411"/>
      <c r="E10" s="412"/>
      <c r="F10" s="413"/>
      <c r="G10" s="414"/>
      <c r="H10" s="33"/>
      <c r="I10" s="92"/>
      <c r="J10" s="92"/>
      <c r="K10" s="93"/>
      <c r="L10" s="93"/>
      <c r="M10" s="164"/>
      <c r="N10" s="415"/>
      <c r="O10" s="410"/>
    </row>
    <row r="11" spans="1:15">
      <c r="C11"/>
      <c r="D11" s="143"/>
      <c r="E11" s="144"/>
      <c r="F11" s="408"/>
      <c r="G11" s="409"/>
      <c r="H11" s="33"/>
      <c r="I11" s="416"/>
      <c r="J11" s="92"/>
      <c r="K11" s="417"/>
      <c r="L11" s="418"/>
      <c r="M11" s="164"/>
    </row>
    <row r="12" spans="1:15">
      <c r="C12"/>
      <c r="D12" s="143"/>
      <c r="E12" s="144"/>
      <c r="F12" s="408"/>
      <c r="G12" s="409"/>
      <c r="H12" s="33"/>
      <c r="I12" s="419"/>
      <c r="J12" s="92"/>
      <c r="K12" s="417"/>
      <c r="L12" s="93"/>
      <c r="M12" s="164"/>
    </row>
    <row r="13" spans="1:15">
      <c r="C13"/>
      <c r="D13" s="143"/>
      <c r="E13" s="144"/>
      <c r="F13" s="408"/>
      <c r="G13" s="409"/>
      <c r="H13" s="33"/>
      <c r="I13" s="416"/>
      <c r="J13" s="92"/>
      <c r="K13" s="417"/>
      <c r="L13" s="92"/>
      <c r="M13" s="164"/>
    </row>
    <row r="14" spans="1:15">
      <c r="C14"/>
      <c r="D14" s="143"/>
      <c r="E14" s="144"/>
      <c r="F14" s="408"/>
      <c r="G14" s="409"/>
      <c r="H14" s="33"/>
      <c r="I14" s="416"/>
      <c r="J14" s="92"/>
      <c r="K14" s="419"/>
      <c r="L14" s="93"/>
      <c r="M14" s="164"/>
    </row>
    <row r="15" spans="1:15">
      <c r="C15"/>
      <c r="D15" s="143"/>
      <c r="E15" s="144"/>
      <c r="F15" s="408"/>
      <c r="G15" s="409"/>
      <c r="H15" s="33"/>
      <c r="I15" s="92"/>
      <c r="J15" s="92"/>
      <c r="K15" s="93"/>
      <c r="L15" s="93"/>
      <c r="M15" s="164"/>
    </row>
    <row r="16" spans="1:15">
      <c r="C16"/>
      <c r="D16" s="143"/>
      <c r="E16" s="144"/>
      <c r="F16" s="408"/>
      <c r="G16" s="409"/>
      <c r="H16" s="33"/>
      <c r="I16" s="92"/>
      <c r="J16" s="92"/>
      <c r="K16" s="93"/>
      <c r="L16" s="93"/>
      <c r="M16" s="164"/>
    </row>
    <row r="17" spans="3:13">
      <c r="C17"/>
      <c r="D17" s="143"/>
      <c r="E17" s="144"/>
      <c r="F17" s="408"/>
      <c r="G17" s="409"/>
      <c r="H17" s="33"/>
      <c r="I17" s="92"/>
      <c r="J17" s="92"/>
      <c r="K17" s="93"/>
      <c r="L17" s="93"/>
      <c r="M17" s="164"/>
    </row>
    <row r="18" spans="3:13">
      <c r="C18"/>
      <c r="D18" s="143"/>
      <c r="E18" s="144"/>
      <c r="F18" s="408"/>
      <c r="G18" s="409"/>
      <c r="H18" s="33"/>
      <c r="I18" s="92"/>
      <c r="J18" s="92"/>
      <c r="K18" s="93"/>
      <c r="L18" s="93"/>
      <c r="M18" s="164"/>
    </row>
    <row r="19" spans="3:13">
      <c r="C19"/>
      <c r="D19" s="143"/>
      <c r="E19" s="144"/>
      <c r="F19" s="408"/>
      <c r="G19" s="409"/>
      <c r="H19" s="33"/>
      <c r="I19" s="92"/>
      <c r="J19" s="92"/>
      <c r="K19" s="93"/>
      <c r="L19" s="93"/>
      <c r="M19" s="164"/>
    </row>
    <row r="20" spans="3:13">
      <c r="C20"/>
      <c r="D20" s="143"/>
      <c r="E20" s="144"/>
      <c r="F20" s="408"/>
      <c r="G20" s="409"/>
      <c r="H20" s="33"/>
      <c r="I20" s="92"/>
      <c r="J20" s="92"/>
      <c r="K20" s="93"/>
      <c r="L20" s="93"/>
      <c r="M20" s="164"/>
    </row>
    <row r="21" spans="3:13">
      <c r="C21"/>
      <c r="D21" s="143"/>
      <c r="E21" s="144"/>
      <c r="F21" s="408"/>
      <c r="G21" s="409"/>
      <c r="H21" s="33"/>
      <c r="I21" s="92"/>
      <c r="J21" s="92"/>
      <c r="K21" s="93"/>
      <c r="L21" s="93"/>
      <c r="M21" s="164"/>
    </row>
    <row r="22" spans="3:13">
      <c r="C22"/>
      <c r="D22" s="143"/>
      <c r="E22" s="144"/>
      <c r="F22" s="408"/>
      <c r="G22" s="409"/>
      <c r="H22" s="33"/>
      <c r="I22" s="92"/>
      <c r="J22" s="92"/>
      <c r="K22" s="93"/>
      <c r="L22" s="93"/>
      <c r="M22" s="164"/>
    </row>
    <row r="23" spans="3:13">
      <c r="C23"/>
      <c r="D23" s="143"/>
      <c r="E23" s="144"/>
      <c r="F23" s="408"/>
      <c r="G23" s="409"/>
      <c r="H23" s="33"/>
      <c r="I23" s="92"/>
      <c r="J23" s="92"/>
      <c r="K23" s="93"/>
      <c r="L23" s="93"/>
      <c r="M23" s="164"/>
    </row>
    <row r="24" spans="3:13">
      <c r="C24"/>
      <c r="D24" s="143"/>
      <c r="E24" s="144"/>
      <c r="F24" s="408"/>
      <c r="G24" s="409"/>
      <c r="H24" s="33"/>
      <c r="I24" s="92"/>
      <c r="J24" s="92"/>
      <c r="K24" s="93"/>
      <c r="L24" s="93"/>
      <c r="M24" s="164"/>
    </row>
    <row r="25" spans="3:13">
      <c r="C25"/>
      <c r="D25" s="143"/>
      <c r="E25" s="144"/>
      <c r="F25" s="408"/>
      <c r="G25" s="409"/>
      <c r="H25" s="33"/>
      <c r="I25" s="416"/>
      <c r="J25" s="92"/>
      <c r="K25" s="93"/>
      <c r="L25" s="92"/>
      <c r="M25" s="164"/>
    </row>
    <row r="26" spans="3:13">
      <c r="C26"/>
      <c r="D26" s="143"/>
      <c r="E26" s="144"/>
      <c r="F26" s="408"/>
      <c r="G26" s="409"/>
      <c r="H26" s="33"/>
      <c r="I26" s="416"/>
      <c r="J26" s="92"/>
      <c r="K26" s="93"/>
      <c r="L26" s="92"/>
      <c r="M26" s="164"/>
    </row>
    <row r="27" spans="3:13">
      <c r="C27"/>
      <c r="D27" s="143"/>
      <c r="E27" s="144"/>
      <c r="F27" s="408"/>
      <c r="G27" s="409"/>
      <c r="H27" s="33"/>
      <c r="I27" s="416"/>
      <c r="J27" s="92"/>
      <c r="K27" s="93"/>
      <c r="L27" s="92"/>
      <c r="M27" s="164"/>
    </row>
    <row r="28" spans="3:13">
      <c r="C28"/>
      <c r="D28" s="143"/>
      <c r="E28" s="144"/>
      <c r="F28" s="408"/>
      <c r="G28" s="409"/>
      <c r="H28" s="33"/>
      <c r="I28" s="416"/>
      <c r="J28" s="92"/>
      <c r="K28" s="93"/>
      <c r="L28" s="92"/>
      <c r="M28" s="164"/>
    </row>
    <row r="29" spans="3:13">
      <c r="C29"/>
      <c r="D29" s="143"/>
      <c r="E29" s="144"/>
      <c r="F29" s="408"/>
      <c r="G29" s="409"/>
      <c r="H29" s="33"/>
      <c r="I29" s="416"/>
      <c r="J29" s="92"/>
      <c r="K29" s="93"/>
      <c r="L29" s="92"/>
      <c r="M29" s="164"/>
    </row>
    <row r="30" spans="3:13">
      <c r="C30"/>
      <c r="D30" s="143"/>
      <c r="E30" s="144"/>
      <c r="F30" s="408"/>
      <c r="G30" s="409"/>
      <c r="H30" s="33"/>
      <c r="I30" s="416"/>
      <c r="J30" s="92"/>
      <c r="K30" s="93"/>
      <c r="L30" s="92"/>
      <c r="M30" s="164"/>
    </row>
    <row r="31" spans="3:13">
      <c r="C31"/>
      <c r="D31" s="143"/>
      <c r="E31" s="144"/>
      <c r="F31" s="408"/>
      <c r="G31" s="409"/>
      <c r="H31" s="33"/>
      <c r="I31" s="92"/>
      <c r="J31" s="92"/>
      <c r="K31" s="93"/>
      <c r="L31" s="93"/>
      <c r="M31" s="164"/>
    </row>
    <row r="32" spans="3:13">
      <c r="C32"/>
      <c r="D32" s="143"/>
      <c r="E32" s="144"/>
      <c r="F32" s="408"/>
      <c r="G32" s="409"/>
      <c r="H32" s="33"/>
      <c r="I32" s="92"/>
      <c r="J32" s="92"/>
      <c r="K32" s="93"/>
      <c r="L32" s="93"/>
      <c r="M32" s="164"/>
    </row>
    <row r="33" spans="3:13">
      <c r="C33"/>
      <c r="D33" s="143"/>
      <c r="E33" s="144"/>
      <c r="F33" s="408"/>
      <c r="G33" s="409"/>
      <c r="H33" s="33"/>
      <c r="I33" s="92"/>
      <c r="J33" s="92"/>
      <c r="K33" s="93"/>
      <c r="L33" s="93"/>
      <c r="M33" s="164"/>
    </row>
    <row r="34" spans="3:13">
      <c r="C34"/>
      <c r="D34" s="143"/>
      <c r="E34" s="144"/>
      <c r="F34" s="408"/>
      <c r="G34" s="409"/>
      <c r="H34" s="33"/>
      <c r="I34" s="92"/>
      <c r="J34" s="92"/>
      <c r="K34" s="93"/>
      <c r="L34" s="93"/>
      <c r="M34" s="164"/>
    </row>
    <row r="35" spans="3:13">
      <c r="C35"/>
      <c r="D35" s="143"/>
      <c r="E35" s="144"/>
      <c r="F35" s="408"/>
      <c r="G35" s="409"/>
      <c r="H35" s="33"/>
      <c r="I35" s="92"/>
      <c r="J35" s="92"/>
      <c r="K35" s="93"/>
      <c r="L35" s="93"/>
      <c r="M35" s="164"/>
    </row>
    <row r="36" spans="3:13">
      <c r="C36"/>
      <c r="D36" s="143"/>
      <c r="E36" s="144"/>
      <c r="F36" s="408"/>
      <c r="G36" s="409"/>
      <c r="H36" s="33"/>
      <c r="I36" s="92"/>
      <c r="J36" s="92"/>
      <c r="K36" s="93"/>
      <c r="L36" s="93"/>
      <c r="M36" s="164"/>
    </row>
    <row r="37" spans="3:13">
      <c r="C37"/>
      <c r="D37" s="143"/>
      <c r="E37" s="144"/>
      <c r="F37" s="408"/>
      <c r="G37" s="409"/>
      <c r="H37" s="33"/>
      <c r="I37" s="92"/>
      <c r="J37" s="92"/>
      <c r="K37" s="93"/>
      <c r="L37" s="93"/>
      <c r="M37" s="164"/>
    </row>
    <row r="38" spans="3:13">
      <c r="C38"/>
      <c r="D38" s="143"/>
      <c r="E38" s="144"/>
      <c r="F38" s="408"/>
      <c r="G38" s="409"/>
      <c r="H38" s="33"/>
      <c r="I38" s="92"/>
      <c r="J38" s="92"/>
      <c r="K38" s="93"/>
      <c r="L38" s="93"/>
      <c r="M38" s="164"/>
    </row>
    <row r="39" spans="3:13">
      <c r="C39"/>
      <c r="D39" s="143"/>
      <c r="E39" s="144"/>
      <c r="F39" s="408"/>
      <c r="G39" s="409"/>
      <c r="H39" s="33"/>
      <c r="I39" s="92"/>
      <c r="J39" s="92"/>
      <c r="K39" s="93"/>
      <c r="L39" s="93"/>
      <c r="M39" s="164"/>
    </row>
    <row r="40" spans="3:13">
      <c r="C40"/>
      <c r="D40" s="143"/>
      <c r="E40" s="144"/>
      <c r="F40" s="408"/>
      <c r="G40" s="409"/>
      <c r="H40" s="33"/>
      <c r="I40" s="92"/>
      <c r="J40" s="92"/>
      <c r="K40" s="93"/>
      <c r="L40" s="93"/>
      <c r="M40" s="164"/>
    </row>
    <row r="41" spans="3:13">
      <c r="C41"/>
      <c r="D41" s="143"/>
      <c r="E41" s="144"/>
      <c r="F41" s="408"/>
      <c r="G41" s="409"/>
      <c r="H41" s="33"/>
      <c r="I41" s="416"/>
      <c r="J41" s="92"/>
      <c r="K41" s="93"/>
      <c r="L41" s="92"/>
      <c r="M41" s="164"/>
    </row>
    <row r="42" spans="3:13">
      <c r="C42"/>
      <c r="D42" s="143"/>
      <c r="E42" s="144"/>
      <c r="F42" s="408"/>
      <c r="G42" s="409"/>
      <c r="H42" s="33"/>
      <c r="I42" s="419"/>
      <c r="J42" s="92"/>
      <c r="K42" s="93"/>
      <c r="L42" s="93"/>
      <c r="M42" s="164"/>
    </row>
    <row r="43" spans="3:13">
      <c r="C43"/>
      <c r="D43" s="143"/>
      <c r="E43" s="144"/>
      <c r="F43" s="408"/>
      <c r="G43" s="409"/>
      <c r="H43" s="33"/>
      <c r="I43" s="92"/>
      <c r="J43" s="92"/>
      <c r="K43" s="93"/>
      <c r="L43" s="93"/>
      <c r="M43" s="164"/>
    </row>
    <row r="44" spans="3:13">
      <c r="C44"/>
      <c r="D44" s="143"/>
      <c r="E44" s="144"/>
      <c r="F44" s="408"/>
      <c r="G44" s="409"/>
      <c r="H44" s="33"/>
      <c r="I44" s="92"/>
      <c r="J44" s="92"/>
      <c r="K44" s="93"/>
      <c r="L44" s="93"/>
      <c r="M44" s="164"/>
    </row>
    <row r="45" spans="3:13">
      <c r="C45"/>
      <c r="D45" s="143"/>
      <c r="E45" s="144"/>
      <c r="F45" s="408"/>
      <c r="G45" s="409"/>
      <c r="H45" s="33"/>
      <c r="I45" s="92"/>
      <c r="J45" s="92"/>
      <c r="K45" s="93"/>
      <c r="L45" s="93"/>
      <c r="M45" s="164"/>
    </row>
    <row r="46" spans="3:13">
      <c r="C46"/>
      <c r="D46" s="143"/>
      <c r="E46" s="144"/>
      <c r="F46" s="408"/>
      <c r="G46" s="409"/>
      <c r="H46" s="33"/>
      <c r="I46" s="92"/>
      <c r="J46" s="92"/>
      <c r="K46" s="93"/>
      <c r="L46" s="93"/>
      <c r="M46" s="164"/>
    </row>
    <row r="47" spans="3:13">
      <c r="C47"/>
      <c r="D47" s="143"/>
      <c r="E47" s="144"/>
      <c r="F47" s="408"/>
      <c r="G47" s="409"/>
      <c r="H47" s="33"/>
      <c r="I47" s="92"/>
      <c r="J47" s="92"/>
      <c r="K47" s="93"/>
      <c r="L47" s="93"/>
      <c r="M47" s="164"/>
    </row>
    <row r="48" spans="3:13">
      <c r="C48"/>
      <c r="D48" s="143"/>
      <c r="E48" s="144"/>
      <c r="F48" s="408"/>
      <c r="G48" s="409"/>
      <c r="H48" s="33"/>
      <c r="I48" s="92"/>
      <c r="J48" s="92"/>
      <c r="K48" s="93"/>
      <c r="L48" s="93"/>
      <c r="M48" s="164"/>
    </row>
    <row r="49" spans="3:13">
      <c r="C49"/>
      <c r="D49" s="143"/>
      <c r="E49" s="144"/>
      <c r="F49" s="408"/>
      <c r="G49" s="409"/>
      <c r="H49" s="33"/>
      <c r="I49" s="92"/>
      <c r="J49" s="92"/>
      <c r="K49" s="93"/>
      <c r="L49" s="93"/>
      <c r="M49" s="164"/>
    </row>
    <row r="50" spans="3:13">
      <c r="C50"/>
      <c r="D50" s="143"/>
      <c r="E50" s="144"/>
      <c r="F50" s="408"/>
      <c r="G50" s="409"/>
      <c r="H50" s="33"/>
      <c r="I50" s="92"/>
      <c r="J50" s="92"/>
      <c r="K50" s="93"/>
      <c r="L50" s="93"/>
      <c r="M50" s="164"/>
    </row>
    <row r="51" spans="3:13">
      <c r="C51"/>
      <c r="D51" s="143"/>
      <c r="E51" s="144"/>
      <c r="F51" s="408"/>
      <c r="G51" s="409"/>
      <c r="H51" s="33"/>
      <c r="I51" s="92"/>
      <c r="J51" s="92"/>
      <c r="K51" s="93"/>
      <c r="L51" s="93"/>
      <c r="M51" s="164"/>
    </row>
    <row r="52" spans="3:13">
      <c r="C52"/>
      <c r="D52" s="143"/>
      <c r="E52" s="144"/>
      <c r="F52" s="408"/>
      <c r="G52" s="409"/>
      <c r="H52" s="33"/>
      <c r="I52" s="92"/>
      <c r="J52" s="92"/>
      <c r="K52" s="93"/>
      <c r="L52" s="93"/>
      <c r="M52" s="164"/>
    </row>
  </sheetData>
  <phoneticPr fontId="18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18"/>
  <dimension ref="A1:N76"/>
  <sheetViews>
    <sheetView view="pageBreakPreview" topLeftCell="A16" zoomScaleNormal="100" zoomScaleSheetLayoutView="100" workbookViewId="0">
      <selection activeCell="G14" sqref="G14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10.375" style="3" customWidth="1"/>
    <col min="5" max="5" width="19.5" style="3" customWidth="1"/>
    <col min="6" max="6" width="7.875" style="16" customWidth="1"/>
    <col min="7" max="7" width="8.625" style="17" customWidth="1" outlineLevel="1"/>
    <col min="8" max="8" width="11.125" style="51" customWidth="1" outlineLevel="1"/>
    <col min="9" max="9" width="12.625" style="21" customWidth="1"/>
    <col min="10" max="10" width="13.5" style="21" customWidth="1"/>
    <col min="11" max="11" width="11" style="22" customWidth="1" outlineLevel="1"/>
    <col min="12" max="12" width="17" style="22" customWidth="1"/>
    <col min="13" max="13" width="15.25" style="28" customWidth="1"/>
    <col min="14" max="14" width="9" style="9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B7</f>
        <v>danny</v>
      </c>
      <c r="J1" s="46" t="s">
        <v>29</v>
      </c>
      <c r="K1" s="14"/>
      <c r="L1" s="14"/>
      <c r="M1" s="27"/>
      <c r="N1" s="19"/>
    </row>
    <row r="2" spans="1:14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1" t="s">
        <v>27</v>
      </c>
    </row>
    <row r="3" spans="1:14" ht="17.25" thickBot="1">
      <c r="D3" s="24"/>
      <c r="E3" s="30"/>
      <c r="F3" s="25"/>
      <c r="G3" s="26"/>
      <c r="H3" s="26"/>
      <c r="I3" s="52">
        <f>I6+J6+L6</f>
        <v>191.45</v>
      </c>
      <c r="J3" s="54"/>
      <c r="K3" s="53"/>
      <c r="L3" s="53"/>
      <c r="M3" s="50"/>
    </row>
    <row r="4" spans="1:14">
      <c r="D4" s="37"/>
      <c r="E4" s="38"/>
      <c r="F4" s="112"/>
      <c r="G4" s="113"/>
      <c r="H4" s="113"/>
      <c r="I4" s="114" t="s">
        <v>20</v>
      </c>
      <c r="J4" s="114" t="s">
        <v>97</v>
      </c>
      <c r="K4" s="114" t="s">
        <v>97</v>
      </c>
      <c r="L4" s="114" t="s">
        <v>98</v>
      </c>
      <c r="M4" s="115"/>
    </row>
    <row r="5" spans="1:14">
      <c r="D5" s="40"/>
      <c r="E5" s="7"/>
      <c r="F5" s="116" t="s">
        <v>26</v>
      </c>
      <c r="G5" s="117"/>
      <c r="H5" s="117"/>
      <c r="I5" s="118" t="s">
        <v>81</v>
      </c>
      <c r="J5" s="118" t="s">
        <v>99</v>
      </c>
      <c r="K5" s="118" t="s">
        <v>100</v>
      </c>
      <c r="L5" s="118" t="s">
        <v>102</v>
      </c>
      <c r="M5" s="120"/>
    </row>
    <row r="6" spans="1:14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SUM(I7:I86)</f>
        <v>181.71666666666667</v>
      </c>
      <c r="J6" s="497">
        <f>SUM(J7:J86)</f>
        <v>9.7333333333333147</v>
      </c>
      <c r="K6" s="124">
        <f>SUM(K9:K22)</f>
        <v>0</v>
      </c>
      <c r="L6" s="124">
        <f>SUM(L9:L22)</f>
        <v>0</v>
      </c>
      <c r="M6" s="45"/>
    </row>
    <row r="7" spans="1:14" s="63" customFormat="1">
      <c r="A7" s="527">
        <v>12077</v>
      </c>
      <c r="B7" s="527" t="s">
        <v>112</v>
      </c>
      <c r="C7" s="527" t="s">
        <v>112</v>
      </c>
      <c r="D7" s="527" t="s">
        <v>125</v>
      </c>
      <c r="E7" s="528">
        <v>43313.361550925925</v>
      </c>
      <c r="F7" s="531">
        <v>43313.361550925925</v>
      </c>
      <c r="G7" s="529">
        <v>0.3611111111111111</v>
      </c>
      <c r="H7" s="530">
        <v>9.9</v>
      </c>
      <c r="I7" s="530">
        <v>8</v>
      </c>
      <c r="J7" s="535"/>
      <c r="K7" s="440"/>
      <c r="L7" s="429"/>
      <c r="M7" s="429"/>
      <c r="N7" s="9"/>
    </row>
    <row r="8" spans="1:14">
      <c r="A8" s="527">
        <v>12100</v>
      </c>
      <c r="B8" s="527" t="s">
        <v>132</v>
      </c>
      <c r="C8" s="527" t="s">
        <v>112</v>
      </c>
      <c r="D8" s="527" t="s">
        <v>126</v>
      </c>
      <c r="E8" s="528">
        <v>43313.774016203701</v>
      </c>
      <c r="F8" s="531">
        <v>43313.774016203701</v>
      </c>
      <c r="G8" s="529">
        <v>0.77361111111111114</v>
      </c>
      <c r="H8" s="530" t="s">
        <v>115</v>
      </c>
      <c r="I8" s="530" t="s">
        <v>115</v>
      </c>
      <c r="J8" s="535"/>
      <c r="K8" s="440"/>
      <c r="L8" s="440"/>
      <c r="M8" s="429"/>
    </row>
    <row r="9" spans="1:14">
      <c r="A9" s="527">
        <v>12101</v>
      </c>
      <c r="B9" s="527" t="s">
        <v>132</v>
      </c>
      <c r="C9" s="527" t="s">
        <v>112</v>
      </c>
      <c r="D9" s="527" t="s">
        <v>127</v>
      </c>
      <c r="E9" s="528">
        <v>43313.774085648147</v>
      </c>
      <c r="F9" s="531">
        <v>43313.774085648147</v>
      </c>
      <c r="G9" s="529">
        <v>0.77361111111111114</v>
      </c>
      <c r="H9" s="530" t="s">
        <v>115</v>
      </c>
      <c r="I9" s="530" t="s">
        <v>115</v>
      </c>
      <c r="J9" s="536">
        <v>1.299999999999998</v>
      </c>
      <c r="K9" s="440"/>
      <c r="L9" s="440"/>
      <c r="M9" s="440"/>
    </row>
    <row r="10" spans="1:14">
      <c r="A10" s="527">
        <v>12108</v>
      </c>
      <c r="B10" s="527" t="s">
        <v>112</v>
      </c>
      <c r="C10" s="527" t="s">
        <v>112</v>
      </c>
      <c r="D10" s="527" t="s">
        <v>128</v>
      </c>
      <c r="E10" s="528">
        <v>43313.828275462962</v>
      </c>
      <c r="F10" s="531">
        <v>43313.828275462962</v>
      </c>
      <c r="G10" s="529">
        <v>0.82777777777777783</v>
      </c>
      <c r="H10" s="530" t="s">
        <v>115</v>
      </c>
      <c r="I10" s="530" t="s">
        <v>115</v>
      </c>
      <c r="J10" s="535"/>
      <c r="K10" s="440"/>
      <c r="L10" s="440"/>
      <c r="M10" s="440"/>
    </row>
    <row r="11" spans="1:14">
      <c r="A11" s="527">
        <v>12118</v>
      </c>
      <c r="B11" s="527" t="s">
        <v>112</v>
      </c>
      <c r="C11" s="527" t="s">
        <v>112</v>
      </c>
      <c r="D11" s="527" t="s">
        <v>125</v>
      </c>
      <c r="E11" s="528">
        <v>43314.363078703704</v>
      </c>
      <c r="F11" s="531">
        <v>43314.363078703704</v>
      </c>
      <c r="G11" s="529">
        <v>0.36249999999999999</v>
      </c>
      <c r="H11" s="530">
        <v>9.6833333333333353</v>
      </c>
      <c r="I11" s="530">
        <v>8</v>
      </c>
      <c r="J11" s="535"/>
      <c r="K11" s="440"/>
      <c r="L11" s="440"/>
      <c r="M11" s="440"/>
    </row>
    <row r="12" spans="1:14">
      <c r="A12" s="527">
        <v>12135</v>
      </c>
      <c r="B12" s="527" t="s">
        <v>112</v>
      </c>
      <c r="C12" s="527" t="s">
        <v>112</v>
      </c>
      <c r="D12" s="527" t="s">
        <v>126</v>
      </c>
      <c r="E12" s="528">
        <v>43314.766377314816</v>
      </c>
      <c r="F12" s="531">
        <v>43314.766377314816</v>
      </c>
      <c r="G12" s="529">
        <v>0.76597222222222217</v>
      </c>
      <c r="H12" s="530" t="s">
        <v>115</v>
      </c>
      <c r="I12" s="530" t="s">
        <v>115</v>
      </c>
      <c r="J12" s="535"/>
      <c r="K12" s="440"/>
      <c r="L12" s="440"/>
      <c r="M12" s="440"/>
    </row>
    <row r="13" spans="1:14">
      <c r="A13" s="527">
        <v>12136</v>
      </c>
      <c r="B13" s="527" t="s">
        <v>112</v>
      </c>
      <c r="C13" s="527" t="s">
        <v>112</v>
      </c>
      <c r="D13" s="527" t="s">
        <v>127</v>
      </c>
      <c r="E13" s="528">
        <v>43314.766400462962</v>
      </c>
      <c r="F13" s="531">
        <v>43314.766400462962</v>
      </c>
      <c r="G13" s="529">
        <v>0.76597222222222217</v>
      </c>
      <c r="H13" s="530" t="s">
        <v>115</v>
      </c>
      <c r="I13" s="530" t="s">
        <v>115</v>
      </c>
      <c r="J13" s="536">
        <v>1.1666666666666652</v>
      </c>
      <c r="K13" s="440"/>
      <c r="L13" s="440"/>
      <c r="M13" s="440"/>
    </row>
    <row r="14" spans="1:14">
      <c r="A14" s="527">
        <v>12151</v>
      </c>
      <c r="B14" s="527" t="s">
        <v>112</v>
      </c>
      <c r="C14" s="527" t="s">
        <v>112</v>
      </c>
      <c r="D14" s="527" t="s">
        <v>128</v>
      </c>
      <c r="E14" s="528">
        <v>43314.81521990741</v>
      </c>
      <c r="F14" s="531">
        <v>43314.81521990741</v>
      </c>
      <c r="G14" s="529">
        <v>0.81458333333333333</v>
      </c>
      <c r="H14" s="530" t="s">
        <v>115</v>
      </c>
      <c r="I14" s="530" t="s">
        <v>115</v>
      </c>
      <c r="J14" s="535"/>
      <c r="K14" s="440"/>
      <c r="L14" s="440"/>
      <c r="M14" s="440"/>
    </row>
    <row r="15" spans="1:14">
      <c r="A15" s="527">
        <v>12162</v>
      </c>
      <c r="B15" s="527" t="s">
        <v>132</v>
      </c>
      <c r="C15" s="527" t="s">
        <v>112</v>
      </c>
      <c r="D15" s="527" t="s">
        <v>125</v>
      </c>
      <c r="E15" s="528">
        <v>43315.366041666668</v>
      </c>
      <c r="F15" s="531">
        <v>43315.366041666668</v>
      </c>
      <c r="G15" s="529">
        <v>0.3659722222222222</v>
      </c>
      <c r="H15" s="530">
        <v>9.8166666666666682</v>
      </c>
      <c r="I15" s="530">
        <v>8</v>
      </c>
      <c r="J15" s="535"/>
      <c r="K15" s="440"/>
      <c r="L15" s="440"/>
      <c r="M15" s="440"/>
    </row>
    <row r="16" spans="1:14">
      <c r="A16" s="527">
        <v>12179</v>
      </c>
      <c r="B16" s="527" t="s">
        <v>112</v>
      </c>
      <c r="C16" s="527" t="s">
        <v>112</v>
      </c>
      <c r="D16" s="527" t="s">
        <v>126</v>
      </c>
      <c r="E16" s="528">
        <v>43315.775208333333</v>
      </c>
      <c r="F16" s="531">
        <v>43315.775208333333</v>
      </c>
      <c r="G16" s="529">
        <v>0.77500000000000002</v>
      </c>
      <c r="H16" s="530" t="s">
        <v>115</v>
      </c>
      <c r="I16" s="530" t="s">
        <v>115</v>
      </c>
      <c r="J16" s="535"/>
      <c r="K16" s="440"/>
      <c r="L16" s="440"/>
      <c r="M16" s="440"/>
    </row>
    <row r="17" spans="1:13">
      <c r="A17" s="527">
        <v>12195</v>
      </c>
      <c r="B17" s="527" t="s">
        <v>112</v>
      </c>
      <c r="C17" s="527" t="s">
        <v>112</v>
      </c>
      <c r="D17" s="527" t="s">
        <v>125</v>
      </c>
      <c r="E17" s="528">
        <v>43318.364050925928</v>
      </c>
      <c r="F17" s="531">
        <v>43318.364050925928</v>
      </c>
      <c r="G17" s="529">
        <v>0.36388888888888887</v>
      </c>
      <c r="H17" s="530">
        <v>10.166666666666666</v>
      </c>
      <c r="I17" s="530">
        <v>8</v>
      </c>
      <c r="J17" s="535"/>
      <c r="K17" s="440"/>
      <c r="L17" s="440"/>
      <c r="M17" s="440"/>
    </row>
    <row r="18" spans="1:13">
      <c r="A18" s="527">
        <v>12219</v>
      </c>
      <c r="B18" s="527" t="s">
        <v>112</v>
      </c>
      <c r="C18" s="527" t="s">
        <v>112</v>
      </c>
      <c r="D18" s="527" t="s">
        <v>126</v>
      </c>
      <c r="E18" s="528">
        <v>43318.787974537037</v>
      </c>
      <c r="F18" s="531">
        <v>43318.787974537037</v>
      </c>
      <c r="G18" s="529">
        <v>0.78749999999999998</v>
      </c>
      <c r="H18" s="530" t="s">
        <v>115</v>
      </c>
      <c r="I18" s="530" t="s">
        <v>115</v>
      </c>
      <c r="J18" s="535"/>
      <c r="K18" s="440"/>
      <c r="L18" s="440"/>
      <c r="M18" s="440"/>
    </row>
    <row r="19" spans="1:13">
      <c r="A19" s="527">
        <v>12233</v>
      </c>
      <c r="B19" s="527" t="s">
        <v>133</v>
      </c>
      <c r="C19" s="527" t="s">
        <v>112</v>
      </c>
      <c r="D19" s="527" t="s">
        <v>125</v>
      </c>
      <c r="E19" s="528">
        <v>43319.367280092592</v>
      </c>
      <c r="F19" s="531">
        <v>43319.367280092592</v>
      </c>
      <c r="G19" s="529">
        <v>0.3666666666666667</v>
      </c>
      <c r="H19" s="530">
        <v>9.6500000000000021</v>
      </c>
      <c r="I19" s="530">
        <v>8</v>
      </c>
      <c r="J19" s="535"/>
      <c r="K19" s="440"/>
      <c r="L19" s="440"/>
      <c r="M19" s="440"/>
    </row>
    <row r="20" spans="1:13">
      <c r="A20" s="527">
        <v>12247</v>
      </c>
      <c r="B20" s="527" t="s">
        <v>112</v>
      </c>
      <c r="C20" s="527" t="s">
        <v>112</v>
      </c>
      <c r="D20" s="527" t="s">
        <v>126</v>
      </c>
      <c r="E20" s="528">
        <v>43319.768946759257</v>
      </c>
      <c r="F20" s="531">
        <v>43319.768946759257</v>
      </c>
      <c r="G20" s="529">
        <v>0.76874999999999993</v>
      </c>
      <c r="H20" s="530" t="s">
        <v>115</v>
      </c>
      <c r="I20" s="530" t="s">
        <v>115</v>
      </c>
      <c r="J20" s="535"/>
      <c r="K20" s="440"/>
      <c r="L20" s="440"/>
      <c r="M20" s="440"/>
    </row>
    <row r="21" spans="1:13">
      <c r="A21" s="527">
        <v>12248</v>
      </c>
      <c r="B21" s="527" t="s">
        <v>112</v>
      </c>
      <c r="C21" s="527" t="s">
        <v>112</v>
      </c>
      <c r="D21" s="527" t="s">
        <v>127</v>
      </c>
      <c r="E21" s="528">
        <v>43319.768993055557</v>
      </c>
      <c r="F21" s="531">
        <v>43319.768993055557</v>
      </c>
      <c r="G21" s="529">
        <v>0.76874999999999993</v>
      </c>
      <c r="H21" s="530" t="s">
        <v>115</v>
      </c>
      <c r="I21" s="530" t="s">
        <v>115</v>
      </c>
      <c r="J21" s="536">
        <v>0.56666666666666465</v>
      </c>
      <c r="K21" s="440"/>
      <c r="L21" s="440"/>
      <c r="M21" s="440"/>
    </row>
    <row r="22" spans="1:13">
      <c r="A22" s="527">
        <v>12258</v>
      </c>
      <c r="B22" s="527" t="s">
        <v>112</v>
      </c>
      <c r="C22" s="527" t="s">
        <v>112</v>
      </c>
      <c r="D22" s="527" t="s">
        <v>128</v>
      </c>
      <c r="E22" s="528">
        <v>43319.792696759258</v>
      </c>
      <c r="F22" s="531">
        <v>43319.792696759258</v>
      </c>
      <c r="G22" s="529">
        <v>0.79236111111111107</v>
      </c>
      <c r="H22" s="530" t="s">
        <v>115</v>
      </c>
      <c r="I22" s="530" t="s">
        <v>115</v>
      </c>
      <c r="J22" s="535"/>
      <c r="K22" s="440"/>
      <c r="L22" s="440"/>
      <c r="M22" s="440"/>
    </row>
    <row r="23" spans="1:13">
      <c r="A23" s="527">
        <v>12261</v>
      </c>
      <c r="B23" s="527" t="s">
        <v>112</v>
      </c>
      <c r="C23" s="527" t="s">
        <v>112</v>
      </c>
      <c r="D23" s="527" t="s">
        <v>125</v>
      </c>
      <c r="E23" s="528">
        <v>43320.360682870371</v>
      </c>
      <c r="F23" s="531">
        <v>43320.360682870371</v>
      </c>
      <c r="G23" s="529">
        <v>0.36041666666666666</v>
      </c>
      <c r="H23" s="530">
        <v>10</v>
      </c>
      <c r="I23" s="530">
        <v>8</v>
      </c>
      <c r="J23" s="535"/>
      <c r="K23" s="440"/>
      <c r="L23" s="440"/>
      <c r="M23" s="440"/>
    </row>
    <row r="24" spans="1:13">
      <c r="A24" s="527">
        <v>12281</v>
      </c>
      <c r="B24" s="527" t="s">
        <v>112</v>
      </c>
      <c r="C24" s="527" t="s">
        <v>112</v>
      </c>
      <c r="D24" s="527" t="s">
        <v>126</v>
      </c>
      <c r="E24" s="528">
        <v>43320.777430555558</v>
      </c>
      <c r="F24" s="531">
        <v>43320.777430555558</v>
      </c>
      <c r="G24" s="529">
        <v>0.77708333333333324</v>
      </c>
      <c r="H24" s="530" t="s">
        <v>115</v>
      </c>
      <c r="I24" s="530" t="s">
        <v>115</v>
      </c>
      <c r="J24" s="535"/>
      <c r="K24" s="440"/>
      <c r="L24" s="440"/>
      <c r="M24" s="440"/>
    </row>
    <row r="25" spans="1:13">
      <c r="A25" s="527">
        <v>12284</v>
      </c>
      <c r="B25" s="527" t="s">
        <v>112</v>
      </c>
      <c r="C25" s="527" t="s">
        <v>112</v>
      </c>
      <c r="D25" s="527" t="s">
        <v>127</v>
      </c>
      <c r="E25" s="528">
        <v>43320.777592592596</v>
      </c>
      <c r="F25" s="531">
        <v>43320.777592592596</v>
      </c>
      <c r="G25" s="529">
        <v>0.77708333333333324</v>
      </c>
      <c r="H25" s="530" t="s">
        <v>115</v>
      </c>
      <c r="I25" s="530" t="s">
        <v>115</v>
      </c>
      <c r="J25" s="536">
        <v>0.38333333333333197</v>
      </c>
      <c r="K25" s="440"/>
      <c r="L25" s="440"/>
      <c r="M25" s="440"/>
    </row>
    <row r="26" spans="1:13">
      <c r="A26" s="527">
        <v>12288</v>
      </c>
      <c r="B26" s="527" t="s">
        <v>112</v>
      </c>
      <c r="C26" s="527" t="s">
        <v>112</v>
      </c>
      <c r="D26" s="527" t="s">
        <v>128</v>
      </c>
      <c r="E26" s="528">
        <v>43320.793113425927</v>
      </c>
      <c r="F26" s="531">
        <v>43320.793113425927</v>
      </c>
      <c r="G26" s="529">
        <v>0.79305555555555562</v>
      </c>
      <c r="H26" s="530" t="s">
        <v>115</v>
      </c>
      <c r="I26" s="530" t="s">
        <v>115</v>
      </c>
      <c r="J26" s="535"/>
      <c r="K26" s="440"/>
      <c r="L26" s="440"/>
      <c r="M26" s="440"/>
    </row>
    <row r="27" spans="1:13">
      <c r="A27" s="527">
        <v>12299</v>
      </c>
      <c r="B27" s="527" t="s">
        <v>112</v>
      </c>
      <c r="C27" s="527" t="s">
        <v>112</v>
      </c>
      <c r="D27" s="527" t="s">
        <v>125</v>
      </c>
      <c r="E27" s="528">
        <v>43321.362569444442</v>
      </c>
      <c r="F27" s="531">
        <v>43321.362569444442</v>
      </c>
      <c r="G27" s="529">
        <v>0.36249999999999999</v>
      </c>
      <c r="H27" s="530">
        <v>9.8000000000000007</v>
      </c>
      <c r="I27" s="530">
        <v>8</v>
      </c>
      <c r="J27" s="535"/>
      <c r="K27" s="440"/>
      <c r="L27" s="440"/>
      <c r="M27" s="440"/>
    </row>
    <row r="28" spans="1:13">
      <c r="A28" s="527">
        <v>12317</v>
      </c>
      <c r="B28" s="527" t="s">
        <v>112</v>
      </c>
      <c r="C28" s="527" t="s">
        <v>112</v>
      </c>
      <c r="D28" s="527" t="s">
        <v>126</v>
      </c>
      <c r="E28" s="528">
        <v>43321.770879629628</v>
      </c>
      <c r="F28" s="531">
        <v>43321.770879629628</v>
      </c>
      <c r="G28" s="529">
        <v>0.77083333333333337</v>
      </c>
      <c r="H28" s="530" t="s">
        <v>115</v>
      </c>
      <c r="I28" s="530" t="s">
        <v>115</v>
      </c>
      <c r="J28" s="535"/>
      <c r="K28" s="440"/>
      <c r="L28" s="440"/>
      <c r="M28" s="440"/>
    </row>
    <row r="29" spans="1:13">
      <c r="A29" s="527">
        <v>12339</v>
      </c>
      <c r="B29" s="527" t="s">
        <v>134</v>
      </c>
      <c r="C29" s="527" t="s">
        <v>112</v>
      </c>
      <c r="D29" s="527" t="s">
        <v>125</v>
      </c>
      <c r="E29" s="528">
        <v>43322.372083333335</v>
      </c>
      <c r="F29" s="531">
        <v>43322.372083333335</v>
      </c>
      <c r="G29" s="529">
        <v>0.37152777777777773</v>
      </c>
      <c r="H29" s="530">
        <v>9.7166666666666668</v>
      </c>
      <c r="I29" s="530">
        <v>8</v>
      </c>
      <c r="J29" s="535"/>
      <c r="K29" s="440"/>
      <c r="L29" s="440"/>
      <c r="M29" s="440"/>
    </row>
    <row r="30" spans="1:13">
      <c r="A30" s="527">
        <v>12354</v>
      </c>
      <c r="B30" s="527" t="s">
        <v>112</v>
      </c>
      <c r="C30" s="527" t="s">
        <v>112</v>
      </c>
      <c r="D30" s="527" t="s">
        <v>126</v>
      </c>
      <c r="E30" s="528">
        <v>43322.776828703703</v>
      </c>
      <c r="F30" s="531">
        <v>43322.776828703703</v>
      </c>
      <c r="G30" s="529">
        <v>0.77638888888888891</v>
      </c>
      <c r="H30" s="530" t="s">
        <v>115</v>
      </c>
      <c r="I30" s="530" t="s">
        <v>115</v>
      </c>
      <c r="J30" s="535"/>
      <c r="K30" s="440"/>
      <c r="L30" s="440"/>
      <c r="M30" s="440"/>
    </row>
    <row r="31" spans="1:13">
      <c r="A31" s="527">
        <v>12362</v>
      </c>
      <c r="B31" s="527" t="s">
        <v>112</v>
      </c>
      <c r="C31" s="527" t="s">
        <v>112</v>
      </c>
      <c r="D31" s="527" t="s">
        <v>125</v>
      </c>
      <c r="E31" s="528">
        <v>43325.362129629626</v>
      </c>
      <c r="F31" s="531">
        <v>43325.362129629626</v>
      </c>
      <c r="G31" s="529">
        <v>0.36180555555555555</v>
      </c>
      <c r="H31" s="530">
        <v>8.3166666666666682</v>
      </c>
      <c r="I31" s="530">
        <v>6.8166666666666682</v>
      </c>
      <c r="J31" s="535"/>
      <c r="K31" s="440"/>
      <c r="L31" s="440"/>
      <c r="M31" s="440"/>
    </row>
    <row r="32" spans="1:13">
      <c r="A32" s="527">
        <v>12372</v>
      </c>
      <c r="B32" s="527" t="s">
        <v>112</v>
      </c>
      <c r="C32" s="527" t="s">
        <v>112</v>
      </c>
      <c r="D32" s="527" t="s">
        <v>126</v>
      </c>
      <c r="E32" s="528">
        <v>43325.70894675926</v>
      </c>
      <c r="F32" s="531">
        <v>43325.70894675926</v>
      </c>
      <c r="G32" s="529">
        <v>0.70833333333333337</v>
      </c>
      <c r="H32" s="530" t="s">
        <v>115</v>
      </c>
      <c r="I32" s="530" t="s">
        <v>115</v>
      </c>
      <c r="J32" s="535"/>
      <c r="K32" s="440"/>
      <c r="L32" s="440"/>
      <c r="M32" s="440"/>
    </row>
    <row r="33" spans="1:13">
      <c r="A33" s="527">
        <v>12386</v>
      </c>
      <c r="B33" s="527" t="s">
        <v>112</v>
      </c>
      <c r="C33" s="527" t="s">
        <v>112</v>
      </c>
      <c r="D33" s="527" t="s">
        <v>125</v>
      </c>
      <c r="E33" s="528">
        <v>43326.363078703704</v>
      </c>
      <c r="F33" s="531">
        <v>43326.363078703704</v>
      </c>
      <c r="G33" s="529">
        <v>0.36249999999999999</v>
      </c>
      <c r="H33" s="530">
        <v>10.033333333333333</v>
      </c>
      <c r="I33" s="530">
        <v>8</v>
      </c>
      <c r="J33" s="535"/>
      <c r="K33" s="440"/>
      <c r="L33" s="440"/>
      <c r="M33" s="440"/>
    </row>
    <row r="34" spans="1:13">
      <c r="A34" s="527">
        <v>12400</v>
      </c>
      <c r="B34" s="527" t="s">
        <v>112</v>
      </c>
      <c r="C34" s="527" t="s">
        <v>112</v>
      </c>
      <c r="D34" s="527" t="s">
        <v>126</v>
      </c>
      <c r="E34" s="528">
        <v>43326.780891203707</v>
      </c>
      <c r="F34" s="531">
        <v>43326.780891203707</v>
      </c>
      <c r="G34" s="529">
        <v>0.78055555555555556</v>
      </c>
      <c r="H34" s="530" t="s">
        <v>115</v>
      </c>
      <c r="I34" s="530" t="s">
        <v>115</v>
      </c>
      <c r="J34" s="535"/>
      <c r="K34" s="440"/>
      <c r="L34" s="440"/>
      <c r="M34" s="440"/>
    </row>
    <row r="35" spans="1:13">
      <c r="A35" s="527">
        <v>12410</v>
      </c>
      <c r="B35" s="527" t="s">
        <v>112</v>
      </c>
      <c r="C35" s="527" t="s">
        <v>112</v>
      </c>
      <c r="D35" s="527" t="s">
        <v>125</v>
      </c>
      <c r="E35" s="528">
        <v>43327.362824074073</v>
      </c>
      <c r="F35" s="531">
        <v>43327.362824074073</v>
      </c>
      <c r="G35" s="529">
        <v>0.36249999999999999</v>
      </c>
      <c r="H35" s="530">
        <v>9.7333333333333343</v>
      </c>
      <c r="I35" s="530">
        <v>8</v>
      </c>
      <c r="J35" s="535"/>
      <c r="K35" s="440"/>
      <c r="L35" s="440"/>
      <c r="M35" s="440"/>
    </row>
    <row r="36" spans="1:13">
      <c r="A36" s="527">
        <v>12423</v>
      </c>
      <c r="B36" s="527" t="s">
        <v>112</v>
      </c>
      <c r="C36" s="527" t="s">
        <v>112</v>
      </c>
      <c r="D36" s="527" t="s">
        <v>126</v>
      </c>
      <c r="E36" s="528">
        <v>43327.768379629626</v>
      </c>
      <c r="F36" s="531">
        <v>43327.768379629626</v>
      </c>
      <c r="G36" s="529">
        <v>0.7680555555555556</v>
      </c>
      <c r="H36" s="530" t="s">
        <v>115</v>
      </c>
      <c r="I36" s="530" t="s">
        <v>115</v>
      </c>
      <c r="J36" s="535"/>
      <c r="K36" s="440"/>
      <c r="L36" s="440"/>
      <c r="M36" s="440"/>
    </row>
    <row r="37" spans="1:13">
      <c r="A37" s="527">
        <v>12424</v>
      </c>
      <c r="B37" s="527" t="s">
        <v>112</v>
      </c>
      <c r="C37" s="527" t="s">
        <v>112</v>
      </c>
      <c r="D37" s="527" t="s">
        <v>127</v>
      </c>
      <c r="E37" s="528">
        <v>43327.768425925926</v>
      </c>
      <c r="F37" s="531">
        <v>43327.768425925926</v>
      </c>
      <c r="G37" s="529">
        <v>0.7680555555555556</v>
      </c>
      <c r="H37" s="530" t="s">
        <v>115</v>
      </c>
      <c r="I37" s="530" t="s">
        <v>115</v>
      </c>
      <c r="J37" s="536">
        <v>0.49999999999999822</v>
      </c>
      <c r="K37" s="440"/>
      <c r="L37" s="440"/>
      <c r="M37" s="440"/>
    </row>
    <row r="38" spans="1:13">
      <c r="A38" s="527">
        <v>12436</v>
      </c>
      <c r="B38" s="527" t="s">
        <v>112</v>
      </c>
      <c r="C38" s="527" t="s">
        <v>112</v>
      </c>
      <c r="D38" s="527" t="s">
        <v>128</v>
      </c>
      <c r="E38" s="528">
        <v>43327.789212962962</v>
      </c>
      <c r="F38" s="531">
        <v>43327.789212962962</v>
      </c>
      <c r="G38" s="529">
        <v>0.78888888888888886</v>
      </c>
      <c r="H38" s="530" t="s">
        <v>115</v>
      </c>
      <c r="I38" s="530" t="s">
        <v>115</v>
      </c>
      <c r="J38" s="535"/>
      <c r="K38" s="440"/>
      <c r="L38" s="440"/>
      <c r="M38" s="440"/>
    </row>
    <row r="39" spans="1:13">
      <c r="A39" s="527">
        <v>12446</v>
      </c>
      <c r="B39" s="527" t="s">
        <v>112</v>
      </c>
      <c r="C39" s="527" t="s">
        <v>112</v>
      </c>
      <c r="D39" s="527" t="s">
        <v>125</v>
      </c>
      <c r="E39" s="528">
        <v>43328.365960648145</v>
      </c>
      <c r="F39" s="531">
        <v>43328.365960648145</v>
      </c>
      <c r="G39" s="529">
        <v>0.36527777777777781</v>
      </c>
      <c r="H39" s="530">
        <v>9.7333333333333343</v>
      </c>
      <c r="I39" s="530">
        <v>8</v>
      </c>
      <c r="J39" s="535"/>
      <c r="K39" s="440"/>
      <c r="L39" s="440"/>
      <c r="M39" s="440"/>
    </row>
    <row r="40" spans="1:13">
      <c r="A40" s="527">
        <v>12464</v>
      </c>
      <c r="B40" s="527" t="s">
        <v>132</v>
      </c>
      <c r="C40" s="527" t="s">
        <v>112</v>
      </c>
      <c r="D40" s="527" t="s">
        <v>126</v>
      </c>
      <c r="E40" s="528">
        <v>43328.77138888889</v>
      </c>
      <c r="F40" s="531">
        <v>43328.77138888889</v>
      </c>
      <c r="G40" s="529">
        <v>0.77083333333333337</v>
      </c>
      <c r="H40" s="530" t="s">
        <v>115</v>
      </c>
      <c r="I40" s="530" t="s">
        <v>115</v>
      </c>
      <c r="J40" s="535"/>
      <c r="K40" s="440"/>
      <c r="L40" s="440"/>
      <c r="M40" s="440"/>
    </row>
    <row r="41" spans="1:13">
      <c r="A41" s="527">
        <v>12480</v>
      </c>
      <c r="B41" s="527" t="s">
        <v>112</v>
      </c>
      <c r="C41" s="527" t="s">
        <v>112</v>
      </c>
      <c r="D41" s="527" t="s">
        <v>125</v>
      </c>
      <c r="E41" s="528">
        <v>43329.367164351854</v>
      </c>
      <c r="F41" s="531">
        <v>43329.367164351854</v>
      </c>
      <c r="G41" s="529">
        <v>0.3666666666666667</v>
      </c>
      <c r="H41" s="530">
        <v>9.6666666666666679</v>
      </c>
      <c r="I41" s="530">
        <v>8</v>
      </c>
      <c r="J41" s="535"/>
      <c r="K41" s="440"/>
      <c r="L41" s="440"/>
      <c r="M41" s="440"/>
    </row>
    <row r="42" spans="1:13">
      <c r="A42" s="527">
        <v>12490</v>
      </c>
      <c r="B42" s="527" t="s">
        <v>112</v>
      </c>
      <c r="C42" s="527" t="s">
        <v>112</v>
      </c>
      <c r="D42" s="527" t="s">
        <v>126</v>
      </c>
      <c r="E42" s="528">
        <v>43329.770069444443</v>
      </c>
      <c r="F42" s="531">
        <v>43329.770069444443</v>
      </c>
      <c r="G42" s="529">
        <v>0.76944444444444438</v>
      </c>
      <c r="H42" s="530" t="s">
        <v>115</v>
      </c>
      <c r="I42" s="530" t="s">
        <v>115</v>
      </c>
      <c r="J42" s="535"/>
      <c r="K42" s="440"/>
      <c r="L42" s="440"/>
      <c r="M42" s="440"/>
    </row>
    <row r="43" spans="1:13">
      <c r="A43" s="527">
        <v>12491</v>
      </c>
      <c r="B43" s="527" t="s">
        <v>112</v>
      </c>
      <c r="C43" s="527" t="s">
        <v>112</v>
      </c>
      <c r="D43" s="527" t="s">
        <v>127</v>
      </c>
      <c r="E43" s="528">
        <v>43329.770127314812</v>
      </c>
      <c r="F43" s="531">
        <v>43329.770127314812</v>
      </c>
      <c r="G43" s="529">
        <v>0.76944444444444438</v>
      </c>
      <c r="H43" s="530" t="s">
        <v>115</v>
      </c>
      <c r="I43" s="530" t="s">
        <v>115</v>
      </c>
      <c r="J43" s="536">
        <v>0.36666666666666536</v>
      </c>
      <c r="K43" s="440"/>
      <c r="L43" s="440"/>
      <c r="M43" s="440"/>
    </row>
    <row r="44" spans="1:13">
      <c r="A44" s="527">
        <v>12504</v>
      </c>
      <c r="B44" s="527" t="s">
        <v>112</v>
      </c>
      <c r="C44" s="527" t="s">
        <v>112</v>
      </c>
      <c r="D44" s="527" t="s">
        <v>128</v>
      </c>
      <c r="E44" s="528">
        <v>43329.785324074073</v>
      </c>
      <c r="F44" s="531">
        <v>43329.785324074073</v>
      </c>
      <c r="G44" s="529">
        <v>0.78472222222222221</v>
      </c>
      <c r="H44" s="530" t="s">
        <v>115</v>
      </c>
      <c r="I44" s="530" t="s">
        <v>115</v>
      </c>
      <c r="J44" s="535"/>
      <c r="K44" s="440"/>
      <c r="L44" s="440"/>
      <c r="M44" s="440"/>
    </row>
    <row r="45" spans="1:13">
      <c r="A45" s="527">
        <v>12513</v>
      </c>
      <c r="B45" s="527" t="s">
        <v>112</v>
      </c>
      <c r="C45" s="527" t="s">
        <v>112</v>
      </c>
      <c r="D45" s="527" t="s">
        <v>125</v>
      </c>
      <c r="E45" s="528">
        <v>43332.366666666669</v>
      </c>
      <c r="F45" s="531">
        <v>43332.366666666669</v>
      </c>
      <c r="G45" s="529">
        <v>0.3666666666666667</v>
      </c>
      <c r="H45" s="530">
        <v>9.6500000000000021</v>
      </c>
      <c r="I45" s="530">
        <v>8</v>
      </c>
      <c r="J45" s="535"/>
      <c r="K45" s="440"/>
      <c r="L45" s="440"/>
      <c r="M45" s="440"/>
    </row>
    <row r="46" spans="1:13">
      <c r="A46" s="527">
        <v>12521</v>
      </c>
      <c r="B46" s="527" t="s">
        <v>112</v>
      </c>
      <c r="C46" s="527" t="s">
        <v>112</v>
      </c>
      <c r="D46" s="527" t="s">
        <v>126</v>
      </c>
      <c r="E46" s="528">
        <v>43332.768958333334</v>
      </c>
      <c r="F46" s="531">
        <v>43332.768958333334</v>
      </c>
      <c r="G46" s="529">
        <v>0.76874999999999993</v>
      </c>
      <c r="H46" s="530" t="s">
        <v>115</v>
      </c>
      <c r="I46" s="530" t="s">
        <v>115</v>
      </c>
      <c r="J46" s="535"/>
      <c r="K46" s="440"/>
      <c r="L46" s="440"/>
      <c r="M46" s="440"/>
    </row>
    <row r="47" spans="1:13">
      <c r="A47" s="527">
        <v>12549</v>
      </c>
      <c r="B47" s="527" t="s">
        <v>112</v>
      </c>
      <c r="C47" s="527" t="s">
        <v>112</v>
      </c>
      <c r="D47" s="527" t="s">
        <v>125</v>
      </c>
      <c r="E47" s="528">
        <v>43333.362928240742</v>
      </c>
      <c r="F47" s="531">
        <v>43333.362928240742</v>
      </c>
      <c r="G47" s="529">
        <v>0.36249999999999999</v>
      </c>
      <c r="H47" s="530">
        <v>9.8500000000000014</v>
      </c>
      <c r="I47" s="530">
        <v>8</v>
      </c>
      <c r="J47" s="535"/>
      <c r="K47" s="440"/>
      <c r="L47" s="440"/>
      <c r="M47" s="440"/>
    </row>
    <row r="48" spans="1:13">
      <c r="A48" s="527">
        <v>12567</v>
      </c>
      <c r="B48" s="527" t="s">
        <v>112</v>
      </c>
      <c r="C48" s="527" t="s">
        <v>112</v>
      </c>
      <c r="D48" s="527" t="s">
        <v>126</v>
      </c>
      <c r="E48" s="528">
        <v>43333.773090277777</v>
      </c>
      <c r="F48" s="531">
        <v>43333.773090277777</v>
      </c>
      <c r="G48" s="529">
        <v>0.7729166666666667</v>
      </c>
      <c r="H48" s="530" t="s">
        <v>115</v>
      </c>
      <c r="I48" s="530" t="s">
        <v>115</v>
      </c>
      <c r="J48" s="535"/>
      <c r="K48" s="440"/>
      <c r="L48" s="440"/>
      <c r="M48" s="440"/>
    </row>
    <row r="49" spans="1:13">
      <c r="A49" s="527">
        <v>12580</v>
      </c>
      <c r="B49" s="527" t="s">
        <v>112</v>
      </c>
      <c r="C49" s="527" t="s">
        <v>112</v>
      </c>
      <c r="D49" s="527" t="s">
        <v>125</v>
      </c>
      <c r="E49" s="528">
        <v>43334.361192129632</v>
      </c>
      <c r="F49" s="531">
        <v>43334.361192129632</v>
      </c>
      <c r="G49" s="529">
        <v>0.3611111111111111</v>
      </c>
      <c r="H49" s="530">
        <v>9.8833333333333346</v>
      </c>
      <c r="I49" s="530">
        <v>8</v>
      </c>
      <c r="J49" s="535"/>
      <c r="K49" s="440"/>
      <c r="L49" s="440"/>
      <c r="M49" s="440"/>
    </row>
    <row r="50" spans="1:13">
      <c r="A50" s="527">
        <v>12600</v>
      </c>
      <c r="B50" s="527" t="s">
        <v>112</v>
      </c>
      <c r="C50" s="527" t="s">
        <v>112</v>
      </c>
      <c r="D50" s="527" t="s">
        <v>126</v>
      </c>
      <c r="E50" s="528">
        <v>43334.773564814815</v>
      </c>
      <c r="F50" s="531">
        <v>43334.773564814815</v>
      </c>
      <c r="G50" s="529">
        <v>0.7729166666666667</v>
      </c>
      <c r="H50" s="530" t="s">
        <v>115</v>
      </c>
      <c r="I50" s="530" t="s">
        <v>115</v>
      </c>
      <c r="J50" s="535"/>
      <c r="K50" s="440"/>
      <c r="L50" s="440"/>
      <c r="M50" s="440"/>
    </row>
    <row r="51" spans="1:13">
      <c r="A51" s="527">
        <v>12602</v>
      </c>
      <c r="B51" s="527" t="s">
        <v>112</v>
      </c>
      <c r="C51" s="527" t="s">
        <v>112</v>
      </c>
      <c r="D51" s="527" t="s">
        <v>127</v>
      </c>
      <c r="E51" s="528">
        <v>43334.773634259262</v>
      </c>
      <c r="F51" s="531">
        <v>43334.773634259262</v>
      </c>
      <c r="G51" s="529">
        <v>0.77361111111111114</v>
      </c>
      <c r="H51" s="530" t="s">
        <v>115</v>
      </c>
      <c r="I51" s="530" t="s">
        <v>115</v>
      </c>
      <c r="J51" s="536">
        <v>1.9999999999999982</v>
      </c>
      <c r="K51" s="440"/>
      <c r="L51" s="440"/>
      <c r="M51" s="440"/>
    </row>
    <row r="52" spans="1:13">
      <c r="A52" s="527">
        <v>12610</v>
      </c>
      <c r="B52" s="527" t="s">
        <v>112</v>
      </c>
      <c r="C52" s="527" t="s">
        <v>112</v>
      </c>
      <c r="D52" s="527" t="s">
        <v>128</v>
      </c>
      <c r="E52" s="528">
        <v>43334.857106481482</v>
      </c>
      <c r="F52" s="531">
        <v>43334.857106481482</v>
      </c>
      <c r="G52" s="529">
        <v>0.8569444444444444</v>
      </c>
      <c r="H52" s="530" t="s">
        <v>115</v>
      </c>
      <c r="I52" s="530" t="s">
        <v>115</v>
      </c>
      <c r="J52" s="535"/>
      <c r="K52" s="440"/>
      <c r="L52" s="440"/>
      <c r="M52" s="440"/>
    </row>
    <row r="53" spans="1:13">
      <c r="A53" s="527">
        <v>12619</v>
      </c>
      <c r="B53" s="527" t="s">
        <v>112</v>
      </c>
      <c r="C53" s="527" t="s">
        <v>112</v>
      </c>
      <c r="D53" s="527" t="s">
        <v>125</v>
      </c>
      <c r="E53" s="528">
        <v>43335.364328703705</v>
      </c>
      <c r="F53" s="531">
        <v>43335.364328703705</v>
      </c>
      <c r="G53" s="529">
        <v>0.36388888888888887</v>
      </c>
      <c r="H53" s="530">
        <v>9.7666666666666675</v>
      </c>
      <c r="I53" s="530">
        <v>8</v>
      </c>
      <c r="J53" s="535"/>
      <c r="K53" s="440"/>
      <c r="L53" s="440"/>
      <c r="M53" s="440"/>
    </row>
    <row r="54" spans="1:13">
      <c r="A54" s="527">
        <v>12636</v>
      </c>
      <c r="B54" s="527" t="s">
        <v>112</v>
      </c>
      <c r="C54" s="527" t="s">
        <v>112</v>
      </c>
      <c r="D54" s="527" t="s">
        <v>126</v>
      </c>
      <c r="E54" s="528">
        <v>43335.77138888889</v>
      </c>
      <c r="F54" s="531">
        <v>43335.77138888889</v>
      </c>
      <c r="G54" s="529">
        <v>0.77083333333333337</v>
      </c>
      <c r="H54" s="530" t="s">
        <v>115</v>
      </c>
      <c r="I54" s="530" t="s">
        <v>115</v>
      </c>
      <c r="J54" s="535"/>
      <c r="K54" s="440"/>
      <c r="L54" s="440"/>
      <c r="M54" s="440"/>
    </row>
    <row r="55" spans="1:13">
      <c r="A55" s="527">
        <v>12638</v>
      </c>
      <c r="B55" s="527" t="s">
        <v>112</v>
      </c>
      <c r="C55" s="527" t="s">
        <v>112</v>
      </c>
      <c r="D55" s="527" t="s">
        <v>127</v>
      </c>
      <c r="E55" s="528">
        <v>43335.771469907406</v>
      </c>
      <c r="F55" s="531">
        <v>43335.771469907406</v>
      </c>
      <c r="G55" s="529">
        <v>0.77083333333333337</v>
      </c>
      <c r="H55" s="530" t="s">
        <v>115</v>
      </c>
      <c r="I55" s="530" t="s">
        <v>115</v>
      </c>
      <c r="J55" s="536">
        <v>0.46666666666666501</v>
      </c>
      <c r="K55" s="440"/>
      <c r="L55" s="440"/>
      <c r="M55" s="440"/>
    </row>
    <row r="56" spans="1:13">
      <c r="A56" s="527">
        <v>12645</v>
      </c>
      <c r="B56" s="527" t="s">
        <v>112</v>
      </c>
      <c r="C56" s="527" t="s">
        <v>112</v>
      </c>
      <c r="D56" s="527" t="s">
        <v>128</v>
      </c>
      <c r="E56" s="528">
        <v>43335.790949074071</v>
      </c>
      <c r="F56" s="531">
        <v>43335.790949074071</v>
      </c>
      <c r="G56" s="529">
        <v>0.79027777777777775</v>
      </c>
      <c r="H56" s="530" t="s">
        <v>115</v>
      </c>
      <c r="I56" s="530" t="s">
        <v>115</v>
      </c>
      <c r="J56" s="535"/>
      <c r="K56" s="440"/>
      <c r="L56" s="440"/>
      <c r="M56" s="440"/>
    </row>
    <row r="57" spans="1:13">
      <c r="A57" s="527">
        <v>12655</v>
      </c>
      <c r="B57" s="527" t="s">
        <v>132</v>
      </c>
      <c r="C57" s="527" t="s">
        <v>112</v>
      </c>
      <c r="D57" s="527" t="s">
        <v>125</v>
      </c>
      <c r="E57" s="528">
        <v>43336.365289351852</v>
      </c>
      <c r="F57" s="531">
        <v>43336.365289351852</v>
      </c>
      <c r="G57" s="529">
        <v>0.36527777777777781</v>
      </c>
      <c r="H57" s="530">
        <v>9.6666666666666679</v>
      </c>
      <c r="I57" s="530">
        <v>8</v>
      </c>
      <c r="J57" s="535"/>
      <c r="K57" s="440"/>
      <c r="L57" s="440"/>
      <c r="M57" s="440"/>
    </row>
    <row r="58" spans="1:13">
      <c r="A58" s="527">
        <v>12666</v>
      </c>
      <c r="B58" s="527" t="s">
        <v>112</v>
      </c>
      <c r="C58" s="527" t="s">
        <v>112</v>
      </c>
      <c r="D58" s="527" t="s">
        <v>126</v>
      </c>
      <c r="E58" s="528">
        <v>43336.768680555557</v>
      </c>
      <c r="F58" s="531">
        <v>43336.768680555557</v>
      </c>
      <c r="G58" s="529">
        <v>0.7680555555555556</v>
      </c>
      <c r="H58" s="530" t="s">
        <v>115</v>
      </c>
      <c r="I58" s="530" t="s">
        <v>115</v>
      </c>
      <c r="J58" s="535"/>
      <c r="K58" s="440"/>
      <c r="L58" s="440"/>
      <c r="M58" s="440"/>
    </row>
    <row r="59" spans="1:13">
      <c r="A59" s="527">
        <v>12668</v>
      </c>
      <c r="B59" s="527" t="s">
        <v>112</v>
      </c>
      <c r="C59" s="527" t="s">
        <v>112</v>
      </c>
      <c r="D59" s="527" t="s">
        <v>127</v>
      </c>
      <c r="E59" s="528">
        <v>43336.768761574072</v>
      </c>
      <c r="F59" s="531">
        <v>43336.768761574072</v>
      </c>
      <c r="G59" s="529">
        <v>0.76874999999999993</v>
      </c>
      <c r="H59" s="530" t="s">
        <v>115</v>
      </c>
      <c r="I59" s="530" t="s">
        <v>115</v>
      </c>
      <c r="J59" s="536">
        <v>0.59999999999999787</v>
      </c>
      <c r="K59" s="440"/>
      <c r="L59" s="440"/>
      <c r="M59" s="440"/>
    </row>
    <row r="60" spans="1:13">
      <c r="A60" s="527">
        <v>12684</v>
      </c>
      <c r="B60" s="527" t="s">
        <v>112</v>
      </c>
      <c r="C60" s="527" t="s">
        <v>112</v>
      </c>
      <c r="D60" s="527" t="s">
        <v>128</v>
      </c>
      <c r="E60" s="528">
        <v>43336.794317129628</v>
      </c>
      <c r="F60" s="531">
        <v>43336.794317129628</v>
      </c>
      <c r="G60" s="529">
        <v>0.79375000000000007</v>
      </c>
      <c r="H60" s="530" t="s">
        <v>115</v>
      </c>
      <c r="I60" s="530" t="s">
        <v>115</v>
      </c>
      <c r="J60" s="535"/>
      <c r="K60" s="440"/>
      <c r="L60" s="440"/>
      <c r="M60" s="440"/>
    </row>
    <row r="61" spans="1:13">
      <c r="A61" s="527">
        <v>12696</v>
      </c>
      <c r="B61" s="527" t="s">
        <v>112</v>
      </c>
      <c r="C61" s="527" t="s">
        <v>112</v>
      </c>
      <c r="D61" s="527" t="s">
        <v>125</v>
      </c>
      <c r="E61" s="528">
        <v>43339.366180555553</v>
      </c>
      <c r="F61" s="531">
        <v>43339.366180555553</v>
      </c>
      <c r="G61" s="529">
        <v>0.3659722222222222</v>
      </c>
      <c r="H61" s="530">
        <v>9.7166666666666686</v>
      </c>
      <c r="I61" s="530">
        <v>8</v>
      </c>
      <c r="J61" s="535"/>
      <c r="K61" s="440"/>
      <c r="L61" s="440"/>
      <c r="M61" s="440"/>
    </row>
    <row r="62" spans="1:13">
      <c r="A62" s="527">
        <v>12718</v>
      </c>
      <c r="B62" s="527" t="s">
        <v>112</v>
      </c>
      <c r="C62" s="527" t="s">
        <v>112</v>
      </c>
      <c r="D62" s="527" t="s">
        <v>126</v>
      </c>
      <c r="E62" s="528">
        <v>43339.771192129629</v>
      </c>
      <c r="F62" s="531">
        <v>43339.771192129629</v>
      </c>
      <c r="G62" s="529">
        <v>0.77083333333333337</v>
      </c>
      <c r="H62" s="530" t="s">
        <v>115</v>
      </c>
      <c r="I62" s="530" t="s">
        <v>115</v>
      </c>
      <c r="J62" s="535"/>
      <c r="K62" s="440"/>
      <c r="L62" s="440"/>
      <c r="M62" s="440"/>
    </row>
    <row r="63" spans="1:13">
      <c r="A63" s="527">
        <v>12721</v>
      </c>
      <c r="B63" s="527" t="s">
        <v>112</v>
      </c>
      <c r="C63" s="527" t="s">
        <v>112</v>
      </c>
      <c r="D63" s="527" t="s">
        <v>127</v>
      </c>
      <c r="E63" s="528">
        <v>43339.771261574075</v>
      </c>
      <c r="F63" s="531">
        <v>43339.771261574075</v>
      </c>
      <c r="G63" s="529">
        <v>0.77083333333333337</v>
      </c>
      <c r="H63" s="530" t="s">
        <v>115</v>
      </c>
      <c r="I63" s="530" t="s">
        <v>115</v>
      </c>
      <c r="J63" s="536">
        <v>0.31666666666666554</v>
      </c>
      <c r="K63" s="440"/>
      <c r="L63" s="440"/>
      <c r="M63" s="440"/>
    </row>
    <row r="64" spans="1:13">
      <c r="A64" s="527">
        <v>12725</v>
      </c>
      <c r="B64" s="527" t="s">
        <v>112</v>
      </c>
      <c r="C64" s="527" t="s">
        <v>112</v>
      </c>
      <c r="D64" s="527" t="s">
        <v>128</v>
      </c>
      <c r="E64" s="528">
        <v>43339.784050925926</v>
      </c>
      <c r="F64" s="531">
        <v>43339.784050925926</v>
      </c>
      <c r="G64" s="529">
        <v>0.78402777777777777</v>
      </c>
      <c r="H64" s="530" t="s">
        <v>115</v>
      </c>
      <c r="I64" s="530" t="s">
        <v>115</v>
      </c>
      <c r="J64" s="535"/>
      <c r="K64" s="440"/>
      <c r="L64" s="440"/>
      <c r="M64" s="440"/>
    </row>
    <row r="65" spans="1:13">
      <c r="A65" s="527">
        <v>12737</v>
      </c>
      <c r="B65" s="527" t="s">
        <v>112</v>
      </c>
      <c r="C65" s="527" t="s">
        <v>112</v>
      </c>
      <c r="D65" s="527" t="s">
        <v>125</v>
      </c>
      <c r="E65" s="528">
        <v>43340.365925925929</v>
      </c>
      <c r="F65" s="531">
        <v>43340.365925925929</v>
      </c>
      <c r="G65" s="529">
        <v>0.36527777777777781</v>
      </c>
      <c r="H65" s="530">
        <v>9.6500000000000021</v>
      </c>
      <c r="I65" s="530">
        <v>8</v>
      </c>
      <c r="J65" s="535"/>
      <c r="K65" s="440"/>
      <c r="L65" s="440"/>
      <c r="M65" s="440"/>
    </row>
    <row r="66" spans="1:13">
      <c r="A66" s="527">
        <v>12747</v>
      </c>
      <c r="B66" s="527" t="s">
        <v>112</v>
      </c>
      <c r="C66" s="527" t="s">
        <v>112</v>
      </c>
      <c r="D66" s="527" t="s">
        <v>126</v>
      </c>
      <c r="E66" s="528">
        <v>43340.767754629633</v>
      </c>
      <c r="F66" s="531">
        <v>43340.767754629633</v>
      </c>
      <c r="G66" s="529">
        <v>0.76736111111111116</v>
      </c>
      <c r="H66" s="530" t="s">
        <v>115</v>
      </c>
      <c r="I66" s="530" t="s">
        <v>115</v>
      </c>
      <c r="J66" s="535"/>
      <c r="K66" s="440"/>
      <c r="L66" s="440"/>
      <c r="M66" s="440"/>
    </row>
    <row r="67" spans="1:13">
      <c r="A67" s="527">
        <v>12769</v>
      </c>
      <c r="B67" s="527" t="s">
        <v>112</v>
      </c>
      <c r="C67" s="527" t="s">
        <v>112</v>
      </c>
      <c r="D67" s="527" t="s">
        <v>125</v>
      </c>
      <c r="E67" s="528">
        <v>43341.435844907406</v>
      </c>
      <c r="F67" s="531">
        <v>43341.435844907406</v>
      </c>
      <c r="G67" s="529">
        <v>0.43541666666666662</v>
      </c>
      <c r="H67" s="530">
        <v>8.3999999999999986</v>
      </c>
      <c r="I67" s="530">
        <v>6.8999999999999986</v>
      </c>
      <c r="J67" s="535"/>
      <c r="K67" s="440"/>
      <c r="L67" s="440"/>
      <c r="M67" s="440"/>
    </row>
    <row r="68" spans="1:13">
      <c r="A68" s="527">
        <v>12785</v>
      </c>
      <c r="B68" s="527" t="s">
        <v>112</v>
      </c>
      <c r="C68" s="527" t="s">
        <v>112</v>
      </c>
      <c r="D68" s="527" t="s">
        <v>126</v>
      </c>
      <c r="E68" s="528">
        <v>43341.78601851852</v>
      </c>
      <c r="F68" s="531">
        <v>43341.78601851852</v>
      </c>
      <c r="G68" s="529">
        <v>0.78541666666666676</v>
      </c>
      <c r="H68" s="530" t="s">
        <v>115</v>
      </c>
      <c r="I68" s="530" t="s">
        <v>115</v>
      </c>
      <c r="J68" s="535"/>
      <c r="K68" s="440"/>
      <c r="L68" s="440"/>
      <c r="M68" s="440"/>
    </row>
    <row r="69" spans="1:13">
      <c r="A69" s="527">
        <v>12799</v>
      </c>
      <c r="B69" s="527" t="s">
        <v>112</v>
      </c>
      <c r="C69" s="527" t="s">
        <v>112</v>
      </c>
      <c r="D69" s="527" t="s">
        <v>125</v>
      </c>
      <c r="E69" s="528">
        <v>43342.366249999999</v>
      </c>
      <c r="F69" s="531">
        <v>43342.366249999999</v>
      </c>
      <c r="G69" s="529">
        <v>0.3659722222222222</v>
      </c>
      <c r="H69" s="530">
        <v>9.6833333333333353</v>
      </c>
      <c r="I69" s="530">
        <v>8</v>
      </c>
      <c r="J69" s="535"/>
      <c r="K69" s="440"/>
      <c r="L69" s="440"/>
      <c r="M69" s="440"/>
    </row>
    <row r="70" spans="1:13">
      <c r="A70" s="527">
        <v>12808</v>
      </c>
      <c r="B70" s="527" t="s">
        <v>112</v>
      </c>
      <c r="C70" s="527" t="s">
        <v>112</v>
      </c>
      <c r="D70" s="527" t="s">
        <v>126</v>
      </c>
      <c r="E70" s="528">
        <v>43342.769467592596</v>
      </c>
      <c r="F70" s="531">
        <v>43342.769467592596</v>
      </c>
      <c r="G70" s="529">
        <v>0.76944444444444438</v>
      </c>
      <c r="H70" s="530" t="s">
        <v>115</v>
      </c>
      <c r="I70" s="530" t="s">
        <v>115</v>
      </c>
      <c r="J70" s="535"/>
      <c r="K70" s="440"/>
      <c r="L70" s="440"/>
      <c r="M70" s="440"/>
    </row>
    <row r="71" spans="1:13">
      <c r="A71" s="527">
        <v>12815</v>
      </c>
      <c r="B71" s="527" t="s">
        <v>112</v>
      </c>
      <c r="C71" s="527" t="s">
        <v>112</v>
      </c>
      <c r="D71" s="527" t="s">
        <v>127</v>
      </c>
      <c r="E71" s="528">
        <v>43342.771203703705</v>
      </c>
      <c r="F71" s="531">
        <v>43342.771203703705</v>
      </c>
      <c r="G71" s="529">
        <v>0.77083333333333337</v>
      </c>
      <c r="H71" s="530" t="s">
        <v>115</v>
      </c>
      <c r="I71" s="530" t="s">
        <v>115</v>
      </c>
      <c r="J71" s="536">
        <v>1.3166666666666647</v>
      </c>
      <c r="K71" s="440"/>
      <c r="L71" s="440"/>
      <c r="M71" s="440"/>
    </row>
    <row r="72" spans="1:13">
      <c r="A72" s="527">
        <v>12824</v>
      </c>
      <c r="B72" s="527" t="s">
        <v>112</v>
      </c>
      <c r="C72" s="527" t="s">
        <v>112</v>
      </c>
      <c r="D72" s="527" t="s">
        <v>128</v>
      </c>
      <c r="E72" s="528">
        <v>43342.825960648152</v>
      </c>
      <c r="F72" s="531">
        <v>43342.825960648152</v>
      </c>
      <c r="G72" s="529">
        <v>0.8256944444444444</v>
      </c>
      <c r="H72" s="530" t="s">
        <v>115</v>
      </c>
      <c r="I72" s="530" t="s">
        <v>115</v>
      </c>
      <c r="J72" s="535"/>
      <c r="K72" s="440"/>
      <c r="L72" s="440"/>
      <c r="M72" s="440"/>
    </row>
    <row r="73" spans="1:13">
      <c r="A73" s="527">
        <v>12835</v>
      </c>
      <c r="B73" s="527" t="s">
        <v>112</v>
      </c>
      <c r="C73" s="527" t="s">
        <v>112</v>
      </c>
      <c r="D73" s="527" t="s">
        <v>125</v>
      </c>
      <c r="E73" s="528">
        <v>43343.369826388887</v>
      </c>
      <c r="F73" s="531">
        <v>43343.369826388887</v>
      </c>
      <c r="G73" s="529">
        <v>0.36944444444444446</v>
      </c>
      <c r="H73" s="530">
        <v>9.6333333333333329</v>
      </c>
      <c r="I73" s="530">
        <v>8</v>
      </c>
      <c r="J73" s="535"/>
      <c r="K73" s="440"/>
      <c r="L73" s="440"/>
      <c r="M73" s="440"/>
    </row>
    <row r="74" spans="1:13">
      <c r="A74" s="532">
        <v>12835</v>
      </c>
      <c r="B74" s="532" t="s">
        <v>112</v>
      </c>
      <c r="C74" s="532" t="s">
        <v>112</v>
      </c>
      <c r="D74" s="532" t="s">
        <v>137</v>
      </c>
      <c r="E74" s="533">
        <v>43343.770833333336</v>
      </c>
      <c r="F74" s="531">
        <v>43343.770833333336</v>
      </c>
      <c r="G74" s="529">
        <v>0.77083333333333337</v>
      </c>
      <c r="H74" s="530" t="s">
        <v>115</v>
      </c>
      <c r="I74" s="530" t="s">
        <v>115</v>
      </c>
      <c r="J74" s="535"/>
      <c r="K74" s="440"/>
      <c r="L74" s="440"/>
      <c r="M74" s="440"/>
    </row>
    <row r="75" spans="1:13">
      <c r="A75" s="532">
        <v>12835</v>
      </c>
      <c r="B75" s="532" t="s">
        <v>112</v>
      </c>
      <c r="C75" s="532" t="s">
        <v>112</v>
      </c>
      <c r="D75" s="532" t="s">
        <v>138</v>
      </c>
      <c r="E75" s="533">
        <v>43343.770833333336</v>
      </c>
      <c r="F75" s="531">
        <v>43343.770833333336</v>
      </c>
      <c r="G75" s="529">
        <v>0.77083333333333337</v>
      </c>
      <c r="H75" s="530" t="s">
        <v>115</v>
      </c>
      <c r="I75" s="530" t="s">
        <v>115</v>
      </c>
      <c r="J75" s="536">
        <v>0.75</v>
      </c>
      <c r="K75" s="440"/>
      <c r="L75" s="440"/>
      <c r="M75" s="440"/>
    </row>
    <row r="76" spans="1:13">
      <c r="A76" s="532">
        <v>12835</v>
      </c>
      <c r="B76" s="532" t="s">
        <v>112</v>
      </c>
      <c r="C76" s="532" t="s">
        <v>112</v>
      </c>
      <c r="D76" s="532" t="s">
        <v>139</v>
      </c>
      <c r="E76" s="533">
        <v>43343.802465277775</v>
      </c>
      <c r="F76" s="531">
        <v>43343.302465277775</v>
      </c>
      <c r="G76" s="529">
        <v>0.30208333333333331</v>
      </c>
      <c r="H76" s="530" t="s">
        <v>115</v>
      </c>
      <c r="I76" s="530" t="s">
        <v>115</v>
      </c>
      <c r="J76" s="535"/>
      <c r="K76" s="440"/>
      <c r="L76" s="440"/>
      <c r="M76" s="440"/>
    </row>
  </sheetData>
  <phoneticPr fontId="18" type="noConversion"/>
  <conditionalFormatting sqref="I7:I76">
    <cfRule type="cellIs" dxfId="3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19">
    <pageSetUpPr fitToPage="1"/>
  </sheetPr>
  <dimension ref="A1:T9"/>
  <sheetViews>
    <sheetView view="pageBreakPreview" zoomScaleNormal="100" zoomScaleSheetLayoutView="100" workbookViewId="0">
      <selection activeCell="O21" sqref="O21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" style="3"/>
    <col min="5" max="5" width="16.5" style="3" customWidth="1"/>
    <col min="6" max="6" width="6.25" style="16" customWidth="1"/>
    <col min="7" max="7" width="8.625" style="17" customWidth="1" outlineLevel="1"/>
    <col min="8" max="8" width="11.125" style="51" customWidth="1" outlineLevel="1"/>
    <col min="9" max="9" width="10.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8.75" style="22" customWidth="1"/>
    <col min="15" max="16" width="9" style="9"/>
    <col min="17" max="17" width="2.5" style="9" customWidth="1"/>
    <col min="18" max="18" width="9" style="9"/>
    <col min="19" max="19" width="3" customWidth="1"/>
    <col min="20" max="20" width="7.5" customWidth="1"/>
  </cols>
  <sheetData>
    <row r="1" spans="1:20" s="4" customFormat="1" ht="28.5" thickBot="1">
      <c r="C1" s="5"/>
      <c r="D1" s="6"/>
      <c r="E1" s="6"/>
      <c r="F1" s="10"/>
      <c r="G1" s="11"/>
      <c r="H1" s="12"/>
      <c r="I1" s="13" t="str">
        <f>B7</f>
        <v>owen</v>
      </c>
      <c r="J1" s="46" t="s">
        <v>29</v>
      </c>
      <c r="K1" s="14"/>
      <c r="L1" s="14"/>
      <c r="M1" s="14"/>
      <c r="N1" s="14"/>
      <c r="O1" s="19"/>
      <c r="P1" s="19"/>
      <c r="Q1" s="19"/>
      <c r="R1" s="19"/>
    </row>
    <row r="2" spans="1:20">
      <c r="D2" s="133" t="s">
        <v>74</v>
      </c>
      <c r="E2" s="184"/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</row>
    <row r="3" spans="1:20" ht="17.25" thickBot="1">
      <c r="D3" s="24" t="s">
        <v>76</v>
      </c>
      <c r="E3" s="185">
        <v>0</v>
      </c>
      <c r="F3" s="25"/>
      <c r="G3" s="26"/>
      <c r="H3" s="26"/>
      <c r="I3" s="88"/>
      <c r="J3" s="54">
        <f>D5+E5</f>
        <v>0</v>
      </c>
      <c r="K3" s="53">
        <f>SUM(K7:K8)</f>
        <v>0</v>
      </c>
      <c r="L3" s="53">
        <f>D5</f>
        <v>0</v>
      </c>
      <c r="M3" s="53">
        <f>M6-L3</f>
        <v>0</v>
      </c>
      <c r="N3" s="53">
        <f>N6</f>
        <v>0</v>
      </c>
    </row>
    <row r="4" spans="1:20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P4" s="15" t="s">
        <v>23</v>
      </c>
      <c r="Q4" s="9" t="s">
        <v>30</v>
      </c>
      <c r="R4" s="15" t="s">
        <v>25</v>
      </c>
      <c r="S4" s="48" t="s">
        <v>31</v>
      </c>
      <c r="T4" s="49">
        <f>I6+J6</f>
        <v>0.8</v>
      </c>
    </row>
    <row r="5" spans="1:20">
      <c r="D5" s="87">
        <v>0</v>
      </c>
      <c r="E5" s="86">
        <v>0</v>
      </c>
      <c r="F5" s="13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P5" s="9" t="s">
        <v>40</v>
      </c>
      <c r="R5" s="57">
        <f>(L6+M6+N6)/160</f>
        <v>0</v>
      </c>
    </row>
    <row r="6" spans="1:20">
      <c r="A6" t="s">
        <v>0</v>
      </c>
      <c r="B6" t="s">
        <v>1</v>
      </c>
      <c r="C6" s="3" t="s">
        <v>2</v>
      </c>
      <c r="D6" s="524" t="s">
        <v>3</v>
      </c>
      <c r="E6" s="525" t="s">
        <v>4</v>
      </c>
      <c r="F6" s="507"/>
      <c r="G6" s="523"/>
      <c r="H6" s="525" t="s">
        <v>22</v>
      </c>
      <c r="I6" s="509">
        <f>SUM(I7:I79)</f>
        <v>0.8</v>
      </c>
      <c r="J6" s="509">
        <f>SUM(J7:J79)</f>
        <v>0</v>
      </c>
      <c r="K6" s="509">
        <f>SUM(K7:K8)</f>
        <v>0</v>
      </c>
      <c r="L6" s="509">
        <f>SUM(L9:L79)</f>
        <v>0</v>
      </c>
      <c r="M6" s="509">
        <f>SUM(M7:M79)</f>
        <v>0</v>
      </c>
      <c r="N6" s="509">
        <f>SUM(N7:N79)</f>
        <v>0</v>
      </c>
      <c r="P6" s="47"/>
    </row>
    <row r="7" spans="1:20" s="2" customFormat="1">
      <c r="A7" s="591">
        <v>12290</v>
      </c>
      <c r="B7" s="591" t="s">
        <v>87</v>
      </c>
      <c r="C7" s="591" t="s">
        <v>87</v>
      </c>
      <c r="D7" s="591" t="s">
        <v>125</v>
      </c>
      <c r="E7" s="592">
        <v>43320.805023148147</v>
      </c>
      <c r="F7" s="595">
        <v>43320.805023148147</v>
      </c>
      <c r="G7" s="593">
        <v>0.80486111111111114</v>
      </c>
      <c r="H7" s="594">
        <v>0.79999999999999982</v>
      </c>
      <c r="I7" s="594">
        <v>0.8</v>
      </c>
      <c r="J7" s="594">
        <v>0</v>
      </c>
      <c r="K7" s="590"/>
      <c r="L7" s="590"/>
      <c r="M7" s="590"/>
      <c r="N7" s="590"/>
      <c r="O7" s="8"/>
      <c r="P7" s="9"/>
      <c r="Q7" s="8"/>
      <c r="R7" s="9"/>
    </row>
    <row r="8" spans="1:20">
      <c r="A8" s="591">
        <v>12291</v>
      </c>
      <c r="B8" s="591" t="s">
        <v>87</v>
      </c>
      <c r="C8" s="591" t="s">
        <v>87</v>
      </c>
      <c r="D8" s="591" t="s">
        <v>126</v>
      </c>
      <c r="E8" s="592">
        <v>43320.838333333333</v>
      </c>
      <c r="F8" s="595">
        <v>43320.838333333333</v>
      </c>
      <c r="G8" s="593">
        <v>0.83819444444444446</v>
      </c>
      <c r="H8" s="594" t="s">
        <v>115</v>
      </c>
      <c r="I8" s="594" t="s">
        <v>115</v>
      </c>
      <c r="J8" s="594" t="s">
        <v>115</v>
      </c>
      <c r="K8" s="594"/>
      <c r="L8" s="594"/>
      <c r="M8" s="594"/>
      <c r="N8" s="594"/>
    </row>
    <row r="9" spans="1:20">
      <c r="D9"/>
    </row>
  </sheetData>
  <phoneticPr fontId="18" type="noConversion"/>
  <conditionalFormatting sqref="I7:I8">
    <cfRule type="cellIs" dxfId="2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92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20">
    <pageSetUpPr fitToPage="1"/>
  </sheetPr>
  <dimension ref="A1:W59"/>
  <sheetViews>
    <sheetView view="pageBreakPreview" topLeftCell="D1" zoomScaleNormal="100" zoomScaleSheetLayoutView="100" workbookViewId="0">
      <selection activeCell="V18" sqref="V18"/>
    </sheetView>
  </sheetViews>
  <sheetFormatPr defaultRowHeight="16.5" outlineLevelCol="1"/>
  <cols>
    <col min="1" max="1" width="6.75" hidden="1" customWidth="1" outlineLevel="1"/>
    <col min="2" max="2" width="6.875" hidden="1" customWidth="1" outlineLevel="1"/>
    <col min="3" max="3" width="6.5" style="3" hidden="1" customWidth="1" outlineLevel="1"/>
    <col min="4" max="4" width="9.75" style="3" customWidth="1" collapsed="1"/>
    <col min="5" max="5" width="16" style="3" customWidth="1"/>
    <col min="6" max="6" width="6.25" style="16" customWidth="1"/>
    <col min="7" max="7" width="8.625" style="17" hidden="1" customWidth="1" outlineLevel="1"/>
    <col min="8" max="8" width="11.125" style="51" hidden="1" customWidth="1" outlineLevel="1"/>
    <col min="9" max="9" width="9.37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75" style="22" customWidth="1"/>
    <col min="15" max="15" width="14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</cols>
  <sheetData>
    <row r="1" spans="1:23" s="4" customFormat="1" ht="28.5" thickBot="1">
      <c r="C1" s="5"/>
      <c r="D1" s="6"/>
      <c r="E1" s="6"/>
      <c r="F1" s="10"/>
      <c r="G1" s="11"/>
      <c r="H1" s="12"/>
      <c r="I1" s="13" t="str">
        <f>B7</f>
        <v>lorah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</row>
    <row r="2" spans="1:23">
      <c r="D2" s="133" t="s">
        <v>74</v>
      </c>
      <c r="E2" s="386">
        <f>72-48-7</f>
        <v>17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3" ht="17.25" thickBot="1">
      <c r="D3" s="24" t="s">
        <v>76</v>
      </c>
      <c r="E3" s="185">
        <v>800</v>
      </c>
      <c r="F3" s="25"/>
      <c r="G3" s="26"/>
      <c r="H3" s="26"/>
      <c r="I3" s="88"/>
      <c r="J3" s="54">
        <f>D5+E5</f>
        <v>0</v>
      </c>
      <c r="K3" s="53">
        <f>SUM(K7:K30)</f>
        <v>5.0666666666666647</v>
      </c>
      <c r="L3" s="53">
        <f>J3</f>
        <v>0</v>
      </c>
      <c r="M3" s="53">
        <f>M6-J3</f>
        <v>4.9166666666666643</v>
      </c>
      <c r="N3" s="53">
        <f>N6</f>
        <v>0.15000000000000036</v>
      </c>
      <c r="O3" s="50"/>
    </row>
    <row r="4" spans="1:23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64</v>
      </c>
    </row>
    <row r="5" spans="1:23">
      <c r="D5" s="87">
        <v>0</v>
      </c>
      <c r="E5" s="86">
        <v>0</v>
      </c>
      <c r="F5" s="86">
        <v>7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3.1666666666666655E-2</v>
      </c>
    </row>
    <row r="6" spans="1:23" ht="17.25" thickBot="1">
      <c r="A6" t="s">
        <v>0</v>
      </c>
      <c r="B6" t="s">
        <v>1</v>
      </c>
      <c r="C6" s="3" t="s">
        <v>2</v>
      </c>
      <c r="D6" s="524" t="s">
        <v>3</v>
      </c>
      <c r="E6" s="525" t="s">
        <v>4</v>
      </c>
      <c r="F6" s="507"/>
      <c r="G6" s="523"/>
      <c r="H6" s="525" t="s">
        <v>22</v>
      </c>
      <c r="I6" s="509">
        <f t="shared" ref="I6:N6" si="0">SUM(I7:I80)</f>
        <v>57</v>
      </c>
      <c r="J6" s="509">
        <f t="shared" si="0"/>
        <v>7</v>
      </c>
      <c r="K6" s="509">
        <f t="shared" si="0"/>
        <v>5.0666666666666647</v>
      </c>
      <c r="L6" s="509">
        <f t="shared" si="0"/>
        <v>0</v>
      </c>
      <c r="M6" s="509">
        <f t="shared" si="0"/>
        <v>4.9166666666666643</v>
      </c>
      <c r="N6" s="509">
        <f t="shared" si="0"/>
        <v>0.15000000000000036</v>
      </c>
      <c r="O6" s="45"/>
    </row>
    <row r="7" spans="1:23" s="2" customFormat="1">
      <c r="A7" s="568">
        <v>12075</v>
      </c>
      <c r="B7" s="568" t="s">
        <v>38</v>
      </c>
      <c r="C7" s="568" t="s">
        <v>38</v>
      </c>
      <c r="D7" s="568" t="s">
        <v>125</v>
      </c>
      <c r="E7" s="569">
        <v>43313.358159722222</v>
      </c>
      <c r="F7" s="574">
        <v>43313.358159722222</v>
      </c>
      <c r="G7" s="570">
        <v>0.3576388888888889</v>
      </c>
      <c r="H7" s="571">
        <v>9.6999999999999993</v>
      </c>
      <c r="I7" s="571">
        <v>8</v>
      </c>
      <c r="J7" s="571" t="s">
        <v>115</v>
      </c>
      <c r="K7" s="571"/>
      <c r="L7" s="571"/>
      <c r="M7" s="571"/>
      <c r="N7" s="571"/>
      <c r="O7" s="515"/>
      <c r="P7" s="345"/>
      <c r="Q7" s="369"/>
      <c r="R7" s="149"/>
      <c r="S7" s="149"/>
      <c r="T7" s="130"/>
      <c r="U7" s="130"/>
      <c r="V7" s="130"/>
      <c r="W7" s="63"/>
    </row>
    <row r="8" spans="1:23">
      <c r="A8" s="568">
        <v>12088</v>
      </c>
      <c r="B8" s="568" t="s">
        <v>38</v>
      </c>
      <c r="C8" s="568" t="s">
        <v>38</v>
      </c>
      <c r="D8" s="568" t="s">
        <v>126</v>
      </c>
      <c r="E8" s="569">
        <v>43313.76190972222</v>
      </c>
      <c r="F8" s="574">
        <v>43313.76190972222</v>
      </c>
      <c r="G8" s="570">
        <v>0.76180555555555562</v>
      </c>
      <c r="H8" s="571" t="s">
        <v>115</v>
      </c>
      <c r="I8" s="571" t="s">
        <v>115</v>
      </c>
      <c r="J8" s="571" t="s">
        <v>115</v>
      </c>
      <c r="K8" s="565"/>
      <c r="L8" s="565"/>
      <c r="M8" s="565"/>
      <c r="N8" s="571"/>
      <c r="O8" s="515"/>
      <c r="Q8" s="369"/>
      <c r="R8" s="149"/>
      <c r="S8" s="149"/>
      <c r="T8" s="130"/>
      <c r="U8" s="130"/>
      <c r="V8" s="130"/>
      <c r="W8" s="63"/>
    </row>
    <row r="9" spans="1:23" s="392" customFormat="1">
      <c r="A9" s="568">
        <v>12099</v>
      </c>
      <c r="B9" s="568" t="s">
        <v>38</v>
      </c>
      <c r="C9" s="568" t="s">
        <v>38</v>
      </c>
      <c r="D9" s="568" t="s">
        <v>127</v>
      </c>
      <c r="E9" s="569">
        <v>43313.771423611113</v>
      </c>
      <c r="F9" s="574">
        <v>43313.771423611113</v>
      </c>
      <c r="G9" s="570">
        <v>0.77083333333333337</v>
      </c>
      <c r="H9" s="571" t="s">
        <v>115</v>
      </c>
      <c r="I9" s="571" t="s">
        <v>115</v>
      </c>
      <c r="J9" s="571" t="s">
        <v>115</v>
      </c>
      <c r="K9" s="571">
        <v>0.51666666666666483</v>
      </c>
      <c r="L9" s="565"/>
      <c r="M9" s="571">
        <v>0.51666666666666483</v>
      </c>
      <c r="N9" s="571">
        <v>0</v>
      </c>
      <c r="O9" s="506"/>
      <c r="P9" s="345"/>
      <c r="Q9" s="16"/>
      <c r="R9" s="137"/>
      <c r="S9" s="137"/>
      <c r="T9" s="16"/>
      <c r="U9" s="16"/>
      <c r="V9" s="16"/>
      <c r="W9" s="16"/>
    </row>
    <row r="10" spans="1:23" s="392" customFormat="1">
      <c r="A10" s="568">
        <v>12105</v>
      </c>
      <c r="B10" s="568" t="s">
        <v>38</v>
      </c>
      <c r="C10" s="568" t="s">
        <v>38</v>
      </c>
      <c r="D10" s="568" t="s">
        <v>128</v>
      </c>
      <c r="E10" s="569">
        <v>43313.792511574073</v>
      </c>
      <c r="F10" s="574">
        <v>43313.792511574073</v>
      </c>
      <c r="G10" s="570">
        <v>0.79236111111111107</v>
      </c>
      <c r="H10" s="571" t="s">
        <v>115</v>
      </c>
      <c r="I10" s="571" t="s">
        <v>115</v>
      </c>
      <c r="J10" s="571" t="s">
        <v>115</v>
      </c>
      <c r="K10" s="565"/>
      <c r="L10" s="565"/>
      <c r="M10" s="565"/>
      <c r="N10" s="571"/>
      <c r="O10" s="506"/>
      <c r="P10" s="16"/>
      <c r="Q10" s="16"/>
      <c r="R10" s="137"/>
      <c r="S10" s="137"/>
      <c r="T10" s="16"/>
      <c r="U10" s="16"/>
      <c r="V10" s="16"/>
      <c r="W10" s="16"/>
    </row>
    <row r="11" spans="1:23" s="563" customFormat="1">
      <c r="A11" s="572">
        <v>12126</v>
      </c>
      <c r="B11" s="572" t="s">
        <v>38</v>
      </c>
      <c r="C11" s="572" t="s">
        <v>38</v>
      </c>
      <c r="D11" s="572" t="s">
        <v>130</v>
      </c>
      <c r="E11" s="573">
        <v>43314.457152777781</v>
      </c>
      <c r="F11" s="441">
        <v>43314.457152777781</v>
      </c>
      <c r="G11" s="442">
        <v>0.45694444444444443</v>
      </c>
      <c r="H11" s="443">
        <v>7.533333333333335</v>
      </c>
      <c r="I11" s="443">
        <v>5.5</v>
      </c>
      <c r="J11" s="443">
        <v>2.5</v>
      </c>
      <c r="K11" s="567"/>
      <c r="L11" s="567"/>
      <c r="M11" s="567"/>
      <c r="N11" s="443"/>
      <c r="O11" s="506" t="s">
        <v>140</v>
      </c>
      <c r="P11" s="564"/>
      <c r="Q11" s="566"/>
      <c r="R11" s="564"/>
      <c r="S11" s="564"/>
    </row>
    <row r="12" spans="1:23" s="563" customFormat="1">
      <c r="A12" s="572">
        <v>12138</v>
      </c>
      <c r="B12" s="572" t="s">
        <v>38</v>
      </c>
      <c r="C12" s="572" t="s">
        <v>38</v>
      </c>
      <c r="D12" s="572" t="s">
        <v>131</v>
      </c>
      <c r="E12" s="573">
        <v>43314.770983796298</v>
      </c>
      <c r="F12" s="441">
        <v>43314.770983796298</v>
      </c>
      <c r="G12" s="442">
        <v>0.77083333333333337</v>
      </c>
      <c r="H12" s="443" t="s">
        <v>115</v>
      </c>
      <c r="I12" s="443" t="s">
        <v>115</v>
      </c>
      <c r="J12" s="443" t="s">
        <v>115</v>
      </c>
      <c r="K12" s="567"/>
      <c r="L12" s="567"/>
      <c r="M12" s="567"/>
      <c r="N12" s="443"/>
      <c r="O12" s="506"/>
      <c r="P12" s="564"/>
      <c r="Q12" s="566"/>
      <c r="R12" s="564"/>
      <c r="S12" s="564"/>
    </row>
    <row r="13" spans="1:23">
      <c r="A13" s="568">
        <v>12139</v>
      </c>
      <c r="B13" s="568" t="s">
        <v>38</v>
      </c>
      <c r="C13" s="568" t="s">
        <v>38</v>
      </c>
      <c r="D13" s="568" t="s">
        <v>127</v>
      </c>
      <c r="E13" s="569">
        <v>43314.771053240744</v>
      </c>
      <c r="F13" s="574">
        <v>43314.771053240744</v>
      </c>
      <c r="G13" s="570">
        <v>0.77083333333333337</v>
      </c>
      <c r="H13" s="571" t="s">
        <v>115</v>
      </c>
      <c r="I13" s="571" t="s">
        <v>115</v>
      </c>
      <c r="J13" s="571" t="s">
        <v>115</v>
      </c>
      <c r="K13" s="571">
        <v>0.83333333333333304</v>
      </c>
      <c r="L13" s="565"/>
      <c r="M13" s="571">
        <v>0.83333333333333304</v>
      </c>
      <c r="N13" s="571">
        <v>0</v>
      </c>
      <c r="O13" s="515"/>
      <c r="P13" s="137"/>
      <c r="Q13" s="397"/>
      <c r="R13" s="137"/>
      <c r="S13" s="137"/>
      <c r="T13" s="16"/>
      <c r="U13" s="16"/>
      <c r="V13" s="16"/>
      <c r="W13" s="63"/>
    </row>
    <row r="14" spans="1:23">
      <c r="A14" s="568">
        <v>12148</v>
      </c>
      <c r="B14" s="568" t="s">
        <v>114</v>
      </c>
      <c r="C14" s="568" t="s">
        <v>38</v>
      </c>
      <c r="D14" s="568" t="s">
        <v>128</v>
      </c>
      <c r="E14" s="569">
        <v>43314.806192129632</v>
      </c>
      <c r="F14" s="574">
        <v>43314.806192129632</v>
      </c>
      <c r="G14" s="570">
        <v>0.80555555555555547</v>
      </c>
      <c r="H14" s="571" t="s">
        <v>115</v>
      </c>
      <c r="I14" s="571" t="s">
        <v>115</v>
      </c>
      <c r="J14" s="571" t="s">
        <v>115</v>
      </c>
      <c r="K14" s="565"/>
      <c r="L14" s="565"/>
      <c r="M14" s="565"/>
      <c r="N14" s="571"/>
      <c r="O14" s="515"/>
      <c r="P14" s="137"/>
      <c r="Q14" s="397"/>
      <c r="R14" s="137"/>
      <c r="S14" s="137"/>
      <c r="T14" s="16"/>
      <c r="U14" s="16"/>
      <c r="V14" s="16"/>
      <c r="W14" s="63"/>
    </row>
    <row r="15" spans="1:23" s="2" customFormat="1">
      <c r="A15" s="568">
        <v>12161</v>
      </c>
      <c r="B15" s="568" t="s">
        <v>38</v>
      </c>
      <c r="C15" s="568" t="s">
        <v>38</v>
      </c>
      <c r="D15" s="568" t="s">
        <v>125</v>
      </c>
      <c r="E15" s="569">
        <v>43315.36273148148</v>
      </c>
      <c r="F15" s="574">
        <v>43315.36273148148</v>
      </c>
      <c r="G15" s="570">
        <v>0.36249999999999999</v>
      </c>
      <c r="H15" s="571">
        <v>9.8500000000000014</v>
      </c>
      <c r="I15" s="571">
        <v>8</v>
      </c>
      <c r="J15" s="571" t="s">
        <v>115</v>
      </c>
      <c r="K15" s="565"/>
      <c r="L15" s="565"/>
      <c r="M15" s="565"/>
      <c r="N15" s="571"/>
      <c r="O15" s="515"/>
      <c r="P15" s="345"/>
      <c r="Q15" s="369"/>
      <c r="R15" s="372"/>
      <c r="S15" s="372"/>
      <c r="T15" s="373"/>
      <c r="U15" s="373"/>
      <c r="V15" s="373"/>
      <c r="W15" s="187"/>
    </row>
    <row r="16" spans="1:23" s="63" customFormat="1">
      <c r="A16" s="568">
        <v>12174</v>
      </c>
      <c r="B16" s="568" t="s">
        <v>38</v>
      </c>
      <c r="C16" s="568" t="s">
        <v>38</v>
      </c>
      <c r="D16" s="568" t="s">
        <v>126</v>
      </c>
      <c r="E16" s="569">
        <v>43315.773333333331</v>
      </c>
      <c r="F16" s="574">
        <v>43315.773333333331</v>
      </c>
      <c r="G16" s="570">
        <v>0.7729166666666667</v>
      </c>
      <c r="H16" s="571" t="s">
        <v>115</v>
      </c>
      <c r="I16" s="571" t="s">
        <v>115</v>
      </c>
      <c r="J16" s="571" t="s">
        <v>115</v>
      </c>
      <c r="K16" s="565"/>
      <c r="L16" s="565"/>
      <c r="M16" s="565"/>
      <c r="N16" s="571"/>
      <c r="O16" s="515"/>
      <c r="P16" s="345"/>
      <c r="Q16" s="369"/>
      <c r="R16" s="372"/>
      <c r="S16" s="372"/>
      <c r="T16" s="373"/>
      <c r="U16" s="373"/>
      <c r="V16" s="373"/>
    </row>
    <row r="17" spans="1:23" s="63" customFormat="1">
      <c r="A17" s="568">
        <v>12175</v>
      </c>
      <c r="B17" s="568" t="s">
        <v>38</v>
      </c>
      <c r="C17" s="568" t="s">
        <v>38</v>
      </c>
      <c r="D17" s="568" t="s">
        <v>127</v>
      </c>
      <c r="E17" s="569">
        <v>43315.773379629631</v>
      </c>
      <c r="F17" s="574">
        <v>43315.773379629631</v>
      </c>
      <c r="G17" s="570">
        <v>0.7729166666666667</v>
      </c>
      <c r="H17" s="571" t="s">
        <v>115</v>
      </c>
      <c r="I17" s="571" t="s">
        <v>115</v>
      </c>
      <c r="J17" s="571" t="s">
        <v>115</v>
      </c>
      <c r="K17" s="571">
        <v>1.5666666666666664</v>
      </c>
      <c r="L17" s="565"/>
      <c r="M17" s="571">
        <v>1.5666666666666664</v>
      </c>
      <c r="N17" s="571">
        <v>0</v>
      </c>
      <c r="O17" s="515"/>
      <c r="P17" s="9"/>
      <c r="Q17" s="345"/>
      <c r="R17" s="372"/>
      <c r="S17" s="372"/>
      <c r="T17" s="373"/>
      <c r="U17" s="373"/>
      <c r="V17" s="373"/>
      <c r="W17" s="9"/>
    </row>
    <row r="18" spans="1:23" s="63" customFormat="1">
      <c r="A18" s="568">
        <v>12189</v>
      </c>
      <c r="B18" s="568" t="s">
        <v>38</v>
      </c>
      <c r="C18" s="568" t="s">
        <v>38</v>
      </c>
      <c r="D18" s="568" t="s">
        <v>128</v>
      </c>
      <c r="E18" s="569">
        <v>43315.838877314818</v>
      </c>
      <c r="F18" s="574">
        <v>43315.838877314818</v>
      </c>
      <c r="G18" s="570">
        <v>0.83819444444444446</v>
      </c>
      <c r="H18" s="571" t="s">
        <v>115</v>
      </c>
      <c r="I18" s="571" t="s">
        <v>115</v>
      </c>
      <c r="J18" s="571" t="s">
        <v>115</v>
      </c>
      <c r="K18" s="565"/>
      <c r="L18" s="565"/>
      <c r="M18" s="565"/>
      <c r="N18" s="571"/>
      <c r="O18" s="515"/>
      <c r="P18" s="9"/>
      <c r="Q18" s="345"/>
      <c r="R18" s="372"/>
      <c r="S18" s="372"/>
      <c r="T18" s="373"/>
      <c r="U18" s="373"/>
      <c r="V18" s="373"/>
      <c r="W18"/>
    </row>
    <row r="19" spans="1:23" s="63" customFormat="1">
      <c r="A19" s="568">
        <v>12194</v>
      </c>
      <c r="B19" s="568" t="s">
        <v>38</v>
      </c>
      <c r="C19" s="568" t="s">
        <v>38</v>
      </c>
      <c r="D19" s="568" t="s">
        <v>125</v>
      </c>
      <c r="E19" s="569">
        <v>43318.360729166663</v>
      </c>
      <c r="F19" s="574">
        <v>43318.360729166663</v>
      </c>
      <c r="G19" s="570">
        <v>0.36041666666666666</v>
      </c>
      <c r="H19" s="571">
        <v>9.6666666666666661</v>
      </c>
      <c r="I19" s="571">
        <v>8</v>
      </c>
      <c r="J19" s="571" t="s">
        <v>115</v>
      </c>
      <c r="K19" s="565"/>
      <c r="L19" s="565"/>
      <c r="M19" s="565"/>
      <c r="N19" s="571"/>
      <c r="O19" s="515"/>
      <c r="P19" s="9"/>
      <c r="Q19" s="345"/>
      <c r="R19" s="372"/>
      <c r="S19" s="372"/>
      <c r="T19" s="373"/>
      <c r="U19" s="373"/>
      <c r="V19" s="373"/>
      <c r="W19"/>
    </row>
    <row r="20" spans="1:23">
      <c r="A20" s="568">
        <v>12207</v>
      </c>
      <c r="B20" s="568" t="s">
        <v>38</v>
      </c>
      <c r="C20" s="568" t="s">
        <v>38</v>
      </c>
      <c r="D20" s="568" t="s">
        <v>126</v>
      </c>
      <c r="E20" s="569">
        <v>43318.763831018521</v>
      </c>
      <c r="F20" s="574">
        <v>43318.763831018521</v>
      </c>
      <c r="G20" s="570">
        <v>0.7631944444444444</v>
      </c>
      <c r="H20" s="571" t="s">
        <v>115</v>
      </c>
      <c r="I20" s="571" t="s">
        <v>115</v>
      </c>
      <c r="J20" s="571" t="s">
        <v>115</v>
      </c>
      <c r="K20" s="565"/>
      <c r="L20" s="565"/>
      <c r="M20" s="565"/>
      <c r="N20" s="571"/>
      <c r="O20" s="515"/>
      <c r="P20" s="9"/>
      <c r="R20" s="372"/>
      <c r="S20" s="372"/>
      <c r="T20" s="373"/>
      <c r="U20" s="373"/>
      <c r="V20" s="373"/>
      <c r="W20" s="63"/>
    </row>
    <row r="21" spans="1:23" s="63" customFormat="1">
      <c r="A21" s="568">
        <v>12216</v>
      </c>
      <c r="B21" s="568" t="s">
        <v>38</v>
      </c>
      <c r="C21" s="568" t="s">
        <v>38</v>
      </c>
      <c r="D21" s="568" t="s">
        <v>127</v>
      </c>
      <c r="E21" s="569">
        <v>43318.77039351852</v>
      </c>
      <c r="F21" s="574">
        <v>43318.77039351852</v>
      </c>
      <c r="G21" s="570">
        <v>0.77013888888888893</v>
      </c>
      <c r="H21" s="571" t="s">
        <v>115</v>
      </c>
      <c r="I21" s="571" t="s">
        <v>115</v>
      </c>
      <c r="J21" s="571" t="s">
        <v>115</v>
      </c>
      <c r="K21" s="571">
        <v>2.1500000000000004</v>
      </c>
      <c r="L21" s="565"/>
      <c r="M21" s="571">
        <v>2</v>
      </c>
      <c r="N21" s="571">
        <v>0.15000000000000036</v>
      </c>
      <c r="O21" s="515"/>
      <c r="P21" s="9"/>
      <c r="Q21" s="345"/>
      <c r="R21" s="372"/>
      <c r="S21" s="372"/>
      <c r="T21" s="373"/>
      <c r="U21" s="373"/>
      <c r="V21" s="373"/>
    </row>
    <row r="22" spans="1:23">
      <c r="A22" s="568">
        <v>12221</v>
      </c>
      <c r="B22" s="568" t="s">
        <v>38</v>
      </c>
      <c r="C22" s="568" t="s">
        <v>38</v>
      </c>
      <c r="D22" s="568" t="s">
        <v>128</v>
      </c>
      <c r="E22" s="569">
        <v>43318.859803240739</v>
      </c>
      <c r="F22" s="574">
        <v>43318.859803240739</v>
      </c>
      <c r="G22" s="570">
        <v>0.85972222222222217</v>
      </c>
      <c r="H22" s="571" t="s">
        <v>115</v>
      </c>
      <c r="I22" s="571" t="s">
        <v>115</v>
      </c>
      <c r="J22" s="571" t="s">
        <v>115</v>
      </c>
      <c r="K22" s="565"/>
      <c r="L22" s="565"/>
      <c r="M22" s="565"/>
      <c r="N22" s="571"/>
      <c r="O22" s="515"/>
      <c r="P22" s="9"/>
      <c r="R22" s="372"/>
      <c r="S22" s="372"/>
      <c r="T22" s="373"/>
      <c r="U22" s="373"/>
      <c r="V22" s="373"/>
      <c r="W22" s="63"/>
    </row>
    <row r="23" spans="1:23" s="2" customFormat="1">
      <c r="A23" s="572">
        <v>12228</v>
      </c>
      <c r="B23" s="572" t="s">
        <v>38</v>
      </c>
      <c r="C23" s="572" t="s">
        <v>38</v>
      </c>
      <c r="D23" s="572" t="s">
        <v>130</v>
      </c>
      <c r="E23" s="573">
        <v>43319.356458333335</v>
      </c>
      <c r="F23" s="441">
        <v>43319.356458333335</v>
      </c>
      <c r="G23" s="442">
        <v>0.35625000000000001</v>
      </c>
      <c r="H23" s="443">
        <v>3.7666666666666653</v>
      </c>
      <c r="I23" s="443">
        <v>3.5</v>
      </c>
      <c r="J23" s="443">
        <v>4.5</v>
      </c>
      <c r="K23" s="567"/>
      <c r="L23" s="567"/>
      <c r="M23" s="567"/>
      <c r="N23" s="443"/>
      <c r="O23" s="506" t="s">
        <v>140</v>
      </c>
      <c r="P23" s="9"/>
      <c r="Q23" s="345"/>
      <c r="R23" s="372"/>
      <c r="S23" s="372"/>
      <c r="T23" s="373"/>
      <c r="U23" s="373"/>
      <c r="V23" s="373"/>
      <c r="W23" s="16"/>
    </row>
    <row r="24" spans="1:23">
      <c r="A24" s="572">
        <v>12241</v>
      </c>
      <c r="B24" s="572" t="s">
        <v>38</v>
      </c>
      <c r="C24" s="572" t="s">
        <v>38</v>
      </c>
      <c r="D24" s="572" t="s">
        <v>131</v>
      </c>
      <c r="E24" s="573">
        <v>43319.513391203705</v>
      </c>
      <c r="F24" s="441">
        <v>43319.513391203705</v>
      </c>
      <c r="G24" s="442">
        <v>0.5131944444444444</v>
      </c>
      <c r="H24" s="443" t="s">
        <v>115</v>
      </c>
      <c r="I24" s="443" t="s">
        <v>115</v>
      </c>
      <c r="J24" s="443" t="s">
        <v>115</v>
      </c>
      <c r="K24" s="567"/>
      <c r="L24" s="567"/>
      <c r="M24" s="567"/>
      <c r="N24" s="443"/>
      <c r="O24" s="506"/>
      <c r="P24" s="9"/>
      <c r="R24" s="372"/>
      <c r="S24" s="372"/>
      <c r="T24" s="373"/>
      <c r="U24" s="373"/>
      <c r="V24" s="373"/>
      <c r="W24" s="63"/>
    </row>
    <row r="25" spans="1:23" s="63" customFormat="1">
      <c r="A25" s="568">
        <v>12262</v>
      </c>
      <c r="B25" s="568" t="s">
        <v>38</v>
      </c>
      <c r="C25" s="568" t="s">
        <v>38</v>
      </c>
      <c r="D25" s="568" t="s">
        <v>125</v>
      </c>
      <c r="E25" s="569">
        <v>43320.365960648145</v>
      </c>
      <c r="F25" s="574">
        <v>43320.365960648145</v>
      </c>
      <c r="G25" s="570">
        <v>0.36527777777777781</v>
      </c>
      <c r="H25" s="571">
        <v>9.6666666666666679</v>
      </c>
      <c r="I25" s="571">
        <v>8</v>
      </c>
      <c r="J25" s="571" t="s">
        <v>115</v>
      </c>
      <c r="K25" s="565"/>
      <c r="L25" s="565"/>
      <c r="M25" s="565"/>
      <c r="N25" s="571"/>
      <c r="O25" s="515"/>
      <c r="P25" s="9"/>
      <c r="Q25" s="345"/>
      <c r="R25" s="372"/>
      <c r="S25" s="372"/>
      <c r="T25" s="373"/>
      <c r="U25" s="373"/>
      <c r="V25" s="373"/>
      <c r="W25"/>
    </row>
    <row r="26" spans="1:23" s="63" customFormat="1">
      <c r="A26" s="568">
        <v>12273</v>
      </c>
      <c r="B26" s="568" t="s">
        <v>38</v>
      </c>
      <c r="C26" s="568" t="s">
        <v>38</v>
      </c>
      <c r="D26" s="568" t="s">
        <v>126</v>
      </c>
      <c r="E26" s="569">
        <v>43320.76871527778</v>
      </c>
      <c r="F26" s="574">
        <v>43320.76871527778</v>
      </c>
      <c r="G26" s="570">
        <v>0.7680555555555556</v>
      </c>
      <c r="H26" s="571" t="s">
        <v>115</v>
      </c>
      <c r="I26" s="571" t="s">
        <v>115</v>
      </c>
      <c r="J26" s="571" t="s">
        <v>115</v>
      </c>
      <c r="K26" s="565"/>
      <c r="L26" s="565"/>
      <c r="M26" s="565"/>
      <c r="N26" s="571"/>
      <c r="O26" s="515"/>
      <c r="P26" s="9"/>
      <c r="Q26" s="345"/>
      <c r="R26" s="372"/>
      <c r="S26" s="372"/>
      <c r="T26" s="373"/>
      <c r="U26" s="373"/>
      <c r="V26" s="373"/>
      <c r="W26"/>
    </row>
    <row r="27" spans="1:23" s="16" customFormat="1">
      <c r="A27" s="568">
        <v>12298</v>
      </c>
      <c r="B27" s="568" t="s">
        <v>38</v>
      </c>
      <c r="C27" s="568" t="s">
        <v>38</v>
      </c>
      <c r="D27" s="568" t="s">
        <v>125</v>
      </c>
      <c r="E27" s="569">
        <v>43321.358587962961</v>
      </c>
      <c r="F27" s="574">
        <v>43321.358587962961</v>
      </c>
      <c r="G27" s="570">
        <v>0.35833333333333334</v>
      </c>
      <c r="H27" s="571">
        <v>9.6666666666666661</v>
      </c>
      <c r="I27" s="571">
        <v>8</v>
      </c>
      <c r="J27" s="571" t="s">
        <v>115</v>
      </c>
      <c r="K27" s="565"/>
      <c r="L27" s="565"/>
      <c r="M27" s="565"/>
      <c r="N27" s="571"/>
      <c r="O27" s="515"/>
      <c r="P27" s="9"/>
      <c r="Q27" s="345"/>
      <c r="R27" s="372"/>
      <c r="S27" s="401"/>
      <c r="T27" s="401"/>
      <c r="U27" s="401"/>
      <c r="V27" s="401"/>
      <c r="W27" s="398"/>
    </row>
    <row r="28" spans="1:23" s="16" customFormat="1">
      <c r="A28" s="568">
        <v>12313</v>
      </c>
      <c r="B28" s="568" t="s">
        <v>38</v>
      </c>
      <c r="C28" s="568" t="s">
        <v>38</v>
      </c>
      <c r="D28" s="568" t="s">
        <v>126</v>
      </c>
      <c r="E28" s="569">
        <v>43321.761793981481</v>
      </c>
      <c r="F28" s="574">
        <v>43321.761793981481</v>
      </c>
      <c r="G28" s="570">
        <v>0.76111111111111107</v>
      </c>
      <c r="H28" s="571" t="s">
        <v>115</v>
      </c>
      <c r="I28" s="571" t="s">
        <v>115</v>
      </c>
      <c r="J28" s="571" t="s">
        <v>115</v>
      </c>
      <c r="K28" s="565"/>
      <c r="L28" s="565"/>
      <c r="M28" s="565"/>
      <c r="N28" s="571"/>
      <c r="O28" s="515"/>
      <c r="P28" s="9"/>
      <c r="Q28" s="345"/>
      <c r="R28" s="372"/>
      <c r="S28" s="372"/>
      <c r="T28" s="373"/>
      <c r="U28" s="373"/>
      <c r="V28" s="373"/>
      <c r="W28" s="398"/>
    </row>
    <row r="29" spans="1:23" s="16" customFormat="1">
      <c r="A29" s="568">
        <v>12333</v>
      </c>
      <c r="B29" s="568" t="s">
        <v>38</v>
      </c>
      <c r="C29" s="568" t="s">
        <v>38</v>
      </c>
      <c r="D29" s="568" t="s">
        <v>125</v>
      </c>
      <c r="E29" s="569">
        <v>43322.362233796295</v>
      </c>
      <c r="F29" s="574">
        <v>43322.362233796295</v>
      </c>
      <c r="G29" s="570">
        <v>0.36180555555555555</v>
      </c>
      <c r="H29" s="571">
        <v>9.6166666666666654</v>
      </c>
      <c r="I29" s="571">
        <v>8</v>
      </c>
      <c r="J29" s="571" t="s">
        <v>115</v>
      </c>
      <c r="K29" s="565"/>
      <c r="L29" s="565"/>
      <c r="M29" s="565"/>
      <c r="N29" s="571"/>
      <c r="O29" s="515"/>
      <c r="P29" s="9"/>
      <c r="Q29" s="345"/>
      <c r="R29" s="372"/>
      <c r="S29" s="372"/>
      <c r="T29" s="373"/>
      <c r="U29" s="373"/>
      <c r="V29" s="373"/>
      <c r="W29"/>
    </row>
    <row r="30" spans="1:23" s="16" customFormat="1">
      <c r="A30" s="568">
        <v>12349</v>
      </c>
      <c r="B30" s="568" t="s">
        <v>38</v>
      </c>
      <c r="C30" s="568" t="s">
        <v>38</v>
      </c>
      <c r="D30" s="568" t="s">
        <v>126</v>
      </c>
      <c r="E30" s="569">
        <v>43322.762511574074</v>
      </c>
      <c r="F30" s="574">
        <v>43322.762511574074</v>
      </c>
      <c r="G30" s="570">
        <v>0.76250000000000007</v>
      </c>
      <c r="H30" s="571" t="s">
        <v>115</v>
      </c>
      <c r="I30" s="571" t="s">
        <v>115</v>
      </c>
      <c r="J30" s="571" t="s">
        <v>115</v>
      </c>
      <c r="K30" s="571"/>
      <c r="L30" s="571"/>
      <c r="M30" s="571"/>
      <c r="N30" s="571"/>
      <c r="O30" s="515" t="s">
        <v>142</v>
      </c>
      <c r="P30" s="9"/>
      <c r="Q30" s="345"/>
      <c r="R30" s="372"/>
      <c r="S30" s="372"/>
      <c r="T30" s="373"/>
      <c r="U30" s="373"/>
      <c r="V30" s="373"/>
      <c r="W30"/>
    </row>
    <row r="31" spans="1:23">
      <c r="D31" s="458"/>
      <c r="E31" s="336"/>
      <c r="F31" s="373"/>
      <c r="G31" s="376"/>
      <c r="H31" s="377"/>
      <c r="I31" s="378"/>
      <c r="J31" s="378"/>
      <c r="K31" s="379"/>
      <c r="L31" s="379"/>
      <c r="M31" s="379"/>
      <c r="N31" s="379"/>
      <c r="O31" s="380"/>
    </row>
    <row r="32" spans="1:23">
      <c r="D32" s="9" t="s">
        <v>36</v>
      </c>
      <c r="O32" s="454"/>
    </row>
    <row r="33" spans="4:22">
      <c r="D33" s="9" t="s">
        <v>35</v>
      </c>
      <c r="O33" s="454"/>
      <c r="P33" s="399"/>
      <c r="Q33" s="399"/>
      <c r="R33" s="399"/>
      <c r="S33" s="399"/>
      <c r="T33" s="399"/>
      <c r="U33" s="399"/>
      <c r="V33" s="399"/>
    </row>
    <row r="34" spans="4:22">
      <c r="D34" s="172" t="s">
        <v>63</v>
      </c>
      <c r="O34" s="454"/>
    </row>
    <row r="35" spans="4:22">
      <c r="D35" s="458" t="s">
        <v>66</v>
      </c>
      <c r="O35" s="454"/>
    </row>
    <row r="36" spans="4:22">
      <c r="D36" s="458" t="s">
        <v>64</v>
      </c>
      <c r="E36" s="336"/>
      <c r="F36" s="373"/>
      <c r="G36" s="376"/>
      <c r="H36" s="377"/>
      <c r="I36" s="378"/>
      <c r="J36" s="378"/>
      <c r="K36" s="379"/>
      <c r="L36" s="379"/>
      <c r="M36" s="379"/>
      <c r="N36" s="379"/>
      <c r="O36" s="454"/>
    </row>
    <row r="37" spans="4:22">
      <c r="D37" s="458" t="s">
        <v>68</v>
      </c>
      <c r="E37" s="336"/>
      <c r="F37" s="373"/>
      <c r="G37" s="376"/>
      <c r="H37" s="377"/>
      <c r="I37" s="378"/>
      <c r="J37" s="378"/>
      <c r="K37" s="379"/>
      <c r="L37" s="379"/>
      <c r="M37" s="379"/>
      <c r="N37" s="379"/>
      <c r="O37" s="454"/>
      <c r="P37" s="444"/>
      <c r="Q37" s="444"/>
      <c r="R37" s="444"/>
      <c r="S37" s="444"/>
      <c r="T37" s="398"/>
      <c r="U37" s="398"/>
      <c r="V37" s="398"/>
    </row>
    <row r="38" spans="4:22">
      <c r="D38" s="458" t="s">
        <v>69</v>
      </c>
      <c r="E38" s="336"/>
      <c r="F38" s="373"/>
      <c r="G38" s="376"/>
      <c r="H38" s="377"/>
      <c r="I38" s="378"/>
      <c r="J38" s="378"/>
      <c r="K38" s="379"/>
      <c r="L38" s="379"/>
      <c r="M38" s="379"/>
      <c r="N38" s="379"/>
      <c r="O38" s="454"/>
      <c r="P38" s="18"/>
      <c r="Q38" s="18"/>
      <c r="R38" s="18"/>
      <c r="S38" s="18"/>
      <c r="T38" s="63"/>
      <c r="U38" s="63"/>
      <c r="V38" s="63"/>
    </row>
    <row r="39" spans="4:22">
      <c r="D39" s="458" t="s">
        <v>116</v>
      </c>
      <c r="E39" s="336"/>
      <c r="F39" s="373"/>
      <c r="G39" s="376"/>
      <c r="H39" s="377"/>
      <c r="I39" s="378"/>
      <c r="J39" s="378"/>
      <c r="K39" s="379"/>
      <c r="L39" s="379"/>
      <c r="M39" s="379"/>
      <c r="N39" s="379"/>
    </row>
    <row r="40" spans="4:22">
      <c r="D40" s="458" t="s">
        <v>67</v>
      </c>
      <c r="E40" s="336"/>
      <c r="F40" s="373"/>
      <c r="G40" s="376"/>
      <c r="H40" s="377"/>
      <c r="I40" s="378"/>
      <c r="J40" s="378"/>
      <c r="K40" s="379"/>
      <c r="L40" s="379"/>
      <c r="M40" s="379"/>
      <c r="N40" s="379"/>
    </row>
    <row r="41" spans="4:22">
      <c r="P41" s="18"/>
      <c r="Q41" s="18"/>
      <c r="R41" s="18"/>
      <c r="S41" s="18"/>
      <c r="T41" s="63"/>
      <c r="U41" s="63"/>
      <c r="V41" s="63"/>
    </row>
    <row r="59" spans="19:22">
      <c r="S59" s="444"/>
      <c r="T59" s="398"/>
      <c r="U59" s="398"/>
      <c r="V59" s="398"/>
    </row>
  </sheetData>
  <phoneticPr fontId="18" type="noConversion"/>
  <conditionalFormatting sqref="I7:I30">
    <cfRule type="cellIs" dxfId="1" priority="1" operator="lessThan">
      <formula>4</formula>
    </cfRule>
  </conditionalFormatting>
  <printOptions horizontalCentered="1"/>
  <pageMargins left="0.23622047244094491" right="0.23622047244094491" top="0.35433070866141736" bottom="0.35433070866141736" header="0.31496062992125984" footer="0.31496062992125984"/>
  <pageSetup paperSize="9" fitToHeight="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工作表21"/>
  <dimension ref="A1:W126"/>
  <sheetViews>
    <sheetView view="pageBreakPreview" topLeftCell="D1" zoomScaleNormal="100" zoomScaleSheetLayoutView="100" workbookViewId="0">
      <selection activeCell="L16" sqref="L16"/>
    </sheetView>
  </sheetViews>
  <sheetFormatPr defaultRowHeight="16.5" outlineLevelCol="1"/>
  <cols>
    <col min="1" max="2" width="6.875" hidden="1" customWidth="1" outlineLevel="1"/>
    <col min="3" max="3" width="6.5" style="3" hidden="1" customWidth="1" outlineLevel="1"/>
    <col min="4" max="4" width="9.75" style="3" customWidth="1" collapsed="1"/>
    <col min="5" max="5" width="16.125" style="3" customWidth="1"/>
    <col min="6" max="6" width="7.5" style="16" customWidth="1"/>
    <col min="7" max="7" width="8.625" style="17" hidden="1" customWidth="1" outlineLevel="1"/>
    <col min="8" max="8" width="6.25" style="51" hidden="1" customWidth="1" outlineLevel="1"/>
    <col min="9" max="9" width="9.37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9.125" style="22" customWidth="1"/>
    <col min="15" max="15" width="10.625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  <col min="23" max="23" width="18.125" style="335" customWidth="1"/>
  </cols>
  <sheetData>
    <row r="1" spans="1:23" s="4" customFormat="1" ht="28.5" thickBot="1">
      <c r="C1" s="5"/>
      <c r="D1" s="6"/>
      <c r="E1" s="6"/>
      <c r="F1" s="10"/>
      <c r="G1" s="11"/>
      <c r="H1" s="12"/>
      <c r="I1" s="13" t="str">
        <f>B7</f>
        <v>amber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  <c r="W1" s="324"/>
    </row>
    <row r="2" spans="1:23">
      <c r="D2" s="133" t="s">
        <v>74</v>
      </c>
      <c r="E2" s="184">
        <v>0</v>
      </c>
      <c r="F2" s="79" t="s">
        <v>75</v>
      </c>
      <c r="G2" s="80"/>
      <c r="H2" s="80"/>
      <c r="I2" s="81"/>
      <c r="J2" s="81" t="s">
        <v>53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3" ht="17.25" thickBot="1">
      <c r="D3" s="24" t="s">
        <v>76</v>
      </c>
      <c r="E3" s="188">
        <v>0</v>
      </c>
      <c r="F3" s="25"/>
      <c r="G3" s="26"/>
      <c r="H3" s="26"/>
      <c r="I3" s="88"/>
      <c r="J3" s="54">
        <f>D5+E5</f>
        <v>19.5</v>
      </c>
      <c r="K3" s="53">
        <f>SUM(K7:K76)</f>
        <v>6.18333333333333</v>
      </c>
      <c r="L3" s="53">
        <f>M6+N6</f>
        <v>6.18333333333333</v>
      </c>
      <c r="M3" s="53">
        <v>0</v>
      </c>
      <c r="N3" s="53">
        <v>0</v>
      </c>
      <c r="O3" s="50"/>
    </row>
    <row r="4" spans="1:23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160</v>
      </c>
      <c r="W4" s="448"/>
    </row>
    <row r="5" spans="1:23">
      <c r="D5" s="387">
        <f>J6</f>
        <v>19.5</v>
      </c>
      <c r="E5" s="136">
        <v>0</v>
      </c>
      <c r="F5" s="139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3.864583333333331E-2</v>
      </c>
      <c r="W5" s="448"/>
    </row>
    <row r="6" spans="1:23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 t="shared" ref="I6:N6" si="0">SUM(I7:I52)</f>
        <v>140.5</v>
      </c>
      <c r="J6" s="78">
        <f t="shared" si="0"/>
        <v>19.5</v>
      </c>
      <c r="K6" s="78">
        <f t="shared" si="0"/>
        <v>6.18333333333333</v>
      </c>
      <c r="L6" s="78">
        <f t="shared" si="0"/>
        <v>0</v>
      </c>
      <c r="M6" s="78">
        <f t="shared" si="0"/>
        <v>5.0166666666666657</v>
      </c>
      <c r="N6" s="78">
        <f t="shared" si="0"/>
        <v>1.1666666666666643</v>
      </c>
      <c r="O6" s="45"/>
      <c r="P6" s="368">
        <f>SUM(P7:P138)</f>
        <v>0</v>
      </c>
      <c r="Q6" s="368">
        <f>SUM(Q7:Q138)</f>
        <v>0</v>
      </c>
    </row>
    <row r="7" spans="1:23" s="16" customFormat="1">
      <c r="A7" s="424">
        <v>10695</v>
      </c>
      <c r="B7" s="424" t="s">
        <v>9</v>
      </c>
      <c r="C7" s="424" t="s">
        <v>9</v>
      </c>
      <c r="D7" s="425" t="s">
        <v>6</v>
      </c>
      <c r="E7" s="426">
        <v>43252.367037037038</v>
      </c>
      <c r="F7" s="427">
        <v>43252.367037037038</v>
      </c>
      <c r="G7" s="428">
        <v>0.3666666666666667</v>
      </c>
      <c r="H7" s="429">
        <v>9.7000000000000011</v>
      </c>
      <c r="I7" s="429">
        <v>8</v>
      </c>
      <c r="J7" s="429" t="s">
        <v>115</v>
      </c>
      <c r="K7" s="429"/>
      <c r="L7" s="429"/>
      <c r="M7" s="429"/>
      <c r="N7" s="429"/>
      <c r="O7" s="164"/>
      <c r="P7" s="345"/>
      <c r="Q7" s="369"/>
      <c r="R7" s="149"/>
      <c r="S7" s="149"/>
      <c r="T7" s="130"/>
      <c r="U7" s="130"/>
      <c r="V7" s="130"/>
      <c r="W7" s="130"/>
    </row>
    <row r="8" spans="1:23" s="16" customFormat="1">
      <c r="A8" s="424">
        <v>10708</v>
      </c>
      <c r="B8" s="424" t="s">
        <v>9</v>
      </c>
      <c r="C8" s="424" t="s">
        <v>9</v>
      </c>
      <c r="D8" s="430" t="s">
        <v>5</v>
      </c>
      <c r="E8" s="431">
        <v>43252.771423611113</v>
      </c>
      <c r="F8" s="427">
        <v>43252.771423611113</v>
      </c>
      <c r="G8" s="428">
        <v>0.77083333333333337</v>
      </c>
      <c r="H8" s="429" t="s">
        <v>115</v>
      </c>
      <c r="I8" s="429" t="s">
        <v>115</v>
      </c>
      <c r="J8" s="429" t="s">
        <v>115</v>
      </c>
      <c r="K8" s="429"/>
      <c r="L8" s="429"/>
      <c r="M8" s="429"/>
      <c r="N8" s="429"/>
      <c r="O8" s="164"/>
      <c r="P8" s="345"/>
      <c r="Q8" s="369"/>
      <c r="R8" s="149"/>
      <c r="S8" s="149"/>
      <c r="T8" s="130"/>
      <c r="U8" s="130"/>
      <c r="V8" s="130"/>
      <c r="W8" s="130"/>
    </row>
    <row r="9" spans="1:23" s="423" customFormat="1">
      <c r="A9" s="432">
        <v>10722</v>
      </c>
      <c r="B9" s="432" t="s">
        <v>9</v>
      </c>
      <c r="C9" s="432" t="s">
        <v>9</v>
      </c>
      <c r="D9" s="433" t="s">
        <v>6</v>
      </c>
      <c r="E9" s="434">
        <v>43255.36645833333</v>
      </c>
      <c r="F9" s="435">
        <v>43255.36645833333</v>
      </c>
      <c r="G9" s="436">
        <v>0.3659722222222222</v>
      </c>
      <c r="H9" s="437">
        <v>8.7166666666666668</v>
      </c>
      <c r="I9" s="437">
        <v>7</v>
      </c>
      <c r="J9" s="437">
        <v>1</v>
      </c>
      <c r="K9" s="437"/>
      <c r="L9" s="437"/>
      <c r="M9" s="437"/>
      <c r="N9" s="437"/>
      <c r="O9" s="36" t="s">
        <v>122</v>
      </c>
      <c r="P9" s="16"/>
      <c r="Q9" s="16"/>
      <c r="R9" s="137"/>
      <c r="S9" s="137"/>
      <c r="T9" s="16"/>
      <c r="U9" s="16"/>
      <c r="V9" s="16"/>
      <c r="W9" s="16"/>
    </row>
    <row r="10" spans="1:23" s="404" customFormat="1">
      <c r="A10" s="424">
        <v>10732</v>
      </c>
      <c r="B10" s="424" t="s">
        <v>91</v>
      </c>
      <c r="C10" s="424" t="s">
        <v>9</v>
      </c>
      <c r="D10" s="430" t="s">
        <v>5</v>
      </c>
      <c r="E10" s="431">
        <v>43255.729363425926</v>
      </c>
      <c r="F10" s="427">
        <v>43255.729363425926</v>
      </c>
      <c r="G10" s="428">
        <v>0.72916666666666663</v>
      </c>
      <c r="H10" s="429" t="s">
        <v>115</v>
      </c>
      <c r="I10" s="429" t="s">
        <v>115</v>
      </c>
      <c r="J10" s="429" t="s">
        <v>115</v>
      </c>
      <c r="K10" s="429"/>
      <c r="L10" s="429"/>
      <c r="M10" s="429"/>
      <c r="N10" s="429"/>
      <c r="O10" s="164"/>
      <c r="P10" s="63"/>
      <c r="Q10" s="63"/>
      <c r="R10" s="18"/>
      <c r="S10" s="18"/>
      <c r="T10" s="63"/>
      <c r="U10" s="63"/>
      <c r="V10" s="63"/>
      <c r="W10" s="63"/>
    </row>
    <row r="11" spans="1:23" s="423" customFormat="1">
      <c r="A11" s="432">
        <v>10750</v>
      </c>
      <c r="B11" s="432" t="s">
        <v>9</v>
      </c>
      <c r="C11" s="432" t="s">
        <v>9</v>
      </c>
      <c r="D11" s="433" t="s">
        <v>6</v>
      </c>
      <c r="E11" s="434">
        <v>43256.364583333336</v>
      </c>
      <c r="F11" s="435">
        <v>43256.364583333336</v>
      </c>
      <c r="G11" s="436">
        <v>0.36458333333333331</v>
      </c>
      <c r="H11" s="437">
        <v>8.75</v>
      </c>
      <c r="I11" s="437">
        <v>7</v>
      </c>
      <c r="J11" s="437">
        <v>1</v>
      </c>
      <c r="K11" s="437"/>
      <c r="L11" s="437"/>
      <c r="M11" s="437"/>
      <c r="N11" s="437"/>
      <c r="O11" s="36" t="s">
        <v>122</v>
      </c>
      <c r="P11" s="444"/>
      <c r="Q11" s="453"/>
      <c r="R11" s="137"/>
      <c r="S11" s="137"/>
      <c r="T11" s="16"/>
      <c r="U11" s="452"/>
      <c r="V11" s="16"/>
      <c r="W11" s="16"/>
    </row>
    <row r="12" spans="1:23" s="404" customFormat="1">
      <c r="A12" s="424">
        <v>10755</v>
      </c>
      <c r="B12" s="424" t="s">
        <v>9</v>
      </c>
      <c r="C12" s="424" t="s">
        <v>9</v>
      </c>
      <c r="D12" s="430" t="s">
        <v>5</v>
      </c>
      <c r="E12" s="431">
        <v>43256.729328703703</v>
      </c>
      <c r="F12" s="427">
        <v>43256.729328703703</v>
      </c>
      <c r="G12" s="428">
        <v>0.72916666666666663</v>
      </c>
      <c r="H12" s="429" t="s">
        <v>115</v>
      </c>
      <c r="I12" s="429" t="s">
        <v>115</v>
      </c>
      <c r="J12" s="429" t="s">
        <v>115</v>
      </c>
      <c r="K12" s="429"/>
      <c r="L12" s="429"/>
      <c r="M12" s="429"/>
      <c r="N12" s="429"/>
      <c r="O12" s="164"/>
      <c r="P12" s="345"/>
      <c r="Q12" s="369"/>
      <c r="R12" s="372"/>
      <c r="S12" s="372"/>
      <c r="T12" s="373"/>
      <c r="U12" s="373"/>
      <c r="V12" s="373"/>
      <c r="W12" s="373"/>
    </row>
    <row r="13" spans="1:23" s="392" customFormat="1">
      <c r="A13" s="432">
        <v>10775</v>
      </c>
      <c r="B13" s="432" t="s">
        <v>9</v>
      </c>
      <c r="C13" s="432" t="s">
        <v>9</v>
      </c>
      <c r="D13" s="433" t="s">
        <v>6</v>
      </c>
      <c r="E13" s="434">
        <v>43257.364733796298</v>
      </c>
      <c r="F13" s="435">
        <v>43257.364733796298</v>
      </c>
      <c r="G13" s="436">
        <v>0.36458333333333331</v>
      </c>
      <c r="H13" s="437">
        <v>8.75</v>
      </c>
      <c r="I13" s="437">
        <v>7</v>
      </c>
      <c r="J13" s="437">
        <v>1</v>
      </c>
      <c r="K13" s="437"/>
      <c r="L13" s="437"/>
      <c r="M13" s="437"/>
      <c r="N13" s="437"/>
      <c r="O13" s="36" t="s">
        <v>122</v>
      </c>
      <c r="P13" s="137"/>
      <c r="Q13" s="397"/>
      <c r="R13" s="137"/>
      <c r="S13" s="137"/>
      <c r="T13" s="16"/>
      <c r="U13" s="16"/>
      <c r="V13" s="16"/>
      <c r="W13" s="16"/>
    </row>
    <row r="14" spans="1:23" s="16" customFormat="1">
      <c r="A14" s="424">
        <v>10781</v>
      </c>
      <c r="B14" s="424" t="s">
        <v>9</v>
      </c>
      <c r="C14" s="424" t="s">
        <v>9</v>
      </c>
      <c r="D14" s="430" t="s">
        <v>5</v>
      </c>
      <c r="E14" s="431">
        <v>43257.729479166665</v>
      </c>
      <c r="F14" s="427">
        <v>43257.729479166665</v>
      </c>
      <c r="G14" s="428">
        <v>0.72916666666666663</v>
      </c>
      <c r="H14" s="429" t="s">
        <v>115</v>
      </c>
      <c r="I14" s="429" t="s">
        <v>115</v>
      </c>
      <c r="J14" s="429" t="s">
        <v>115</v>
      </c>
      <c r="K14" s="429"/>
      <c r="L14" s="429"/>
      <c r="M14" s="429"/>
      <c r="N14" s="429"/>
      <c r="O14" s="164"/>
      <c r="P14" s="137"/>
      <c r="Q14" s="397"/>
      <c r="R14" s="137"/>
      <c r="S14" s="137"/>
    </row>
    <row r="15" spans="1:23" s="137" customFormat="1">
      <c r="A15" s="432">
        <v>10800</v>
      </c>
      <c r="B15" s="432" t="s">
        <v>9</v>
      </c>
      <c r="C15" s="432" t="s">
        <v>9</v>
      </c>
      <c r="D15" s="433" t="s">
        <v>6</v>
      </c>
      <c r="E15" s="434">
        <v>43258.362812500003</v>
      </c>
      <c r="F15" s="435">
        <v>43258.362812500003</v>
      </c>
      <c r="G15" s="436">
        <v>0.36249999999999999</v>
      </c>
      <c r="H15" s="437">
        <v>8.9166666666666661</v>
      </c>
      <c r="I15" s="437">
        <v>7</v>
      </c>
      <c r="J15" s="437">
        <v>1</v>
      </c>
      <c r="K15" s="437"/>
      <c r="L15" s="437"/>
      <c r="M15" s="437"/>
      <c r="N15" s="437"/>
      <c r="O15" s="36" t="s">
        <v>122</v>
      </c>
      <c r="Q15" s="397"/>
      <c r="T15" s="16"/>
      <c r="U15" s="16"/>
      <c r="V15" s="16"/>
      <c r="W15" s="16"/>
    </row>
    <row r="16" spans="1:23" s="18" customFormat="1">
      <c r="A16" s="424">
        <v>10808</v>
      </c>
      <c r="B16" s="424" t="s">
        <v>9</v>
      </c>
      <c r="C16" s="424" t="s">
        <v>9</v>
      </c>
      <c r="D16" s="430" t="s">
        <v>5</v>
      </c>
      <c r="E16" s="431">
        <v>43258.734606481485</v>
      </c>
      <c r="F16" s="427">
        <v>43258.734606481485</v>
      </c>
      <c r="G16" s="428">
        <v>0.73402777777777783</v>
      </c>
      <c r="H16" s="429" t="s">
        <v>115</v>
      </c>
      <c r="I16" s="429" t="s">
        <v>115</v>
      </c>
      <c r="J16" s="429" t="s">
        <v>115</v>
      </c>
      <c r="K16" s="429"/>
      <c r="L16" s="429"/>
      <c r="M16" s="429"/>
      <c r="N16" s="429"/>
      <c r="O16" s="164"/>
      <c r="P16" s="137"/>
      <c r="Q16" s="397"/>
      <c r="R16" s="137"/>
      <c r="S16" s="137"/>
      <c r="T16" s="16"/>
      <c r="U16" s="16"/>
      <c r="V16" s="16"/>
      <c r="W16" s="16"/>
    </row>
    <row r="17" spans="1:23" s="137" customFormat="1">
      <c r="A17" s="432">
        <v>10829</v>
      </c>
      <c r="B17" s="432" t="s">
        <v>9</v>
      </c>
      <c r="C17" s="432" t="s">
        <v>9</v>
      </c>
      <c r="D17" s="433" t="s">
        <v>6</v>
      </c>
      <c r="E17" s="434">
        <v>43259.362685185188</v>
      </c>
      <c r="F17" s="435">
        <v>43259.362685185188</v>
      </c>
      <c r="G17" s="436">
        <v>0.36249999999999999</v>
      </c>
      <c r="H17" s="437">
        <v>8.6166666666666671</v>
      </c>
      <c r="I17" s="437">
        <v>7</v>
      </c>
      <c r="J17" s="437">
        <v>1</v>
      </c>
      <c r="K17" s="437"/>
      <c r="L17" s="437"/>
      <c r="M17" s="437"/>
      <c r="N17" s="437"/>
      <c r="O17" s="36" t="s">
        <v>122</v>
      </c>
      <c r="P17" s="444"/>
      <c r="Q17" s="453"/>
      <c r="T17" s="16"/>
      <c r="U17" s="16"/>
      <c r="V17" s="16"/>
      <c r="W17" s="16"/>
    </row>
    <row r="18" spans="1:23" s="18" customFormat="1">
      <c r="A18" s="424">
        <v>10838</v>
      </c>
      <c r="B18" s="424" t="s">
        <v>9</v>
      </c>
      <c r="C18" s="424" t="s">
        <v>9</v>
      </c>
      <c r="D18" s="430" t="s">
        <v>5</v>
      </c>
      <c r="E18" s="431">
        <v>43259.721550925926</v>
      </c>
      <c r="F18" s="427">
        <v>43259.721550925926</v>
      </c>
      <c r="G18" s="428">
        <v>0.72152777777777777</v>
      </c>
      <c r="H18" s="429" t="s">
        <v>115</v>
      </c>
      <c r="I18" s="429" t="s">
        <v>115</v>
      </c>
      <c r="J18" s="429" t="s">
        <v>115</v>
      </c>
      <c r="K18" s="429"/>
      <c r="L18" s="429"/>
      <c r="M18" s="429"/>
      <c r="N18" s="429"/>
      <c r="O18" s="164"/>
      <c r="P18" s="345"/>
      <c r="Q18" s="369"/>
      <c r="R18" s="372"/>
      <c r="S18" s="372"/>
      <c r="T18" s="373"/>
      <c r="U18" s="373"/>
      <c r="V18" s="373"/>
      <c r="W18" s="373"/>
    </row>
    <row r="19" spans="1:23" s="137" customFormat="1">
      <c r="A19" s="432">
        <v>10866</v>
      </c>
      <c r="B19" s="432" t="s">
        <v>9</v>
      </c>
      <c r="C19" s="432" t="s">
        <v>9</v>
      </c>
      <c r="D19" s="433" t="s">
        <v>6</v>
      </c>
      <c r="E19" s="434">
        <v>43262.36859953704</v>
      </c>
      <c r="F19" s="435">
        <v>43262.36859953704</v>
      </c>
      <c r="G19" s="436">
        <v>0.36805555555555558</v>
      </c>
      <c r="H19" s="437">
        <v>3.3166666666666655</v>
      </c>
      <c r="I19" s="455">
        <v>3</v>
      </c>
      <c r="J19" s="437">
        <v>5</v>
      </c>
      <c r="K19" s="437"/>
      <c r="L19" s="437"/>
      <c r="M19" s="437"/>
      <c r="N19" s="437"/>
      <c r="O19" s="36" t="s">
        <v>122</v>
      </c>
      <c r="P19" s="444"/>
      <c r="Q19" s="453"/>
      <c r="T19" s="16"/>
      <c r="U19" s="16"/>
      <c r="V19" s="16"/>
      <c r="W19" s="16"/>
    </row>
    <row r="20" spans="1:23" s="137" customFormat="1">
      <c r="A20" s="424">
        <v>10871</v>
      </c>
      <c r="B20" s="424" t="s">
        <v>9</v>
      </c>
      <c r="C20" s="424" t="s">
        <v>9</v>
      </c>
      <c r="D20" s="430" t="s">
        <v>5</v>
      </c>
      <c r="E20" s="431">
        <v>43262.506932870368</v>
      </c>
      <c r="F20" s="427">
        <v>43262.506932870368</v>
      </c>
      <c r="G20" s="428">
        <v>0.50624999999999998</v>
      </c>
      <c r="H20" s="429" t="s">
        <v>115</v>
      </c>
      <c r="I20" s="429" t="s">
        <v>115</v>
      </c>
      <c r="J20" s="429" t="s">
        <v>115</v>
      </c>
      <c r="K20" s="429"/>
      <c r="L20" s="429"/>
      <c r="M20" s="429"/>
      <c r="N20" s="429"/>
      <c r="O20" s="164"/>
      <c r="P20" s="345"/>
      <c r="Q20" s="369"/>
      <c r="R20" s="372"/>
      <c r="S20" s="372"/>
      <c r="T20" s="373"/>
      <c r="U20" s="373"/>
      <c r="V20" s="373"/>
      <c r="W20" s="373"/>
    </row>
    <row r="21" spans="1:23" s="137" customFormat="1">
      <c r="A21" s="432">
        <v>10889</v>
      </c>
      <c r="B21" s="432" t="s">
        <v>9</v>
      </c>
      <c r="C21" s="432" t="s">
        <v>9</v>
      </c>
      <c r="D21" s="433" t="s">
        <v>6</v>
      </c>
      <c r="E21" s="434">
        <v>43263.362291666665</v>
      </c>
      <c r="F21" s="435">
        <v>43263.362291666665</v>
      </c>
      <c r="G21" s="436">
        <v>0.36180555555555555</v>
      </c>
      <c r="H21" s="437">
        <v>8.6166666666666671</v>
      </c>
      <c r="I21" s="437">
        <v>7</v>
      </c>
      <c r="J21" s="437">
        <v>1</v>
      </c>
      <c r="K21" s="437"/>
      <c r="L21" s="437"/>
      <c r="M21" s="437"/>
      <c r="N21" s="437"/>
      <c r="O21" s="36" t="s">
        <v>122</v>
      </c>
      <c r="P21" s="444"/>
      <c r="Q21" s="453"/>
      <c r="T21" s="16"/>
      <c r="U21" s="16"/>
      <c r="V21" s="16"/>
      <c r="W21" s="16"/>
    </row>
    <row r="22" spans="1:23" s="137" customFormat="1">
      <c r="A22" s="424">
        <v>10896</v>
      </c>
      <c r="B22" s="424" t="s">
        <v>9</v>
      </c>
      <c r="C22" s="424" t="s">
        <v>9</v>
      </c>
      <c r="D22" s="430" t="s">
        <v>5</v>
      </c>
      <c r="E22" s="431">
        <v>43263.720983796295</v>
      </c>
      <c r="F22" s="427">
        <v>43263.720983796295</v>
      </c>
      <c r="G22" s="428">
        <v>0.72083333333333333</v>
      </c>
      <c r="H22" s="429" t="s">
        <v>115</v>
      </c>
      <c r="I22" s="429" t="s">
        <v>115</v>
      </c>
      <c r="J22" s="429" t="s">
        <v>115</v>
      </c>
      <c r="K22" s="429"/>
      <c r="L22" s="429"/>
      <c r="M22" s="429"/>
      <c r="N22" s="429"/>
      <c r="O22" s="164"/>
      <c r="P22" s="345"/>
      <c r="Q22" s="369"/>
      <c r="R22" s="372"/>
      <c r="S22" s="372"/>
      <c r="T22" s="373"/>
      <c r="U22" s="373"/>
      <c r="V22" s="373"/>
      <c r="W22" s="373"/>
    </row>
    <row r="23" spans="1:23" s="16" customFormat="1">
      <c r="A23" s="432">
        <v>10915</v>
      </c>
      <c r="B23" s="432" t="s">
        <v>119</v>
      </c>
      <c r="C23" s="432" t="s">
        <v>9</v>
      </c>
      <c r="D23" s="433" t="s">
        <v>6</v>
      </c>
      <c r="E23" s="434">
        <v>43264.365046296298</v>
      </c>
      <c r="F23" s="435">
        <v>43264.365046296298</v>
      </c>
      <c r="G23" s="436">
        <v>0.36458333333333331</v>
      </c>
      <c r="H23" s="437">
        <v>8.75</v>
      </c>
      <c r="I23" s="437">
        <v>7</v>
      </c>
      <c r="J23" s="437">
        <v>1</v>
      </c>
      <c r="K23" s="437"/>
      <c r="L23" s="437"/>
      <c r="M23" s="437"/>
      <c r="N23" s="437"/>
      <c r="O23" s="36" t="s">
        <v>122</v>
      </c>
      <c r="P23" s="444"/>
      <c r="Q23" s="453"/>
      <c r="R23" s="137"/>
      <c r="S23" s="137"/>
    </row>
    <row r="24" spans="1:23" s="9" customFormat="1">
      <c r="A24" s="424">
        <v>10923</v>
      </c>
      <c r="B24" s="424" t="s">
        <v>9</v>
      </c>
      <c r="C24" s="424" t="s">
        <v>9</v>
      </c>
      <c r="D24" s="430" t="s">
        <v>5</v>
      </c>
      <c r="E24" s="431">
        <v>43264.729687500003</v>
      </c>
      <c r="F24" s="427">
        <v>43264.729687500003</v>
      </c>
      <c r="G24" s="428">
        <v>0.72916666666666663</v>
      </c>
      <c r="H24" s="429" t="s">
        <v>115</v>
      </c>
      <c r="I24" s="429" t="s">
        <v>115</v>
      </c>
      <c r="J24" s="429" t="s">
        <v>115</v>
      </c>
      <c r="K24" s="429"/>
      <c r="L24" s="429"/>
      <c r="M24" s="429"/>
      <c r="N24" s="429"/>
      <c r="O24" s="164"/>
      <c r="P24" s="345"/>
      <c r="Q24" s="369"/>
      <c r="R24" s="372"/>
      <c r="S24" s="372"/>
      <c r="T24" s="373"/>
      <c r="U24" s="373"/>
      <c r="V24" s="373"/>
      <c r="W24" s="373"/>
    </row>
    <row r="25" spans="1:23" s="18" customFormat="1">
      <c r="A25" s="424">
        <v>10941</v>
      </c>
      <c r="B25" s="424" t="s">
        <v>9</v>
      </c>
      <c r="C25" s="424" t="s">
        <v>9</v>
      </c>
      <c r="D25" s="430" t="s">
        <v>6</v>
      </c>
      <c r="E25" s="431">
        <v>43265.371886574074</v>
      </c>
      <c r="F25" s="427">
        <v>43265.371886574074</v>
      </c>
      <c r="G25" s="428">
        <v>0.37152777777777773</v>
      </c>
      <c r="H25" s="429">
        <v>9.5666666666666664</v>
      </c>
      <c r="I25" s="429">
        <v>8</v>
      </c>
      <c r="J25" s="429" t="s">
        <v>115</v>
      </c>
      <c r="K25" s="429"/>
      <c r="L25" s="429"/>
      <c r="M25" s="429"/>
      <c r="N25" s="429"/>
      <c r="O25" s="164"/>
      <c r="P25" s="345"/>
      <c r="Q25" s="369"/>
      <c r="R25" s="372"/>
      <c r="S25" s="372"/>
      <c r="T25" s="373"/>
      <c r="U25" s="373"/>
      <c r="V25" s="373"/>
      <c r="W25" s="373"/>
    </row>
    <row r="26" spans="1:23" s="18" customFormat="1">
      <c r="A26" s="424">
        <v>10948</v>
      </c>
      <c r="B26" s="424" t="s">
        <v>9</v>
      </c>
      <c r="C26" s="424" t="s">
        <v>9</v>
      </c>
      <c r="D26" s="430" t="s">
        <v>5</v>
      </c>
      <c r="E26" s="431">
        <v>43265.770451388889</v>
      </c>
      <c r="F26" s="427">
        <v>43265.770451388889</v>
      </c>
      <c r="G26" s="428">
        <v>0.77013888888888893</v>
      </c>
      <c r="H26" s="429" t="s">
        <v>115</v>
      </c>
      <c r="I26" s="429" t="s">
        <v>115</v>
      </c>
      <c r="J26" s="429" t="s">
        <v>115</v>
      </c>
      <c r="K26" s="429"/>
      <c r="L26" s="429"/>
      <c r="M26" s="429"/>
      <c r="N26" s="429"/>
      <c r="O26" s="164"/>
      <c r="P26" s="345"/>
      <c r="Q26" s="369"/>
      <c r="R26" s="372"/>
      <c r="S26" s="372"/>
      <c r="T26" s="373"/>
      <c r="U26" s="373"/>
      <c r="V26" s="373"/>
      <c r="W26" s="373"/>
    </row>
    <row r="27" spans="1:23" s="137" customFormat="1">
      <c r="A27" s="424">
        <v>10952</v>
      </c>
      <c r="B27" s="424" t="s">
        <v>9</v>
      </c>
      <c r="C27" s="424" t="s">
        <v>9</v>
      </c>
      <c r="D27" s="430" t="s">
        <v>7</v>
      </c>
      <c r="E27" s="431">
        <v>43265.773194444446</v>
      </c>
      <c r="F27" s="427">
        <v>43265.773194444446</v>
      </c>
      <c r="G27" s="428">
        <v>0.7729166666666667</v>
      </c>
      <c r="H27" s="429" t="s">
        <v>115</v>
      </c>
      <c r="I27" s="429" t="s">
        <v>115</v>
      </c>
      <c r="J27" s="429" t="s">
        <v>115</v>
      </c>
      <c r="K27" s="429">
        <v>1.0166666666666657</v>
      </c>
      <c r="L27" s="429"/>
      <c r="M27" s="429">
        <v>1.0166666666666657</v>
      </c>
      <c r="N27" s="429">
        <v>0</v>
      </c>
      <c r="O27" s="164"/>
      <c r="P27" s="345"/>
      <c r="Q27" s="369"/>
      <c r="R27" s="372"/>
      <c r="S27" s="372"/>
      <c r="T27" s="373"/>
      <c r="U27" s="373"/>
      <c r="V27" s="373"/>
      <c r="W27" s="373"/>
    </row>
    <row r="28" spans="1:23" s="137" customFormat="1">
      <c r="A28" s="424">
        <v>10956</v>
      </c>
      <c r="B28" s="424" t="s">
        <v>9</v>
      </c>
      <c r="C28" s="424" t="s">
        <v>9</v>
      </c>
      <c r="D28" s="430" t="s">
        <v>8</v>
      </c>
      <c r="E28" s="431">
        <v>43265.815416666665</v>
      </c>
      <c r="F28" s="427">
        <v>43265.815416666665</v>
      </c>
      <c r="G28" s="428">
        <v>0.81527777777777777</v>
      </c>
      <c r="H28" s="429" t="s">
        <v>115</v>
      </c>
      <c r="I28" s="429" t="s">
        <v>115</v>
      </c>
      <c r="J28" s="429" t="s">
        <v>115</v>
      </c>
      <c r="K28" s="429"/>
      <c r="L28" s="429"/>
      <c r="M28" s="429"/>
      <c r="N28" s="429"/>
      <c r="O28" s="164"/>
      <c r="P28" s="345"/>
      <c r="Q28" s="369"/>
      <c r="R28" s="372"/>
      <c r="S28" s="372"/>
      <c r="T28" s="373"/>
      <c r="U28" s="373"/>
      <c r="V28" s="373"/>
      <c r="W28" s="373"/>
    </row>
    <row r="29" spans="1:23" s="137" customFormat="1">
      <c r="A29" s="424">
        <v>10963</v>
      </c>
      <c r="B29" s="424" t="s">
        <v>9</v>
      </c>
      <c r="C29" s="424" t="s">
        <v>9</v>
      </c>
      <c r="D29" s="430" t="s">
        <v>6</v>
      </c>
      <c r="E29" s="431">
        <v>43266.368796296294</v>
      </c>
      <c r="F29" s="427">
        <v>43266.368796296294</v>
      </c>
      <c r="G29" s="428">
        <v>0.36874999999999997</v>
      </c>
      <c r="H29" s="429">
        <v>9.75</v>
      </c>
      <c r="I29" s="429">
        <v>8</v>
      </c>
      <c r="J29" s="429" t="s">
        <v>115</v>
      </c>
      <c r="K29" s="429"/>
      <c r="L29" s="429"/>
      <c r="M29" s="429"/>
      <c r="N29" s="429"/>
      <c r="O29" s="164"/>
      <c r="P29" s="345"/>
      <c r="Q29" s="369"/>
      <c r="R29" s="372"/>
      <c r="S29" s="372"/>
      <c r="T29" s="373"/>
      <c r="U29" s="373"/>
      <c r="V29" s="373"/>
      <c r="W29" s="373"/>
    </row>
    <row r="30" spans="1:23" s="137" customFormat="1">
      <c r="A30" s="424">
        <v>10980</v>
      </c>
      <c r="B30" s="424" t="s">
        <v>9</v>
      </c>
      <c r="C30" s="424" t="s">
        <v>9</v>
      </c>
      <c r="D30" s="430" t="s">
        <v>5</v>
      </c>
      <c r="E30" s="431">
        <v>43266.775381944448</v>
      </c>
      <c r="F30" s="427">
        <v>43266.775381944448</v>
      </c>
      <c r="G30" s="428">
        <v>0.77500000000000002</v>
      </c>
      <c r="H30" s="429" t="s">
        <v>115</v>
      </c>
      <c r="I30" s="429" t="s">
        <v>115</v>
      </c>
      <c r="J30" s="429" t="s">
        <v>115</v>
      </c>
      <c r="K30" s="429"/>
      <c r="L30" s="429"/>
      <c r="M30" s="429"/>
      <c r="N30" s="429"/>
      <c r="O30" s="164"/>
      <c r="P30" s="345"/>
      <c r="Q30" s="369"/>
      <c r="R30" s="372"/>
      <c r="S30" s="372"/>
      <c r="T30" s="373"/>
      <c r="U30" s="373"/>
      <c r="V30" s="373"/>
      <c r="W30" s="373"/>
    </row>
    <row r="31" spans="1:23" s="137" customFormat="1">
      <c r="A31" s="424">
        <v>10963</v>
      </c>
      <c r="B31" s="424" t="s">
        <v>9</v>
      </c>
      <c r="C31" s="424" t="s">
        <v>9</v>
      </c>
      <c r="D31" s="430" t="s">
        <v>6</v>
      </c>
      <c r="E31" s="431">
        <v>43270.354212962964</v>
      </c>
      <c r="F31" s="427">
        <v>43270.354212962964</v>
      </c>
      <c r="G31" s="428">
        <v>0.35416666666666669</v>
      </c>
      <c r="H31" s="429">
        <v>9.5</v>
      </c>
      <c r="I31" s="429">
        <v>8</v>
      </c>
      <c r="J31" s="429" t="s">
        <v>115</v>
      </c>
      <c r="K31" s="429"/>
      <c r="L31" s="429"/>
      <c r="M31" s="429"/>
      <c r="N31" s="429"/>
      <c r="O31" s="164"/>
      <c r="P31" s="399"/>
      <c r="Q31" s="400"/>
      <c r="R31" s="401"/>
      <c r="S31" s="401"/>
      <c r="T31" s="401"/>
      <c r="U31" s="401"/>
      <c r="V31" s="401"/>
      <c r="W31" s="401"/>
    </row>
    <row r="32" spans="1:23" s="18" customFormat="1">
      <c r="A32" s="424">
        <v>10980</v>
      </c>
      <c r="B32" s="424" t="s">
        <v>9</v>
      </c>
      <c r="C32" s="424" t="s">
        <v>9</v>
      </c>
      <c r="D32" s="430" t="s">
        <v>5</v>
      </c>
      <c r="E32" s="431">
        <v>43270.750381944446</v>
      </c>
      <c r="F32" s="427">
        <v>43270.750381944446</v>
      </c>
      <c r="G32" s="428">
        <v>0.75</v>
      </c>
      <c r="H32" s="429" t="s">
        <v>115</v>
      </c>
      <c r="I32" s="429" t="s">
        <v>115</v>
      </c>
      <c r="J32" s="429" t="s">
        <v>115</v>
      </c>
      <c r="K32" s="429"/>
      <c r="L32" s="429"/>
      <c r="M32" s="429"/>
      <c r="N32" s="429"/>
      <c r="O32" s="164"/>
      <c r="P32" s="345"/>
      <c r="Q32" s="369"/>
      <c r="R32" s="372"/>
      <c r="S32" s="372"/>
      <c r="T32" s="373"/>
      <c r="U32" s="373"/>
      <c r="V32" s="373"/>
      <c r="W32" s="373"/>
    </row>
    <row r="33" spans="1:23" s="398" customFormat="1">
      <c r="A33" s="432">
        <v>11015</v>
      </c>
      <c r="B33" s="432" t="s">
        <v>91</v>
      </c>
      <c r="C33" s="432" t="s">
        <v>9</v>
      </c>
      <c r="D33" s="433" t="s">
        <v>6</v>
      </c>
      <c r="E33" s="434">
        <v>43271.455983796295</v>
      </c>
      <c r="F33" s="435">
        <v>43271.455983796295</v>
      </c>
      <c r="G33" s="436">
        <v>0.45555555555555555</v>
      </c>
      <c r="H33" s="437">
        <v>6.1833333333333336</v>
      </c>
      <c r="I33" s="437">
        <v>4.5</v>
      </c>
      <c r="J33" s="437">
        <v>3.5</v>
      </c>
      <c r="K33" s="437"/>
      <c r="L33" s="437"/>
      <c r="M33" s="437"/>
      <c r="N33" s="437"/>
      <c r="O33" s="36" t="s">
        <v>122</v>
      </c>
      <c r="P33" s="444"/>
      <c r="Q33" s="453"/>
      <c r="R33" s="137"/>
      <c r="S33" s="137"/>
      <c r="T33" s="16"/>
      <c r="U33" s="16"/>
      <c r="V33" s="16"/>
      <c r="W33" s="16"/>
    </row>
    <row r="34" spans="1:23" s="2" customFormat="1">
      <c r="A34" s="424">
        <v>11020</v>
      </c>
      <c r="B34" s="424" t="s">
        <v>9</v>
      </c>
      <c r="C34" s="424" t="s">
        <v>9</v>
      </c>
      <c r="D34" s="430" t="s">
        <v>5</v>
      </c>
      <c r="E34" s="431">
        <v>43271.71334490741</v>
      </c>
      <c r="F34" s="427">
        <v>43271.71334490741</v>
      </c>
      <c r="G34" s="428">
        <v>0.71319444444444446</v>
      </c>
      <c r="H34" s="429" t="s">
        <v>115</v>
      </c>
      <c r="I34" s="429" t="s">
        <v>115</v>
      </c>
      <c r="J34" s="429" t="s">
        <v>115</v>
      </c>
      <c r="K34" s="429"/>
      <c r="L34" s="429"/>
      <c r="M34" s="429"/>
      <c r="N34" s="429"/>
      <c r="O34" s="164"/>
      <c r="P34" s="345"/>
      <c r="Q34" s="369"/>
      <c r="R34" s="372"/>
      <c r="S34" s="372"/>
      <c r="T34" s="373"/>
      <c r="U34" s="373"/>
      <c r="V34" s="373"/>
      <c r="W34" s="373"/>
    </row>
    <row r="35" spans="1:23" s="16" customFormat="1">
      <c r="A35" s="424">
        <v>11036</v>
      </c>
      <c r="B35" s="424" t="s">
        <v>9</v>
      </c>
      <c r="C35" s="424" t="s">
        <v>9</v>
      </c>
      <c r="D35" s="430" t="s">
        <v>6</v>
      </c>
      <c r="E35" s="431">
        <v>43272.36215277778</v>
      </c>
      <c r="F35" s="427">
        <v>43272.36215277778</v>
      </c>
      <c r="G35" s="428">
        <v>0.36180555555555555</v>
      </c>
      <c r="H35" s="429">
        <v>9.8333333333333339</v>
      </c>
      <c r="I35" s="429">
        <v>8</v>
      </c>
      <c r="J35" s="429" t="s">
        <v>115</v>
      </c>
      <c r="K35" s="429"/>
      <c r="L35" s="429"/>
      <c r="M35" s="429"/>
      <c r="N35" s="429"/>
      <c r="O35" s="164"/>
      <c r="P35" s="345"/>
      <c r="Q35" s="369"/>
      <c r="R35" s="374"/>
      <c r="S35" s="374"/>
      <c r="T35" s="375"/>
      <c r="U35" s="375"/>
      <c r="V35" s="375"/>
      <c r="W35" s="375"/>
    </row>
    <row r="36" spans="1:23" s="392" customFormat="1">
      <c r="A36" s="424">
        <v>11055</v>
      </c>
      <c r="B36" s="424" t="s">
        <v>9</v>
      </c>
      <c r="C36" s="424" t="s">
        <v>9</v>
      </c>
      <c r="D36" s="430" t="s">
        <v>5</v>
      </c>
      <c r="E36" s="431">
        <v>43272.772175925929</v>
      </c>
      <c r="F36" s="427">
        <v>43272.772175925929</v>
      </c>
      <c r="G36" s="428">
        <v>0.7715277777777777</v>
      </c>
      <c r="H36" s="429" t="s">
        <v>115</v>
      </c>
      <c r="I36" s="429" t="s">
        <v>115</v>
      </c>
      <c r="J36" s="429" t="s">
        <v>115</v>
      </c>
      <c r="K36" s="429"/>
      <c r="L36" s="429"/>
      <c r="M36" s="429"/>
      <c r="N36" s="429"/>
      <c r="O36" s="164"/>
      <c r="P36" s="345"/>
      <c r="Q36" s="369"/>
      <c r="R36" s="345"/>
      <c r="S36" s="345"/>
      <c r="T36" s="335"/>
      <c r="U36" s="335"/>
      <c r="V36" s="335"/>
      <c r="W36" s="335"/>
    </row>
    <row r="37" spans="1:23" s="137" customFormat="1">
      <c r="A37" s="424">
        <v>11056</v>
      </c>
      <c r="B37" s="424" t="s">
        <v>9</v>
      </c>
      <c r="C37" s="424" t="s">
        <v>9</v>
      </c>
      <c r="D37" s="430" t="s">
        <v>7</v>
      </c>
      <c r="E37" s="431">
        <v>43272.772210648145</v>
      </c>
      <c r="F37" s="427">
        <v>43272.772210648145</v>
      </c>
      <c r="G37" s="428">
        <v>0.7715277777777777</v>
      </c>
      <c r="H37" s="429" t="s">
        <v>115</v>
      </c>
      <c r="I37" s="429" t="s">
        <v>115</v>
      </c>
      <c r="J37" s="429" t="s">
        <v>115</v>
      </c>
      <c r="K37" s="429">
        <v>2.4833333333333325</v>
      </c>
      <c r="L37" s="429"/>
      <c r="M37" s="429">
        <v>2</v>
      </c>
      <c r="N37" s="429">
        <v>0.4833333333333325</v>
      </c>
      <c r="O37" s="186"/>
      <c r="P37" s="345"/>
      <c r="Q37" s="369"/>
      <c r="R37" s="372"/>
      <c r="S37" s="372"/>
      <c r="T37" s="373"/>
      <c r="U37" s="373"/>
      <c r="V37" s="373"/>
      <c r="W37" s="373"/>
    </row>
    <row r="38" spans="1:23" s="18" customFormat="1">
      <c r="A38" s="424">
        <v>11064</v>
      </c>
      <c r="B38" s="424" t="s">
        <v>9</v>
      </c>
      <c r="C38" s="424" t="s">
        <v>9</v>
      </c>
      <c r="D38" s="430" t="s">
        <v>8</v>
      </c>
      <c r="E38" s="431">
        <v>43272.875497685185</v>
      </c>
      <c r="F38" s="427">
        <v>43272.875497685185</v>
      </c>
      <c r="G38" s="428">
        <v>0.875</v>
      </c>
      <c r="H38" s="429" t="s">
        <v>115</v>
      </c>
      <c r="I38" s="429" t="s">
        <v>115</v>
      </c>
      <c r="J38" s="429" t="s">
        <v>115</v>
      </c>
      <c r="K38" s="429"/>
      <c r="L38" s="429"/>
      <c r="M38" s="429"/>
      <c r="N38" s="429"/>
      <c r="O38" s="186"/>
      <c r="P38" s="345"/>
      <c r="Q38" s="369"/>
      <c r="T38" s="63"/>
      <c r="U38" s="63"/>
      <c r="V38" s="63"/>
      <c r="W38" s="63"/>
    </row>
    <row r="39" spans="1:23" s="137" customFormat="1">
      <c r="A39" s="432">
        <v>11068</v>
      </c>
      <c r="B39" s="432" t="s">
        <v>9</v>
      </c>
      <c r="C39" s="432" t="s">
        <v>9</v>
      </c>
      <c r="D39" s="433" t="s">
        <v>6</v>
      </c>
      <c r="E39" s="434">
        <v>43273.361921296295</v>
      </c>
      <c r="F39" s="435">
        <v>43273.361921296295</v>
      </c>
      <c r="G39" s="436">
        <v>0.36180555555555555</v>
      </c>
      <c r="H39" s="437">
        <v>8.8166666666666664</v>
      </c>
      <c r="I39" s="437">
        <v>7</v>
      </c>
      <c r="J39" s="437">
        <v>1</v>
      </c>
      <c r="K39" s="437"/>
      <c r="L39" s="437"/>
      <c r="M39" s="437"/>
      <c r="N39" s="437"/>
      <c r="O39" s="36" t="s">
        <v>122</v>
      </c>
      <c r="Q39" s="397"/>
      <c r="R39" s="16"/>
      <c r="S39" s="16"/>
      <c r="T39" s="16"/>
      <c r="U39" s="16"/>
      <c r="V39" s="16"/>
      <c r="W39" s="16"/>
    </row>
    <row r="40" spans="1:23" s="18" customFormat="1">
      <c r="A40" s="424">
        <v>11078</v>
      </c>
      <c r="B40" s="424" t="s">
        <v>9</v>
      </c>
      <c r="C40" s="424" t="s">
        <v>9</v>
      </c>
      <c r="D40" s="430" t="s">
        <v>5</v>
      </c>
      <c r="E40" s="431">
        <v>43273.729421296295</v>
      </c>
      <c r="F40" s="427">
        <v>43273.729421296295</v>
      </c>
      <c r="G40" s="428">
        <v>0.72916666666666663</v>
      </c>
      <c r="H40" s="429" t="s">
        <v>115</v>
      </c>
      <c r="I40" s="429" t="s">
        <v>115</v>
      </c>
      <c r="J40" s="429" t="s">
        <v>115</v>
      </c>
      <c r="K40" s="429"/>
      <c r="L40" s="429"/>
      <c r="M40" s="429"/>
      <c r="N40" s="429"/>
      <c r="O40" s="164"/>
      <c r="P40" s="137"/>
      <c r="Q40" s="397"/>
      <c r="R40" s="16"/>
      <c r="S40" s="16"/>
      <c r="T40" s="16"/>
      <c r="U40" s="16"/>
      <c r="V40" s="16"/>
      <c r="W40" s="16"/>
    </row>
    <row r="41" spans="1:23" s="137" customFormat="1">
      <c r="A41" s="432">
        <v>11105</v>
      </c>
      <c r="B41" s="432" t="s">
        <v>9</v>
      </c>
      <c r="C41" s="432" t="s">
        <v>9</v>
      </c>
      <c r="D41" s="433" t="s">
        <v>6</v>
      </c>
      <c r="E41" s="434">
        <v>43276.354618055557</v>
      </c>
      <c r="F41" s="435">
        <v>43276.576145833336</v>
      </c>
      <c r="G41" s="436">
        <v>0.5756944444444444</v>
      </c>
      <c r="H41" s="437">
        <v>3.6333333333333337</v>
      </c>
      <c r="I41" s="437">
        <v>7</v>
      </c>
      <c r="J41" s="437">
        <v>1</v>
      </c>
      <c r="K41" s="437"/>
      <c r="L41" s="437"/>
      <c r="M41" s="437"/>
      <c r="N41" s="437"/>
      <c r="O41" s="36" t="s">
        <v>122</v>
      </c>
      <c r="P41" s="444"/>
      <c r="Q41" s="453"/>
      <c r="T41" s="16"/>
      <c r="U41" s="16"/>
      <c r="V41" s="16"/>
      <c r="W41" s="16"/>
    </row>
    <row r="42" spans="1:23" s="9" customFormat="1">
      <c r="A42" s="424">
        <v>11106</v>
      </c>
      <c r="B42" s="424" t="s">
        <v>9</v>
      </c>
      <c r="C42" s="424" t="s">
        <v>9</v>
      </c>
      <c r="D42" s="430" t="s">
        <v>5</v>
      </c>
      <c r="E42" s="431">
        <v>43276.727766203701</v>
      </c>
      <c r="F42" s="427">
        <v>43276.727766203701</v>
      </c>
      <c r="G42" s="428">
        <v>0.7270833333333333</v>
      </c>
      <c r="H42" s="429" t="s">
        <v>115</v>
      </c>
      <c r="I42" s="429" t="s">
        <v>115</v>
      </c>
      <c r="J42" s="429" t="s">
        <v>115</v>
      </c>
      <c r="K42" s="429"/>
      <c r="L42" s="429"/>
      <c r="M42" s="429"/>
      <c r="N42" s="429"/>
      <c r="O42" s="186"/>
      <c r="P42" s="345"/>
      <c r="Q42" s="369"/>
      <c r="R42" s="18"/>
      <c r="S42" s="18"/>
      <c r="T42" s="63"/>
      <c r="U42" s="63"/>
      <c r="V42" s="63"/>
      <c r="W42" s="63"/>
    </row>
    <row r="43" spans="1:23" s="137" customFormat="1">
      <c r="A43" s="424">
        <v>11119</v>
      </c>
      <c r="B43" s="424" t="s">
        <v>9</v>
      </c>
      <c r="C43" s="424" t="s">
        <v>9</v>
      </c>
      <c r="D43" s="430" t="s">
        <v>6</v>
      </c>
      <c r="E43" s="431">
        <v>43277.368159722224</v>
      </c>
      <c r="F43" s="427">
        <v>43277.368159722224</v>
      </c>
      <c r="G43" s="428">
        <v>0.36805555555555558</v>
      </c>
      <c r="H43" s="429">
        <v>9.6000000000000014</v>
      </c>
      <c r="I43" s="429">
        <v>8</v>
      </c>
      <c r="J43" s="429" t="s">
        <v>115</v>
      </c>
      <c r="K43" s="429"/>
      <c r="L43" s="429"/>
      <c r="M43" s="429"/>
      <c r="N43" s="429"/>
      <c r="O43" s="164"/>
      <c r="P43" s="345"/>
      <c r="Q43" s="369"/>
      <c r="R43" s="18"/>
      <c r="S43" s="18"/>
      <c r="T43" s="63"/>
      <c r="U43" s="63"/>
      <c r="V43" s="63"/>
      <c r="W43" s="63"/>
    </row>
    <row r="44" spans="1:23" s="18" customFormat="1">
      <c r="A44" s="424">
        <v>11129</v>
      </c>
      <c r="B44" s="424" t="s">
        <v>9</v>
      </c>
      <c r="C44" s="424" t="s">
        <v>9</v>
      </c>
      <c r="D44" s="430" t="s">
        <v>5</v>
      </c>
      <c r="E44" s="431">
        <v>43277.768055555556</v>
      </c>
      <c r="F44" s="427">
        <v>43277.768055555556</v>
      </c>
      <c r="G44" s="428">
        <v>0.7680555555555556</v>
      </c>
      <c r="H44" s="429" t="s">
        <v>115</v>
      </c>
      <c r="I44" s="429" t="s">
        <v>115</v>
      </c>
      <c r="J44" s="429" t="s">
        <v>115</v>
      </c>
      <c r="K44" s="429"/>
      <c r="L44" s="429"/>
      <c r="M44" s="429"/>
      <c r="N44" s="429"/>
      <c r="O44" s="164"/>
      <c r="P44" s="345"/>
      <c r="Q44" s="369"/>
      <c r="R44" s="370"/>
      <c r="S44" s="370"/>
      <c r="T44" s="371"/>
      <c r="U44" s="371"/>
      <c r="V44" s="371"/>
      <c r="W44" s="371"/>
    </row>
    <row r="45" spans="1:23" s="18" customFormat="1">
      <c r="A45" s="424">
        <v>11131</v>
      </c>
      <c r="B45" s="424" t="s">
        <v>9</v>
      </c>
      <c r="C45" s="424" t="s">
        <v>9</v>
      </c>
      <c r="D45" s="430" t="s">
        <v>7</v>
      </c>
      <c r="E45" s="431">
        <v>43277.77107638889</v>
      </c>
      <c r="F45" s="427">
        <v>43277.77107638889</v>
      </c>
      <c r="G45" s="428">
        <v>0.77083333333333337</v>
      </c>
      <c r="H45" s="429" t="s">
        <v>115</v>
      </c>
      <c r="I45" s="429" t="s">
        <v>115</v>
      </c>
      <c r="J45" s="429" t="s">
        <v>115</v>
      </c>
      <c r="K45" s="429">
        <v>2.6833333333333318</v>
      </c>
      <c r="L45" s="429"/>
      <c r="M45" s="429">
        <v>2</v>
      </c>
      <c r="N45" s="429">
        <v>0.68333333333333179</v>
      </c>
      <c r="O45" s="164"/>
      <c r="P45" s="345"/>
      <c r="Q45" s="369"/>
      <c r="R45" s="374"/>
      <c r="S45" s="374"/>
      <c r="T45" s="375"/>
      <c r="U45" s="375"/>
      <c r="V45" s="375"/>
      <c r="W45" s="375"/>
    </row>
    <row r="46" spans="1:23" s="18" customFormat="1">
      <c r="A46" s="424">
        <v>11142</v>
      </c>
      <c r="B46" s="424" t="s">
        <v>9</v>
      </c>
      <c r="C46" s="424" t="s">
        <v>9</v>
      </c>
      <c r="D46" s="430" t="s">
        <v>8</v>
      </c>
      <c r="E46" s="431">
        <v>43277.882743055554</v>
      </c>
      <c r="F46" s="427">
        <v>43277.882743055554</v>
      </c>
      <c r="G46" s="428">
        <v>0.88263888888888886</v>
      </c>
      <c r="H46" s="429" t="s">
        <v>115</v>
      </c>
      <c r="I46" s="429" t="s">
        <v>115</v>
      </c>
      <c r="J46" s="429" t="s">
        <v>115</v>
      </c>
      <c r="K46" s="429"/>
      <c r="L46" s="429"/>
      <c r="M46" s="429"/>
      <c r="N46" s="429"/>
      <c r="O46" s="164"/>
      <c r="P46" s="345"/>
      <c r="Q46" s="369"/>
      <c r="R46" s="345"/>
      <c r="S46" s="345"/>
      <c r="T46" s="335"/>
      <c r="U46" s="335"/>
      <c r="V46" s="335"/>
      <c r="W46" s="335"/>
    </row>
    <row r="47" spans="1:23" s="16" customFormat="1">
      <c r="A47" s="432">
        <v>11149</v>
      </c>
      <c r="B47" s="432" t="s">
        <v>9</v>
      </c>
      <c r="C47" s="432" t="s">
        <v>9</v>
      </c>
      <c r="D47" s="433" t="s">
        <v>6</v>
      </c>
      <c r="E47" s="434">
        <v>43278.367685185185</v>
      </c>
      <c r="F47" s="435">
        <v>43278.367685185185</v>
      </c>
      <c r="G47" s="436">
        <v>0.36736111111111108</v>
      </c>
      <c r="H47" s="437">
        <v>8.8166666666666664</v>
      </c>
      <c r="I47" s="437">
        <v>7</v>
      </c>
      <c r="J47" s="437">
        <v>1</v>
      </c>
      <c r="K47" s="437"/>
      <c r="L47" s="437"/>
      <c r="M47" s="437"/>
      <c r="N47" s="437"/>
      <c r="O47" s="36" t="s">
        <v>122</v>
      </c>
      <c r="P47" s="444"/>
      <c r="Q47" s="453"/>
      <c r="R47" s="137"/>
      <c r="S47" s="137"/>
    </row>
    <row r="48" spans="1:23" s="63" customFormat="1">
      <c r="A48" s="424">
        <v>11154</v>
      </c>
      <c r="B48" s="424" t="s">
        <v>9</v>
      </c>
      <c r="C48" s="424" t="s">
        <v>9</v>
      </c>
      <c r="D48" s="430" t="s">
        <v>5</v>
      </c>
      <c r="E48" s="431">
        <v>43278.735300925924</v>
      </c>
      <c r="F48" s="427">
        <v>43278.735300925924</v>
      </c>
      <c r="G48" s="428">
        <v>0.73472222222222217</v>
      </c>
      <c r="H48" s="429" t="s">
        <v>115</v>
      </c>
      <c r="I48" s="429" t="s">
        <v>115</v>
      </c>
      <c r="J48" s="429" t="s">
        <v>115</v>
      </c>
      <c r="K48" s="429"/>
      <c r="L48" s="429"/>
      <c r="M48" s="429"/>
      <c r="N48" s="429"/>
      <c r="O48" s="164"/>
      <c r="P48" s="345"/>
      <c r="Q48" s="369"/>
      <c r="R48" s="370"/>
      <c r="S48" s="370"/>
      <c r="T48" s="371"/>
      <c r="U48" s="371"/>
      <c r="V48" s="371"/>
      <c r="W48" s="371"/>
    </row>
    <row r="49" spans="1:23" s="16" customFormat="1">
      <c r="A49" s="432">
        <v>11180</v>
      </c>
      <c r="B49" s="432" t="s">
        <v>9</v>
      </c>
      <c r="C49" s="432" t="s">
        <v>9</v>
      </c>
      <c r="D49" s="433" t="s">
        <v>6</v>
      </c>
      <c r="E49" s="434">
        <v>43279.366354166668</v>
      </c>
      <c r="F49" s="435">
        <v>43279.366354166668</v>
      </c>
      <c r="G49" s="436">
        <v>0.3659722222222222</v>
      </c>
      <c r="H49" s="437">
        <v>8.5333333333333332</v>
      </c>
      <c r="I49" s="437">
        <v>7</v>
      </c>
      <c r="J49" s="437">
        <v>1</v>
      </c>
      <c r="K49" s="437"/>
      <c r="L49" s="437"/>
      <c r="M49" s="437"/>
      <c r="N49" s="437"/>
      <c r="O49" s="36" t="s">
        <v>122</v>
      </c>
      <c r="P49" s="444"/>
      <c r="Q49" s="453"/>
      <c r="R49" s="137"/>
      <c r="S49" s="137"/>
    </row>
    <row r="50" spans="1:23" s="16" customFormat="1">
      <c r="A50" s="424">
        <v>11187</v>
      </c>
      <c r="B50" s="424" t="s">
        <v>9</v>
      </c>
      <c r="C50" s="424" t="s">
        <v>9</v>
      </c>
      <c r="D50" s="430" t="s">
        <v>5</v>
      </c>
      <c r="E50" s="431">
        <v>43279.721898148149</v>
      </c>
      <c r="F50" s="427">
        <v>43279.721898148149</v>
      </c>
      <c r="G50" s="428">
        <v>0.72152777777777777</v>
      </c>
      <c r="H50" s="429" t="s">
        <v>115</v>
      </c>
      <c r="I50" s="429" t="s">
        <v>115</v>
      </c>
      <c r="J50" s="429" t="s">
        <v>115</v>
      </c>
      <c r="K50" s="429"/>
      <c r="L50" s="429"/>
      <c r="M50" s="429"/>
      <c r="N50" s="429"/>
      <c r="O50" s="164"/>
      <c r="P50" s="18"/>
      <c r="Q50" s="390"/>
      <c r="R50" s="18"/>
      <c r="S50" s="18"/>
      <c r="T50" s="63"/>
      <c r="U50" s="63"/>
      <c r="V50" s="63"/>
      <c r="W50" s="63"/>
    </row>
    <row r="51" spans="1:23" s="16" customFormat="1">
      <c r="A51" s="424">
        <v>11207</v>
      </c>
      <c r="B51" s="424" t="s">
        <v>9</v>
      </c>
      <c r="C51" s="424" t="s">
        <v>9</v>
      </c>
      <c r="D51" s="430" t="s">
        <v>6</v>
      </c>
      <c r="E51" s="431">
        <v>43280.371631944443</v>
      </c>
      <c r="F51" s="427">
        <v>43280.371631944443</v>
      </c>
      <c r="G51" s="428">
        <v>0.37152777777777773</v>
      </c>
      <c r="H51" s="429">
        <v>9.7666666666666657</v>
      </c>
      <c r="I51" s="429">
        <v>8</v>
      </c>
      <c r="J51" s="429" t="s">
        <v>115</v>
      </c>
      <c r="K51" s="429"/>
      <c r="L51" s="429"/>
      <c r="M51" s="429"/>
      <c r="N51" s="429"/>
      <c r="O51" s="164"/>
      <c r="P51" s="137"/>
      <c r="Q51" s="397"/>
      <c r="R51" s="137"/>
      <c r="S51" s="137"/>
      <c r="T51" s="137"/>
      <c r="U51" s="137"/>
      <c r="V51" s="137"/>
      <c r="W51" s="137"/>
    </row>
    <row r="52" spans="1:23">
      <c r="A52" s="424">
        <v>11222</v>
      </c>
      <c r="B52" s="424" t="s">
        <v>9</v>
      </c>
      <c r="C52" s="424" t="s">
        <v>9</v>
      </c>
      <c r="D52" s="430" t="s">
        <v>5</v>
      </c>
      <c r="E52" s="431">
        <v>43280.778773148151</v>
      </c>
      <c r="F52" s="427">
        <v>43280.778773148151</v>
      </c>
      <c r="G52" s="428">
        <v>0.77847222222222223</v>
      </c>
      <c r="H52" s="429" t="s">
        <v>115</v>
      </c>
      <c r="I52" s="429" t="s">
        <v>115</v>
      </c>
      <c r="J52" s="429" t="s">
        <v>115</v>
      </c>
      <c r="K52" s="429"/>
      <c r="L52" s="429"/>
      <c r="M52" s="429"/>
      <c r="N52" s="429"/>
      <c r="O52" s="164"/>
      <c r="P52" s="137"/>
      <c r="Q52" s="397"/>
      <c r="R52" s="137"/>
      <c r="S52" s="137"/>
      <c r="T52" s="137"/>
      <c r="U52" s="137"/>
      <c r="V52" s="137"/>
      <c r="W52" s="137"/>
    </row>
    <row r="53" spans="1:23">
      <c r="D53"/>
      <c r="O53" s="22"/>
      <c r="Q53" s="369"/>
      <c r="R53" s="370"/>
      <c r="S53" s="370"/>
      <c r="T53" s="371"/>
      <c r="U53" s="371"/>
      <c r="V53" s="371"/>
      <c r="W53" s="371"/>
    </row>
    <row r="54" spans="1:23">
      <c r="D54" s="9" t="s">
        <v>36</v>
      </c>
      <c r="O54" s="22"/>
      <c r="Q54" s="369"/>
    </row>
    <row r="55" spans="1:23">
      <c r="D55" s="9" t="s">
        <v>35</v>
      </c>
      <c r="O55" s="22"/>
      <c r="Q55" s="369"/>
      <c r="R55" s="137"/>
      <c r="S55" s="137"/>
      <c r="T55" s="16"/>
      <c r="U55" s="16"/>
      <c r="V55" s="16"/>
      <c r="W55" s="16"/>
    </row>
    <row r="56" spans="1:23">
      <c r="D56" s="172" t="s">
        <v>63</v>
      </c>
      <c r="O56" s="22"/>
      <c r="Q56" s="369"/>
    </row>
    <row r="57" spans="1:23">
      <c r="D57" t="s">
        <v>66</v>
      </c>
      <c r="O57" s="22"/>
      <c r="Q57" s="369"/>
      <c r="R57" s="374"/>
      <c r="S57" s="374"/>
      <c r="T57" s="375"/>
      <c r="U57" s="375"/>
      <c r="V57" s="375"/>
      <c r="W57" s="375"/>
    </row>
    <row r="58" spans="1:23">
      <c r="D58" t="s">
        <v>64</v>
      </c>
      <c r="E58" s="336"/>
      <c r="F58" s="373"/>
      <c r="G58" s="376"/>
      <c r="H58" s="377"/>
      <c r="I58" s="378"/>
      <c r="J58" s="378"/>
      <c r="K58" s="379"/>
      <c r="L58" s="379"/>
      <c r="M58" s="379"/>
      <c r="N58" s="379"/>
      <c r="O58" s="22"/>
      <c r="Q58" s="369"/>
    </row>
    <row r="59" spans="1:23">
      <c r="D59" t="s">
        <v>68</v>
      </c>
      <c r="E59" s="336"/>
      <c r="F59" s="373"/>
      <c r="G59" s="376"/>
      <c r="H59" s="377"/>
      <c r="I59" s="378"/>
      <c r="J59" s="378"/>
      <c r="K59" s="379"/>
      <c r="L59" s="379"/>
      <c r="M59" s="379"/>
      <c r="N59" s="379"/>
      <c r="O59" s="22"/>
      <c r="Q59" s="369"/>
      <c r="R59" s="374"/>
      <c r="S59" s="374"/>
      <c r="T59" s="375"/>
      <c r="U59" s="375"/>
      <c r="V59" s="375"/>
      <c r="W59" s="375"/>
    </row>
    <row r="60" spans="1:23">
      <c r="D60" t="s">
        <v>69</v>
      </c>
      <c r="E60" s="336"/>
      <c r="F60" s="373"/>
      <c r="G60" s="376"/>
      <c r="H60" s="377"/>
      <c r="I60" s="378"/>
      <c r="J60" s="378"/>
      <c r="K60" s="379"/>
      <c r="L60" s="379"/>
      <c r="M60" s="379"/>
      <c r="N60" s="379"/>
      <c r="O60" s="22"/>
      <c r="Q60" s="369"/>
      <c r="R60" s="18"/>
      <c r="S60" s="18"/>
      <c r="T60" s="63"/>
      <c r="U60" s="63"/>
      <c r="V60" s="63"/>
      <c r="W60" s="63"/>
    </row>
    <row r="61" spans="1:23">
      <c r="D61" t="s">
        <v>116</v>
      </c>
      <c r="E61" s="336"/>
      <c r="F61" s="373"/>
      <c r="G61" s="376"/>
      <c r="H61" s="377"/>
      <c r="I61" s="378"/>
      <c r="J61" s="378"/>
      <c r="K61" s="379"/>
      <c r="L61" s="379"/>
      <c r="M61" s="379"/>
      <c r="N61" s="379"/>
      <c r="O61" s="22"/>
      <c r="P61" s="137"/>
      <c r="Q61" s="397"/>
      <c r="R61" s="137"/>
      <c r="S61" s="137"/>
      <c r="T61" s="16"/>
      <c r="U61" s="16"/>
      <c r="V61" s="16"/>
      <c r="W61" s="16"/>
    </row>
    <row r="62" spans="1:23">
      <c r="D62" t="s">
        <v>67</v>
      </c>
      <c r="E62" s="336"/>
      <c r="F62" s="373"/>
      <c r="G62" s="376"/>
      <c r="H62" s="377"/>
      <c r="I62" s="378"/>
      <c r="J62" s="378"/>
      <c r="K62" s="379"/>
      <c r="L62" s="379"/>
      <c r="M62" s="379"/>
      <c r="N62" s="379"/>
      <c r="O62" s="22"/>
      <c r="P62" s="137"/>
      <c r="Q62" s="397"/>
      <c r="R62" s="137"/>
      <c r="S62" s="137"/>
      <c r="T62" s="16"/>
      <c r="U62" s="16"/>
      <c r="V62" s="16"/>
      <c r="W62" s="16"/>
    </row>
    <row r="63" spans="1:23">
      <c r="O63" s="22"/>
      <c r="P63" s="137"/>
      <c r="Q63" s="397"/>
      <c r="R63" s="137"/>
      <c r="S63" s="137"/>
      <c r="T63" s="16"/>
      <c r="U63" s="16"/>
      <c r="V63" s="16"/>
      <c r="W63" s="16"/>
    </row>
    <row r="64" spans="1:23">
      <c r="O64" s="22"/>
      <c r="P64" s="137"/>
      <c r="Q64" s="397"/>
      <c r="R64" s="137"/>
      <c r="S64" s="137"/>
      <c r="T64" s="16"/>
      <c r="U64" s="16"/>
      <c r="V64" s="16"/>
      <c r="W64" s="16"/>
    </row>
    <row r="65" spans="16:23">
      <c r="P65" s="137"/>
      <c r="Q65" s="397"/>
      <c r="R65" s="137"/>
      <c r="S65" s="137"/>
      <c r="T65" s="16"/>
      <c r="U65" s="16"/>
      <c r="V65" s="16"/>
      <c r="W65" s="16"/>
    </row>
    <row r="66" spans="16:23">
      <c r="P66" s="137"/>
      <c r="Q66" s="397"/>
      <c r="R66" s="137"/>
      <c r="S66" s="137"/>
      <c r="T66" s="16"/>
      <c r="U66" s="16"/>
      <c r="V66" s="16"/>
      <c r="W66" s="16"/>
    </row>
    <row r="67" spans="16:23">
      <c r="P67" s="137"/>
      <c r="Q67" s="397"/>
    </row>
    <row r="68" spans="16:23">
      <c r="P68" s="137"/>
      <c r="Q68" s="397"/>
    </row>
    <row r="69" spans="16:23">
      <c r="P69" s="137"/>
      <c r="Q69" s="397"/>
    </row>
    <row r="70" spans="16:23">
      <c r="P70" s="137"/>
      <c r="Q70" s="397"/>
    </row>
    <row r="71" spans="16:23">
      <c r="P71" s="137"/>
      <c r="Q71" s="397"/>
    </row>
    <row r="72" spans="16:23">
      <c r="P72" s="137"/>
      <c r="Q72" s="397"/>
    </row>
    <row r="73" spans="16:23">
      <c r="P73" s="137"/>
      <c r="Q73" s="397"/>
      <c r="R73" s="137"/>
      <c r="S73" s="137"/>
      <c r="T73" s="16"/>
      <c r="U73" s="16"/>
      <c r="V73" s="16"/>
      <c r="W73" s="16"/>
    </row>
    <row r="74" spans="16:23">
      <c r="P74" s="137"/>
      <c r="Q74" s="397"/>
      <c r="R74" s="137"/>
      <c r="S74" s="137"/>
      <c r="T74" s="16"/>
      <c r="U74" s="16"/>
      <c r="V74" s="16"/>
      <c r="W74" s="16"/>
    </row>
    <row r="75" spans="16:23">
      <c r="P75" s="137"/>
      <c r="Q75" s="397"/>
      <c r="R75" s="137"/>
      <c r="S75" s="137"/>
      <c r="T75" s="16"/>
      <c r="U75" s="16"/>
      <c r="V75" s="16"/>
      <c r="W75" s="16"/>
    </row>
    <row r="76" spans="16:23">
      <c r="P76" s="137"/>
      <c r="Q76" s="397"/>
      <c r="R76" s="137"/>
      <c r="S76" s="137"/>
      <c r="T76" s="16"/>
      <c r="U76" s="16"/>
      <c r="V76" s="16"/>
      <c r="W76" s="16"/>
    </row>
    <row r="77" spans="16:23">
      <c r="P77" s="137"/>
      <c r="Q77" s="397"/>
    </row>
    <row r="78" spans="16:23">
      <c r="P78" s="137"/>
      <c r="Q78" s="397"/>
    </row>
    <row r="79" spans="16:23">
      <c r="P79" s="137"/>
      <c r="Q79" s="397"/>
    </row>
    <row r="80" spans="16:23">
      <c r="P80" s="137"/>
      <c r="Q80" s="397"/>
    </row>
    <row r="81" spans="16:23">
      <c r="P81" s="137"/>
      <c r="Q81" s="397"/>
    </row>
    <row r="82" spans="16:23">
      <c r="P82" s="137"/>
      <c r="Q82" s="397"/>
    </row>
    <row r="83" spans="16:23">
      <c r="P83" s="137"/>
      <c r="Q83" s="397"/>
      <c r="R83" s="399"/>
      <c r="S83" s="399"/>
      <c r="T83" s="399"/>
      <c r="U83" s="399"/>
      <c r="V83" s="399"/>
      <c r="W83" s="399"/>
    </row>
    <row r="84" spans="16:23">
      <c r="P84" s="137"/>
      <c r="Q84" s="397"/>
    </row>
    <row r="85" spans="16:23">
      <c r="P85" s="137"/>
      <c r="Q85" s="397"/>
    </row>
    <row r="86" spans="16:23">
      <c r="P86" s="137"/>
      <c r="Q86" s="397"/>
    </row>
    <row r="87" spans="16:23">
      <c r="P87" s="137"/>
      <c r="Q87" s="397"/>
      <c r="R87" s="444"/>
      <c r="S87" s="444"/>
      <c r="T87" s="398"/>
      <c r="U87" s="398"/>
      <c r="V87" s="398"/>
      <c r="W87" s="398"/>
    </row>
    <row r="88" spans="16:23">
      <c r="P88" s="137"/>
      <c r="Q88" s="397"/>
      <c r="R88" s="18"/>
      <c r="S88" s="18"/>
      <c r="T88" s="63"/>
      <c r="U88" s="63"/>
      <c r="V88" s="63"/>
      <c r="W88" s="63"/>
    </row>
    <row r="89" spans="16:23">
      <c r="P89" s="137"/>
      <c r="Q89" s="397"/>
    </row>
    <row r="90" spans="16:23">
      <c r="P90" s="137"/>
      <c r="Q90" s="397"/>
    </row>
    <row r="91" spans="16:23">
      <c r="P91" s="137"/>
      <c r="Q91" s="397"/>
      <c r="R91" s="18"/>
      <c r="S91" s="18"/>
      <c r="T91" s="63"/>
      <c r="U91" s="63"/>
      <c r="V91" s="63"/>
      <c r="W91" s="63"/>
    </row>
    <row r="92" spans="16:23">
      <c r="P92" s="137"/>
      <c r="Q92" s="397"/>
    </row>
    <row r="93" spans="16:23">
      <c r="P93" s="137"/>
      <c r="Q93" s="397"/>
    </row>
    <row r="94" spans="16:23">
      <c r="P94" s="137"/>
      <c r="Q94" s="397"/>
    </row>
    <row r="95" spans="16:23">
      <c r="P95" s="137"/>
      <c r="Q95" s="397"/>
    </row>
    <row r="96" spans="16:23">
      <c r="P96" s="137"/>
      <c r="Q96" s="397"/>
    </row>
    <row r="97" spans="16:23">
      <c r="P97" s="137"/>
      <c r="Q97" s="397"/>
    </row>
    <row r="98" spans="16:23">
      <c r="P98" s="137"/>
      <c r="Q98" s="397"/>
    </row>
    <row r="99" spans="16:23">
      <c r="P99" s="137"/>
      <c r="Q99" s="397"/>
    </row>
    <row r="100" spans="16:23">
      <c r="P100" s="137"/>
      <c r="Q100" s="397"/>
    </row>
    <row r="101" spans="16:23">
      <c r="P101" s="137"/>
      <c r="Q101" s="397"/>
    </row>
    <row r="102" spans="16:23">
      <c r="P102" s="137"/>
      <c r="Q102" s="397"/>
    </row>
    <row r="103" spans="16:23">
      <c r="P103" s="137"/>
      <c r="Q103" s="397"/>
    </row>
    <row r="104" spans="16:23">
      <c r="P104" s="137"/>
      <c r="Q104" s="397"/>
    </row>
    <row r="105" spans="16:23">
      <c r="P105" s="137"/>
      <c r="Q105" s="397"/>
    </row>
    <row r="106" spans="16:23">
      <c r="P106" s="137"/>
      <c r="Q106" s="397"/>
    </row>
    <row r="107" spans="16:23">
      <c r="P107" s="137"/>
      <c r="Q107" s="397"/>
    </row>
    <row r="108" spans="16:23">
      <c r="P108" s="137"/>
      <c r="Q108" s="397"/>
    </row>
    <row r="109" spans="16:23">
      <c r="P109" s="137"/>
      <c r="Q109" s="397"/>
      <c r="R109" s="444"/>
      <c r="S109" s="444"/>
      <c r="T109" s="398"/>
      <c r="U109" s="398"/>
      <c r="V109" s="398"/>
      <c r="W109" s="398"/>
    </row>
    <row r="110" spans="16:23">
      <c r="P110" s="137"/>
      <c r="Q110" s="397"/>
    </row>
    <row r="111" spans="16:23">
      <c r="P111" s="137"/>
      <c r="Q111" s="397"/>
    </row>
    <row r="112" spans="16:23">
      <c r="P112" s="137"/>
      <c r="Q112" s="397"/>
    </row>
    <row r="113" spans="16:17">
      <c r="P113" s="137"/>
      <c r="Q113" s="397"/>
    </row>
    <row r="114" spans="16:17">
      <c r="P114" s="137"/>
      <c r="Q114" s="397"/>
    </row>
    <row r="115" spans="16:17">
      <c r="P115" s="137"/>
      <c r="Q115" s="397"/>
    </row>
    <row r="116" spans="16:17">
      <c r="P116" s="137"/>
      <c r="Q116" s="397"/>
    </row>
    <row r="117" spans="16:17">
      <c r="P117" s="137"/>
      <c r="Q117" s="397"/>
    </row>
    <row r="118" spans="16:17">
      <c r="P118" s="137"/>
      <c r="Q118" s="397"/>
    </row>
    <row r="119" spans="16:17">
      <c r="P119" s="137"/>
      <c r="Q119" s="397"/>
    </row>
    <row r="120" spans="16:17">
      <c r="P120" s="137"/>
      <c r="Q120" s="397"/>
    </row>
    <row r="121" spans="16:17">
      <c r="P121" s="137"/>
      <c r="Q121" s="397"/>
    </row>
    <row r="122" spans="16:17">
      <c r="P122" s="137"/>
      <c r="Q122" s="397"/>
    </row>
    <row r="123" spans="16:17">
      <c r="P123" s="137"/>
      <c r="Q123" s="397"/>
    </row>
    <row r="124" spans="16:17">
      <c r="P124" s="137"/>
      <c r="Q124" s="397"/>
    </row>
    <row r="125" spans="16:17">
      <c r="P125" s="137"/>
      <c r="Q125" s="397"/>
    </row>
    <row r="126" spans="16:17">
      <c r="P126" s="137"/>
      <c r="Q126" s="39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工作表22"/>
  <dimension ref="A1:Z140"/>
  <sheetViews>
    <sheetView view="pageBreakPreview" topLeftCell="D1" zoomScaleNormal="100" zoomScaleSheetLayoutView="100" workbookViewId="0">
      <selection activeCell="V19" sqref="V19"/>
    </sheetView>
  </sheetViews>
  <sheetFormatPr defaultColWidth="9" defaultRowHeight="16.5" outlineLevelCol="1"/>
  <cols>
    <col min="1" max="1" width="5.875" style="261" hidden="1" customWidth="1" outlineLevel="1"/>
    <col min="2" max="2" width="6.875" style="261" hidden="1" customWidth="1" outlineLevel="1"/>
    <col min="3" max="3" width="6.5" style="262" hidden="1" customWidth="1" outlineLevel="1"/>
    <col min="4" max="4" width="10.125" style="262" customWidth="1" collapsed="1"/>
    <col min="5" max="5" width="17" style="262" customWidth="1"/>
    <col min="6" max="6" width="6.25" style="303" customWidth="1"/>
    <col min="7" max="7" width="8.625" style="309" hidden="1" customWidth="1" outlineLevel="1"/>
    <col min="8" max="8" width="10.625" style="310" hidden="1" customWidth="1" outlineLevel="1"/>
    <col min="9" max="9" width="10.5" style="311" customWidth="1" collapsed="1"/>
    <col min="10" max="10" width="9" style="311" customWidth="1"/>
    <col min="11" max="11" width="8.375" style="307" hidden="1" customWidth="1" outlineLevel="1"/>
    <col min="12" max="12" width="8.375" style="307" customWidth="1" collapsed="1"/>
    <col min="13" max="13" width="10.5" style="307" customWidth="1"/>
    <col min="14" max="14" width="10.25" style="307" customWidth="1"/>
    <col min="15" max="15" width="14.375" style="380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  <col min="23" max="23" width="8.875" customWidth="1"/>
    <col min="24" max="25" width="9" style="391"/>
    <col min="26" max="16384" width="9" style="261"/>
  </cols>
  <sheetData>
    <row r="1" spans="1:25" s="251" customFormat="1" ht="28.5" thickBot="1">
      <c r="C1" s="252"/>
      <c r="D1" s="253"/>
      <c r="E1" s="253"/>
      <c r="F1" s="254"/>
      <c r="G1" s="255"/>
      <c r="H1" s="256"/>
      <c r="I1" s="257" t="str">
        <f>B15</f>
        <v>AN</v>
      </c>
      <c r="J1" s="258" t="s">
        <v>29</v>
      </c>
      <c r="K1" s="259"/>
      <c r="L1" s="259"/>
      <c r="M1" s="259"/>
      <c r="N1" s="259"/>
      <c r="O1" s="333"/>
      <c r="P1" s="334"/>
      <c r="Q1" s="334"/>
      <c r="R1" s="334"/>
      <c r="S1" s="334"/>
      <c r="T1" s="324"/>
      <c r="U1" s="324"/>
      <c r="V1" s="324"/>
      <c r="W1" s="4"/>
      <c r="X1" s="4"/>
      <c r="Y1" s="4"/>
    </row>
    <row r="2" spans="1:25">
      <c r="D2" s="263" t="s">
        <v>74</v>
      </c>
      <c r="E2" s="264">
        <v>0</v>
      </c>
      <c r="F2" s="265" t="s">
        <v>75</v>
      </c>
      <c r="G2" s="266"/>
      <c r="H2" s="266"/>
      <c r="I2" s="267"/>
      <c r="J2" s="267" t="s">
        <v>34</v>
      </c>
      <c r="K2" s="268"/>
      <c r="L2" s="269" t="s">
        <v>20</v>
      </c>
      <c r="M2" s="270" t="s">
        <v>17</v>
      </c>
      <c r="N2" s="270" t="s">
        <v>18</v>
      </c>
      <c r="O2" s="344" t="s">
        <v>27</v>
      </c>
    </row>
    <row r="3" spans="1:25" ht="17.25" thickBot="1">
      <c r="D3" s="272" t="s">
        <v>76</v>
      </c>
      <c r="E3" s="273">
        <v>0</v>
      </c>
      <c r="F3" s="274"/>
      <c r="G3" s="275"/>
      <c r="H3" s="275"/>
      <c r="I3" s="276"/>
      <c r="J3" s="277">
        <f>D5+E5</f>
        <v>0</v>
      </c>
      <c r="K3" s="278">
        <f>SUM(K15:K62)</f>
        <v>15.499999999999995</v>
      </c>
      <c r="L3" s="278">
        <f>J3</f>
        <v>0</v>
      </c>
      <c r="M3" s="278">
        <f>M6-L3</f>
        <v>14.283333333333331</v>
      </c>
      <c r="N3" s="278">
        <f t="shared" ref="N3" si="0">N6</f>
        <v>2.133333333333332</v>
      </c>
      <c r="O3" s="352"/>
    </row>
    <row r="4" spans="1:25">
      <c r="D4" s="280" t="s">
        <v>43</v>
      </c>
      <c r="E4" s="281" t="s">
        <v>44</v>
      </c>
      <c r="F4" s="281" t="s">
        <v>46</v>
      </c>
      <c r="G4" s="282"/>
      <c r="H4" s="282"/>
      <c r="I4" s="283" t="s">
        <v>33</v>
      </c>
      <c r="J4" s="283" t="s">
        <v>25</v>
      </c>
      <c r="K4" s="283"/>
      <c r="L4" s="283" t="s">
        <v>12</v>
      </c>
      <c r="M4" s="283" t="s">
        <v>12</v>
      </c>
      <c r="N4" s="283" t="s">
        <v>12</v>
      </c>
      <c r="O4" s="39" t="s">
        <v>118</v>
      </c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136</v>
      </c>
    </row>
    <row r="5" spans="1:25">
      <c r="D5" s="420">
        <f>J6</f>
        <v>0</v>
      </c>
      <c r="E5" s="286">
        <v>0</v>
      </c>
      <c r="F5" s="287">
        <v>0</v>
      </c>
      <c r="G5" s="288"/>
      <c r="H5" s="288"/>
      <c r="I5" s="289" t="s">
        <v>47</v>
      </c>
      <c r="J5" s="289" t="s">
        <v>47</v>
      </c>
      <c r="K5" s="289" t="s">
        <v>16</v>
      </c>
      <c r="L5" s="289" t="s">
        <v>20</v>
      </c>
      <c r="M5" s="289" t="s">
        <v>17</v>
      </c>
      <c r="N5" s="289" t="s">
        <v>18</v>
      </c>
      <c r="O5" s="41" t="s">
        <v>117</v>
      </c>
      <c r="Q5" s="345" t="s">
        <v>40</v>
      </c>
      <c r="S5" s="363">
        <f>(L6+M6+N6)/160</f>
        <v>0.10260416666666665</v>
      </c>
    </row>
    <row r="6" spans="1:25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22</v>
      </c>
      <c r="I6" s="368">
        <f t="shared" ref="I6:N6" si="1">SUM(I7:I75)</f>
        <v>136</v>
      </c>
      <c r="J6" s="368">
        <f t="shared" si="1"/>
        <v>0</v>
      </c>
      <c r="K6" s="368">
        <f t="shared" si="1"/>
        <v>16.416666666666664</v>
      </c>
      <c r="L6" s="368">
        <f t="shared" si="1"/>
        <v>0</v>
      </c>
      <c r="M6" s="368">
        <f t="shared" si="1"/>
        <v>14.283333333333331</v>
      </c>
      <c r="N6" s="368">
        <f t="shared" si="1"/>
        <v>2.133333333333332</v>
      </c>
      <c r="O6" s="368">
        <f>SUM(O7:O75)</f>
        <v>16.416666666666664</v>
      </c>
      <c r="P6" s="368">
        <f>SUM(P15:P154)</f>
        <v>0</v>
      </c>
      <c r="Q6" s="368">
        <f>SUM(Q15:Q154)</f>
        <v>0</v>
      </c>
      <c r="W6" s="8"/>
    </row>
    <row r="7" spans="1:25" s="16" customFormat="1">
      <c r="A7" s="145">
        <v>9920</v>
      </c>
      <c r="B7" s="145" t="s">
        <v>106</v>
      </c>
      <c r="C7" s="145" t="s">
        <v>106</v>
      </c>
      <c r="D7" s="450" t="s">
        <v>6</v>
      </c>
      <c r="E7" s="451">
        <v>43217.35465277778</v>
      </c>
      <c r="F7" s="104">
        <f>E7</f>
        <v>43217.35465277778</v>
      </c>
      <c r="G7" s="125" t="str">
        <f>HOUR(E7)&amp;":"&amp;MINUTE(E7)</f>
        <v>8:30</v>
      </c>
      <c r="H7" s="126">
        <f>IF(D7="上班",(G8-G7)*24,"-")</f>
        <v>9.8999999999999986</v>
      </c>
      <c r="I7" s="127">
        <f t="shared" ref="I7:I14" si="2">IF(D7="上班",IF(H7-1.5&gt;8,8,H7-1.5),"-")</f>
        <v>8</v>
      </c>
      <c r="J7" s="127" t="str">
        <f t="shared" ref="J7:J14" si="3">IF(I7&lt;8,8-I7,"-")</f>
        <v>-</v>
      </c>
      <c r="K7" s="128">
        <f t="shared" ref="K7:K13" si="4">IF(D7="加班",(G8-G7)*24,0)</f>
        <v>0</v>
      </c>
      <c r="L7" s="128"/>
      <c r="M7" s="129">
        <f t="shared" ref="M7:M14" si="5">IF(K7&gt;2,2,K7)</f>
        <v>0</v>
      </c>
      <c r="N7" s="129">
        <f t="shared" ref="N7:N14" si="6">IF(K7&gt;2,K7-2,0)</f>
        <v>0</v>
      </c>
      <c r="O7" s="393">
        <f t="shared" ref="O7:O14" si="7">M7+N7</f>
        <v>0</v>
      </c>
      <c r="P7" s="137"/>
      <c r="Q7" s="382"/>
      <c r="R7" s="137"/>
      <c r="V7" s="382"/>
    </row>
    <row r="8" spans="1:25" s="16" customFormat="1">
      <c r="A8" s="140">
        <v>9924</v>
      </c>
      <c r="B8" s="140" t="s">
        <v>107</v>
      </c>
      <c r="C8" s="140" t="s">
        <v>106</v>
      </c>
      <c r="D8" s="143" t="s">
        <v>5</v>
      </c>
      <c r="E8" s="144">
        <v>43217.767141203702</v>
      </c>
      <c r="F8" s="104">
        <f t="shared" ref="F8:F14" si="8">E8</f>
        <v>43217.767141203702</v>
      </c>
      <c r="G8" s="125" t="str">
        <f t="shared" ref="G8:G14" si="9">HOUR(E8)&amp;":"&amp;MINUTE(E8)</f>
        <v>18:24</v>
      </c>
      <c r="H8" s="126" t="str">
        <f t="shared" ref="H8:H13" si="10">IF(D8="上班",(G9-G8)*24,"-")</f>
        <v>-</v>
      </c>
      <c r="I8" s="127" t="str">
        <f t="shared" si="2"/>
        <v>-</v>
      </c>
      <c r="J8" s="127" t="str">
        <f t="shared" si="3"/>
        <v>-</v>
      </c>
      <c r="K8" s="128">
        <f t="shared" si="4"/>
        <v>0</v>
      </c>
      <c r="L8" s="128"/>
      <c r="M8" s="129">
        <f t="shared" si="5"/>
        <v>0</v>
      </c>
      <c r="N8" s="129">
        <f t="shared" si="6"/>
        <v>0</v>
      </c>
      <c r="O8" s="393">
        <f t="shared" si="7"/>
        <v>0</v>
      </c>
      <c r="P8" s="137"/>
      <c r="Q8" s="382"/>
      <c r="R8" s="137"/>
      <c r="V8" s="382"/>
    </row>
    <row r="9" spans="1:25" s="16" customFormat="1">
      <c r="A9" s="140">
        <v>9931</v>
      </c>
      <c r="B9" s="140" t="s">
        <v>107</v>
      </c>
      <c r="C9" s="140" t="s">
        <v>106</v>
      </c>
      <c r="D9" s="143" t="s">
        <v>7</v>
      </c>
      <c r="E9" s="144">
        <v>43217.771527777775</v>
      </c>
      <c r="F9" s="104">
        <f t="shared" si="8"/>
        <v>43217.771527777775</v>
      </c>
      <c r="G9" s="125" t="str">
        <f t="shared" si="9"/>
        <v>18:31</v>
      </c>
      <c r="H9" s="126" t="str">
        <f t="shared" si="10"/>
        <v>-</v>
      </c>
      <c r="I9" s="127" t="str">
        <f t="shared" si="2"/>
        <v>-</v>
      </c>
      <c r="J9" s="127" t="str">
        <f t="shared" si="3"/>
        <v>-</v>
      </c>
      <c r="K9" s="128">
        <f t="shared" si="4"/>
        <v>0.8333333333333357</v>
      </c>
      <c r="L9" s="128"/>
      <c r="M9" s="129">
        <f t="shared" si="5"/>
        <v>0.8333333333333357</v>
      </c>
      <c r="N9" s="129">
        <f t="shared" si="6"/>
        <v>0</v>
      </c>
      <c r="O9" s="393">
        <f t="shared" si="7"/>
        <v>0.8333333333333357</v>
      </c>
      <c r="P9" s="137"/>
      <c r="Q9" s="382"/>
      <c r="R9" s="137"/>
      <c r="V9" s="382"/>
    </row>
    <row r="10" spans="1:25" s="16" customFormat="1">
      <c r="A10" s="140">
        <v>9941</v>
      </c>
      <c r="B10" s="140" t="s">
        <v>106</v>
      </c>
      <c r="C10" s="140" t="s">
        <v>106</v>
      </c>
      <c r="D10" s="143" t="s">
        <v>8</v>
      </c>
      <c r="E10" s="144">
        <v>43217.806817129633</v>
      </c>
      <c r="F10" s="104">
        <f t="shared" si="8"/>
        <v>43217.806817129633</v>
      </c>
      <c r="G10" s="125" t="str">
        <f t="shared" si="9"/>
        <v>19:21</v>
      </c>
      <c r="H10" s="126" t="str">
        <f t="shared" si="10"/>
        <v>-</v>
      </c>
      <c r="I10" s="127" t="str">
        <f t="shared" si="2"/>
        <v>-</v>
      </c>
      <c r="J10" s="127" t="str">
        <f t="shared" si="3"/>
        <v>-</v>
      </c>
      <c r="K10" s="128">
        <f t="shared" si="4"/>
        <v>0</v>
      </c>
      <c r="L10" s="128"/>
      <c r="M10" s="129">
        <f t="shared" si="5"/>
        <v>0</v>
      </c>
      <c r="N10" s="129">
        <f t="shared" si="6"/>
        <v>0</v>
      </c>
      <c r="O10" s="393">
        <f t="shared" si="7"/>
        <v>0</v>
      </c>
      <c r="P10" s="137"/>
      <c r="Q10" s="382"/>
      <c r="R10" s="137"/>
      <c r="V10" s="382"/>
    </row>
    <row r="11" spans="1:25" s="16" customFormat="1">
      <c r="A11" s="140">
        <v>9953</v>
      </c>
      <c r="B11" s="140" t="s">
        <v>107</v>
      </c>
      <c r="C11" s="140" t="s">
        <v>106</v>
      </c>
      <c r="D11" s="143" t="s">
        <v>6</v>
      </c>
      <c r="E11" s="144">
        <v>43220.356770833336</v>
      </c>
      <c r="F11" s="104">
        <f t="shared" si="8"/>
        <v>43220.356770833336</v>
      </c>
      <c r="G11" s="125" t="str">
        <f t="shared" si="9"/>
        <v>8:33</v>
      </c>
      <c r="H11" s="126">
        <f t="shared" si="10"/>
        <v>9.966666666666665</v>
      </c>
      <c r="I11" s="127">
        <f t="shared" si="2"/>
        <v>8</v>
      </c>
      <c r="J11" s="127" t="str">
        <f t="shared" si="3"/>
        <v>-</v>
      </c>
      <c r="K11" s="128">
        <f t="shared" si="4"/>
        <v>0</v>
      </c>
      <c r="L11" s="128"/>
      <c r="M11" s="129">
        <f t="shared" si="5"/>
        <v>0</v>
      </c>
      <c r="N11" s="129">
        <f t="shared" si="6"/>
        <v>0</v>
      </c>
      <c r="O11" s="393">
        <f t="shared" si="7"/>
        <v>0</v>
      </c>
      <c r="P11" s="137"/>
      <c r="Q11" s="382"/>
      <c r="R11" s="137"/>
      <c r="S11" s="63"/>
      <c r="V11" s="382"/>
      <c r="X11" s="63"/>
    </row>
    <row r="12" spans="1:25" s="16" customFormat="1">
      <c r="A12" s="140">
        <v>9981</v>
      </c>
      <c r="B12" s="140" t="s">
        <v>106</v>
      </c>
      <c r="C12" s="140" t="s">
        <v>106</v>
      </c>
      <c r="D12" s="143" t="s">
        <v>5</v>
      </c>
      <c r="E12" s="144">
        <v>43220.771863425929</v>
      </c>
      <c r="F12" s="104">
        <f t="shared" si="8"/>
        <v>43220.771863425929</v>
      </c>
      <c r="G12" s="125" t="str">
        <f t="shared" si="9"/>
        <v>18:31</v>
      </c>
      <c r="H12" s="126" t="str">
        <f t="shared" si="10"/>
        <v>-</v>
      </c>
      <c r="I12" s="127" t="str">
        <f t="shared" si="2"/>
        <v>-</v>
      </c>
      <c r="J12" s="127" t="str">
        <f t="shared" si="3"/>
        <v>-</v>
      </c>
      <c r="K12" s="128">
        <f t="shared" si="4"/>
        <v>0</v>
      </c>
      <c r="L12" s="128"/>
      <c r="M12" s="129">
        <f t="shared" si="5"/>
        <v>0</v>
      </c>
      <c r="N12" s="129">
        <f t="shared" si="6"/>
        <v>0</v>
      </c>
      <c r="O12" s="393">
        <f t="shared" si="7"/>
        <v>0</v>
      </c>
      <c r="P12" s="137"/>
      <c r="Q12" s="382"/>
      <c r="R12" s="137"/>
      <c r="S12" s="63"/>
      <c r="V12" s="382"/>
      <c r="X12" s="63"/>
    </row>
    <row r="13" spans="1:25" s="63" customFormat="1">
      <c r="A13" s="140">
        <v>9982</v>
      </c>
      <c r="B13" s="140" t="s">
        <v>106</v>
      </c>
      <c r="C13" s="140" t="s">
        <v>106</v>
      </c>
      <c r="D13" s="143" t="s">
        <v>7</v>
      </c>
      <c r="E13" s="144">
        <v>43220.771932870368</v>
      </c>
      <c r="F13" s="104">
        <f t="shared" si="8"/>
        <v>43220.771932870368</v>
      </c>
      <c r="G13" s="125" t="str">
        <f t="shared" si="9"/>
        <v>18:31</v>
      </c>
      <c r="H13" s="126" t="str">
        <f t="shared" si="10"/>
        <v>-</v>
      </c>
      <c r="I13" s="127" t="str">
        <f t="shared" si="2"/>
        <v>-</v>
      </c>
      <c r="J13" s="127" t="str">
        <f t="shared" si="3"/>
        <v>-</v>
      </c>
      <c r="K13" s="128">
        <f t="shared" si="4"/>
        <v>8.3333333333335702E-2</v>
      </c>
      <c r="L13" s="128"/>
      <c r="M13" s="129">
        <f t="shared" si="5"/>
        <v>8.3333333333335702E-2</v>
      </c>
      <c r="N13" s="129">
        <f t="shared" si="6"/>
        <v>0</v>
      </c>
      <c r="O13" s="393">
        <f t="shared" si="7"/>
        <v>8.3333333333335702E-2</v>
      </c>
      <c r="P13" s="18"/>
      <c r="Q13" s="382"/>
      <c r="R13" s="137"/>
      <c r="S13" s="16"/>
      <c r="T13" s="16"/>
      <c r="U13" s="16"/>
      <c r="V13" s="382"/>
      <c r="W13" s="16"/>
      <c r="X13" s="16"/>
      <c r="Y13" s="16"/>
    </row>
    <row r="14" spans="1:25" s="63" customFormat="1">
      <c r="A14" s="140">
        <v>9987</v>
      </c>
      <c r="B14" s="140" t="s">
        <v>107</v>
      </c>
      <c r="C14" s="140" t="s">
        <v>106</v>
      </c>
      <c r="D14" s="143" t="s">
        <v>8</v>
      </c>
      <c r="E14" s="144">
        <v>43220.775370370371</v>
      </c>
      <c r="F14" s="104">
        <f t="shared" si="8"/>
        <v>43220.775370370371</v>
      </c>
      <c r="G14" s="125" t="str">
        <f t="shared" si="9"/>
        <v>18:36</v>
      </c>
      <c r="H14" s="126" t="str">
        <f>IF(D14="上班",(#REF!-G14)*24,"-")</f>
        <v>-</v>
      </c>
      <c r="I14" s="127" t="str">
        <f t="shared" si="2"/>
        <v>-</v>
      </c>
      <c r="J14" s="127" t="str">
        <f t="shared" si="3"/>
        <v>-</v>
      </c>
      <c r="K14" s="128">
        <f>IF(D14="加班",(#REF!-G14)*24,0)</f>
        <v>0</v>
      </c>
      <c r="L14" s="128"/>
      <c r="M14" s="129">
        <f t="shared" si="5"/>
        <v>0</v>
      </c>
      <c r="N14" s="129">
        <f t="shared" si="6"/>
        <v>0</v>
      </c>
      <c r="O14" s="393">
        <f t="shared" si="7"/>
        <v>0</v>
      </c>
      <c r="P14" s="18"/>
      <c r="Q14" s="382"/>
      <c r="R14" s="137"/>
      <c r="S14" s="16"/>
      <c r="T14" s="16"/>
      <c r="U14" s="16"/>
      <c r="V14" s="382"/>
      <c r="W14" s="16"/>
      <c r="X14" s="16"/>
      <c r="Y14" s="16"/>
    </row>
    <row r="15" spans="1:25" s="303" customFormat="1">
      <c r="A15" s="424">
        <v>10006</v>
      </c>
      <c r="B15" s="424" t="s">
        <v>107</v>
      </c>
      <c r="C15" s="424" t="s">
        <v>106</v>
      </c>
      <c r="D15" s="425" t="s">
        <v>6</v>
      </c>
      <c r="E15" s="426">
        <v>43222.356932870367</v>
      </c>
      <c r="F15" s="427">
        <v>43222.356932870367</v>
      </c>
      <c r="G15" s="428">
        <v>0.35625000000000001</v>
      </c>
      <c r="H15" s="429">
        <v>10.050000000000001</v>
      </c>
      <c r="I15" s="429">
        <v>8</v>
      </c>
      <c r="J15" s="429" t="s">
        <v>115</v>
      </c>
      <c r="K15" s="429"/>
      <c r="L15" s="429"/>
      <c r="M15" s="429"/>
      <c r="N15" s="429"/>
      <c r="O15" s="393">
        <f>M15+N15</f>
        <v>0</v>
      </c>
      <c r="P15" s="345"/>
      <c r="Q15" s="369"/>
      <c r="R15" s="149"/>
      <c r="S15" s="149"/>
      <c r="T15" s="130"/>
      <c r="U15" s="130"/>
      <c r="V15" s="130"/>
      <c r="W15" s="16"/>
      <c r="X15" s="16"/>
      <c r="Y15" s="16"/>
    </row>
    <row r="16" spans="1:25" s="303" customFormat="1">
      <c r="A16" s="424">
        <v>10026</v>
      </c>
      <c r="B16" s="424" t="s">
        <v>107</v>
      </c>
      <c r="C16" s="424" t="s">
        <v>106</v>
      </c>
      <c r="D16" s="430" t="s">
        <v>5</v>
      </c>
      <c r="E16" s="431">
        <v>43222.775370370371</v>
      </c>
      <c r="F16" s="427">
        <v>43222.775370370371</v>
      </c>
      <c r="G16" s="428">
        <v>0.77500000000000002</v>
      </c>
      <c r="H16" s="429" t="s">
        <v>115</v>
      </c>
      <c r="I16" s="429" t="s">
        <v>115</v>
      </c>
      <c r="J16" s="429" t="s">
        <v>115</v>
      </c>
      <c r="K16" s="429"/>
      <c r="L16" s="429"/>
      <c r="M16" s="429"/>
      <c r="N16" s="429"/>
      <c r="O16" s="393">
        <f t="shared" ref="O16:O64" si="11">M16+N16</f>
        <v>0</v>
      </c>
      <c r="P16" s="345"/>
      <c r="Q16" s="369"/>
      <c r="R16" s="149"/>
      <c r="S16" s="149"/>
      <c r="T16" s="130"/>
      <c r="U16" s="130"/>
      <c r="V16" s="130"/>
      <c r="W16" s="16"/>
      <c r="X16" s="16"/>
      <c r="Y16" s="16"/>
    </row>
    <row r="17" spans="1:25" s="303" customFormat="1">
      <c r="A17" s="424">
        <v>10027</v>
      </c>
      <c r="B17" s="424" t="s">
        <v>107</v>
      </c>
      <c r="C17" s="424" t="s">
        <v>106</v>
      </c>
      <c r="D17" s="430" t="s">
        <v>7</v>
      </c>
      <c r="E17" s="431">
        <v>43222.775393518517</v>
      </c>
      <c r="F17" s="427">
        <v>43222.775393518517</v>
      </c>
      <c r="G17" s="428">
        <v>0.77500000000000002</v>
      </c>
      <c r="H17" s="429" t="s">
        <v>115</v>
      </c>
      <c r="I17" s="429" t="s">
        <v>115</v>
      </c>
      <c r="J17" s="429" t="s">
        <v>115</v>
      </c>
      <c r="K17" s="429">
        <v>2.2000000000000002</v>
      </c>
      <c r="L17" s="429"/>
      <c r="M17" s="429">
        <v>2</v>
      </c>
      <c r="N17" s="429">
        <v>0.20000000000000018</v>
      </c>
      <c r="O17" s="393">
        <f t="shared" si="11"/>
        <v>2.2000000000000002</v>
      </c>
      <c r="P17" s="373"/>
      <c r="Q17" s="373"/>
      <c r="R17" s="372"/>
      <c r="S17" s="372"/>
      <c r="T17" s="373"/>
      <c r="U17" s="373"/>
      <c r="V17" s="373"/>
      <c r="W17" s="16"/>
      <c r="X17" s="16"/>
      <c r="Y17" s="16"/>
    </row>
    <row r="18" spans="1:25" s="303" customFormat="1">
      <c r="A18" s="424">
        <v>10038</v>
      </c>
      <c r="B18" s="424" t="s">
        <v>107</v>
      </c>
      <c r="C18" s="424" t="s">
        <v>106</v>
      </c>
      <c r="D18" s="430" t="s">
        <v>8</v>
      </c>
      <c r="E18" s="431">
        <v>43222.867222222223</v>
      </c>
      <c r="F18" s="427">
        <v>43222.867222222223</v>
      </c>
      <c r="G18" s="428">
        <v>0.8666666666666667</v>
      </c>
      <c r="H18" s="429" t="s">
        <v>115</v>
      </c>
      <c r="I18" s="429" t="s">
        <v>115</v>
      </c>
      <c r="J18" s="429" t="s">
        <v>115</v>
      </c>
      <c r="K18" s="429"/>
      <c r="L18" s="429"/>
      <c r="M18" s="429"/>
      <c r="N18" s="429"/>
      <c r="O18" s="393">
        <f t="shared" si="11"/>
        <v>0</v>
      </c>
      <c r="P18" s="63"/>
      <c r="Q18" s="63"/>
      <c r="R18" s="18"/>
      <c r="S18" s="18"/>
      <c r="T18" s="63"/>
      <c r="U18" s="63"/>
      <c r="V18" s="63"/>
      <c r="W18" s="16"/>
      <c r="X18" s="16"/>
      <c r="Y18" s="16"/>
    </row>
    <row r="19" spans="1:25" s="16" customFormat="1">
      <c r="A19" s="424">
        <v>10043</v>
      </c>
      <c r="B19" s="424" t="s">
        <v>107</v>
      </c>
      <c r="C19" s="424" t="s">
        <v>106</v>
      </c>
      <c r="D19" s="430" t="s">
        <v>6</v>
      </c>
      <c r="E19" s="431">
        <v>43223.35728009259</v>
      </c>
      <c r="F19" s="427">
        <v>43223.35728009259</v>
      </c>
      <c r="G19" s="428">
        <v>0.35694444444444445</v>
      </c>
      <c r="H19" s="429">
        <v>10.033333333333333</v>
      </c>
      <c r="I19" s="429">
        <v>8</v>
      </c>
      <c r="J19" s="429" t="s">
        <v>115</v>
      </c>
      <c r="K19" s="429"/>
      <c r="L19" s="429"/>
      <c r="M19" s="429"/>
      <c r="N19" s="429"/>
      <c r="O19" s="393">
        <f t="shared" si="11"/>
        <v>0</v>
      </c>
      <c r="P19" s="345"/>
      <c r="Q19" s="369"/>
      <c r="R19" s="18"/>
      <c r="S19" s="18"/>
      <c r="T19" s="63"/>
      <c r="U19" s="63"/>
      <c r="V19" s="63"/>
      <c r="X19" s="63"/>
    </row>
    <row r="20" spans="1:25" s="16" customFormat="1">
      <c r="A20" s="424">
        <v>10063</v>
      </c>
      <c r="B20" s="424" t="s">
        <v>107</v>
      </c>
      <c r="C20" s="424" t="s">
        <v>106</v>
      </c>
      <c r="D20" s="430" t="s">
        <v>5</v>
      </c>
      <c r="E20" s="431">
        <v>43223.775335648148</v>
      </c>
      <c r="F20" s="427">
        <v>43223.775335648148</v>
      </c>
      <c r="G20" s="428">
        <v>0.77500000000000002</v>
      </c>
      <c r="H20" s="429" t="s">
        <v>115</v>
      </c>
      <c r="I20" s="429" t="s">
        <v>115</v>
      </c>
      <c r="J20" s="429" t="s">
        <v>115</v>
      </c>
      <c r="K20" s="429"/>
      <c r="L20" s="429"/>
      <c r="M20" s="429"/>
      <c r="N20" s="429"/>
      <c r="O20" s="393">
        <f t="shared" si="11"/>
        <v>0</v>
      </c>
      <c r="P20" s="345"/>
      <c r="Q20" s="369"/>
      <c r="R20" s="372"/>
      <c r="S20" s="372"/>
      <c r="T20" s="373"/>
      <c r="U20" s="373"/>
      <c r="V20" s="373"/>
      <c r="X20" s="63"/>
    </row>
    <row r="21" spans="1:25" s="63" customFormat="1">
      <c r="A21" s="424">
        <v>10064</v>
      </c>
      <c r="B21" s="424" t="s">
        <v>107</v>
      </c>
      <c r="C21" s="424" t="s">
        <v>106</v>
      </c>
      <c r="D21" s="430" t="s">
        <v>7</v>
      </c>
      <c r="E21" s="431">
        <v>43223.775370370371</v>
      </c>
      <c r="F21" s="427">
        <v>43223.775370370371</v>
      </c>
      <c r="G21" s="428">
        <v>0.77500000000000002</v>
      </c>
      <c r="H21" s="429" t="s">
        <v>115</v>
      </c>
      <c r="I21" s="429" t="s">
        <v>115</v>
      </c>
      <c r="J21" s="429" t="s">
        <v>115</v>
      </c>
      <c r="K21" s="429">
        <v>0.34999999999999876</v>
      </c>
      <c r="L21" s="429"/>
      <c r="M21" s="429">
        <v>0.34999999999999876</v>
      </c>
      <c r="N21" s="429">
        <v>0</v>
      </c>
      <c r="O21" s="393">
        <f t="shared" si="11"/>
        <v>0.34999999999999876</v>
      </c>
      <c r="P21" s="137"/>
      <c r="Q21" s="397"/>
      <c r="R21" s="137"/>
      <c r="S21" s="137"/>
      <c r="T21" s="16"/>
      <c r="U21" s="16"/>
      <c r="V21" s="16"/>
      <c r="W21" s="16"/>
      <c r="X21" s="16"/>
      <c r="Y21" s="16"/>
    </row>
    <row r="22" spans="1:25" s="63" customFormat="1">
      <c r="A22" s="424">
        <v>10066</v>
      </c>
      <c r="B22" s="424" t="s">
        <v>107</v>
      </c>
      <c r="C22" s="424" t="s">
        <v>106</v>
      </c>
      <c r="D22" s="430" t="s">
        <v>8</v>
      </c>
      <c r="E22" s="431">
        <v>43223.789710648147</v>
      </c>
      <c r="F22" s="427">
        <v>43223.789710648147</v>
      </c>
      <c r="G22" s="428">
        <v>0.7895833333333333</v>
      </c>
      <c r="H22" s="429" t="s">
        <v>115</v>
      </c>
      <c r="I22" s="429" t="s">
        <v>115</v>
      </c>
      <c r="J22" s="429" t="s">
        <v>115</v>
      </c>
      <c r="K22" s="429"/>
      <c r="L22" s="429"/>
      <c r="M22" s="429"/>
      <c r="N22" s="429"/>
      <c r="O22" s="393">
        <f t="shared" si="11"/>
        <v>0</v>
      </c>
      <c r="P22" s="137"/>
      <c r="Q22" s="397"/>
      <c r="R22" s="137"/>
      <c r="S22" s="137"/>
      <c r="T22" s="16"/>
      <c r="U22" s="16"/>
      <c r="V22" s="16"/>
      <c r="W22" s="16"/>
      <c r="X22" s="16"/>
      <c r="Y22" s="16"/>
    </row>
    <row r="23" spans="1:25">
      <c r="A23" s="424">
        <v>10071</v>
      </c>
      <c r="B23" s="424" t="s">
        <v>107</v>
      </c>
      <c r="C23" s="424" t="s">
        <v>106</v>
      </c>
      <c r="D23" s="430" t="s">
        <v>6</v>
      </c>
      <c r="E23" s="431">
        <v>43224.360555555555</v>
      </c>
      <c r="F23" s="438">
        <v>43224.360555555555</v>
      </c>
      <c r="G23" s="439">
        <v>0.36041666666666666</v>
      </c>
      <c r="H23" s="440">
        <v>9.7333333333333343</v>
      </c>
      <c r="I23" s="440">
        <v>8</v>
      </c>
      <c r="J23" s="440" t="s">
        <v>115</v>
      </c>
      <c r="K23" s="440"/>
      <c r="L23" s="440"/>
      <c r="M23" s="440"/>
      <c r="N23" s="440"/>
      <c r="O23" s="393">
        <f t="shared" si="11"/>
        <v>0</v>
      </c>
      <c r="P23" s="137"/>
      <c r="Q23" s="397"/>
      <c r="R23" s="137"/>
      <c r="S23" s="137"/>
      <c r="T23" s="16"/>
      <c r="U23" s="16"/>
      <c r="V23" s="16"/>
    </row>
    <row r="24" spans="1:25">
      <c r="A24" s="424">
        <v>10084</v>
      </c>
      <c r="B24" s="424" t="s">
        <v>107</v>
      </c>
      <c r="C24" s="424" t="s">
        <v>106</v>
      </c>
      <c r="D24" s="430" t="s">
        <v>5</v>
      </c>
      <c r="E24" s="431">
        <v>43224.766192129631</v>
      </c>
      <c r="F24" s="438">
        <v>43224.766192129631</v>
      </c>
      <c r="G24" s="439">
        <v>0.76597222222222217</v>
      </c>
      <c r="H24" s="440" t="s">
        <v>115</v>
      </c>
      <c r="I24" s="440" t="s">
        <v>115</v>
      </c>
      <c r="J24" s="440" t="s">
        <v>115</v>
      </c>
      <c r="K24" s="440"/>
      <c r="L24" s="440"/>
      <c r="M24" s="440"/>
      <c r="N24" s="440"/>
      <c r="O24" s="393">
        <f t="shared" si="11"/>
        <v>0</v>
      </c>
      <c r="P24" s="137"/>
      <c r="Q24" s="397"/>
      <c r="R24" s="137"/>
      <c r="S24" s="137"/>
      <c r="T24" s="16"/>
      <c r="U24" s="16"/>
      <c r="V24" s="16"/>
    </row>
    <row r="25" spans="1:25">
      <c r="A25" s="424">
        <v>10098</v>
      </c>
      <c r="B25" s="424" t="s">
        <v>107</v>
      </c>
      <c r="C25" s="424" t="s">
        <v>106</v>
      </c>
      <c r="D25" s="430" t="s">
        <v>6</v>
      </c>
      <c r="E25" s="431">
        <v>43227.354247685187</v>
      </c>
      <c r="F25" s="438">
        <v>43227.354247685187</v>
      </c>
      <c r="G25" s="439">
        <v>0.35416666666666669</v>
      </c>
      <c r="H25" s="440">
        <v>10.133333333333333</v>
      </c>
      <c r="I25" s="440">
        <v>8</v>
      </c>
      <c r="J25" s="440" t="s">
        <v>115</v>
      </c>
      <c r="K25" s="440"/>
      <c r="L25" s="440"/>
      <c r="M25" s="440"/>
      <c r="N25" s="440"/>
      <c r="O25" s="393">
        <f t="shared" si="11"/>
        <v>0</v>
      </c>
      <c r="Q25" s="369"/>
      <c r="R25" s="372"/>
      <c r="S25" s="372"/>
      <c r="T25" s="373"/>
      <c r="U25" s="373"/>
      <c r="V25" s="373"/>
      <c r="W25" s="261"/>
      <c r="X25" s="261"/>
      <c r="Y25" s="261"/>
    </row>
    <row r="26" spans="1:25">
      <c r="A26" s="424">
        <v>10122</v>
      </c>
      <c r="B26" s="424" t="s">
        <v>107</v>
      </c>
      <c r="C26" s="424" t="s">
        <v>106</v>
      </c>
      <c r="D26" s="430" t="s">
        <v>5</v>
      </c>
      <c r="E26" s="431">
        <v>43227.776886574073</v>
      </c>
      <c r="F26" s="438">
        <v>43227.776886574073</v>
      </c>
      <c r="G26" s="439">
        <v>0.77638888888888891</v>
      </c>
      <c r="H26" s="440" t="s">
        <v>115</v>
      </c>
      <c r="I26" s="440" t="s">
        <v>115</v>
      </c>
      <c r="J26" s="440" t="s">
        <v>115</v>
      </c>
      <c r="K26" s="440"/>
      <c r="L26" s="440"/>
      <c r="M26" s="440"/>
      <c r="N26" s="440"/>
      <c r="O26" s="393">
        <f t="shared" si="11"/>
        <v>0</v>
      </c>
      <c r="Q26" s="369"/>
      <c r="R26" s="372"/>
      <c r="S26" s="372"/>
      <c r="T26" s="373"/>
      <c r="U26" s="373"/>
      <c r="V26" s="373"/>
      <c r="W26" s="261"/>
      <c r="X26" s="261"/>
      <c r="Y26" s="261"/>
    </row>
    <row r="27" spans="1:25">
      <c r="A27" s="424">
        <v>10123</v>
      </c>
      <c r="B27" s="424" t="s">
        <v>107</v>
      </c>
      <c r="C27" s="424" t="s">
        <v>106</v>
      </c>
      <c r="D27" s="430" t="s">
        <v>7</v>
      </c>
      <c r="E27" s="431">
        <v>43227.776967592596</v>
      </c>
      <c r="F27" s="438">
        <v>43227.776967592596</v>
      </c>
      <c r="G27" s="439">
        <v>0.77638888888888891</v>
      </c>
      <c r="H27" s="440" t="s">
        <v>115</v>
      </c>
      <c r="I27" s="440" t="s">
        <v>115</v>
      </c>
      <c r="J27" s="440" t="s">
        <v>115</v>
      </c>
      <c r="K27" s="440">
        <v>0.28333333333333233</v>
      </c>
      <c r="L27" s="440"/>
      <c r="M27" s="440">
        <v>0.28333333333333233</v>
      </c>
      <c r="N27" s="440">
        <v>0</v>
      </c>
      <c r="O27" s="393">
        <f t="shared" si="11"/>
        <v>0.28333333333333233</v>
      </c>
      <c r="P27" s="9"/>
      <c r="R27" s="372"/>
      <c r="S27" s="372"/>
      <c r="T27" s="373"/>
      <c r="U27" s="373"/>
      <c r="V27" s="373"/>
    </row>
    <row r="28" spans="1:25">
      <c r="A28" s="424">
        <v>10125</v>
      </c>
      <c r="B28" s="424" t="s">
        <v>107</v>
      </c>
      <c r="C28" s="424" t="s">
        <v>106</v>
      </c>
      <c r="D28" s="430" t="s">
        <v>8</v>
      </c>
      <c r="E28" s="431">
        <v>43227.788842592592</v>
      </c>
      <c r="F28" s="438">
        <v>43227.788842592592</v>
      </c>
      <c r="G28" s="439">
        <v>0.78819444444444453</v>
      </c>
      <c r="H28" s="440" t="s">
        <v>115</v>
      </c>
      <c r="I28" s="440" t="s">
        <v>115</v>
      </c>
      <c r="J28" s="440" t="s">
        <v>115</v>
      </c>
      <c r="K28" s="440"/>
      <c r="L28" s="440"/>
      <c r="M28" s="440"/>
      <c r="N28" s="440"/>
      <c r="O28" s="393">
        <f t="shared" si="11"/>
        <v>0</v>
      </c>
      <c r="P28" s="9"/>
      <c r="R28" s="372"/>
      <c r="S28" s="372"/>
      <c r="T28" s="373"/>
      <c r="U28" s="373"/>
      <c r="V28" s="373"/>
    </row>
    <row r="29" spans="1:25">
      <c r="A29" s="424">
        <v>10134</v>
      </c>
      <c r="B29" s="424" t="s">
        <v>107</v>
      </c>
      <c r="C29" s="424" t="s">
        <v>106</v>
      </c>
      <c r="D29" s="430" t="s">
        <v>6</v>
      </c>
      <c r="E29" s="431">
        <v>43228.356388888889</v>
      </c>
      <c r="F29" s="438">
        <v>43228.356388888889</v>
      </c>
      <c r="G29" s="439">
        <v>0.35625000000000001</v>
      </c>
      <c r="H29" s="440">
        <v>10.35</v>
      </c>
      <c r="I29" s="440">
        <v>8</v>
      </c>
      <c r="J29" s="440" t="s">
        <v>115</v>
      </c>
      <c r="K29" s="440"/>
      <c r="L29" s="440"/>
      <c r="M29" s="440"/>
      <c r="N29" s="440"/>
      <c r="O29" s="393">
        <f t="shared" si="11"/>
        <v>0</v>
      </c>
      <c r="P29" s="9"/>
      <c r="R29" s="372"/>
      <c r="S29" s="372"/>
      <c r="T29" s="373"/>
      <c r="U29" s="373"/>
      <c r="V29" s="373"/>
    </row>
    <row r="30" spans="1:25">
      <c r="A30" s="424">
        <v>10154</v>
      </c>
      <c r="B30" s="424" t="s">
        <v>107</v>
      </c>
      <c r="C30" s="424" t="s">
        <v>106</v>
      </c>
      <c r="D30" s="430" t="s">
        <v>5</v>
      </c>
      <c r="E30" s="431">
        <v>43228.78765046296</v>
      </c>
      <c r="F30" s="438">
        <v>43228.78765046296</v>
      </c>
      <c r="G30" s="439">
        <v>0.78749999999999998</v>
      </c>
      <c r="H30" s="440" t="s">
        <v>115</v>
      </c>
      <c r="I30" s="440" t="s">
        <v>115</v>
      </c>
      <c r="J30" s="440" t="s">
        <v>115</v>
      </c>
      <c r="K30" s="440"/>
      <c r="L30" s="440"/>
      <c r="M30" s="440"/>
      <c r="N30" s="440"/>
      <c r="O30" s="393">
        <f t="shared" si="11"/>
        <v>0</v>
      </c>
      <c r="P30" s="9"/>
      <c r="R30" s="372"/>
      <c r="S30" s="372"/>
      <c r="T30" s="373"/>
      <c r="U30" s="373"/>
      <c r="V30" s="373"/>
    </row>
    <row r="31" spans="1:25">
      <c r="A31" s="424">
        <v>10160</v>
      </c>
      <c r="B31" s="424" t="s">
        <v>107</v>
      </c>
      <c r="C31" s="424" t="s">
        <v>106</v>
      </c>
      <c r="D31" s="430" t="s">
        <v>6</v>
      </c>
      <c r="E31" s="431">
        <v>43229.354594907411</v>
      </c>
      <c r="F31" s="438">
        <v>43229.354594907411</v>
      </c>
      <c r="G31" s="439">
        <v>0.35416666666666669</v>
      </c>
      <c r="H31" s="440">
        <v>10.283333333333333</v>
      </c>
      <c r="I31" s="440">
        <v>8</v>
      </c>
      <c r="J31" s="440" t="s">
        <v>115</v>
      </c>
      <c r="K31" s="440"/>
      <c r="L31" s="440"/>
      <c r="M31" s="440"/>
      <c r="N31" s="440"/>
      <c r="O31" s="393">
        <f t="shared" si="11"/>
        <v>0</v>
      </c>
      <c r="P31" s="9"/>
      <c r="R31" s="372"/>
      <c r="S31" s="372"/>
      <c r="T31" s="373"/>
      <c r="U31" s="373"/>
      <c r="V31" s="373"/>
    </row>
    <row r="32" spans="1:25">
      <c r="A32" s="424">
        <v>10182</v>
      </c>
      <c r="B32" s="424" t="s">
        <v>107</v>
      </c>
      <c r="C32" s="424" t="s">
        <v>106</v>
      </c>
      <c r="D32" s="430" t="s">
        <v>5</v>
      </c>
      <c r="E32" s="431">
        <v>43229.783113425925</v>
      </c>
      <c r="F32" s="438">
        <v>43229.783113425925</v>
      </c>
      <c r="G32" s="439">
        <v>0.78263888888888899</v>
      </c>
      <c r="H32" s="440" t="s">
        <v>115</v>
      </c>
      <c r="I32" s="440" t="s">
        <v>115</v>
      </c>
      <c r="J32" s="440" t="s">
        <v>115</v>
      </c>
      <c r="K32" s="440"/>
      <c r="L32" s="440"/>
      <c r="M32" s="440"/>
      <c r="N32" s="440"/>
      <c r="O32" s="393">
        <f t="shared" si="11"/>
        <v>0</v>
      </c>
      <c r="P32" s="9"/>
      <c r="R32" s="372"/>
      <c r="S32" s="372"/>
      <c r="T32" s="373"/>
      <c r="U32" s="373"/>
      <c r="V32" s="373"/>
    </row>
    <row r="33" spans="1:26" s="262" customFormat="1">
      <c r="A33" s="424">
        <v>10183</v>
      </c>
      <c r="B33" s="424" t="s">
        <v>107</v>
      </c>
      <c r="C33" s="424" t="s">
        <v>106</v>
      </c>
      <c r="D33" s="430" t="s">
        <v>7</v>
      </c>
      <c r="E33" s="431">
        <v>43229.783136574071</v>
      </c>
      <c r="F33" s="438">
        <v>43229.783136574071</v>
      </c>
      <c r="G33" s="439">
        <v>0.78263888888888899</v>
      </c>
      <c r="H33" s="440" t="s">
        <v>115</v>
      </c>
      <c r="I33" s="440" t="s">
        <v>115</v>
      </c>
      <c r="J33" s="440" t="s">
        <v>115</v>
      </c>
      <c r="K33" s="440">
        <v>2.4499999999999993</v>
      </c>
      <c r="L33" s="440"/>
      <c r="M33" s="440">
        <v>2</v>
      </c>
      <c r="N33" s="440">
        <v>0.44999999999999929</v>
      </c>
      <c r="O33" s="393">
        <f t="shared" si="11"/>
        <v>2.4499999999999993</v>
      </c>
      <c r="P33" s="9"/>
      <c r="Q33" s="345"/>
      <c r="R33" s="372"/>
      <c r="S33" s="372"/>
      <c r="T33" s="373"/>
      <c r="U33" s="373"/>
      <c r="V33" s="373"/>
      <c r="W33"/>
      <c r="X33" s="391"/>
      <c r="Y33" s="391"/>
      <c r="Z33" s="261"/>
    </row>
    <row r="34" spans="1:26">
      <c r="A34" s="424">
        <v>10192</v>
      </c>
      <c r="B34" s="424" t="s">
        <v>107</v>
      </c>
      <c r="C34" s="424" t="s">
        <v>106</v>
      </c>
      <c r="D34" s="430" t="s">
        <v>8</v>
      </c>
      <c r="E34" s="431">
        <v>43229.884988425925</v>
      </c>
      <c r="F34" s="438">
        <v>43229.884988425925</v>
      </c>
      <c r="G34" s="439">
        <v>0.8847222222222223</v>
      </c>
      <c r="H34" s="440" t="s">
        <v>115</v>
      </c>
      <c r="I34" s="440" t="s">
        <v>115</v>
      </c>
      <c r="J34" s="440" t="s">
        <v>115</v>
      </c>
      <c r="K34" s="440"/>
      <c r="L34" s="440"/>
      <c r="M34" s="440"/>
      <c r="N34" s="440"/>
      <c r="O34" s="393">
        <f t="shared" si="11"/>
        <v>0</v>
      </c>
      <c r="P34" s="9"/>
      <c r="R34" s="372"/>
      <c r="S34" s="372"/>
      <c r="T34" s="373"/>
      <c r="U34" s="373"/>
      <c r="V34" s="373"/>
    </row>
    <row r="35" spans="1:26">
      <c r="A35" s="424">
        <v>10196</v>
      </c>
      <c r="B35" s="424" t="s">
        <v>107</v>
      </c>
      <c r="C35" s="424" t="s">
        <v>106</v>
      </c>
      <c r="D35" s="430" t="s">
        <v>6</v>
      </c>
      <c r="E35" s="431">
        <v>43230.355914351851</v>
      </c>
      <c r="F35" s="438">
        <v>43230.355914351851</v>
      </c>
      <c r="G35" s="439">
        <v>0.35555555555555557</v>
      </c>
      <c r="H35" s="440">
        <v>10.15</v>
      </c>
      <c r="I35" s="440">
        <v>8</v>
      </c>
      <c r="J35" s="440" t="s">
        <v>115</v>
      </c>
      <c r="K35" s="440"/>
      <c r="L35" s="440"/>
      <c r="M35" s="440"/>
      <c r="N35" s="440"/>
      <c r="O35" s="393">
        <f t="shared" si="11"/>
        <v>0</v>
      </c>
      <c r="P35" s="9"/>
      <c r="R35" s="372"/>
      <c r="S35" s="372"/>
      <c r="T35" s="373"/>
      <c r="U35" s="373"/>
      <c r="V35" s="373"/>
    </row>
    <row r="36" spans="1:26">
      <c r="A36" s="424">
        <v>10216</v>
      </c>
      <c r="B36" s="424" t="s">
        <v>107</v>
      </c>
      <c r="C36" s="424" t="s">
        <v>106</v>
      </c>
      <c r="D36" s="430" t="s">
        <v>5</v>
      </c>
      <c r="E36" s="431">
        <v>43230.778506944444</v>
      </c>
      <c r="F36" s="438">
        <v>43230.778506944444</v>
      </c>
      <c r="G36" s="439">
        <v>0.77847222222222223</v>
      </c>
      <c r="H36" s="440" t="s">
        <v>115</v>
      </c>
      <c r="I36" s="440" t="s">
        <v>115</v>
      </c>
      <c r="J36" s="440" t="s">
        <v>115</v>
      </c>
      <c r="K36" s="440"/>
      <c r="L36" s="440"/>
      <c r="M36" s="440"/>
      <c r="N36" s="440"/>
      <c r="O36" s="393">
        <f t="shared" si="11"/>
        <v>0</v>
      </c>
      <c r="P36" s="9"/>
      <c r="R36" s="372"/>
      <c r="S36" s="372"/>
      <c r="T36" s="373"/>
      <c r="U36" s="373"/>
      <c r="V36" s="373"/>
    </row>
    <row r="37" spans="1:26">
      <c r="A37" s="424">
        <v>10222</v>
      </c>
      <c r="B37" s="424" t="s">
        <v>107</v>
      </c>
      <c r="C37" s="424" t="s">
        <v>106</v>
      </c>
      <c r="D37" s="430" t="s">
        <v>6</v>
      </c>
      <c r="E37" s="431">
        <v>43231.355138888888</v>
      </c>
      <c r="F37" s="438">
        <v>43231.355138888888</v>
      </c>
      <c r="G37" s="439">
        <v>0.35486111111111113</v>
      </c>
      <c r="H37" s="440">
        <v>9.9833333333333343</v>
      </c>
      <c r="I37" s="440">
        <v>8</v>
      </c>
      <c r="J37" s="440" t="s">
        <v>115</v>
      </c>
      <c r="K37" s="440"/>
      <c r="L37" s="440"/>
      <c r="M37" s="440"/>
      <c r="N37" s="440"/>
      <c r="O37" s="393">
        <f t="shared" si="11"/>
        <v>0</v>
      </c>
      <c r="P37" s="9"/>
      <c r="R37" s="372"/>
      <c r="S37" s="372"/>
      <c r="T37" s="373"/>
      <c r="U37" s="373"/>
      <c r="V37" s="373"/>
    </row>
    <row r="38" spans="1:26">
      <c r="A38" s="424">
        <v>10182</v>
      </c>
      <c r="B38" s="424" t="s">
        <v>107</v>
      </c>
      <c r="C38" s="424" t="s">
        <v>106</v>
      </c>
      <c r="D38" s="430" t="s">
        <v>5</v>
      </c>
      <c r="E38" s="431">
        <v>43231.771307870367</v>
      </c>
      <c r="F38" s="438">
        <v>43231.771307870367</v>
      </c>
      <c r="G38" s="439">
        <v>0.77083333333333337</v>
      </c>
      <c r="H38" s="440" t="s">
        <v>115</v>
      </c>
      <c r="I38" s="440" t="s">
        <v>115</v>
      </c>
      <c r="J38" s="440" t="s">
        <v>115</v>
      </c>
      <c r="K38" s="440"/>
      <c r="L38" s="440"/>
      <c r="M38" s="440"/>
      <c r="N38" s="440"/>
      <c r="O38" s="393">
        <f t="shared" si="11"/>
        <v>0</v>
      </c>
      <c r="P38" s="9"/>
      <c r="R38" s="372"/>
      <c r="S38" s="372"/>
      <c r="T38" s="373"/>
      <c r="U38" s="373"/>
      <c r="V38" s="373"/>
    </row>
    <row r="39" spans="1:26">
      <c r="A39" s="424">
        <v>10183</v>
      </c>
      <c r="B39" s="424" t="s">
        <v>107</v>
      </c>
      <c r="C39" s="424" t="s">
        <v>106</v>
      </c>
      <c r="D39" s="430" t="s">
        <v>7</v>
      </c>
      <c r="E39" s="431">
        <v>43231.771331018521</v>
      </c>
      <c r="F39" s="438">
        <v>43231.771331018521</v>
      </c>
      <c r="G39" s="439">
        <v>0.77083333333333337</v>
      </c>
      <c r="H39" s="440" t="s">
        <v>115</v>
      </c>
      <c r="I39" s="440" t="s">
        <v>115</v>
      </c>
      <c r="J39" s="440" t="s">
        <v>115</v>
      </c>
      <c r="K39" s="440">
        <v>0.75</v>
      </c>
      <c r="L39" s="440"/>
      <c r="M39" s="440">
        <v>0.75</v>
      </c>
      <c r="N39" s="440">
        <v>0</v>
      </c>
      <c r="O39" s="393">
        <f t="shared" si="11"/>
        <v>0.75</v>
      </c>
      <c r="P39" s="9"/>
      <c r="R39" s="372"/>
      <c r="S39" s="401"/>
      <c r="T39" s="401"/>
      <c r="U39" s="401"/>
      <c r="V39" s="401"/>
    </row>
    <row r="40" spans="1:26">
      <c r="A40" s="424">
        <v>10192</v>
      </c>
      <c r="B40" s="424" t="s">
        <v>107</v>
      </c>
      <c r="C40" s="424" t="s">
        <v>106</v>
      </c>
      <c r="D40" s="430" t="s">
        <v>8</v>
      </c>
      <c r="E40" s="431">
        <v>43231.802349537036</v>
      </c>
      <c r="F40" s="438">
        <v>43231.802349537036</v>
      </c>
      <c r="G40" s="439">
        <v>0.80208333333333337</v>
      </c>
      <c r="H40" s="440" t="s">
        <v>115</v>
      </c>
      <c r="I40" s="440" t="s">
        <v>115</v>
      </c>
      <c r="J40" s="440" t="s">
        <v>115</v>
      </c>
      <c r="K40" s="440"/>
      <c r="L40" s="440"/>
      <c r="M40" s="440"/>
      <c r="N40" s="440"/>
      <c r="O40" s="393">
        <f t="shared" si="11"/>
        <v>0</v>
      </c>
      <c r="P40" s="9"/>
      <c r="R40" s="372"/>
      <c r="S40" s="372"/>
      <c r="T40" s="373"/>
      <c r="U40" s="373"/>
      <c r="V40" s="373"/>
    </row>
    <row r="41" spans="1:26">
      <c r="A41" s="424">
        <v>10239</v>
      </c>
      <c r="B41" s="424" t="s">
        <v>107</v>
      </c>
      <c r="C41" s="424" t="s">
        <v>106</v>
      </c>
      <c r="D41" s="430" t="s">
        <v>6</v>
      </c>
      <c r="E41" s="431">
        <v>43234.354768518519</v>
      </c>
      <c r="F41" s="438">
        <v>43234.354768518519</v>
      </c>
      <c r="G41" s="439">
        <v>0.35416666666666669</v>
      </c>
      <c r="H41" s="440">
        <v>10</v>
      </c>
      <c r="I41" s="440">
        <v>8</v>
      </c>
      <c r="J41" s="440" t="s">
        <v>115</v>
      </c>
      <c r="K41" s="440"/>
      <c r="L41" s="440"/>
      <c r="M41" s="440"/>
      <c r="N41" s="440"/>
      <c r="O41" s="393">
        <f t="shared" si="11"/>
        <v>0</v>
      </c>
      <c r="P41" s="9"/>
      <c r="R41" s="372"/>
      <c r="S41" s="372"/>
      <c r="T41" s="373"/>
      <c r="U41" s="373"/>
      <c r="V41" s="373"/>
    </row>
    <row r="42" spans="1:26">
      <c r="A42" s="424">
        <v>10256</v>
      </c>
      <c r="B42" s="424" t="s">
        <v>107</v>
      </c>
      <c r="C42" s="424" t="s">
        <v>106</v>
      </c>
      <c r="D42" s="430" t="s">
        <v>5</v>
      </c>
      <c r="E42" s="431">
        <v>43234.771041666667</v>
      </c>
      <c r="F42" s="438">
        <v>43234.771041666667</v>
      </c>
      <c r="G42" s="439">
        <v>0.77083333333333337</v>
      </c>
      <c r="H42" s="440" t="s">
        <v>115</v>
      </c>
      <c r="I42" s="440" t="s">
        <v>115</v>
      </c>
      <c r="J42" s="440" t="s">
        <v>115</v>
      </c>
      <c r="K42" s="440"/>
      <c r="L42" s="440"/>
      <c r="M42" s="440"/>
      <c r="N42" s="440"/>
      <c r="O42" s="393">
        <f t="shared" si="11"/>
        <v>0</v>
      </c>
      <c r="P42" s="9"/>
      <c r="R42" s="372"/>
      <c r="S42" s="372"/>
      <c r="T42" s="373"/>
      <c r="U42" s="373"/>
      <c r="V42" s="373"/>
    </row>
    <row r="43" spans="1:26">
      <c r="A43" s="424">
        <v>10257</v>
      </c>
      <c r="B43" s="424" t="s">
        <v>107</v>
      </c>
      <c r="C43" s="424" t="s">
        <v>106</v>
      </c>
      <c r="D43" s="430" t="s">
        <v>7</v>
      </c>
      <c r="E43" s="431">
        <v>43234.771099537036</v>
      </c>
      <c r="F43" s="438">
        <v>43234.771099537036</v>
      </c>
      <c r="G43" s="439">
        <v>0.77083333333333337</v>
      </c>
      <c r="H43" s="440" t="s">
        <v>115</v>
      </c>
      <c r="I43" s="440" t="s">
        <v>115</v>
      </c>
      <c r="J43" s="440" t="s">
        <v>115</v>
      </c>
      <c r="K43" s="440">
        <v>3.1999999999999993</v>
      </c>
      <c r="L43" s="440"/>
      <c r="M43" s="440">
        <v>2</v>
      </c>
      <c r="N43" s="440">
        <v>1.1999999999999993</v>
      </c>
      <c r="O43" s="393">
        <f t="shared" si="11"/>
        <v>3.1999999999999993</v>
      </c>
      <c r="P43" s="9"/>
      <c r="R43" s="372"/>
      <c r="S43" s="374"/>
      <c r="T43" s="375"/>
      <c r="U43" s="375"/>
      <c r="V43" s="375"/>
    </row>
    <row r="44" spans="1:26">
      <c r="A44" s="424">
        <v>10267</v>
      </c>
      <c r="B44" s="424" t="s">
        <v>107</v>
      </c>
      <c r="C44" s="424" t="s">
        <v>106</v>
      </c>
      <c r="D44" s="430" t="s">
        <v>8</v>
      </c>
      <c r="E44" s="431">
        <v>43234.904398148145</v>
      </c>
      <c r="F44" s="438">
        <v>43234.904398148145</v>
      </c>
      <c r="G44" s="439">
        <v>0.90416666666666667</v>
      </c>
      <c r="H44" s="440" t="s">
        <v>115</v>
      </c>
      <c r="I44" s="440" t="s">
        <v>115</v>
      </c>
      <c r="J44" s="440" t="s">
        <v>115</v>
      </c>
      <c r="K44" s="440"/>
      <c r="L44" s="440"/>
      <c r="M44" s="440"/>
      <c r="N44" s="440"/>
      <c r="O44" s="393">
        <f t="shared" si="11"/>
        <v>0</v>
      </c>
      <c r="P44" s="9"/>
      <c r="R44" s="372"/>
    </row>
    <row r="45" spans="1:26">
      <c r="A45" s="424">
        <v>10271</v>
      </c>
      <c r="B45" s="424" t="s">
        <v>107</v>
      </c>
      <c r="C45" s="424" t="s">
        <v>106</v>
      </c>
      <c r="D45" s="430" t="s">
        <v>6</v>
      </c>
      <c r="E45" s="431">
        <v>43235.35560185185</v>
      </c>
      <c r="F45" s="438">
        <v>43235.35560185185</v>
      </c>
      <c r="G45" s="439">
        <v>0.35555555555555557</v>
      </c>
      <c r="H45" s="440">
        <v>10.016666666666667</v>
      </c>
      <c r="I45" s="440">
        <v>8</v>
      </c>
      <c r="J45" s="440" t="s">
        <v>115</v>
      </c>
      <c r="K45" s="440"/>
      <c r="L45" s="440"/>
      <c r="M45" s="440"/>
      <c r="N45" s="440"/>
      <c r="O45" s="393">
        <f t="shared" si="11"/>
        <v>0</v>
      </c>
      <c r="P45" s="9"/>
      <c r="R45" s="372"/>
      <c r="S45" s="372"/>
      <c r="T45" s="373"/>
      <c r="U45" s="373"/>
      <c r="V45" s="373"/>
    </row>
    <row r="46" spans="1:26">
      <c r="A46" s="424">
        <v>10294</v>
      </c>
      <c r="B46" s="424" t="s">
        <v>107</v>
      </c>
      <c r="C46" s="424" t="s">
        <v>106</v>
      </c>
      <c r="D46" s="430" t="s">
        <v>5</v>
      </c>
      <c r="E46" s="431">
        <v>43235.773206018515</v>
      </c>
      <c r="F46" s="438">
        <v>43235.773206018515</v>
      </c>
      <c r="G46" s="439">
        <v>0.7729166666666667</v>
      </c>
      <c r="H46" s="440" t="s">
        <v>115</v>
      </c>
      <c r="I46" s="440" t="s">
        <v>115</v>
      </c>
      <c r="J46" s="440" t="s">
        <v>115</v>
      </c>
      <c r="K46" s="440"/>
      <c r="L46" s="440"/>
      <c r="M46" s="440"/>
      <c r="N46" s="440"/>
      <c r="O46" s="393">
        <f t="shared" si="11"/>
        <v>0</v>
      </c>
      <c r="P46" s="9"/>
      <c r="R46" s="372"/>
      <c r="S46" s="18"/>
      <c r="T46" s="63"/>
      <c r="U46" s="63"/>
      <c r="V46" s="63"/>
    </row>
    <row r="47" spans="1:26">
      <c r="A47" s="424">
        <v>10295</v>
      </c>
      <c r="B47" s="424" t="s">
        <v>107</v>
      </c>
      <c r="C47" s="424" t="s">
        <v>106</v>
      </c>
      <c r="D47" s="430" t="s">
        <v>7</v>
      </c>
      <c r="E47" s="431">
        <v>43235.773229166669</v>
      </c>
      <c r="F47" s="438">
        <v>43235.773229166669</v>
      </c>
      <c r="G47" s="439">
        <v>0.7729166666666667</v>
      </c>
      <c r="H47" s="440" t="s">
        <v>115</v>
      </c>
      <c r="I47" s="440" t="s">
        <v>115</v>
      </c>
      <c r="J47" s="440" t="s">
        <v>115</v>
      </c>
      <c r="K47" s="440">
        <v>0.49999999999999822</v>
      </c>
      <c r="L47" s="440"/>
      <c r="M47" s="440">
        <v>0.49999999999999822</v>
      </c>
      <c r="N47" s="440">
        <v>0</v>
      </c>
      <c r="O47" s="393">
        <f t="shared" si="11"/>
        <v>0.49999999999999822</v>
      </c>
      <c r="P47" s="9"/>
      <c r="R47" s="372"/>
      <c r="S47" s="16"/>
      <c r="T47" s="16"/>
      <c r="U47" s="16"/>
      <c r="V47" s="16"/>
    </row>
    <row r="48" spans="1:26">
      <c r="A48" s="424">
        <v>10296</v>
      </c>
      <c r="B48" s="424" t="s">
        <v>107</v>
      </c>
      <c r="C48" s="424" t="s">
        <v>106</v>
      </c>
      <c r="D48" s="430" t="s">
        <v>8</v>
      </c>
      <c r="E48" s="431">
        <v>43235.794050925928</v>
      </c>
      <c r="F48" s="438">
        <v>43235.794050925928</v>
      </c>
      <c r="G48" s="439">
        <v>0.79375000000000007</v>
      </c>
      <c r="H48" s="440" t="s">
        <v>115</v>
      </c>
      <c r="I48" s="440" t="s">
        <v>115</v>
      </c>
      <c r="J48" s="440" t="s">
        <v>115</v>
      </c>
      <c r="K48" s="440"/>
      <c r="L48" s="440"/>
      <c r="M48" s="440"/>
      <c r="N48" s="440"/>
      <c r="O48" s="393">
        <f t="shared" si="11"/>
        <v>0</v>
      </c>
      <c r="P48" s="9"/>
      <c r="R48" s="372"/>
      <c r="S48" s="16"/>
      <c r="T48" s="16"/>
      <c r="U48" s="16"/>
      <c r="V48" s="16"/>
    </row>
    <row r="49" spans="1:22">
      <c r="A49" s="424">
        <v>10303</v>
      </c>
      <c r="B49" s="424" t="s">
        <v>107</v>
      </c>
      <c r="C49" s="424" t="s">
        <v>106</v>
      </c>
      <c r="D49" s="430" t="s">
        <v>6</v>
      </c>
      <c r="E49" s="431">
        <v>43236.355995370373</v>
      </c>
      <c r="F49" s="438">
        <v>43236.355995370373</v>
      </c>
      <c r="G49" s="439">
        <v>0.35555555555555557</v>
      </c>
      <c r="H49" s="440">
        <v>9.5666666666666664</v>
      </c>
      <c r="I49" s="440">
        <v>8</v>
      </c>
      <c r="J49" s="440" t="s">
        <v>115</v>
      </c>
      <c r="K49" s="440"/>
      <c r="L49" s="440"/>
      <c r="M49" s="440"/>
      <c r="N49" s="440"/>
      <c r="O49" s="393">
        <f t="shared" si="11"/>
        <v>0</v>
      </c>
      <c r="P49" s="9"/>
      <c r="R49" s="372"/>
      <c r="S49" s="370"/>
      <c r="T49" s="371"/>
      <c r="U49" s="371"/>
      <c r="V49" s="371"/>
    </row>
    <row r="50" spans="1:22">
      <c r="A50" s="424">
        <v>10316</v>
      </c>
      <c r="B50" s="424" t="s">
        <v>107</v>
      </c>
      <c r="C50" s="424" t="s">
        <v>106</v>
      </c>
      <c r="D50" s="430" t="s">
        <v>5</v>
      </c>
      <c r="E50" s="431">
        <v>43236.75439814815</v>
      </c>
      <c r="F50" s="438">
        <v>43236.75439814815</v>
      </c>
      <c r="G50" s="439">
        <v>0.75416666666666676</v>
      </c>
      <c r="H50" s="440" t="s">
        <v>115</v>
      </c>
      <c r="I50" s="440" t="s">
        <v>115</v>
      </c>
      <c r="J50" s="440" t="s">
        <v>115</v>
      </c>
      <c r="K50" s="440"/>
      <c r="L50" s="440"/>
      <c r="M50" s="440"/>
      <c r="N50" s="440"/>
      <c r="O50" s="393">
        <f t="shared" si="11"/>
        <v>0</v>
      </c>
      <c r="P50" s="9"/>
      <c r="R50" s="372"/>
      <c r="S50" s="18"/>
      <c r="T50" s="63"/>
      <c r="U50" s="63"/>
      <c r="V50" s="63"/>
    </row>
    <row r="51" spans="1:22">
      <c r="A51" s="424">
        <v>10332</v>
      </c>
      <c r="B51" s="424" t="s">
        <v>107</v>
      </c>
      <c r="C51" s="424" t="s">
        <v>106</v>
      </c>
      <c r="D51" s="430" t="s">
        <v>6</v>
      </c>
      <c r="E51" s="431">
        <v>43237.35864583333</v>
      </c>
      <c r="F51" s="438">
        <v>43237.35864583333</v>
      </c>
      <c r="G51" s="439">
        <v>0.35833333333333334</v>
      </c>
      <c r="H51" s="440">
        <v>9.9</v>
      </c>
      <c r="I51" s="440">
        <v>8</v>
      </c>
      <c r="J51" s="440" t="s">
        <v>115</v>
      </c>
      <c r="K51" s="440"/>
      <c r="L51" s="440"/>
      <c r="M51" s="440"/>
      <c r="N51" s="440"/>
      <c r="O51" s="393">
        <f t="shared" si="11"/>
        <v>0</v>
      </c>
      <c r="P51" s="9"/>
      <c r="R51" s="372"/>
      <c r="S51" s="18"/>
      <c r="T51" s="63"/>
      <c r="U51" s="63"/>
      <c r="V51" s="63"/>
    </row>
    <row r="52" spans="1:22">
      <c r="A52" s="424">
        <v>10349</v>
      </c>
      <c r="B52" s="424" t="s">
        <v>107</v>
      </c>
      <c r="C52" s="424" t="s">
        <v>106</v>
      </c>
      <c r="D52" s="430" t="s">
        <v>5</v>
      </c>
      <c r="E52" s="431">
        <v>43237.771111111113</v>
      </c>
      <c r="F52" s="438">
        <v>43237.771111111113</v>
      </c>
      <c r="G52" s="439">
        <v>0.77083333333333337</v>
      </c>
      <c r="H52" s="440" t="s">
        <v>115</v>
      </c>
      <c r="I52" s="440" t="s">
        <v>115</v>
      </c>
      <c r="J52" s="440" t="s">
        <v>115</v>
      </c>
      <c r="K52" s="440"/>
      <c r="L52" s="440"/>
      <c r="M52" s="440"/>
      <c r="N52" s="440"/>
      <c r="O52" s="393">
        <f t="shared" si="11"/>
        <v>0</v>
      </c>
      <c r="P52" s="9"/>
      <c r="R52" s="372"/>
      <c r="S52" s="370"/>
      <c r="T52" s="371"/>
      <c r="U52" s="371"/>
      <c r="V52" s="371"/>
    </row>
    <row r="53" spans="1:22">
      <c r="A53" s="424">
        <v>10350</v>
      </c>
      <c r="B53" s="424" t="s">
        <v>107</v>
      </c>
      <c r="C53" s="424" t="s">
        <v>106</v>
      </c>
      <c r="D53" s="430" t="s">
        <v>7</v>
      </c>
      <c r="E53" s="431">
        <v>43237.771134259259</v>
      </c>
      <c r="F53" s="438">
        <v>43237.771134259259</v>
      </c>
      <c r="G53" s="439">
        <v>0.77083333333333337</v>
      </c>
      <c r="H53" s="440" t="s">
        <v>115</v>
      </c>
      <c r="I53" s="440" t="s">
        <v>115</v>
      </c>
      <c r="J53" s="440" t="s">
        <v>115</v>
      </c>
      <c r="K53" s="440">
        <v>1.7666666666666657</v>
      </c>
      <c r="L53" s="440"/>
      <c r="M53" s="440">
        <v>1.7666666666666657</v>
      </c>
      <c r="N53" s="440">
        <v>0</v>
      </c>
      <c r="O53" s="393">
        <f t="shared" si="11"/>
        <v>1.7666666666666657</v>
      </c>
      <c r="P53" s="9"/>
      <c r="R53" s="372"/>
      <c r="S53" s="374"/>
      <c r="T53" s="375"/>
      <c r="U53" s="375"/>
      <c r="V53" s="375"/>
    </row>
    <row r="54" spans="1:22">
      <c r="A54" s="424">
        <v>10355</v>
      </c>
      <c r="B54" s="424" t="s">
        <v>107</v>
      </c>
      <c r="C54" s="424" t="s">
        <v>106</v>
      </c>
      <c r="D54" s="430" t="s">
        <v>8</v>
      </c>
      <c r="E54" s="431">
        <v>43237.844525462962</v>
      </c>
      <c r="F54" s="438">
        <v>43237.844525462962</v>
      </c>
      <c r="G54" s="439">
        <v>0.84444444444444444</v>
      </c>
      <c r="H54" s="440" t="s">
        <v>115</v>
      </c>
      <c r="I54" s="440" t="s">
        <v>115</v>
      </c>
      <c r="J54" s="440" t="s">
        <v>115</v>
      </c>
      <c r="K54" s="440"/>
      <c r="L54" s="440"/>
      <c r="M54" s="440"/>
      <c r="N54" s="440"/>
      <c r="O54" s="393">
        <f t="shared" si="11"/>
        <v>0</v>
      </c>
      <c r="P54" s="9"/>
      <c r="R54" s="372"/>
    </row>
    <row r="55" spans="1:22">
      <c r="A55" s="424">
        <v>10361</v>
      </c>
      <c r="B55" s="424" t="s">
        <v>107</v>
      </c>
      <c r="C55" s="424" t="s">
        <v>106</v>
      </c>
      <c r="D55" s="430" t="s">
        <v>6</v>
      </c>
      <c r="E55" s="431">
        <v>43238.35633101852</v>
      </c>
      <c r="F55" s="438">
        <v>43238.35633101852</v>
      </c>
      <c r="G55" s="439">
        <v>0.35625000000000001</v>
      </c>
      <c r="H55" s="440">
        <v>10</v>
      </c>
      <c r="I55" s="440">
        <v>8</v>
      </c>
      <c r="J55" s="440" t="s">
        <v>115</v>
      </c>
      <c r="K55" s="440"/>
      <c r="L55" s="440"/>
      <c r="M55" s="440"/>
      <c r="N55" s="440"/>
      <c r="O55" s="393">
        <f t="shared" si="11"/>
        <v>0</v>
      </c>
      <c r="P55" s="9"/>
      <c r="R55" s="372"/>
      <c r="S55" s="370"/>
      <c r="T55" s="371"/>
      <c r="U55" s="371"/>
      <c r="V55" s="371"/>
    </row>
    <row r="56" spans="1:22">
      <c r="A56" s="424">
        <v>10376</v>
      </c>
      <c r="B56" s="424" t="s">
        <v>107</v>
      </c>
      <c r="C56" s="424" t="s">
        <v>106</v>
      </c>
      <c r="D56" s="430" t="s">
        <v>5</v>
      </c>
      <c r="E56" s="431">
        <v>43238.772986111115</v>
      </c>
      <c r="F56" s="438">
        <v>43238.772986111115</v>
      </c>
      <c r="G56" s="439">
        <v>0.7729166666666667</v>
      </c>
      <c r="H56" s="440" t="s">
        <v>115</v>
      </c>
      <c r="I56" s="440" t="s">
        <v>115</v>
      </c>
      <c r="J56" s="440" t="s">
        <v>115</v>
      </c>
      <c r="K56" s="440"/>
      <c r="L56" s="440"/>
      <c r="M56" s="440"/>
      <c r="N56" s="440"/>
      <c r="O56" s="393">
        <f t="shared" si="11"/>
        <v>0</v>
      </c>
      <c r="P56" s="9"/>
      <c r="R56" s="372"/>
      <c r="S56" s="370"/>
      <c r="T56" s="371"/>
      <c r="U56" s="371"/>
      <c r="V56" s="371"/>
    </row>
    <row r="57" spans="1:22">
      <c r="A57" s="424">
        <v>10378</v>
      </c>
      <c r="B57" s="424" t="s">
        <v>107</v>
      </c>
      <c r="C57" s="424" t="s">
        <v>106</v>
      </c>
      <c r="D57" s="430" t="s">
        <v>7</v>
      </c>
      <c r="E57" s="431">
        <v>43238.773020833331</v>
      </c>
      <c r="F57" s="438">
        <v>43238.773020833331</v>
      </c>
      <c r="G57" s="439">
        <v>0.7729166666666667</v>
      </c>
      <c r="H57" s="440" t="s">
        <v>115</v>
      </c>
      <c r="I57" s="440" t="s">
        <v>115</v>
      </c>
      <c r="J57" s="440" t="s">
        <v>115</v>
      </c>
      <c r="K57" s="440">
        <v>1.7166666666666659</v>
      </c>
      <c r="L57" s="440"/>
      <c r="M57" s="440">
        <v>1.7166666666666659</v>
      </c>
      <c r="N57" s="440">
        <v>0</v>
      </c>
      <c r="O57" s="393">
        <f>M57+N57</f>
        <v>1.7166666666666659</v>
      </c>
      <c r="P57" s="9"/>
      <c r="R57" s="372"/>
      <c r="S57" s="370"/>
      <c r="T57" s="371"/>
      <c r="U57" s="371"/>
      <c r="V57" s="371"/>
    </row>
    <row r="58" spans="1:22">
      <c r="A58" s="424">
        <v>10395</v>
      </c>
      <c r="B58" s="424" t="s">
        <v>107</v>
      </c>
      <c r="C58" s="424" t="s">
        <v>106</v>
      </c>
      <c r="D58" s="430" t="s">
        <v>8</v>
      </c>
      <c r="E58" s="431">
        <v>43238.844965277778</v>
      </c>
      <c r="F58" s="438">
        <v>43238.844965277778</v>
      </c>
      <c r="G58" s="439">
        <v>0.84444444444444444</v>
      </c>
      <c r="H58" s="440" t="s">
        <v>115</v>
      </c>
      <c r="I58" s="440" t="s">
        <v>115</v>
      </c>
      <c r="J58" s="440" t="s">
        <v>115</v>
      </c>
      <c r="K58" s="440"/>
      <c r="L58" s="440"/>
      <c r="M58" s="440"/>
      <c r="N58" s="440"/>
      <c r="O58" s="393">
        <f t="shared" si="11"/>
        <v>0</v>
      </c>
      <c r="P58" s="9"/>
      <c r="R58" s="372"/>
      <c r="S58" s="18"/>
      <c r="T58" s="63"/>
      <c r="U58" s="63"/>
      <c r="V58" s="63"/>
    </row>
    <row r="59" spans="1:22">
      <c r="A59" s="424">
        <v>10412</v>
      </c>
      <c r="B59" s="424" t="s">
        <v>107</v>
      </c>
      <c r="C59" s="424" t="s">
        <v>106</v>
      </c>
      <c r="D59" s="430" t="s">
        <v>6</v>
      </c>
      <c r="E59" s="431">
        <v>43241.367789351854</v>
      </c>
      <c r="F59" s="438">
        <v>43241.367789351854</v>
      </c>
      <c r="G59" s="439">
        <v>0.36736111111111108</v>
      </c>
      <c r="H59" s="440">
        <v>10.099999999999998</v>
      </c>
      <c r="I59" s="440">
        <v>8</v>
      </c>
      <c r="J59" s="440" t="s">
        <v>115</v>
      </c>
      <c r="K59" s="440"/>
      <c r="L59" s="440"/>
      <c r="M59" s="440"/>
      <c r="N59" s="440"/>
      <c r="O59" s="393">
        <f t="shared" si="11"/>
        <v>0</v>
      </c>
      <c r="P59" s="9"/>
      <c r="R59" s="372"/>
      <c r="S59" s="137"/>
      <c r="T59" s="137"/>
      <c r="U59" s="137"/>
      <c r="V59" s="137"/>
    </row>
    <row r="60" spans="1:22">
      <c r="A60" s="424">
        <v>10431</v>
      </c>
      <c r="B60" s="424" t="s">
        <v>107</v>
      </c>
      <c r="C60" s="424" t="s">
        <v>106</v>
      </c>
      <c r="D60" s="430" t="s">
        <v>5</v>
      </c>
      <c r="E60" s="431">
        <v>43241.78837962963</v>
      </c>
      <c r="F60" s="438">
        <v>43241.78837962963</v>
      </c>
      <c r="G60" s="439">
        <v>0.78819444444444453</v>
      </c>
      <c r="H60" s="440" t="s">
        <v>115</v>
      </c>
      <c r="I60" s="440" t="s">
        <v>115</v>
      </c>
      <c r="J60" s="440" t="s">
        <v>115</v>
      </c>
      <c r="K60" s="440"/>
      <c r="L60" s="440"/>
      <c r="M60" s="440"/>
      <c r="N60" s="440"/>
      <c r="O60" s="393">
        <f t="shared" si="11"/>
        <v>0</v>
      </c>
      <c r="P60" s="9"/>
      <c r="R60" s="372"/>
      <c r="S60" s="137"/>
      <c r="T60" s="137"/>
      <c r="U60" s="137"/>
      <c r="V60" s="137"/>
    </row>
    <row r="61" spans="1:22">
      <c r="A61" s="424">
        <v>10432</v>
      </c>
      <c r="B61" s="424" t="s">
        <v>107</v>
      </c>
      <c r="C61" s="424" t="s">
        <v>106</v>
      </c>
      <c r="D61" s="430" t="s">
        <v>7</v>
      </c>
      <c r="E61" s="431">
        <v>43241.788391203707</v>
      </c>
      <c r="F61" s="438">
        <v>43241.788391203707</v>
      </c>
      <c r="G61" s="439">
        <v>0.78819444444444453</v>
      </c>
      <c r="H61" s="440" t="s">
        <v>115</v>
      </c>
      <c r="I61" s="440" t="s">
        <v>115</v>
      </c>
      <c r="J61" s="440" t="s">
        <v>115</v>
      </c>
      <c r="K61" s="440">
        <v>2.2833333333333332</v>
      </c>
      <c r="L61" s="440"/>
      <c r="M61" s="440">
        <v>2</v>
      </c>
      <c r="N61" s="440">
        <v>0.28333333333333321</v>
      </c>
      <c r="O61" s="393">
        <f t="shared" si="11"/>
        <v>2.2833333333333332</v>
      </c>
      <c r="P61" s="9"/>
      <c r="R61" s="372"/>
      <c r="S61" s="137"/>
      <c r="T61" s="137"/>
      <c r="U61" s="137"/>
      <c r="V61" s="137"/>
    </row>
    <row r="62" spans="1:22">
      <c r="A62" s="424">
        <v>10442</v>
      </c>
      <c r="B62" s="424" t="s">
        <v>107</v>
      </c>
      <c r="C62" s="424" t="s">
        <v>106</v>
      </c>
      <c r="D62" s="430" t="s">
        <v>8</v>
      </c>
      <c r="E62" s="431">
        <v>43241.883692129632</v>
      </c>
      <c r="F62" s="438">
        <v>43241.883692129632</v>
      </c>
      <c r="G62" s="439">
        <v>0.8833333333333333</v>
      </c>
      <c r="H62" s="440" t="s">
        <v>115</v>
      </c>
      <c r="I62" s="440" t="s">
        <v>115</v>
      </c>
      <c r="J62" s="440" t="s">
        <v>115</v>
      </c>
      <c r="K62" s="440"/>
      <c r="L62" s="440"/>
      <c r="M62" s="440"/>
      <c r="N62" s="440"/>
      <c r="O62" s="393">
        <f t="shared" si="11"/>
        <v>0</v>
      </c>
      <c r="P62" s="9"/>
      <c r="R62" s="372"/>
      <c r="S62" s="137"/>
      <c r="T62" s="137"/>
      <c r="U62" s="137"/>
      <c r="V62" s="137"/>
    </row>
    <row r="63" spans="1:22">
      <c r="A63" s="424">
        <v>10447</v>
      </c>
      <c r="B63" s="424" t="s">
        <v>107</v>
      </c>
      <c r="C63" s="424" t="s">
        <v>106</v>
      </c>
      <c r="D63" s="430" t="s">
        <v>6</v>
      </c>
      <c r="E63" s="431">
        <v>43242.360451388886</v>
      </c>
      <c r="F63" s="438">
        <v>43242.360451388886</v>
      </c>
      <c r="G63" s="439">
        <v>0.36041666666666666</v>
      </c>
      <c r="H63" s="440">
        <v>10.116666666666667</v>
      </c>
      <c r="I63" s="440">
        <v>8</v>
      </c>
      <c r="J63" s="440" t="s">
        <v>115</v>
      </c>
      <c r="K63" s="440"/>
      <c r="L63" s="440"/>
      <c r="M63" s="440"/>
      <c r="N63" s="440"/>
      <c r="O63" s="393">
        <f t="shared" si="11"/>
        <v>0</v>
      </c>
      <c r="P63" s="9"/>
      <c r="R63" s="372"/>
      <c r="S63" s="137"/>
      <c r="T63" s="137"/>
      <c r="U63" s="137"/>
      <c r="V63" s="137"/>
    </row>
    <row r="64" spans="1:22">
      <c r="A64" s="424">
        <v>10465</v>
      </c>
      <c r="B64" s="424" t="s">
        <v>107</v>
      </c>
      <c r="C64" s="424" t="s">
        <v>106</v>
      </c>
      <c r="D64" s="430" t="s">
        <v>5</v>
      </c>
      <c r="E64" s="431">
        <v>43242.782349537039</v>
      </c>
      <c r="F64" s="438">
        <v>43242.782349537039</v>
      </c>
      <c r="G64" s="439">
        <v>0.78194444444444444</v>
      </c>
      <c r="H64" s="440" t="s">
        <v>115</v>
      </c>
      <c r="I64" s="440" t="s">
        <v>115</v>
      </c>
      <c r="J64" s="440" t="s">
        <v>115</v>
      </c>
      <c r="K64" s="440"/>
      <c r="L64" s="440"/>
      <c r="M64" s="440"/>
      <c r="N64" s="440"/>
      <c r="O64" s="393">
        <f t="shared" si="11"/>
        <v>0</v>
      </c>
      <c r="P64" s="9"/>
      <c r="R64" s="372"/>
      <c r="S64" s="137"/>
      <c r="T64" s="137"/>
      <c r="U64" s="137"/>
      <c r="V64" s="137"/>
    </row>
    <row r="65" spans="4:22">
      <c r="O65" s="307"/>
      <c r="P65" s="9"/>
      <c r="R65" s="372"/>
      <c r="S65" s="18"/>
      <c r="T65" s="63"/>
      <c r="U65" s="63"/>
      <c r="V65" s="63"/>
    </row>
    <row r="66" spans="4:22">
      <c r="D66" s="9" t="s">
        <v>36</v>
      </c>
      <c r="O66" s="307"/>
      <c r="P66" s="9"/>
      <c r="R66" s="372"/>
    </row>
    <row r="67" spans="4:22">
      <c r="D67" s="9" t="s">
        <v>35</v>
      </c>
      <c r="O67" s="307"/>
      <c r="P67" s="9"/>
      <c r="R67" s="372"/>
      <c r="S67" s="374"/>
      <c r="T67" s="375"/>
      <c r="U67" s="375"/>
      <c r="V67" s="375"/>
    </row>
    <row r="68" spans="4:22">
      <c r="D68" s="172" t="s">
        <v>63</v>
      </c>
      <c r="O68" s="307"/>
      <c r="P68" s="9"/>
      <c r="R68" s="372"/>
    </row>
    <row r="69" spans="4:22">
      <c r="D69" t="s">
        <v>66</v>
      </c>
      <c r="O69" s="307"/>
      <c r="P69" s="9"/>
      <c r="R69" s="372"/>
      <c r="S69" s="370"/>
      <c r="T69" s="371"/>
      <c r="U69" s="371"/>
      <c r="V69" s="371"/>
    </row>
    <row r="70" spans="4:22">
      <c r="D70" t="s">
        <v>64</v>
      </c>
      <c r="E70" s="336"/>
      <c r="F70" s="373"/>
      <c r="G70" s="376"/>
      <c r="H70" s="377"/>
      <c r="I70" s="378"/>
      <c r="J70" s="378"/>
      <c r="K70" s="379"/>
      <c r="L70" s="379"/>
      <c r="M70" s="379"/>
      <c r="N70" s="379"/>
      <c r="O70" s="307"/>
      <c r="P70" s="9"/>
      <c r="R70" s="372"/>
    </row>
    <row r="71" spans="4:22">
      <c r="D71" t="s">
        <v>68</v>
      </c>
      <c r="E71" s="336"/>
      <c r="F71" s="373"/>
      <c r="G71" s="376"/>
      <c r="H71" s="377"/>
      <c r="I71" s="378"/>
      <c r="J71" s="378"/>
      <c r="K71" s="379"/>
      <c r="L71" s="379"/>
      <c r="M71" s="379"/>
      <c r="N71" s="379"/>
      <c r="O71" s="307"/>
      <c r="P71" s="9"/>
      <c r="R71" s="372"/>
      <c r="S71" s="137"/>
      <c r="T71" s="16"/>
      <c r="U71" s="16"/>
      <c r="V71" s="16"/>
    </row>
    <row r="72" spans="4:22">
      <c r="D72" t="s">
        <v>69</v>
      </c>
      <c r="E72" s="336"/>
      <c r="F72" s="373"/>
      <c r="G72" s="376"/>
      <c r="H72" s="377"/>
      <c r="I72" s="378"/>
      <c r="J72" s="378"/>
      <c r="K72" s="379"/>
      <c r="L72" s="379"/>
      <c r="M72" s="379"/>
      <c r="N72" s="379"/>
      <c r="O72" s="307"/>
      <c r="P72" s="9"/>
      <c r="R72" s="372"/>
    </row>
    <row r="73" spans="4:22">
      <c r="D73" t="s">
        <v>116</v>
      </c>
      <c r="E73" s="336"/>
      <c r="F73" s="373"/>
      <c r="G73" s="376"/>
      <c r="H73" s="377"/>
      <c r="I73" s="378"/>
      <c r="J73" s="378"/>
      <c r="K73" s="379"/>
      <c r="L73" s="379"/>
      <c r="M73" s="379"/>
      <c r="N73" s="379"/>
      <c r="O73" s="307"/>
      <c r="P73" s="9"/>
      <c r="R73" s="372"/>
      <c r="S73" s="374"/>
      <c r="T73" s="375"/>
      <c r="U73" s="375"/>
      <c r="V73" s="375"/>
    </row>
    <row r="74" spans="4:22">
      <c r="D74" t="s">
        <v>67</v>
      </c>
      <c r="E74" s="336"/>
      <c r="F74" s="373"/>
      <c r="G74" s="376"/>
      <c r="H74" s="377"/>
      <c r="I74" s="378"/>
      <c r="J74" s="378"/>
      <c r="K74" s="379"/>
      <c r="L74" s="379"/>
      <c r="M74" s="379"/>
      <c r="N74" s="379"/>
      <c r="O74" s="307"/>
      <c r="P74" s="9"/>
      <c r="R74" s="372"/>
    </row>
    <row r="75" spans="4:22">
      <c r="O75" s="307"/>
      <c r="P75" s="9"/>
      <c r="R75" s="372"/>
      <c r="S75" s="374"/>
      <c r="T75" s="375"/>
      <c r="U75" s="375"/>
      <c r="V75" s="375"/>
    </row>
    <row r="76" spans="4:22">
      <c r="O76" s="307"/>
      <c r="P76" s="9"/>
      <c r="R76" s="372"/>
      <c r="S76" s="18"/>
      <c r="T76" s="63"/>
      <c r="U76" s="63"/>
      <c r="V76" s="63"/>
    </row>
    <row r="77" spans="4:22">
      <c r="O77" s="307"/>
      <c r="P77" s="9"/>
      <c r="R77" s="372"/>
      <c r="S77" s="137"/>
      <c r="T77" s="16"/>
      <c r="U77" s="16"/>
      <c r="V77" s="16"/>
    </row>
    <row r="78" spans="4:22">
      <c r="O78" s="307"/>
      <c r="P78" s="9"/>
      <c r="R78" s="372"/>
      <c r="S78" s="137"/>
      <c r="T78" s="16"/>
      <c r="U78" s="16"/>
      <c r="V78" s="16"/>
    </row>
    <row r="79" spans="4:22">
      <c r="O79" s="307"/>
      <c r="P79" s="9"/>
      <c r="R79" s="372"/>
      <c r="S79" s="137"/>
      <c r="T79" s="16"/>
      <c r="U79" s="16"/>
      <c r="V79" s="16"/>
    </row>
    <row r="80" spans="4:22">
      <c r="O80" s="307"/>
      <c r="P80" s="9"/>
      <c r="R80" s="372"/>
      <c r="S80" s="137"/>
      <c r="T80" s="16"/>
      <c r="U80" s="16"/>
      <c r="V80" s="16"/>
    </row>
    <row r="81" spans="15:22">
      <c r="O81" s="307"/>
      <c r="P81" s="9"/>
      <c r="R81" s="372"/>
      <c r="S81" s="137"/>
      <c r="T81" s="16"/>
      <c r="U81" s="16"/>
      <c r="V81" s="16"/>
    </row>
    <row r="82" spans="15:22">
      <c r="O82" s="307"/>
      <c r="P82" s="9"/>
      <c r="R82" s="372"/>
      <c r="S82" s="137"/>
      <c r="T82" s="16"/>
      <c r="U82" s="16"/>
      <c r="V82" s="16"/>
    </row>
    <row r="83" spans="15:22">
      <c r="O83" s="307"/>
      <c r="P83" s="9"/>
      <c r="R83" s="372"/>
    </row>
    <row r="84" spans="15:22">
      <c r="O84" s="307"/>
      <c r="P84" s="9"/>
      <c r="R84" s="372"/>
    </row>
    <row r="85" spans="15:22">
      <c r="O85" s="307"/>
      <c r="P85" s="9"/>
      <c r="R85" s="372"/>
    </row>
    <row r="86" spans="15:22">
      <c r="O86" s="307"/>
      <c r="P86" s="9"/>
      <c r="R86" s="372"/>
    </row>
    <row r="87" spans="15:22">
      <c r="O87" s="307"/>
      <c r="P87" s="9"/>
      <c r="R87" s="372"/>
    </row>
    <row r="88" spans="15:22">
      <c r="O88" s="307"/>
      <c r="P88" s="9"/>
      <c r="R88" s="372"/>
    </row>
    <row r="89" spans="15:22">
      <c r="O89" s="307"/>
      <c r="P89" s="9"/>
      <c r="R89" s="372"/>
      <c r="T89" s="16"/>
      <c r="U89" s="16"/>
      <c r="V89" s="16"/>
    </row>
    <row r="90" spans="15:22">
      <c r="O90" s="307"/>
      <c r="P90" s="9"/>
      <c r="R90" s="372"/>
      <c r="T90" s="16"/>
      <c r="U90" s="16"/>
      <c r="V90" s="16"/>
    </row>
    <row r="91" spans="15:22">
      <c r="O91" s="307"/>
      <c r="P91" s="137"/>
      <c r="Q91" s="137"/>
      <c r="R91" s="137"/>
      <c r="T91" s="16"/>
      <c r="U91" s="16"/>
      <c r="V91" s="16"/>
    </row>
    <row r="92" spans="15:22">
      <c r="O92" s="307"/>
      <c r="P92" s="137"/>
      <c r="Q92" s="137"/>
      <c r="R92" s="137"/>
      <c r="S92" s="137"/>
      <c r="T92" s="16"/>
      <c r="U92" s="16"/>
      <c r="V92" s="16"/>
    </row>
    <row r="93" spans="15:22">
      <c r="O93" s="307"/>
    </row>
    <row r="94" spans="15:22">
      <c r="O94" s="307"/>
    </row>
    <row r="95" spans="15:22">
      <c r="O95" s="307"/>
    </row>
    <row r="96" spans="15:22">
      <c r="O96" s="307"/>
    </row>
    <row r="97" spans="15:22">
      <c r="O97" s="307"/>
    </row>
    <row r="98" spans="15:22">
      <c r="O98" s="307"/>
    </row>
    <row r="99" spans="15:22">
      <c r="O99" s="307"/>
      <c r="P99" s="399"/>
      <c r="Q99" s="399"/>
      <c r="R99" s="399"/>
      <c r="S99" s="399"/>
      <c r="T99" s="399"/>
      <c r="U99" s="399"/>
      <c r="V99" s="399"/>
    </row>
    <row r="100" spans="15:22">
      <c r="O100" s="307"/>
    </row>
    <row r="101" spans="15:22">
      <c r="O101" s="307"/>
    </row>
    <row r="102" spans="15:22">
      <c r="O102" s="307"/>
    </row>
    <row r="103" spans="15:22">
      <c r="O103" s="307"/>
      <c r="P103" s="444"/>
      <c r="Q103" s="444"/>
      <c r="R103" s="444"/>
      <c r="S103" s="444"/>
      <c r="T103" s="398"/>
      <c r="U103" s="398"/>
      <c r="V103" s="398"/>
    </row>
    <row r="104" spans="15:22">
      <c r="O104" s="307"/>
      <c r="P104" s="18"/>
      <c r="Q104" s="18"/>
      <c r="R104" s="18"/>
      <c r="S104" s="18"/>
      <c r="T104" s="63"/>
      <c r="U104" s="63"/>
      <c r="V104" s="63"/>
    </row>
    <row r="105" spans="15:22">
      <c r="O105" s="307"/>
    </row>
    <row r="106" spans="15:22">
      <c r="O106" s="307"/>
    </row>
    <row r="107" spans="15:22">
      <c r="O107" s="307"/>
      <c r="P107" s="18"/>
      <c r="Q107" s="18"/>
      <c r="R107" s="18"/>
      <c r="S107" s="18"/>
      <c r="T107" s="63"/>
      <c r="U107" s="63"/>
      <c r="V107" s="63"/>
    </row>
    <row r="108" spans="15:22">
      <c r="O108" s="307"/>
    </row>
    <row r="109" spans="15:22">
      <c r="O109" s="307"/>
    </row>
    <row r="110" spans="15:22">
      <c r="O110" s="307"/>
    </row>
    <row r="111" spans="15:22">
      <c r="O111" s="307"/>
    </row>
    <row r="112" spans="15:22">
      <c r="O112" s="307"/>
    </row>
    <row r="113" spans="15:22">
      <c r="O113" s="307"/>
    </row>
    <row r="114" spans="15:22">
      <c r="O114" s="307"/>
    </row>
    <row r="115" spans="15:22">
      <c r="O115" s="307"/>
    </row>
    <row r="116" spans="15:22">
      <c r="O116" s="307"/>
    </row>
    <row r="117" spans="15:22">
      <c r="O117" s="307"/>
    </row>
    <row r="118" spans="15:22">
      <c r="O118" s="307"/>
    </row>
    <row r="119" spans="15:22">
      <c r="O119" s="307"/>
    </row>
    <row r="120" spans="15:22">
      <c r="O120" s="307"/>
    </row>
    <row r="121" spans="15:22">
      <c r="O121" s="307"/>
    </row>
    <row r="122" spans="15:22">
      <c r="O122" s="307"/>
    </row>
    <row r="123" spans="15:22">
      <c r="O123" s="307"/>
    </row>
    <row r="124" spans="15:22">
      <c r="O124" s="22"/>
    </row>
    <row r="125" spans="15:22">
      <c r="O125" s="22"/>
      <c r="S125" s="444"/>
      <c r="T125" s="398"/>
      <c r="U125" s="398"/>
      <c r="V125" s="398"/>
    </row>
    <row r="126" spans="15:22">
      <c r="O126" s="22"/>
    </row>
    <row r="127" spans="15:22">
      <c r="O127" s="22"/>
    </row>
    <row r="128" spans="15:22">
      <c r="O128" s="22"/>
    </row>
    <row r="129" spans="15:15">
      <c r="O129" s="22"/>
    </row>
    <row r="130" spans="15:15">
      <c r="O130" s="22"/>
    </row>
    <row r="131" spans="15:15">
      <c r="O131" s="22"/>
    </row>
    <row r="132" spans="15:15">
      <c r="O132" s="22"/>
    </row>
    <row r="133" spans="15:15">
      <c r="O133" s="22"/>
    </row>
    <row r="134" spans="15:15">
      <c r="O134" s="22"/>
    </row>
    <row r="135" spans="15:15">
      <c r="O135" s="22"/>
    </row>
    <row r="136" spans="15:15">
      <c r="O136" s="22"/>
    </row>
    <row r="137" spans="15:15">
      <c r="O137" s="22"/>
    </row>
    <row r="138" spans="15:15">
      <c r="O138" s="22"/>
    </row>
    <row r="139" spans="15:15">
      <c r="O139" s="22"/>
    </row>
    <row r="140" spans="15:15">
      <c r="O140" s="22"/>
    </row>
  </sheetData>
  <phoneticPr fontId="18" type="noConversion"/>
  <conditionalFormatting sqref="I15:I64">
    <cfRule type="cellIs" dxfId="0" priority="1" operator="lessThan">
      <formula>4</formula>
    </cfRule>
  </conditionalFormatting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工作表23"/>
  <dimension ref="A1:Z97"/>
  <sheetViews>
    <sheetView view="pageBreakPreview" topLeftCell="D1" zoomScaleNormal="100" zoomScaleSheetLayoutView="100" workbookViewId="0">
      <selection activeCell="E4" sqref="E4"/>
    </sheetView>
  </sheetViews>
  <sheetFormatPr defaultColWidth="9" defaultRowHeight="16.5" outlineLevelCol="1"/>
  <cols>
    <col min="1" max="1" width="5.875" style="261" hidden="1" customWidth="1" outlineLevel="1"/>
    <col min="2" max="2" width="6.875" style="261" hidden="1" customWidth="1" outlineLevel="1"/>
    <col min="3" max="3" width="6.5" style="262" hidden="1" customWidth="1" outlineLevel="1"/>
    <col min="4" max="4" width="10.125" style="262" customWidth="1" collapsed="1"/>
    <col min="5" max="5" width="15.125" style="262" customWidth="1"/>
    <col min="6" max="6" width="6.25" style="303" customWidth="1"/>
    <col min="7" max="7" width="8.625" style="309" hidden="1" customWidth="1" outlineLevel="1"/>
    <col min="8" max="8" width="10.625" style="310" hidden="1" customWidth="1" outlineLevel="1"/>
    <col min="9" max="9" width="10.5" style="311" customWidth="1" collapsed="1"/>
    <col min="10" max="10" width="9" style="311" customWidth="1"/>
    <col min="11" max="11" width="8.375" style="307" hidden="1" customWidth="1" outlineLevel="1"/>
    <col min="12" max="12" width="8.375" style="307" customWidth="1" collapsed="1"/>
    <col min="13" max="13" width="10.5" style="307" customWidth="1"/>
    <col min="14" max="14" width="10.25" style="307" customWidth="1"/>
    <col min="15" max="15" width="16.75" style="308" customWidth="1"/>
    <col min="16" max="16" width="9" style="9"/>
    <col min="17" max="17" width="9.875" style="9" customWidth="1"/>
    <col min="18" max="18" width="2.5" style="9" bestFit="1" customWidth="1"/>
    <col min="19" max="19" width="9" style="9"/>
    <col min="20" max="20" width="3" customWidth="1"/>
    <col min="21" max="21" width="7.5" customWidth="1"/>
    <col min="22" max="23" width="8.875" customWidth="1"/>
    <col min="24" max="25" width="9" style="391"/>
    <col min="26" max="16384" width="9" style="261"/>
  </cols>
  <sheetData>
    <row r="1" spans="1:25" s="251" customFormat="1" ht="28.5" thickBot="1">
      <c r="C1" s="252"/>
      <c r="D1" s="253"/>
      <c r="E1" s="253"/>
      <c r="F1" s="254"/>
      <c r="G1" s="255"/>
      <c r="H1" s="256"/>
      <c r="I1" s="257" t="str">
        <f>B7</f>
        <v>leo</v>
      </c>
      <c r="J1" s="258" t="s">
        <v>29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</row>
    <row r="2" spans="1:25">
      <c r="D2" s="263" t="s">
        <v>74</v>
      </c>
      <c r="E2" s="264">
        <v>0</v>
      </c>
      <c r="F2" s="265" t="s">
        <v>75</v>
      </c>
      <c r="G2" s="266"/>
      <c r="H2" s="266"/>
      <c r="I2" s="267"/>
      <c r="J2" s="267" t="s">
        <v>34</v>
      </c>
      <c r="K2" s="268"/>
      <c r="L2" s="269" t="s">
        <v>20</v>
      </c>
      <c r="M2" s="270" t="s">
        <v>17</v>
      </c>
      <c r="N2" s="270" t="s">
        <v>18</v>
      </c>
      <c r="O2" s="271" t="s">
        <v>27</v>
      </c>
    </row>
    <row r="3" spans="1:25" ht="17.25" thickBot="1">
      <c r="D3" s="272" t="s">
        <v>76</v>
      </c>
      <c r="E3" s="273">
        <v>500</v>
      </c>
      <c r="F3" s="274"/>
      <c r="G3" s="275"/>
      <c r="H3" s="275"/>
      <c r="I3" s="276"/>
      <c r="J3" s="277">
        <f>D5+E5</f>
        <v>7.5</v>
      </c>
      <c r="K3" s="278">
        <f>SUM(K7:K126)</f>
        <v>55.8</v>
      </c>
      <c r="L3" s="278">
        <f>J3</f>
        <v>7.5</v>
      </c>
      <c r="M3" s="278">
        <f>M6-L3</f>
        <v>28.499999999999993</v>
      </c>
      <c r="N3" s="278">
        <f t="shared" ref="N3" si="0">N6</f>
        <v>19.799999999999986</v>
      </c>
      <c r="O3" s="279"/>
    </row>
    <row r="4" spans="1:25">
      <c r="D4" s="280" t="s">
        <v>43</v>
      </c>
      <c r="E4" s="281" t="s">
        <v>44</v>
      </c>
      <c r="F4" s="281" t="s">
        <v>46</v>
      </c>
      <c r="G4" s="282"/>
      <c r="H4" s="282"/>
      <c r="I4" s="283" t="s">
        <v>33</v>
      </c>
      <c r="J4" s="283" t="s">
        <v>25</v>
      </c>
      <c r="K4" s="283"/>
      <c r="L4" s="283" t="s">
        <v>12</v>
      </c>
      <c r="M4" s="283" t="s">
        <v>12</v>
      </c>
      <c r="N4" s="283" t="s">
        <v>12</v>
      </c>
      <c r="O4" s="284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144</v>
      </c>
    </row>
    <row r="5" spans="1:25">
      <c r="D5" s="420">
        <f>J6</f>
        <v>7.5</v>
      </c>
      <c r="E5" s="286">
        <v>0</v>
      </c>
      <c r="F5" s="287">
        <v>0</v>
      </c>
      <c r="G5" s="288"/>
      <c r="H5" s="288"/>
      <c r="I5" s="289" t="s">
        <v>47</v>
      </c>
      <c r="J5" s="289" t="s">
        <v>47</v>
      </c>
      <c r="K5" s="289" t="s">
        <v>16</v>
      </c>
      <c r="L5" s="289" t="s">
        <v>20</v>
      </c>
      <c r="M5" s="289" t="s">
        <v>17</v>
      </c>
      <c r="N5" s="289" t="s">
        <v>18</v>
      </c>
      <c r="O5" s="290"/>
      <c r="Q5" s="9" t="s">
        <v>40</v>
      </c>
      <c r="S5" s="57">
        <f>(L6+M6+N6)/160</f>
        <v>0.34874999999999989</v>
      </c>
    </row>
    <row r="6" spans="1:25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22</v>
      </c>
      <c r="I6" s="295">
        <f>SUM(I7:I131)</f>
        <v>136.5</v>
      </c>
      <c r="J6" s="295">
        <f>SUM(J7:J131)</f>
        <v>7.5</v>
      </c>
      <c r="K6" s="295">
        <f>SUM(K7:K95)</f>
        <v>55.8</v>
      </c>
      <c r="L6" s="295">
        <f>SUM(L7:L131)</f>
        <v>0</v>
      </c>
      <c r="M6" s="295">
        <f>SUM(M7:M131)</f>
        <v>35.999999999999993</v>
      </c>
      <c r="N6" s="295">
        <f>SUM(N7:N131)</f>
        <v>19.799999999999986</v>
      </c>
      <c r="O6" s="296"/>
      <c r="Q6" s="381"/>
      <c r="R6" s="8"/>
      <c r="S6" s="8"/>
      <c r="U6" s="49"/>
      <c r="V6" s="381"/>
      <c r="W6" s="8"/>
    </row>
    <row r="7" spans="1:25" s="303" customFormat="1">
      <c r="A7" s="140">
        <v>9311</v>
      </c>
      <c r="B7" s="140" t="s">
        <v>94</v>
      </c>
      <c r="C7" s="140" t="s">
        <v>94</v>
      </c>
      <c r="D7" s="141" t="s">
        <v>7</v>
      </c>
      <c r="E7" s="142">
        <v>43191.500625000001</v>
      </c>
      <c r="F7" s="297">
        <f>E7</f>
        <v>43191.500625000001</v>
      </c>
      <c r="G7" s="298" t="str">
        <f>HOUR(E7)&amp;":"&amp;MINUTE(E7)</f>
        <v>12:0</v>
      </c>
      <c r="H7" s="299" t="str">
        <f>IF(D7="上班",(G8-G7)*24,"-")</f>
        <v>-</v>
      </c>
      <c r="I7" s="300" t="str">
        <f t="shared" ref="I7" si="1">IF(D7="上班",IF(H7-1.5&gt;8,8,H7-1.5),"-")</f>
        <v>-</v>
      </c>
      <c r="J7" s="300" t="str">
        <f t="shared" ref="J7" si="2">IF(I7&lt;8,8-I7,"-")</f>
        <v>-</v>
      </c>
      <c r="K7" s="301">
        <f t="shared" ref="K7" si="3">IF(D7="加班",(G8-G7)*24,0)</f>
        <v>3.4499999999999984</v>
      </c>
      <c r="L7" s="301"/>
      <c r="M7" s="302">
        <f t="shared" ref="M7" si="4">IF(K7&gt;2,2,K7)</f>
        <v>2</v>
      </c>
      <c r="N7" s="302">
        <f t="shared" ref="N7" si="5">IF(K7&gt;2,K7-2,0)</f>
        <v>1.4499999999999984</v>
      </c>
      <c r="O7" s="388"/>
      <c r="P7" s="137"/>
      <c r="Q7" s="382"/>
      <c r="R7" s="137"/>
      <c r="S7" s="16"/>
      <c r="T7" s="16"/>
      <c r="U7" s="16"/>
      <c r="V7" s="382"/>
      <c r="W7" s="16"/>
      <c r="X7" s="16"/>
      <c r="Y7" s="16"/>
    </row>
    <row r="8" spans="1:25" s="303" customFormat="1">
      <c r="A8" s="140">
        <v>9312</v>
      </c>
      <c r="B8" s="140" t="s">
        <v>94</v>
      </c>
      <c r="C8" s="140" t="s">
        <v>94</v>
      </c>
      <c r="D8" s="143" t="s">
        <v>8</v>
      </c>
      <c r="E8" s="144">
        <v>43191.644421296296</v>
      </c>
      <c r="F8" s="297">
        <f t="shared" ref="F8:F71" si="6">E8</f>
        <v>43191.644421296296</v>
      </c>
      <c r="G8" s="298" t="str">
        <f t="shared" ref="G8:G71" si="7">HOUR(E8)&amp;":"&amp;MINUTE(E8)</f>
        <v>15:27</v>
      </c>
      <c r="H8" s="299" t="str">
        <f t="shared" ref="H8:H71" si="8">IF(D8="上班",(G9-G8)*24,"-")</f>
        <v>-</v>
      </c>
      <c r="I8" s="300" t="str">
        <f t="shared" ref="I8:I71" si="9">IF(D8="上班",IF(H8-1.5&gt;8,8,H8-1.5),"-")</f>
        <v>-</v>
      </c>
      <c r="J8" s="300" t="str">
        <f t="shared" ref="J8:J71" si="10">IF(I8&lt;8,8-I8,"-")</f>
        <v>-</v>
      </c>
      <c r="K8" s="301">
        <f t="shared" ref="K8:K71" si="11">IF(D8="加班",(G9-G8)*24,0)</f>
        <v>0</v>
      </c>
      <c r="L8" s="301"/>
      <c r="M8" s="302">
        <f t="shared" ref="M8:M71" si="12">IF(K8&gt;2,2,K8)</f>
        <v>0</v>
      </c>
      <c r="N8" s="302">
        <f t="shared" ref="N8:N71" si="13">IF(K8&gt;2,K8-2,0)</f>
        <v>0</v>
      </c>
      <c r="O8" s="388"/>
      <c r="P8" s="137"/>
      <c r="Q8" s="382"/>
      <c r="R8" s="137"/>
      <c r="S8" s="16"/>
      <c r="T8" s="16"/>
      <c r="U8" s="16"/>
      <c r="V8" s="382"/>
      <c r="W8" s="16"/>
      <c r="X8" s="16"/>
      <c r="Y8" s="16"/>
    </row>
    <row r="9" spans="1:25" s="303" customFormat="1">
      <c r="A9" s="140">
        <v>9316</v>
      </c>
      <c r="B9" s="140" t="s">
        <v>94</v>
      </c>
      <c r="C9" s="140" t="s">
        <v>94</v>
      </c>
      <c r="D9" s="143" t="s">
        <v>6</v>
      </c>
      <c r="E9" s="144">
        <v>43192.366076388891</v>
      </c>
      <c r="F9" s="297">
        <f t="shared" si="6"/>
        <v>43192.366076388891</v>
      </c>
      <c r="G9" s="298" t="str">
        <f t="shared" si="7"/>
        <v>8:47</v>
      </c>
      <c r="H9" s="299">
        <f t="shared" si="8"/>
        <v>9.7166666666666686</v>
      </c>
      <c r="I9" s="300">
        <f t="shared" si="9"/>
        <v>8</v>
      </c>
      <c r="J9" s="300" t="str">
        <f t="shared" si="10"/>
        <v>-</v>
      </c>
      <c r="K9" s="301">
        <f t="shared" si="11"/>
        <v>0</v>
      </c>
      <c r="L9" s="301"/>
      <c r="M9" s="302">
        <f t="shared" si="12"/>
        <v>0</v>
      </c>
      <c r="N9" s="302">
        <f t="shared" si="13"/>
        <v>0</v>
      </c>
      <c r="O9" s="388"/>
      <c r="P9" s="137"/>
      <c r="Q9" s="382"/>
      <c r="R9" s="137"/>
      <c r="S9" s="16"/>
      <c r="T9" s="16"/>
      <c r="U9" s="16"/>
      <c r="V9" s="382"/>
      <c r="W9" s="16"/>
      <c r="X9" s="16"/>
      <c r="Y9" s="16"/>
    </row>
    <row r="10" spans="1:25" s="303" customFormat="1">
      <c r="A10" s="140">
        <v>9332</v>
      </c>
      <c r="B10" s="140" t="s">
        <v>95</v>
      </c>
      <c r="C10" s="140" t="s">
        <v>94</v>
      </c>
      <c r="D10" s="143" t="s">
        <v>5</v>
      </c>
      <c r="E10" s="144">
        <v>43192.77140046296</v>
      </c>
      <c r="F10" s="297">
        <f t="shared" si="6"/>
        <v>43192.77140046296</v>
      </c>
      <c r="G10" s="298" t="str">
        <f t="shared" si="7"/>
        <v>18:30</v>
      </c>
      <c r="H10" s="299" t="str">
        <f t="shared" si="8"/>
        <v>-</v>
      </c>
      <c r="I10" s="300" t="str">
        <f t="shared" si="9"/>
        <v>-</v>
      </c>
      <c r="J10" s="300" t="str">
        <f t="shared" si="10"/>
        <v>-</v>
      </c>
      <c r="K10" s="301">
        <f t="shared" si="11"/>
        <v>0</v>
      </c>
      <c r="L10" s="301"/>
      <c r="M10" s="302">
        <f t="shared" si="12"/>
        <v>0</v>
      </c>
      <c r="N10" s="302">
        <f t="shared" si="13"/>
        <v>0</v>
      </c>
      <c r="O10" s="388"/>
      <c r="P10" s="137"/>
      <c r="Q10" s="382"/>
      <c r="R10" s="137"/>
      <c r="S10" s="16"/>
      <c r="T10" s="16"/>
      <c r="U10" s="16"/>
      <c r="V10" s="382"/>
      <c r="W10" s="16"/>
      <c r="X10" s="16"/>
      <c r="Y10" s="16"/>
    </row>
    <row r="11" spans="1:25" s="16" customFormat="1">
      <c r="A11" s="140">
        <v>9333</v>
      </c>
      <c r="B11" s="140" t="s">
        <v>95</v>
      </c>
      <c r="C11" s="140" t="s">
        <v>94</v>
      </c>
      <c r="D11" s="143" t="s">
        <v>7</v>
      </c>
      <c r="E11" s="144">
        <v>43192.771458333336</v>
      </c>
      <c r="F11" s="297">
        <f t="shared" si="6"/>
        <v>43192.771458333336</v>
      </c>
      <c r="G11" s="298" t="str">
        <f t="shared" si="7"/>
        <v>18:30</v>
      </c>
      <c r="H11" s="299" t="str">
        <f t="shared" si="8"/>
        <v>-</v>
      </c>
      <c r="I11" s="300" t="str">
        <f t="shared" si="9"/>
        <v>-</v>
      </c>
      <c r="J11" s="300" t="str">
        <f t="shared" si="10"/>
        <v>-</v>
      </c>
      <c r="K11" s="301">
        <f t="shared" si="11"/>
        <v>2.4666666666666632</v>
      </c>
      <c r="L11" s="301"/>
      <c r="M11" s="302">
        <f t="shared" si="12"/>
        <v>2</v>
      </c>
      <c r="N11" s="302">
        <f t="shared" si="13"/>
        <v>0.46666666666666323</v>
      </c>
      <c r="O11" s="388"/>
      <c r="P11" s="137"/>
      <c r="Q11" s="382"/>
      <c r="R11" s="137"/>
      <c r="S11" s="63"/>
      <c r="V11" s="382"/>
      <c r="X11" s="63"/>
    </row>
    <row r="12" spans="1:25" s="16" customFormat="1">
      <c r="A12" s="140">
        <v>9341</v>
      </c>
      <c r="B12" s="140" t="s">
        <v>95</v>
      </c>
      <c r="C12" s="140" t="s">
        <v>94</v>
      </c>
      <c r="D12" s="143" t="s">
        <v>8</v>
      </c>
      <c r="E12" s="144">
        <v>43192.874189814815</v>
      </c>
      <c r="F12" s="297">
        <f t="shared" si="6"/>
        <v>43192.874189814815</v>
      </c>
      <c r="G12" s="298" t="str">
        <f t="shared" si="7"/>
        <v>20:58</v>
      </c>
      <c r="H12" s="299" t="str">
        <f t="shared" si="8"/>
        <v>-</v>
      </c>
      <c r="I12" s="300" t="str">
        <f t="shared" si="9"/>
        <v>-</v>
      </c>
      <c r="J12" s="300" t="str">
        <f t="shared" si="10"/>
        <v>-</v>
      </c>
      <c r="K12" s="301">
        <f t="shared" si="11"/>
        <v>0</v>
      </c>
      <c r="L12" s="301"/>
      <c r="M12" s="302">
        <f t="shared" si="12"/>
        <v>0</v>
      </c>
      <c r="N12" s="302">
        <f t="shared" si="13"/>
        <v>0</v>
      </c>
      <c r="O12" s="388"/>
      <c r="P12" s="137"/>
      <c r="Q12" s="382"/>
      <c r="R12" s="137"/>
      <c r="S12" s="63"/>
      <c r="V12" s="382"/>
      <c r="X12" s="63"/>
    </row>
    <row r="13" spans="1:25" s="63" customFormat="1">
      <c r="A13" s="140">
        <v>9349</v>
      </c>
      <c r="B13" s="140" t="s">
        <v>94</v>
      </c>
      <c r="C13" s="140" t="s">
        <v>94</v>
      </c>
      <c r="D13" s="143" t="s">
        <v>6</v>
      </c>
      <c r="E13" s="144">
        <v>43193.363541666666</v>
      </c>
      <c r="F13" s="297">
        <f t="shared" si="6"/>
        <v>43193.363541666666</v>
      </c>
      <c r="G13" s="298" t="str">
        <f t="shared" si="7"/>
        <v>8:43</v>
      </c>
      <c r="H13" s="299">
        <f t="shared" si="8"/>
        <v>9.7999999999999989</v>
      </c>
      <c r="I13" s="300">
        <f t="shared" si="9"/>
        <v>8</v>
      </c>
      <c r="J13" s="300" t="str">
        <f t="shared" si="10"/>
        <v>-</v>
      </c>
      <c r="K13" s="301">
        <f t="shared" si="11"/>
        <v>0</v>
      </c>
      <c r="L13" s="301"/>
      <c r="M13" s="302">
        <f t="shared" si="12"/>
        <v>0</v>
      </c>
      <c r="N13" s="302">
        <f t="shared" si="13"/>
        <v>0</v>
      </c>
      <c r="O13" s="388"/>
      <c r="P13" s="18"/>
      <c r="Q13" s="382"/>
      <c r="R13" s="137"/>
      <c r="S13" s="16"/>
      <c r="T13" s="16"/>
      <c r="U13" s="16"/>
      <c r="V13" s="382"/>
      <c r="W13" s="16"/>
      <c r="X13" s="16"/>
      <c r="Y13" s="16"/>
    </row>
    <row r="14" spans="1:25" s="63" customFormat="1">
      <c r="A14" s="140">
        <v>9368</v>
      </c>
      <c r="B14" s="140" t="s">
        <v>94</v>
      </c>
      <c r="C14" s="140" t="s">
        <v>94</v>
      </c>
      <c r="D14" s="143" t="s">
        <v>5</v>
      </c>
      <c r="E14" s="144">
        <v>43193.771990740737</v>
      </c>
      <c r="F14" s="297">
        <f t="shared" si="6"/>
        <v>43193.771990740737</v>
      </c>
      <c r="G14" s="298" t="str">
        <f t="shared" si="7"/>
        <v>18:31</v>
      </c>
      <c r="H14" s="299" t="str">
        <f t="shared" si="8"/>
        <v>-</v>
      </c>
      <c r="I14" s="300" t="str">
        <f t="shared" si="9"/>
        <v>-</v>
      </c>
      <c r="J14" s="300" t="str">
        <f t="shared" si="10"/>
        <v>-</v>
      </c>
      <c r="K14" s="301">
        <f t="shared" si="11"/>
        <v>0</v>
      </c>
      <c r="L14" s="301"/>
      <c r="M14" s="302">
        <f t="shared" si="12"/>
        <v>0</v>
      </c>
      <c r="N14" s="302">
        <f t="shared" si="13"/>
        <v>0</v>
      </c>
      <c r="O14" s="388"/>
      <c r="P14" s="18"/>
      <c r="Q14" s="382"/>
      <c r="R14" s="137"/>
      <c r="S14" s="16"/>
      <c r="T14" s="16"/>
      <c r="U14" s="16"/>
      <c r="V14" s="382"/>
      <c r="W14" s="16"/>
      <c r="X14" s="16"/>
      <c r="Y14" s="16"/>
    </row>
    <row r="15" spans="1:25" s="303" customFormat="1">
      <c r="A15" s="140">
        <v>9369</v>
      </c>
      <c r="B15" s="140" t="s">
        <v>94</v>
      </c>
      <c r="C15" s="140" t="s">
        <v>94</v>
      </c>
      <c r="D15" s="143" t="s">
        <v>7</v>
      </c>
      <c r="E15" s="144">
        <v>43193.77202546296</v>
      </c>
      <c r="F15" s="297">
        <f t="shared" si="6"/>
        <v>43193.77202546296</v>
      </c>
      <c r="G15" s="298" t="str">
        <f t="shared" si="7"/>
        <v>18:31</v>
      </c>
      <c r="H15" s="299" t="str">
        <f t="shared" si="8"/>
        <v>-</v>
      </c>
      <c r="I15" s="300" t="str">
        <f t="shared" si="9"/>
        <v>-</v>
      </c>
      <c r="J15" s="300" t="str">
        <f t="shared" si="10"/>
        <v>-</v>
      </c>
      <c r="K15" s="301">
        <f t="shared" si="11"/>
        <v>0.56666666666666732</v>
      </c>
      <c r="L15" s="301"/>
      <c r="M15" s="302">
        <f t="shared" si="12"/>
        <v>0.56666666666666732</v>
      </c>
      <c r="N15" s="302">
        <f t="shared" si="13"/>
        <v>0</v>
      </c>
      <c r="O15" s="388"/>
      <c r="P15" s="137"/>
      <c r="Q15" s="382"/>
      <c r="R15" s="137"/>
      <c r="S15" s="16"/>
      <c r="T15" s="16"/>
      <c r="U15" s="16"/>
      <c r="V15" s="382"/>
      <c r="W15" s="16"/>
      <c r="X15" s="16"/>
      <c r="Y15" s="16"/>
    </row>
    <row r="16" spans="1:25" s="305" customFormat="1">
      <c r="A16" s="140">
        <v>9372</v>
      </c>
      <c r="B16" s="140" t="s">
        <v>94</v>
      </c>
      <c r="C16" s="140" t="s">
        <v>94</v>
      </c>
      <c r="D16" s="143" t="s">
        <v>8</v>
      </c>
      <c r="E16" s="144">
        <v>43193.795289351852</v>
      </c>
      <c r="F16" s="297">
        <f t="shared" si="6"/>
        <v>43193.795289351852</v>
      </c>
      <c r="G16" s="298" t="str">
        <f t="shared" si="7"/>
        <v>19:5</v>
      </c>
      <c r="H16" s="299" t="str">
        <f t="shared" si="8"/>
        <v>-</v>
      </c>
      <c r="I16" s="300" t="str">
        <f t="shared" si="9"/>
        <v>-</v>
      </c>
      <c r="J16" s="300" t="str">
        <f t="shared" si="10"/>
        <v>-</v>
      </c>
      <c r="K16" s="301">
        <f t="shared" si="11"/>
        <v>0</v>
      </c>
      <c r="L16" s="301"/>
      <c r="M16" s="302">
        <f t="shared" si="12"/>
        <v>0</v>
      </c>
      <c r="N16" s="302">
        <f t="shared" si="13"/>
        <v>0</v>
      </c>
      <c r="O16" s="388"/>
      <c r="P16" s="18"/>
      <c r="Q16" s="382"/>
      <c r="R16" s="18"/>
      <c r="S16" s="63"/>
      <c r="T16" s="63"/>
      <c r="U16" s="63"/>
      <c r="V16" s="382"/>
      <c r="W16" s="63"/>
      <c r="X16" s="63"/>
      <c r="Y16" s="63"/>
    </row>
    <row r="17" spans="1:25">
      <c r="A17" s="140">
        <v>9380</v>
      </c>
      <c r="B17" s="140" t="s">
        <v>94</v>
      </c>
      <c r="C17" s="140" t="s">
        <v>94</v>
      </c>
      <c r="D17" s="143" t="s">
        <v>7</v>
      </c>
      <c r="E17" s="144">
        <v>43194.453148148146</v>
      </c>
      <c r="F17" s="297">
        <f t="shared" si="6"/>
        <v>43194.453148148146</v>
      </c>
      <c r="G17" s="298" t="str">
        <f t="shared" si="7"/>
        <v>10:52</v>
      </c>
      <c r="H17" s="299" t="str">
        <f t="shared" si="8"/>
        <v>-</v>
      </c>
      <c r="I17" s="300" t="str">
        <f t="shared" si="9"/>
        <v>-</v>
      </c>
      <c r="J17" s="300" t="str">
        <f t="shared" si="10"/>
        <v>-</v>
      </c>
      <c r="K17" s="301">
        <f t="shared" si="11"/>
        <v>4.5833333333333321</v>
      </c>
      <c r="L17" s="301"/>
      <c r="M17" s="302">
        <f t="shared" si="12"/>
        <v>2</v>
      </c>
      <c r="N17" s="302">
        <f t="shared" si="13"/>
        <v>2.5833333333333321</v>
      </c>
      <c r="O17" s="388"/>
      <c r="Q17" s="382"/>
      <c r="V17" s="382"/>
    </row>
    <row r="18" spans="1:25" s="63" customFormat="1">
      <c r="A18" s="140">
        <v>9386</v>
      </c>
      <c r="B18" s="140" t="s">
        <v>94</v>
      </c>
      <c r="C18" s="140" t="s">
        <v>94</v>
      </c>
      <c r="D18" s="143" t="s">
        <v>8</v>
      </c>
      <c r="E18" s="144">
        <v>43194.644363425927</v>
      </c>
      <c r="F18" s="297">
        <f t="shared" si="6"/>
        <v>43194.644363425927</v>
      </c>
      <c r="G18" s="298" t="str">
        <f t="shared" si="7"/>
        <v>15:27</v>
      </c>
      <c r="H18" s="299" t="str">
        <f t="shared" si="8"/>
        <v>-</v>
      </c>
      <c r="I18" s="300" t="str">
        <f t="shared" si="9"/>
        <v>-</v>
      </c>
      <c r="J18" s="300" t="str">
        <f t="shared" si="10"/>
        <v>-</v>
      </c>
      <c r="K18" s="301">
        <f t="shared" si="11"/>
        <v>0</v>
      </c>
      <c r="L18" s="301"/>
      <c r="M18" s="302">
        <f t="shared" si="12"/>
        <v>0</v>
      </c>
      <c r="N18" s="302">
        <f t="shared" si="13"/>
        <v>0</v>
      </c>
      <c r="O18" s="388"/>
      <c r="P18" s="18"/>
      <c r="Q18" s="382"/>
      <c r="R18" s="9"/>
      <c r="S18" s="9"/>
      <c r="T18"/>
      <c r="U18"/>
      <c r="V18" s="382"/>
      <c r="W18"/>
      <c r="X18" s="391"/>
    </row>
    <row r="19" spans="1:25">
      <c r="A19" s="140">
        <v>9389</v>
      </c>
      <c r="B19" s="140" t="s">
        <v>94</v>
      </c>
      <c r="C19" s="140" t="s">
        <v>94</v>
      </c>
      <c r="D19" s="143" t="s">
        <v>7</v>
      </c>
      <c r="E19" s="144">
        <v>43194.792881944442</v>
      </c>
      <c r="F19" s="297">
        <f t="shared" si="6"/>
        <v>43194.792881944442</v>
      </c>
      <c r="G19" s="298" t="str">
        <f t="shared" si="7"/>
        <v>19:1</v>
      </c>
      <c r="H19" s="299" t="str">
        <f t="shared" si="8"/>
        <v>-</v>
      </c>
      <c r="I19" s="300" t="str">
        <f t="shared" si="9"/>
        <v>-</v>
      </c>
      <c r="J19" s="300" t="str">
        <f t="shared" si="10"/>
        <v>-</v>
      </c>
      <c r="K19" s="301">
        <f t="shared" si="11"/>
        <v>3.3333333333333348</v>
      </c>
      <c r="L19" s="301"/>
      <c r="M19" s="302">
        <f t="shared" si="12"/>
        <v>2</v>
      </c>
      <c r="N19" s="302">
        <f t="shared" si="13"/>
        <v>1.3333333333333348</v>
      </c>
      <c r="O19" s="388"/>
      <c r="Q19" s="382"/>
      <c r="R19" s="8"/>
      <c r="S19" s="63"/>
      <c r="T19" s="2"/>
      <c r="U19" s="2"/>
      <c r="V19" s="382"/>
      <c r="W19" s="63"/>
      <c r="X19" s="63"/>
    </row>
    <row r="20" spans="1:25">
      <c r="A20" s="140">
        <v>9390</v>
      </c>
      <c r="B20" s="140" t="s">
        <v>94</v>
      </c>
      <c r="C20" s="140" t="s">
        <v>94</v>
      </c>
      <c r="D20" s="143" t="s">
        <v>8</v>
      </c>
      <c r="E20" s="144">
        <v>43194.931793981479</v>
      </c>
      <c r="F20" s="297">
        <f t="shared" si="6"/>
        <v>43194.931793981479</v>
      </c>
      <c r="G20" s="298" t="str">
        <f t="shared" si="7"/>
        <v>22:21</v>
      </c>
      <c r="H20" s="299" t="str">
        <f t="shared" si="8"/>
        <v>-</v>
      </c>
      <c r="I20" s="300" t="str">
        <f t="shared" si="9"/>
        <v>-</v>
      </c>
      <c r="J20" s="300" t="str">
        <f t="shared" si="10"/>
        <v>-</v>
      </c>
      <c r="K20" s="301">
        <f t="shared" si="11"/>
        <v>0</v>
      </c>
      <c r="L20" s="301"/>
      <c r="M20" s="302">
        <f t="shared" si="12"/>
        <v>0</v>
      </c>
      <c r="N20" s="302">
        <f t="shared" si="13"/>
        <v>0</v>
      </c>
      <c r="O20" s="388"/>
      <c r="Q20" s="382"/>
      <c r="V20" s="382"/>
    </row>
    <row r="21" spans="1:25">
      <c r="A21" s="140">
        <v>9391</v>
      </c>
      <c r="B21" s="140" t="s">
        <v>94</v>
      </c>
      <c r="C21" s="140" t="s">
        <v>94</v>
      </c>
      <c r="D21" s="143" t="s">
        <v>7</v>
      </c>
      <c r="E21" s="144">
        <v>43195.414861111109</v>
      </c>
      <c r="F21" s="297">
        <f t="shared" si="6"/>
        <v>43195.414861111109</v>
      </c>
      <c r="G21" s="298" t="str">
        <f t="shared" si="7"/>
        <v>9:57</v>
      </c>
      <c r="H21" s="299" t="str">
        <f t="shared" si="8"/>
        <v>-</v>
      </c>
      <c r="I21" s="300" t="str">
        <f t="shared" si="9"/>
        <v>-</v>
      </c>
      <c r="J21" s="300" t="str">
        <f t="shared" si="10"/>
        <v>-</v>
      </c>
      <c r="K21" s="301">
        <f t="shared" si="11"/>
        <v>6.1000000000000023</v>
      </c>
      <c r="L21" s="301"/>
      <c r="M21" s="302">
        <f t="shared" si="12"/>
        <v>2</v>
      </c>
      <c r="N21" s="302">
        <f t="shared" si="13"/>
        <v>4.1000000000000023</v>
      </c>
      <c r="O21" s="388"/>
      <c r="Q21" s="382"/>
      <c r="V21" s="382"/>
    </row>
    <row r="22" spans="1:25">
      <c r="A22" s="140">
        <v>9393</v>
      </c>
      <c r="B22" s="140" t="s">
        <v>94</v>
      </c>
      <c r="C22" s="140" t="s">
        <v>94</v>
      </c>
      <c r="D22" s="143" t="s">
        <v>8</v>
      </c>
      <c r="E22" s="144">
        <v>43195.668900462966</v>
      </c>
      <c r="F22" s="297">
        <f t="shared" si="6"/>
        <v>43195.668900462966</v>
      </c>
      <c r="G22" s="298" t="str">
        <f t="shared" si="7"/>
        <v>16:3</v>
      </c>
      <c r="H22" s="299" t="str">
        <f t="shared" si="8"/>
        <v>-</v>
      </c>
      <c r="I22" s="300" t="str">
        <f t="shared" si="9"/>
        <v>-</v>
      </c>
      <c r="J22" s="300" t="str">
        <f t="shared" si="10"/>
        <v>-</v>
      </c>
      <c r="K22" s="301">
        <f t="shared" si="11"/>
        <v>0</v>
      </c>
      <c r="L22" s="301"/>
      <c r="M22" s="302">
        <f t="shared" si="12"/>
        <v>0</v>
      </c>
      <c r="N22" s="302">
        <f t="shared" si="13"/>
        <v>0</v>
      </c>
      <c r="O22" s="388"/>
      <c r="Q22" s="382"/>
      <c r="V22" s="382"/>
    </row>
    <row r="23" spans="1:25" s="63" customFormat="1">
      <c r="A23" s="140">
        <v>9415</v>
      </c>
      <c r="B23" s="140" t="s">
        <v>94</v>
      </c>
      <c r="C23" s="140" t="s">
        <v>94</v>
      </c>
      <c r="D23" s="143" t="s">
        <v>7</v>
      </c>
      <c r="E23" s="144">
        <v>43197.630416666667</v>
      </c>
      <c r="F23" s="297">
        <f t="shared" si="6"/>
        <v>43197.630416666667</v>
      </c>
      <c r="G23" s="298" t="str">
        <f t="shared" si="7"/>
        <v>15:7</v>
      </c>
      <c r="H23" s="299" t="str">
        <f t="shared" si="8"/>
        <v>-</v>
      </c>
      <c r="I23" s="300" t="str">
        <f t="shared" si="9"/>
        <v>-</v>
      </c>
      <c r="J23" s="300" t="str">
        <f t="shared" si="10"/>
        <v>-</v>
      </c>
      <c r="K23" s="301">
        <f t="shared" si="11"/>
        <v>3.6500000000000004</v>
      </c>
      <c r="L23" s="301"/>
      <c r="M23" s="302">
        <f t="shared" si="12"/>
        <v>2</v>
      </c>
      <c r="N23" s="302">
        <f t="shared" si="13"/>
        <v>1.6500000000000004</v>
      </c>
      <c r="O23" s="388"/>
      <c r="P23" s="18"/>
      <c r="Q23" s="402"/>
      <c r="R23" s="18"/>
      <c r="S23" s="18"/>
      <c r="V23" s="402"/>
    </row>
    <row r="24" spans="1:25" s="63" customFormat="1">
      <c r="A24" s="140">
        <v>9420</v>
      </c>
      <c r="B24" s="140" t="s">
        <v>94</v>
      </c>
      <c r="C24" s="140" t="s">
        <v>94</v>
      </c>
      <c r="D24" s="143" t="s">
        <v>8</v>
      </c>
      <c r="E24" s="144">
        <v>43197.782581018517</v>
      </c>
      <c r="F24" s="297">
        <f t="shared" si="6"/>
        <v>43197.782581018517</v>
      </c>
      <c r="G24" s="298" t="str">
        <f t="shared" si="7"/>
        <v>18:46</v>
      </c>
      <c r="H24" s="299" t="str">
        <f t="shared" si="8"/>
        <v>-</v>
      </c>
      <c r="I24" s="300" t="str">
        <f t="shared" si="9"/>
        <v>-</v>
      </c>
      <c r="J24" s="300" t="str">
        <f t="shared" si="10"/>
        <v>-</v>
      </c>
      <c r="K24" s="301">
        <f t="shared" si="11"/>
        <v>0</v>
      </c>
      <c r="L24" s="301"/>
      <c r="M24" s="302">
        <f t="shared" si="12"/>
        <v>0</v>
      </c>
      <c r="N24" s="302">
        <f t="shared" si="13"/>
        <v>0</v>
      </c>
      <c r="O24" s="388"/>
      <c r="P24" s="18"/>
      <c r="Q24" s="402"/>
      <c r="R24" s="18"/>
      <c r="S24" s="18"/>
      <c r="V24" s="402"/>
    </row>
    <row r="25" spans="1:25" s="305" customFormat="1">
      <c r="A25" s="140">
        <v>9443</v>
      </c>
      <c r="B25" s="140" t="s">
        <v>95</v>
      </c>
      <c r="C25" s="140" t="s">
        <v>94</v>
      </c>
      <c r="D25" s="143" t="s">
        <v>6</v>
      </c>
      <c r="E25" s="144">
        <v>43199.365937499999</v>
      </c>
      <c r="F25" s="297">
        <f t="shared" si="6"/>
        <v>43199.365937499999</v>
      </c>
      <c r="G25" s="298" t="str">
        <f t="shared" si="7"/>
        <v>8:46</v>
      </c>
      <c r="H25" s="299">
        <f t="shared" si="8"/>
        <v>9.5666666666666647</v>
      </c>
      <c r="I25" s="300">
        <f t="shared" si="9"/>
        <v>8</v>
      </c>
      <c r="J25" s="300" t="str">
        <f t="shared" si="10"/>
        <v>-</v>
      </c>
      <c r="K25" s="301">
        <f t="shared" si="11"/>
        <v>0</v>
      </c>
      <c r="L25" s="301"/>
      <c r="M25" s="302">
        <f t="shared" si="12"/>
        <v>0</v>
      </c>
      <c r="N25" s="302">
        <f t="shared" si="13"/>
        <v>0</v>
      </c>
      <c r="O25" s="388"/>
      <c r="P25" s="18"/>
      <c r="Q25" s="382"/>
      <c r="R25" s="18"/>
      <c r="S25" s="63"/>
      <c r="T25" s="63"/>
      <c r="U25" s="63"/>
      <c r="V25" s="382"/>
      <c r="W25" s="63"/>
      <c r="X25" s="63"/>
      <c r="Y25" s="63"/>
    </row>
    <row r="26" spans="1:25">
      <c r="A26" s="140">
        <v>9450</v>
      </c>
      <c r="B26" s="140" t="s">
        <v>94</v>
      </c>
      <c r="C26" s="140" t="s">
        <v>94</v>
      </c>
      <c r="D26" s="143" t="s">
        <v>5</v>
      </c>
      <c r="E26" s="144">
        <v>43199.764085648145</v>
      </c>
      <c r="F26" s="297">
        <f t="shared" si="6"/>
        <v>43199.764085648145</v>
      </c>
      <c r="G26" s="298" t="str">
        <f t="shared" si="7"/>
        <v>18:20</v>
      </c>
      <c r="H26" s="299" t="str">
        <f t="shared" si="8"/>
        <v>-</v>
      </c>
      <c r="I26" s="300" t="str">
        <f t="shared" si="9"/>
        <v>-</v>
      </c>
      <c r="J26" s="300" t="str">
        <f t="shared" si="10"/>
        <v>-</v>
      </c>
      <c r="K26" s="301">
        <f t="shared" si="11"/>
        <v>0</v>
      </c>
      <c r="L26" s="301"/>
      <c r="M26" s="302">
        <f t="shared" si="12"/>
        <v>0</v>
      </c>
      <c r="N26" s="302">
        <f t="shared" si="13"/>
        <v>0</v>
      </c>
      <c r="O26" s="388"/>
      <c r="Q26" s="382"/>
      <c r="R26" s="18"/>
      <c r="S26" s="63"/>
      <c r="T26" s="63"/>
      <c r="U26" s="63"/>
      <c r="V26" s="382"/>
      <c r="W26" s="63"/>
      <c r="X26" s="63"/>
    </row>
    <row r="27" spans="1:25">
      <c r="A27" s="140">
        <v>9462</v>
      </c>
      <c r="B27" s="140" t="s">
        <v>94</v>
      </c>
      <c r="C27" s="140" t="s">
        <v>94</v>
      </c>
      <c r="D27" s="143" t="s">
        <v>7</v>
      </c>
      <c r="E27" s="144">
        <v>43199.793321759258</v>
      </c>
      <c r="F27" s="297">
        <f t="shared" si="6"/>
        <v>43199.793321759258</v>
      </c>
      <c r="G27" s="298" t="str">
        <f t="shared" si="7"/>
        <v>19:2</v>
      </c>
      <c r="H27" s="299" t="str">
        <f t="shared" si="8"/>
        <v>-</v>
      </c>
      <c r="I27" s="300" t="str">
        <f t="shared" si="9"/>
        <v>-</v>
      </c>
      <c r="J27" s="300" t="str">
        <f t="shared" si="10"/>
        <v>-</v>
      </c>
      <c r="K27" s="301">
        <f t="shared" si="11"/>
        <v>4.0499999999999963</v>
      </c>
      <c r="L27" s="301"/>
      <c r="M27" s="302">
        <f t="shared" si="12"/>
        <v>2</v>
      </c>
      <c r="N27" s="302">
        <f t="shared" si="13"/>
        <v>2.0499999999999963</v>
      </c>
      <c r="O27" s="388"/>
      <c r="Q27" s="382"/>
      <c r="V27" s="382"/>
    </row>
    <row r="28" spans="1:25" s="383" customFormat="1">
      <c r="A28" s="140">
        <v>9469</v>
      </c>
      <c r="B28" s="140" t="s">
        <v>94</v>
      </c>
      <c r="C28" s="140" t="s">
        <v>94</v>
      </c>
      <c r="D28" s="143" t="s">
        <v>8</v>
      </c>
      <c r="E28" s="144">
        <v>43199.961863425924</v>
      </c>
      <c r="F28" s="297">
        <f t="shared" si="6"/>
        <v>43199.961863425924</v>
      </c>
      <c r="G28" s="298" t="str">
        <f t="shared" si="7"/>
        <v>23:5</v>
      </c>
      <c r="H28" s="299" t="str">
        <f t="shared" si="8"/>
        <v>-</v>
      </c>
      <c r="I28" s="300" t="str">
        <f t="shared" si="9"/>
        <v>-</v>
      </c>
      <c r="J28" s="300" t="str">
        <f t="shared" si="10"/>
        <v>-</v>
      </c>
      <c r="K28" s="301">
        <f t="shared" si="11"/>
        <v>0</v>
      </c>
      <c r="L28" s="301"/>
      <c r="M28" s="302">
        <f t="shared" si="12"/>
        <v>0</v>
      </c>
      <c r="N28" s="302">
        <f t="shared" si="13"/>
        <v>0</v>
      </c>
      <c r="O28" s="388"/>
      <c r="P28" s="383" t="s">
        <v>19</v>
      </c>
      <c r="Q28" s="382"/>
      <c r="R28" s="9"/>
      <c r="S28" s="9"/>
      <c r="T28"/>
      <c r="U28"/>
      <c r="V28" s="382"/>
      <c r="W28"/>
      <c r="X28" s="391"/>
    </row>
    <row r="29" spans="1:25" s="383" customFormat="1">
      <c r="A29" s="140">
        <v>9475</v>
      </c>
      <c r="B29" s="140" t="s">
        <v>94</v>
      </c>
      <c r="C29" s="140" t="s">
        <v>94</v>
      </c>
      <c r="D29" s="143" t="s">
        <v>6</v>
      </c>
      <c r="E29" s="144">
        <v>43200.368576388886</v>
      </c>
      <c r="F29" s="297">
        <f t="shared" si="6"/>
        <v>43200.368576388886</v>
      </c>
      <c r="G29" s="298" t="str">
        <f t="shared" si="7"/>
        <v>8:50</v>
      </c>
      <c r="H29" s="299">
        <f t="shared" si="8"/>
        <v>9.6666666666666679</v>
      </c>
      <c r="I29" s="300">
        <f t="shared" si="9"/>
        <v>8</v>
      </c>
      <c r="J29" s="300" t="str">
        <f t="shared" si="10"/>
        <v>-</v>
      </c>
      <c r="K29" s="301">
        <f t="shared" si="11"/>
        <v>0</v>
      </c>
      <c r="L29" s="301"/>
      <c r="M29" s="302">
        <f t="shared" si="12"/>
        <v>0</v>
      </c>
      <c r="N29" s="302">
        <f t="shared" si="13"/>
        <v>0</v>
      </c>
      <c r="O29" s="388"/>
      <c r="Q29" s="382"/>
      <c r="V29" s="382"/>
    </row>
    <row r="30" spans="1:25" s="306" customFormat="1">
      <c r="A30" s="140">
        <v>9484</v>
      </c>
      <c r="B30" s="140" t="s">
        <v>95</v>
      </c>
      <c r="C30" s="140" t="s">
        <v>94</v>
      </c>
      <c r="D30" s="143" t="s">
        <v>5</v>
      </c>
      <c r="E30" s="144">
        <v>43200.770856481482</v>
      </c>
      <c r="F30" s="297">
        <f t="shared" si="6"/>
        <v>43200.770856481482</v>
      </c>
      <c r="G30" s="298" t="str">
        <f t="shared" si="7"/>
        <v>18:30</v>
      </c>
      <c r="H30" s="299" t="str">
        <f t="shared" si="8"/>
        <v>-</v>
      </c>
      <c r="I30" s="300" t="str">
        <f t="shared" si="9"/>
        <v>-</v>
      </c>
      <c r="J30" s="300" t="str">
        <f t="shared" si="10"/>
        <v>-</v>
      </c>
      <c r="K30" s="301">
        <f t="shared" si="11"/>
        <v>0</v>
      </c>
      <c r="L30" s="301"/>
      <c r="M30" s="302">
        <f t="shared" si="12"/>
        <v>0</v>
      </c>
      <c r="N30" s="302">
        <f t="shared" si="13"/>
        <v>0</v>
      </c>
      <c r="O30" s="388"/>
      <c r="P30" s="384" t="s">
        <v>19</v>
      </c>
      <c r="Q30" s="382"/>
      <c r="R30" s="383"/>
      <c r="S30" s="383"/>
      <c r="T30" s="383"/>
      <c r="U30" s="383"/>
      <c r="V30" s="382"/>
      <c r="W30" s="383"/>
      <c r="X30" s="383"/>
      <c r="Y30" s="383"/>
    </row>
    <row r="31" spans="1:25" s="306" customFormat="1">
      <c r="A31" s="140">
        <v>9486</v>
      </c>
      <c r="B31" s="140" t="s">
        <v>95</v>
      </c>
      <c r="C31" s="140" t="s">
        <v>94</v>
      </c>
      <c r="D31" s="143" t="s">
        <v>7</v>
      </c>
      <c r="E31" s="144">
        <v>43200.770891203705</v>
      </c>
      <c r="F31" s="297">
        <f t="shared" si="6"/>
        <v>43200.770891203705</v>
      </c>
      <c r="G31" s="298" t="str">
        <f t="shared" si="7"/>
        <v>18:30</v>
      </c>
      <c r="H31" s="299" t="str">
        <f t="shared" si="8"/>
        <v>-</v>
      </c>
      <c r="I31" s="300" t="str">
        <f t="shared" si="9"/>
        <v>-</v>
      </c>
      <c r="J31" s="300" t="str">
        <f t="shared" si="10"/>
        <v>-</v>
      </c>
      <c r="K31" s="301">
        <f t="shared" si="11"/>
        <v>1.8166666666666655</v>
      </c>
      <c r="L31" s="301"/>
      <c r="M31" s="302">
        <f t="shared" si="12"/>
        <v>1.8166666666666655</v>
      </c>
      <c r="N31" s="302">
        <f t="shared" si="13"/>
        <v>0</v>
      </c>
      <c r="O31" s="388"/>
      <c r="P31" s="384"/>
      <c r="Q31" s="382"/>
      <c r="R31" s="384"/>
      <c r="S31" s="383"/>
      <c r="T31" s="384"/>
      <c r="U31" s="384"/>
      <c r="V31" s="382"/>
      <c r="W31" s="384"/>
      <c r="X31" s="383"/>
      <c r="Y31" s="383"/>
    </row>
    <row r="32" spans="1:25" s="305" customFormat="1">
      <c r="A32" s="140">
        <v>9498</v>
      </c>
      <c r="B32" s="140" t="s">
        <v>94</v>
      </c>
      <c r="C32" s="140" t="s">
        <v>94</v>
      </c>
      <c r="D32" s="143" t="s">
        <v>8</v>
      </c>
      <c r="E32" s="144">
        <v>43200.846712962964</v>
      </c>
      <c r="F32" s="297">
        <f t="shared" si="6"/>
        <v>43200.846712962964</v>
      </c>
      <c r="G32" s="298" t="str">
        <f t="shared" si="7"/>
        <v>20:19</v>
      </c>
      <c r="H32" s="299" t="str">
        <f t="shared" si="8"/>
        <v>-</v>
      </c>
      <c r="I32" s="300" t="str">
        <f t="shared" si="9"/>
        <v>-</v>
      </c>
      <c r="J32" s="300" t="str">
        <f t="shared" si="10"/>
        <v>-</v>
      </c>
      <c r="K32" s="301">
        <f t="shared" si="11"/>
        <v>0</v>
      </c>
      <c r="L32" s="301"/>
      <c r="M32" s="302">
        <f t="shared" si="12"/>
        <v>0</v>
      </c>
      <c r="N32" s="302">
        <f t="shared" si="13"/>
        <v>0</v>
      </c>
      <c r="O32" s="388"/>
      <c r="P32" s="18"/>
      <c r="Q32" s="382"/>
      <c r="R32" s="384"/>
      <c r="S32" s="383"/>
      <c r="T32" s="384"/>
      <c r="U32" s="384"/>
      <c r="V32" s="382"/>
      <c r="W32" s="384"/>
      <c r="X32" s="383"/>
      <c r="Y32" s="63"/>
    </row>
    <row r="33" spans="1:26" s="16" customFormat="1">
      <c r="A33" s="140">
        <v>9500</v>
      </c>
      <c r="B33" s="140" t="s">
        <v>94</v>
      </c>
      <c r="C33" s="140" t="s">
        <v>94</v>
      </c>
      <c r="D33" s="143" t="s">
        <v>7</v>
      </c>
      <c r="E33" s="144">
        <v>43200.864351851851</v>
      </c>
      <c r="F33" s="297">
        <f t="shared" si="6"/>
        <v>43200.864351851851</v>
      </c>
      <c r="G33" s="298" t="str">
        <f t="shared" si="7"/>
        <v>20:44</v>
      </c>
      <c r="H33" s="299" t="str">
        <f t="shared" si="8"/>
        <v>-</v>
      </c>
      <c r="I33" s="300" t="str">
        <f t="shared" si="9"/>
        <v>-</v>
      </c>
      <c r="J33" s="300" t="str">
        <f t="shared" si="10"/>
        <v>-</v>
      </c>
      <c r="K33" s="301">
        <f t="shared" si="11"/>
        <v>1.4666666666666641</v>
      </c>
      <c r="L33" s="301"/>
      <c r="M33" s="302">
        <f t="shared" si="12"/>
        <v>1.4666666666666641</v>
      </c>
      <c r="N33" s="302">
        <f t="shared" si="13"/>
        <v>0</v>
      </c>
      <c r="O33" s="388"/>
      <c r="P33" s="137"/>
      <c r="Q33" s="382"/>
      <c r="R33" s="18"/>
      <c r="S33" s="63"/>
      <c r="T33" s="63"/>
      <c r="U33" s="63"/>
      <c r="V33" s="382"/>
      <c r="W33" s="63"/>
      <c r="X33" s="63"/>
    </row>
    <row r="34" spans="1:26" s="16" customFormat="1">
      <c r="A34" s="140">
        <v>9506</v>
      </c>
      <c r="B34" s="140" t="s">
        <v>94</v>
      </c>
      <c r="C34" s="140" t="s">
        <v>94</v>
      </c>
      <c r="D34" s="143" t="s">
        <v>8</v>
      </c>
      <c r="E34" s="144">
        <v>43200.925405092596</v>
      </c>
      <c r="F34" s="297">
        <f t="shared" si="6"/>
        <v>43200.925405092596</v>
      </c>
      <c r="G34" s="298" t="str">
        <f t="shared" si="7"/>
        <v>22:12</v>
      </c>
      <c r="H34" s="299" t="str">
        <f t="shared" si="8"/>
        <v>-</v>
      </c>
      <c r="I34" s="300" t="str">
        <f t="shared" si="9"/>
        <v>-</v>
      </c>
      <c r="J34" s="300" t="str">
        <f t="shared" si="10"/>
        <v>-</v>
      </c>
      <c r="K34" s="301">
        <f t="shared" si="11"/>
        <v>0</v>
      </c>
      <c r="L34" s="301"/>
      <c r="M34" s="302">
        <f t="shared" si="12"/>
        <v>0</v>
      </c>
      <c r="N34" s="302">
        <f t="shared" si="13"/>
        <v>0</v>
      </c>
      <c r="O34" s="388"/>
      <c r="P34" s="137"/>
      <c r="Q34" s="382"/>
      <c r="R34" s="18"/>
      <c r="S34" s="63"/>
      <c r="T34" s="63"/>
      <c r="U34" s="63"/>
      <c r="V34" s="382"/>
      <c r="W34" s="63"/>
      <c r="X34" s="63"/>
    </row>
    <row r="35" spans="1:26" s="63" customFormat="1">
      <c r="A35" s="140">
        <v>9508</v>
      </c>
      <c r="B35" s="140" t="s">
        <v>94</v>
      </c>
      <c r="C35" s="140" t="s">
        <v>94</v>
      </c>
      <c r="D35" s="143" t="s">
        <v>6</v>
      </c>
      <c r="E35" s="144">
        <v>43201.364606481482</v>
      </c>
      <c r="F35" s="297">
        <f t="shared" si="6"/>
        <v>43201.364606481482</v>
      </c>
      <c r="G35" s="298" t="str">
        <f t="shared" si="7"/>
        <v>8:45</v>
      </c>
      <c r="H35" s="299">
        <f t="shared" si="8"/>
        <v>9.6000000000000014</v>
      </c>
      <c r="I35" s="300">
        <f t="shared" si="9"/>
        <v>8</v>
      </c>
      <c r="J35" s="300" t="str">
        <f t="shared" si="10"/>
        <v>-</v>
      </c>
      <c r="K35" s="301">
        <f t="shared" si="11"/>
        <v>0</v>
      </c>
      <c r="L35" s="301"/>
      <c r="M35" s="302">
        <f t="shared" si="12"/>
        <v>0</v>
      </c>
      <c r="N35" s="302">
        <f t="shared" si="13"/>
        <v>0</v>
      </c>
      <c r="O35" s="388"/>
      <c r="P35" s="18"/>
      <c r="Q35" s="402"/>
      <c r="R35" s="18"/>
      <c r="V35" s="402"/>
    </row>
    <row r="36" spans="1:26" s="63" customFormat="1">
      <c r="A36" s="140">
        <v>9520</v>
      </c>
      <c r="B36" s="140" t="s">
        <v>94</v>
      </c>
      <c r="C36" s="140" t="s">
        <v>94</v>
      </c>
      <c r="D36" s="143" t="s">
        <v>5</v>
      </c>
      <c r="E36" s="144">
        <v>43201.764918981484</v>
      </c>
      <c r="F36" s="297">
        <f t="shared" si="6"/>
        <v>43201.764918981484</v>
      </c>
      <c r="G36" s="298" t="str">
        <f t="shared" si="7"/>
        <v>18:21</v>
      </c>
      <c r="H36" s="299" t="str">
        <f t="shared" si="8"/>
        <v>-</v>
      </c>
      <c r="I36" s="300" t="str">
        <f t="shared" si="9"/>
        <v>-</v>
      </c>
      <c r="J36" s="300" t="str">
        <f t="shared" si="10"/>
        <v>-</v>
      </c>
      <c r="K36" s="301">
        <f t="shared" si="11"/>
        <v>0</v>
      </c>
      <c r="L36" s="301"/>
      <c r="M36" s="302">
        <f t="shared" si="12"/>
        <v>0</v>
      </c>
      <c r="N36" s="302">
        <f t="shared" si="13"/>
        <v>0</v>
      </c>
      <c r="O36" s="388"/>
      <c r="P36" s="18"/>
      <c r="Q36" s="402"/>
      <c r="R36" s="18"/>
      <c r="V36" s="402"/>
    </row>
    <row r="37" spans="1:26" s="304" customFormat="1">
      <c r="A37" s="140">
        <v>9538</v>
      </c>
      <c r="B37" s="140" t="s">
        <v>95</v>
      </c>
      <c r="C37" s="140" t="s">
        <v>94</v>
      </c>
      <c r="D37" s="143" t="s">
        <v>6</v>
      </c>
      <c r="E37" s="144">
        <v>43202.365717592591</v>
      </c>
      <c r="F37" s="297">
        <f t="shared" si="6"/>
        <v>43202.365717592591</v>
      </c>
      <c r="G37" s="298" t="str">
        <f t="shared" si="7"/>
        <v>8:46</v>
      </c>
      <c r="H37" s="299">
        <f t="shared" si="8"/>
        <v>9.7333333333333343</v>
      </c>
      <c r="I37" s="300">
        <f t="shared" si="9"/>
        <v>8</v>
      </c>
      <c r="J37" s="300" t="str">
        <f t="shared" si="10"/>
        <v>-</v>
      </c>
      <c r="K37" s="301">
        <f t="shared" si="11"/>
        <v>0</v>
      </c>
      <c r="L37" s="301"/>
      <c r="M37" s="302">
        <f t="shared" si="12"/>
        <v>0</v>
      </c>
      <c r="N37" s="302">
        <f t="shared" si="13"/>
        <v>0</v>
      </c>
      <c r="O37" s="388"/>
      <c r="P37" s="18"/>
      <c r="Q37" s="382"/>
      <c r="R37" s="18"/>
      <c r="S37" s="63"/>
      <c r="T37" s="63"/>
      <c r="U37" s="63"/>
      <c r="V37" s="382"/>
      <c r="W37" s="63"/>
      <c r="X37" s="63"/>
      <c r="Y37" s="63"/>
      <c r="Z37" s="305"/>
    </row>
    <row r="38" spans="1:26" s="304" customFormat="1">
      <c r="A38" s="140">
        <v>9556</v>
      </c>
      <c r="B38" s="140" t="s">
        <v>95</v>
      </c>
      <c r="C38" s="140" t="s">
        <v>94</v>
      </c>
      <c r="D38" s="143" t="s">
        <v>5</v>
      </c>
      <c r="E38" s="144">
        <v>43202.771504629629</v>
      </c>
      <c r="F38" s="297">
        <f t="shared" si="6"/>
        <v>43202.771504629629</v>
      </c>
      <c r="G38" s="298" t="str">
        <f t="shared" si="7"/>
        <v>18:30</v>
      </c>
      <c r="H38" s="299" t="str">
        <f t="shared" si="8"/>
        <v>-</v>
      </c>
      <c r="I38" s="300" t="str">
        <f t="shared" si="9"/>
        <v>-</v>
      </c>
      <c r="J38" s="300" t="str">
        <f t="shared" si="10"/>
        <v>-</v>
      </c>
      <c r="K38" s="301">
        <f t="shared" si="11"/>
        <v>0</v>
      </c>
      <c r="L38" s="301"/>
      <c r="M38" s="302">
        <f t="shared" si="12"/>
        <v>0</v>
      </c>
      <c r="N38" s="302">
        <f t="shared" si="13"/>
        <v>0</v>
      </c>
      <c r="O38" s="388"/>
      <c r="P38" s="18"/>
      <c r="Q38" s="382"/>
      <c r="R38" s="18"/>
      <c r="S38" s="18"/>
      <c r="T38" s="63"/>
      <c r="U38" s="63"/>
      <c r="V38" s="382"/>
      <c r="W38" s="63"/>
      <c r="X38" s="63"/>
      <c r="Y38" s="63"/>
      <c r="Z38" s="305"/>
    </row>
    <row r="39" spans="1:26" s="18" customFormat="1">
      <c r="A39" s="140">
        <v>9557</v>
      </c>
      <c r="B39" s="140" t="s">
        <v>95</v>
      </c>
      <c r="C39" s="140" t="s">
        <v>94</v>
      </c>
      <c r="D39" s="143" t="s">
        <v>7</v>
      </c>
      <c r="E39" s="144">
        <v>43202.77275462963</v>
      </c>
      <c r="F39" s="297">
        <f t="shared" si="6"/>
        <v>43202.77275462963</v>
      </c>
      <c r="G39" s="298" t="str">
        <f t="shared" si="7"/>
        <v>18:32</v>
      </c>
      <c r="H39" s="299" t="str">
        <f t="shared" si="8"/>
        <v>-</v>
      </c>
      <c r="I39" s="300" t="str">
        <f t="shared" si="9"/>
        <v>-</v>
      </c>
      <c r="J39" s="300" t="str">
        <f t="shared" si="10"/>
        <v>-</v>
      </c>
      <c r="K39" s="301">
        <f t="shared" si="11"/>
        <v>2.0333333333333314</v>
      </c>
      <c r="L39" s="301"/>
      <c r="M39" s="302">
        <f t="shared" si="12"/>
        <v>2</v>
      </c>
      <c r="N39" s="302">
        <f t="shared" si="13"/>
        <v>3.3333333333331439E-2</v>
      </c>
      <c r="O39" s="388"/>
      <c r="Q39" s="402"/>
      <c r="U39" s="63"/>
      <c r="V39" s="402"/>
      <c r="W39" s="63"/>
      <c r="X39" s="63"/>
    </row>
    <row r="40" spans="1:26" s="18" customFormat="1">
      <c r="A40" s="140">
        <v>9564</v>
      </c>
      <c r="B40" s="140" t="s">
        <v>95</v>
      </c>
      <c r="C40" s="140" t="s">
        <v>94</v>
      </c>
      <c r="D40" s="143" t="s">
        <v>8</v>
      </c>
      <c r="E40" s="144">
        <v>43202.85733796296</v>
      </c>
      <c r="F40" s="297">
        <f t="shared" si="6"/>
        <v>43202.85733796296</v>
      </c>
      <c r="G40" s="298" t="str">
        <f t="shared" si="7"/>
        <v>20:34</v>
      </c>
      <c r="H40" s="299" t="str">
        <f t="shared" si="8"/>
        <v>-</v>
      </c>
      <c r="I40" s="300" t="str">
        <f t="shared" si="9"/>
        <v>-</v>
      </c>
      <c r="J40" s="300" t="str">
        <f t="shared" si="10"/>
        <v>-</v>
      </c>
      <c r="K40" s="301">
        <f t="shared" si="11"/>
        <v>0</v>
      </c>
      <c r="L40" s="301"/>
      <c r="M40" s="302">
        <f t="shared" si="12"/>
        <v>0</v>
      </c>
      <c r="N40" s="302">
        <f t="shared" si="13"/>
        <v>0</v>
      </c>
      <c r="O40" s="388"/>
      <c r="Q40" s="402"/>
      <c r="U40" s="63"/>
      <c r="V40" s="402"/>
      <c r="W40" s="63"/>
      <c r="X40" s="63"/>
    </row>
    <row r="41" spans="1:26" s="396" customFormat="1">
      <c r="A41" s="140">
        <v>9567</v>
      </c>
      <c r="B41" s="140" t="s">
        <v>94</v>
      </c>
      <c r="C41" s="140" t="s">
        <v>94</v>
      </c>
      <c r="D41" s="143" t="s">
        <v>6</v>
      </c>
      <c r="E41" s="144">
        <v>43203.364722222221</v>
      </c>
      <c r="F41" s="297">
        <f t="shared" si="6"/>
        <v>43203.364722222221</v>
      </c>
      <c r="G41" s="298" t="str">
        <f t="shared" si="7"/>
        <v>8:45</v>
      </c>
      <c r="H41" s="299">
        <f t="shared" si="8"/>
        <v>9.7666666666666657</v>
      </c>
      <c r="I41" s="300">
        <f t="shared" si="9"/>
        <v>8</v>
      </c>
      <c r="J41" s="300" t="str">
        <f t="shared" si="10"/>
        <v>-</v>
      </c>
      <c r="K41" s="301">
        <f t="shared" si="11"/>
        <v>0</v>
      </c>
      <c r="L41" s="301"/>
      <c r="M41" s="302">
        <f t="shared" si="12"/>
        <v>0</v>
      </c>
      <c r="N41" s="302">
        <f t="shared" si="13"/>
        <v>0</v>
      </c>
      <c r="O41" s="388"/>
      <c r="Q41" s="382"/>
      <c r="R41" s="18"/>
      <c r="S41" s="18"/>
      <c r="T41" s="63"/>
      <c r="U41" s="63"/>
      <c r="V41" s="382"/>
      <c r="W41" s="63"/>
      <c r="X41" s="63"/>
    </row>
    <row r="42" spans="1:26" s="396" customFormat="1">
      <c r="A42" s="140">
        <v>9576</v>
      </c>
      <c r="B42" s="140" t="s">
        <v>94</v>
      </c>
      <c r="C42" s="140" t="s">
        <v>94</v>
      </c>
      <c r="D42" s="143" t="s">
        <v>5</v>
      </c>
      <c r="E42" s="144">
        <v>43203.771921296298</v>
      </c>
      <c r="F42" s="297">
        <f t="shared" si="6"/>
        <v>43203.771921296298</v>
      </c>
      <c r="G42" s="298" t="str">
        <f t="shared" si="7"/>
        <v>18:31</v>
      </c>
      <c r="H42" s="299" t="str">
        <f t="shared" si="8"/>
        <v>-</v>
      </c>
      <c r="I42" s="300" t="str">
        <f t="shared" si="9"/>
        <v>-</v>
      </c>
      <c r="J42" s="300" t="str">
        <f t="shared" si="10"/>
        <v>-</v>
      </c>
      <c r="K42" s="301">
        <f t="shared" si="11"/>
        <v>0</v>
      </c>
      <c r="L42" s="301"/>
      <c r="M42" s="302">
        <f t="shared" si="12"/>
        <v>0</v>
      </c>
      <c r="N42" s="302">
        <f t="shared" si="13"/>
        <v>0</v>
      </c>
      <c r="O42" s="388"/>
      <c r="Q42" s="382"/>
      <c r="R42" s="18"/>
      <c r="S42" s="18"/>
      <c r="T42" s="63"/>
      <c r="U42" s="63"/>
      <c r="V42" s="382"/>
      <c r="W42" s="63"/>
      <c r="X42" s="63"/>
    </row>
    <row r="43" spans="1:26" s="16" customFormat="1">
      <c r="A43" s="140">
        <v>9578</v>
      </c>
      <c r="B43" s="140" t="s">
        <v>94</v>
      </c>
      <c r="C43" s="140" t="s">
        <v>94</v>
      </c>
      <c r="D43" s="143" t="s">
        <v>7</v>
      </c>
      <c r="E43" s="144">
        <v>43203.771979166668</v>
      </c>
      <c r="F43" s="297">
        <f t="shared" si="6"/>
        <v>43203.771979166668</v>
      </c>
      <c r="G43" s="298" t="str">
        <f t="shared" si="7"/>
        <v>18:31</v>
      </c>
      <c r="H43" s="299" t="str">
        <f t="shared" si="8"/>
        <v>-</v>
      </c>
      <c r="I43" s="300" t="str">
        <f t="shared" si="9"/>
        <v>-</v>
      </c>
      <c r="J43" s="300" t="str">
        <f t="shared" si="10"/>
        <v>-</v>
      </c>
      <c r="K43" s="301">
        <f t="shared" si="11"/>
        <v>2.8166666666666673</v>
      </c>
      <c r="L43" s="301"/>
      <c r="M43" s="302">
        <f t="shared" si="12"/>
        <v>2</v>
      </c>
      <c r="N43" s="302">
        <f t="shared" si="13"/>
        <v>0.81666666666666732</v>
      </c>
      <c r="O43" s="388"/>
      <c r="P43" s="137"/>
      <c r="Q43" s="382"/>
      <c r="R43" s="9"/>
      <c r="S43" s="63"/>
      <c r="T43"/>
      <c r="U43"/>
      <c r="V43" s="382"/>
      <c r="W43"/>
      <c r="X43" s="391"/>
    </row>
    <row r="44" spans="1:26" s="16" customFormat="1">
      <c r="A44" s="140">
        <v>9590</v>
      </c>
      <c r="B44" s="140" t="s">
        <v>94</v>
      </c>
      <c r="C44" s="140" t="s">
        <v>94</v>
      </c>
      <c r="D44" s="143" t="s">
        <v>8</v>
      </c>
      <c r="E44" s="144">
        <v>43203.889502314814</v>
      </c>
      <c r="F44" s="297">
        <f t="shared" si="6"/>
        <v>43203.889502314814</v>
      </c>
      <c r="G44" s="298" t="str">
        <f t="shared" si="7"/>
        <v>21:20</v>
      </c>
      <c r="H44" s="299" t="str">
        <f t="shared" si="8"/>
        <v>-</v>
      </c>
      <c r="I44" s="300" t="str">
        <f t="shared" si="9"/>
        <v>-</v>
      </c>
      <c r="J44" s="300" t="str">
        <f t="shared" si="10"/>
        <v>-</v>
      </c>
      <c r="K44" s="301">
        <f t="shared" si="11"/>
        <v>0</v>
      </c>
      <c r="L44" s="301"/>
      <c r="M44" s="302">
        <f t="shared" si="12"/>
        <v>0</v>
      </c>
      <c r="N44" s="302">
        <f t="shared" si="13"/>
        <v>0</v>
      </c>
      <c r="O44" s="388"/>
      <c r="P44" s="137"/>
      <c r="Q44" s="382"/>
      <c r="R44" s="9"/>
      <c r="S44" s="63"/>
      <c r="T44"/>
      <c r="U44"/>
      <c r="V44" s="382"/>
      <c r="W44"/>
      <c r="X44" s="391"/>
    </row>
    <row r="45" spans="1:26">
      <c r="A45">
        <v>9598</v>
      </c>
      <c r="B45" t="s">
        <v>94</v>
      </c>
      <c r="C45" t="s">
        <v>94</v>
      </c>
      <c r="D45" s="143" t="s">
        <v>7</v>
      </c>
      <c r="E45" s="144">
        <v>43205.532511574071</v>
      </c>
      <c r="F45" s="297">
        <f t="shared" si="6"/>
        <v>43205.532511574071</v>
      </c>
      <c r="G45" s="298" t="str">
        <f t="shared" si="7"/>
        <v>12:46</v>
      </c>
      <c r="H45" s="299" t="str">
        <f t="shared" si="8"/>
        <v>-</v>
      </c>
      <c r="I45" s="300" t="str">
        <f t="shared" si="9"/>
        <v>-</v>
      </c>
      <c r="J45" s="300" t="str">
        <f t="shared" si="10"/>
        <v>-</v>
      </c>
      <c r="K45" s="301">
        <f t="shared" si="11"/>
        <v>6.1</v>
      </c>
      <c r="L45" s="301"/>
      <c r="M45" s="302">
        <f t="shared" si="12"/>
        <v>2</v>
      </c>
      <c r="N45" s="302">
        <f t="shared" si="13"/>
        <v>4.0999999999999996</v>
      </c>
      <c r="O45" s="388"/>
      <c r="P45" s="307"/>
      <c r="Q45" s="382"/>
      <c r="V45" s="382"/>
    </row>
    <row r="46" spans="1:26">
      <c r="A46">
        <v>9600</v>
      </c>
      <c r="B46" t="s">
        <v>94</v>
      </c>
      <c r="C46" t="s">
        <v>94</v>
      </c>
      <c r="D46" s="143" t="s">
        <v>8</v>
      </c>
      <c r="E46" s="144">
        <v>43205.786620370367</v>
      </c>
      <c r="F46" s="297">
        <f t="shared" si="6"/>
        <v>43205.786620370367</v>
      </c>
      <c r="G46" s="298" t="str">
        <f t="shared" si="7"/>
        <v>18:52</v>
      </c>
      <c r="H46" s="299" t="str">
        <f t="shared" si="8"/>
        <v>-</v>
      </c>
      <c r="I46" s="300" t="str">
        <f t="shared" si="9"/>
        <v>-</v>
      </c>
      <c r="J46" s="300" t="str">
        <f t="shared" si="10"/>
        <v>-</v>
      </c>
      <c r="K46" s="301">
        <f t="shared" si="11"/>
        <v>0</v>
      </c>
      <c r="L46" s="301"/>
      <c r="M46" s="302">
        <f t="shared" si="12"/>
        <v>0</v>
      </c>
      <c r="N46" s="302">
        <f t="shared" si="13"/>
        <v>0</v>
      </c>
      <c r="O46" s="388"/>
      <c r="P46" s="307"/>
      <c r="Q46" s="382"/>
      <c r="V46" s="382"/>
    </row>
    <row r="47" spans="1:26" customFormat="1">
      <c r="A47">
        <v>9605</v>
      </c>
      <c r="B47" t="s">
        <v>110</v>
      </c>
      <c r="C47" t="s">
        <v>94</v>
      </c>
      <c r="D47" s="143" t="s">
        <v>6</v>
      </c>
      <c r="E47" s="144">
        <v>43206.366087962961</v>
      </c>
      <c r="F47" s="297">
        <f t="shared" si="6"/>
        <v>43206.366087962961</v>
      </c>
      <c r="G47" s="298" t="str">
        <f t="shared" si="7"/>
        <v>8:47</v>
      </c>
      <c r="H47" s="299">
        <f t="shared" si="8"/>
        <v>9.6</v>
      </c>
      <c r="I47" s="300">
        <f t="shared" si="9"/>
        <v>8</v>
      </c>
      <c r="J47" s="300" t="str">
        <f t="shared" si="10"/>
        <v>-</v>
      </c>
      <c r="K47" s="301">
        <f t="shared" si="11"/>
        <v>0</v>
      </c>
      <c r="L47" s="301"/>
      <c r="M47" s="302">
        <f t="shared" si="12"/>
        <v>0</v>
      </c>
      <c r="N47" s="302">
        <f t="shared" si="13"/>
        <v>0</v>
      </c>
      <c r="O47" s="388"/>
      <c r="P47" s="307"/>
      <c r="Q47" s="382"/>
      <c r="R47" s="9"/>
      <c r="S47" s="9"/>
      <c r="V47" s="382"/>
      <c r="X47" s="391"/>
      <c r="Y47" s="391"/>
      <c r="Z47" s="261"/>
    </row>
    <row r="48" spans="1:26" customFormat="1">
      <c r="A48">
        <v>9615</v>
      </c>
      <c r="B48" t="s">
        <v>94</v>
      </c>
      <c r="C48" t="s">
        <v>94</v>
      </c>
      <c r="D48" s="143" t="s">
        <v>5</v>
      </c>
      <c r="E48" s="144">
        <v>43206.766122685185</v>
      </c>
      <c r="F48" s="297">
        <f t="shared" si="6"/>
        <v>43206.766122685185</v>
      </c>
      <c r="G48" s="298" t="str">
        <f t="shared" si="7"/>
        <v>18:23</v>
      </c>
      <c r="H48" s="299" t="str">
        <f t="shared" si="8"/>
        <v>-</v>
      </c>
      <c r="I48" s="300" t="str">
        <f t="shared" si="9"/>
        <v>-</v>
      </c>
      <c r="J48" s="300" t="str">
        <f t="shared" si="10"/>
        <v>-</v>
      </c>
      <c r="K48" s="301">
        <f t="shared" si="11"/>
        <v>0</v>
      </c>
      <c r="L48" s="301"/>
      <c r="M48" s="302">
        <f t="shared" si="12"/>
        <v>0</v>
      </c>
      <c r="N48" s="302">
        <f t="shared" si="13"/>
        <v>0</v>
      </c>
      <c r="O48" s="388"/>
      <c r="P48" s="307"/>
      <c r="Q48" s="382"/>
      <c r="R48" s="9"/>
      <c r="S48" s="9"/>
      <c r="X48" s="391"/>
      <c r="Y48" s="391"/>
      <c r="Z48" s="261"/>
    </row>
    <row r="49" spans="1:26" s="63" customFormat="1">
      <c r="A49">
        <v>9616</v>
      </c>
      <c r="B49" t="s">
        <v>94</v>
      </c>
      <c r="C49" t="s">
        <v>94</v>
      </c>
      <c r="D49" s="143" t="s">
        <v>7</v>
      </c>
      <c r="E49" s="144">
        <v>43206.766168981485</v>
      </c>
      <c r="F49" s="297">
        <f t="shared" si="6"/>
        <v>43206.766168981485</v>
      </c>
      <c r="G49" s="298" t="str">
        <f t="shared" si="7"/>
        <v>18:23</v>
      </c>
      <c r="H49" s="299" t="str">
        <f t="shared" si="8"/>
        <v>-</v>
      </c>
      <c r="I49" s="300" t="str">
        <f t="shared" si="9"/>
        <v>-</v>
      </c>
      <c r="J49" s="300" t="str">
        <f t="shared" si="10"/>
        <v>-</v>
      </c>
      <c r="K49" s="301">
        <f t="shared" si="11"/>
        <v>0.33333333333333215</v>
      </c>
      <c r="L49" s="301"/>
      <c r="M49" s="302">
        <f t="shared" si="12"/>
        <v>0.33333333333333215</v>
      </c>
      <c r="N49" s="302">
        <f t="shared" si="13"/>
        <v>0</v>
      </c>
      <c r="O49" s="388"/>
      <c r="P49" s="169"/>
      <c r="Q49" s="402"/>
      <c r="R49" s="18"/>
      <c r="S49" s="18"/>
    </row>
    <row r="50" spans="1:26" s="63" customFormat="1">
      <c r="A50">
        <v>9624</v>
      </c>
      <c r="B50" t="s">
        <v>94</v>
      </c>
      <c r="C50" t="s">
        <v>94</v>
      </c>
      <c r="D50" s="143" t="s">
        <v>8</v>
      </c>
      <c r="E50" s="144">
        <v>43206.780185185184</v>
      </c>
      <c r="F50" s="297">
        <f t="shared" si="6"/>
        <v>43206.780185185184</v>
      </c>
      <c r="G50" s="298" t="str">
        <f t="shared" si="7"/>
        <v>18:43</v>
      </c>
      <c r="H50" s="299" t="str">
        <f t="shared" si="8"/>
        <v>-</v>
      </c>
      <c r="I50" s="300" t="str">
        <f t="shared" si="9"/>
        <v>-</v>
      </c>
      <c r="J50" s="300" t="str">
        <f t="shared" si="10"/>
        <v>-</v>
      </c>
      <c r="K50" s="301">
        <f t="shared" si="11"/>
        <v>0</v>
      </c>
      <c r="L50" s="301"/>
      <c r="M50" s="302">
        <f t="shared" si="12"/>
        <v>0</v>
      </c>
      <c r="N50" s="302">
        <f t="shared" si="13"/>
        <v>0</v>
      </c>
      <c r="O50" s="388"/>
      <c r="P50" s="169"/>
      <c r="Q50" s="402"/>
      <c r="R50" s="18"/>
      <c r="S50" s="18"/>
    </row>
    <row r="51" spans="1:26" customFormat="1">
      <c r="A51">
        <v>9629</v>
      </c>
      <c r="B51" t="s">
        <v>94</v>
      </c>
      <c r="C51" t="s">
        <v>94</v>
      </c>
      <c r="D51" s="143" t="s">
        <v>7</v>
      </c>
      <c r="E51" s="144">
        <v>43206.804675925923</v>
      </c>
      <c r="F51" s="297">
        <f t="shared" si="6"/>
        <v>43206.804675925923</v>
      </c>
      <c r="G51" s="298" t="str">
        <f t="shared" si="7"/>
        <v>19:18</v>
      </c>
      <c r="H51" s="299" t="str">
        <f t="shared" si="8"/>
        <v>-</v>
      </c>
      <c r="I51" s="300" t="str">
        <f t="shared" si="9"/>
        <v>-</v>
      </c>
      <c r="J51" s="300" t="str">
        <f t="shared" si="10"/>
        <v>-</v>
      </c>
      <c r="K51" s="301">
        <f t="shared" si="11"/>
        <v>3.0166666666666666</v>
      </c>
      <c r="L51" s="301"/>
      <c r="M51" s="302">
        <f t="shared" si="12"/>
        <v>2</v>
      </c>
      <c r="N51" s="302">
        <f t="shared" si="13"/>
        <v>1.0166666666666666</v>
      </c>
      <c r="O51" s="388"/>
      <c r="P51" s="307"/>
      <c r="Q51" s="9"/>
      <c r="R51" s="9"/>
      <c r="S51" s="9"/>
      <c r="X51" s="391"/>
      <c r="Y51" s="391"/>
      <c r="Z51" s="261"/>
    </row>
    <row r="52" spans="1:26" customFormat="1">
      <c r="A52">
        <v>9641</v>
      </c>
      <c r="B52" t="s">
        <v>94</v>
      </c>
      <c r="C52" t="s">
        <v>94</v>
      </c>
      <c r="D52" s="143" t="s">
        <v>8</v>
      </c>
      <c r="E52" s="144">
        <v>43206.9299537037</v>
      </c>
      <c r="F52" s="297">
        <f t="shared" si="6"/>
        <v>43206.9299537037</v>
      </c>
      <c r="G52" s="298" t="str">
        <f t="shared" si="7"/>
        <v>22:19</v>
      </c>
      <c r="H52" s="299" t="str">
        <f t="shared" si="8"/>
        <v>-</v>
      </c>
      <c r="I52" s="300" t="str">
        <f t="shared" si="9"/>
        <v>-</v>
      </c>
      <c r="J52" s="300" t="str">
        <f t="shared" si="10"/>
        <v>-</v>
      </c>
      <c r="K52" s="301">
        <f t="shared" si="11"/>
        <v>0</v>
      </c>
      <c r="L52" s="301"/>
      <c r="M52" s="302">
        <f t="shared" si="12"/>
        <v>0</v>
      </c>
      <c r="N52" s="302">
        <f t="shared" si="13"/>
        <v>0</v>
      </c>
      <c r="O52" s="388"/>
      <c r="P52" s="307"/>
      <c r="Q52" s="9"/>
      <c r="R52" s="9"/>
      <c r="S52" s="9"/>
      <c r="X52" s="391"/>
      <c r="Y52" s="391"/>
      <c r="Z52" s="261"/>
    </row>
    <row r="53" spans="1:26" customFormat="1">
      <c r="A53">
        <v>9647</v>
      </c>
      <c r="B53" t="s">
        <v>95</v>
      </c>
      <c r="C53" t="s">
        <v>94</v>
      </c>
      <c r="D53" s="143" t="s">
        <v>6</v>
      </c>
      <c r="E53" s="144">
        <v>43207.370891203704</v>
      </c>
      <c r="F53" s="297">
        <f t="shared" si="6"/>
        <v>43207.370891203704</v>
      </c>
      <c r="G53" s="298" t="str">
        <f t="shared" si="7"/>
        <v>8:54</v>
      </c>
      <c r="H53" s="299">
        <f t="shared" si="8"/>
        <v>9.65</v>
      </c>
      <c r="I53" s="300">
        <f t="shared" si="9"/>
        <v>8</v>
      </c>
      <c r="J53" s="300" t="str">
        <f t="shared" si="10"/>
        <v>-</v>
      </c>
      <c r="K53" s="301">
        <f t="shared" si="11"/>
        <v>0</v>
      </c>
      <c r="L53" s="301"/>
      <c r="M53" s="302">
        <f t="shared" si="12"/>
        <v>0</v>
      </c>
      <c r="N53" s="302">
        <f t="shared" si="13"/>
        <v>0</v>
      </c>
      <c r="O53" s="388"/>
      <c r="P53" s="307"/>
      <c r="Q53" s="9"/>
      <c r="R53" s="9"/>
      <c r="S53" s="9"/>
      <c r="X53" s="391"/>
      <c r="Y53" s="391"/>
      <c r="Z53" s="261"/>
    </row>
    <row r="54" spans="1:26" customFormat="1">
      <c r="A54">
        <v>9662</v>
      </c>
      <c r="B54" t="s">
        <v>94</v>
      </c>
      <c r="C54" t="s">
        <v>94</v>
      </c>
      <c r="D54" s="143" t="s">
        <v>5</v>
      </c>
      <c r="E54" s="144">
        <v>43207.773136574076</v>
      </c>
      <c r="F54" s="297">
        <f t="shared" si="6"/>
        <v>43207.773136574076</v>
      </c>
      <c r="G54" s="298" t="str">
        <f t="shared" si="7"/>
        <v>18:33</v>
      </c>
      <c r="H54" s="299" t="str">
        <f t="shared" si="8"/>
        <v>-</v>
      </c>
      <c r="I54" s="300" t="str">
        <f t="shared" si="9"/>
        <v>-</v>
      </c>
      <c r="J54" s="300" t="str">
        <f t="shared" si="10"/>
        <v>-</v>
      </c>
      <c r="K54" s="301">
        <f t="shared" si="11"/>
        <v>0</v>
      </c>
      <c r="L54" s="301"/>
      <c r="M54" s="302">
        <f t="shared" si="12"/>
        <v>0</v>
      </c>
      <c r="N54" s="302">
        <f t="shared" si="13"/>
        <v>0</v>
      </c>
      <c r="O54" s="388"/>
      <c r="P54" s="307"/>
      <c r="Q54" s="9"/>
      <c r="R54" s="9"/>
      <c r="S54" s="9"/>
      <c r="X54" s="391"/>
      <c r="Y54" s="391"/>
      <c r="Z54" s="261"/>
    </row>
    <row r="55" spans="1:26" customFormat="1">
      <c r="A55">
        <v>9669</v>
      </c>
      <c r="B55" t="s">
        <v>94</v>
      </c>
      <c r="C55" t="s">
        <v>94</v>
      </c>
      <c r="D55" s="143" t="s">
        <v>6</v>
      </c>
      <c r="E55" s="144">
        <v>43208.366666666669</v>
      </c>
      <c r="F55" s="297">
        <f t="shared" si="6"/>
        <v>43208.366666666669</v>
      </c>
      <c r="G55" s="298" t="str">
        <f t="shared" si="7"/>
        <v>8:48</v>
      </c>
      <c r="H55" s="299">
        <f t="shared" si="8"/>
        <v>9.6999999999999993</v>
      </c>
      <c r="I55" s="300">
        <f t="shared" si="9"/>
        <v>8</v>
      </c>
      <c r="J55" s="300" t="str">
        <f t="shared" si="10"/>
        <v>-</v>
      </c>
      <c r="K55" s="301">
        <f t="shared" si="11"/>
        <v>0</v>
      </c>
      <c r="L55" s="301"/>
      <c r="M55" s="302">
        <f t="shared" si="12"/>
        <v>0</v>
      </c>
      <c r="N55" s="302">
        <f t="shared" si="13"/>
        <v>0</v>
      </c>
      <c r="O55" s="388"/>
      <c r="P55" s="307"/>
      <c r="Q55" s="9"/>
      <c r="R55" s="9"/>
      <c r="S55" s="9"/>
      <c r="X55" s="391"/>
      <c r="Y55" s="391"/>
      <c r="Z55" s="261"/>
    </row>
    <row r="56" spans="1:26" customFormat="1">
      <c r="A56">
        <v>9683</v>
      </c>
      <c r="B56" t="s">
        <v>94</v>
      </c>
      <c r="C56" t="s">
        <v>94</v>
      </c>
      <c r="D56" s="143" t="s">
        <v>5</v>
      </c>
      <c r="E56" s="144">
        <v>43208.77134259259</v>
      </c>
      <c r="F56" s="297">
        <f t="shared" si="6"/>
        <v>43208.77134259259</v>
      </c>
      <c r="G56" s="298" t="str">
        <f t="shared" si="7"/>
        <v>18:30</v>
      </c>
      <c r="H56" s="299" t="str">
        <f t="shared" si="8"/>
        <v>-</v>
      </c>
      <c r="I56" s="300" t="str">
        <f t="shared" si="9"/>
        <v>-</v>
      </c>
      <c r="J56" s="300" t="str">
        <f t="shared" si="10"/>
        <v>-</v>
      </c>
      <c r="K56" s="301">
        <f t="shared" si="11"/>
        <v>0</v>
      </c>
      <c r="L56" s="301"/>
      <c r="M56" s="302">
        <f t="shared" si="12"/>
        <v>0</v>
      </c>
      <c r="N56" s="302">
        <f t="shared" si="13"/>
        <v>0</v>
      </c>
      <c r="O56" s="388"/>
      <c r="P56" s="307"/>
      <c r="Q56" s="9"/>
      <c r="R56" s="9"/>
      <c r="S56" s="9"/>
      <c r="X56" s="391"/>
      <c r="Y56" s="391"/>
      <c r="Z56" s="261"/>
    </row>
    <row r="57" spans="1:26" s="16" customFormat="1">
      <c r="A57" s="16">
        <v>9706</v>
      </c>
      <c r="B57" s="16" t="s">
        <v>95</v>
      </c>
      <c r="C57" s="16" t="s">
        <v>94</v>
      </c>
      <c r="D57" s="138" t="s">
        <v>6</v>
      </c>
      <c r="E57" s="146">
        <v>43209.37427083333</v>
      </c>
      <c r="F57" s="31">
        <f t="shared" si="6"/>
        <v>43209.37427083333</v>
      </c>
      <c r="G57" s="32" t="str">
        <f t="shared" si="7"/>
        <v>8:58</v>
      </c>
      <c r="H57" s="33">
        <f t="shared" si="8"/>
        <v>9.4833333333333307</v>
      </c>
      <c r="I57" s="58">
        <v>7.5</v>
      </c>
      <c r="J57" s="58">
        <f t="shared" si="10"/>
        <v>0.5</v>
      </c>
      <c r="K57" s="34">
        <f t="shared" si="11"/>
        <v>0</v>
      </c>
      <c r="L57" s="34"/>
      <c r="M57" s="35">
        <f t="shared" si="12"/>
        <v>0</v>
      </c>
      <c r="N57" s="35">
        <f t="shared" si="13"/>
        <v>0</v>
      </c>
      <c r="O57" s="36" t="s">
        <v>111</v>
      </c>
      <c r="P57" s="22"/>
      <c r="Q57" s="137"/>
      <c r="R57" s="137"/>
      <c r="S57" s="137"/>
    </row>
    <row r="58" spans="1:26" customFormat="1">
      <c r="A58">
        <v>9712</v>
      </c>
      <c r="B58" t="s">
        <v>94</v>
      </c>
      <c r="C58" t="s">
        <v>94</v>
      </c>
      <c r="D58" s="143" t="s">
        <v>5</v>
      </c>
      <c r="E58" s="144">
        <v>43209.769212962965</v>
      </c>
      <c r="F58" s="297">
        <f t="shared" si="6"/>
        <v>43209.769212962965</v>
      </c>
      <c r="G58" s="298" t="str">
        <f t="shared" si="7"/>
        <v>18:27</v>
      </c>
      <c r="H58" s="299" t="str">
        <f t="shared" si="8"/>
        <v>-</v>
      </c>
      <c r="I58" s="300" t="str">
        <f t="shared" si="9"/>
        <v>-</v>
      </c>
      <c r="J58" s="300" t="str">
        <f t="shared" si="10"/>
        <v>-</v>
      </c>
      <c r="K58" s="301">
        <f t="shared" si="11"/>
        <v>0</v>
      </c>
      <c r="L58" s="301"/>
      <c r="M58" s="302">
        <f t="shared" si="12"/>
        <v>0</v>
      </c>
      <c r="N58" s="302">
        <f t="shared" si="13"/>
        <v>0</v>
      </c>
      <c r="O58" s="388"/>
      <c r="P58" s="307"/>
      <c r="Q58" s="9"/>
      <c r="R58" s="9"/>
      <c r="S58" s="9"/>
      <c r="X58" s="391"/>
      <c r="Y58" s="391"/>
      <c r="Z58" s="261"/>
    </row>
    <row r="59" spans="1:26" customFormat="1">
      <c r="A59">
        <v>9713</v>
      </c>
      <c r="B59" t="s">
        <v>94</v>
      </c>
      <c r="C59" t="s">
        <v>94</v>
      </c>
      <c r="D59" s="143" t="s">
        <v>7</v>
      </c>
      <c r="E59" s="144">
        <v>43209.769247685188</v>
      </c>
      <c r="F59" s="297">
        <f t="shared" si="6"/>
        <v>43209.769247685188</v>
      </c>
      <c r="G59" s="298" t="str">
        <f t="shared" si="7"/>
        <v>18:27</v>
      </c>
      <c r="H59" s="299" t="str">
        <f t="shared" si="8"/>
        <v>-</v>
      </c>
      <c r="I59" s="300" t="str">
        <f t="shared" si="9"/>
        <v>-</v>
      </c>
      <c r="J59" s="300" t="str">
        <f t="shared" si="10"/>
        <v>-</v>
      </c>
      <c r="K59" s="301">
        <f t="shared" si="11"/>
        <v>1.3833333333333337</v>
      </c>
      <c r="L59" s="301"/>
      <c r="M59" s="302">
        <f t="shared" si="12"/>
        <v>1.3833333333333337</v>
      </c>
      <c r="N59" s="302">
        <f t="shared" si="13"/>
        <v>0</v>
      </c>
      <c r="O59" s="388"/>
      <c r="P59" s="307"/>
      <c r="Q59" s="9"/>
      <c r="R59" s="9"/>
      <c r="S59" s="9"/>
      <c r="X59" s="391"/>
      <c r="Y59" s="391"/>
      <c r="Z59" s="261"/>
    </row>
    <row r="60" spans="1:26" customFormat="1">
      <c r="A60">
        <v>9723</v>
      </c>
      <c r="B60" t="s">
        <v>94</v>
      </c>
      <c r="C60" t="s">
        <v>94</v>
      </c>
      <c r="D60" s="143" t="s">
        <v>8</v>
      </c>
      <c r="E60" s="144">
        <v>43209.826724537037</v>
      </c>
      <c r="F60" s="297">
        <f t="shared" si="6"/>
        <v>43209.826724537037</v>
      </c>
      <c r="G60" s="298" t="str">
        <f t="shared" si="7"/>
        <v>19:50</v>
      </c>
      <c r="H60" s="299" t="str">
        <f t="shared" si="8"/>
        <v>-</v>
      </c>
      <c r="I60" s="300" t="str">
        <f t="shared" si="9"/>
        <v>-</v>
      </c>
      <c r="J60" s="300" t="str">
        <f t="shared" si="10"/>
        <v>-</v>
      </c>
      <c r="K60" s="301">
        <f t="shared" si="11"/>
        <v>0</v>
      </c>
      <c r="L60" s="301"/>
      <c r="M60" s="302">
        <f t="shared" si="12"/>
        <v>0</v>
      </c>
      <c r="N60" s="302">
        <f t="shared" si="13"/>
        <v>0</v>
      </c>
      <c r="O60" s="388"/>
      <c r="P60" s="307"/>
      <c r="Q60" s="9"/>
      <c r="R60" s="9"/>
      <c r="S60" s="9"/>
      <c r="X60" s="391"/>
      <c r="Y60" s="391"/>
      <c r="Z60" s="261"/>
    </row>
    <row r="61" spans="1:26" customFormat="1">
      <c r="A61">
        <v>9733</v>
      </c>
      <c r="B61" t="s">
        <v>94</v>
      </c>
      <c r="C61" t="s">
        <v>94</v>
      </c>
      <c r="D61" s="143" t="s">
        <v>6</v>
      </c>
      <c r="E61" s="144">
        <v>43210.362256944441</v>
      </c>
      <c r="F61" s="297">
        <f t="shared" si="6"/>
        <v>43210.362256944441</v>
      </c>
      <c r="G61" s="298" t="str">
        <f t="shared" si="7"/>
        <v>8:41</v>
      </c>
      <c r="H61" s="299">
        <f t="shared" si="8"/>
        <v>9.8000000000000007</v>
      </c>
      <c r="I61" s="300">
        <f t="shared" si="9"/>
        <v>8</v>
      </c>
      <c r="J61" s="300" t="str">
        <f t="shared" si="10"/>
        <v>-</v>
      </c>
      <c r="K61" s="301">
        <f t="shared" si="11"/>
        <v>0</v>
      </c>
      <c r="L61" s="301"/>
      <c r="M61" s="302">
        <f t="shared" si="12"/>
        <v>0</v>
      </c>
      <c r="N61" s="302">
        <f t="shared" si="13"/>
        <v>0</v>
      </c>
      <c r="O61" s="388"/>
      <c r="P61" s="307"/>
      <c r="Q61" s="9"/>
      <c r="R61" s="9"/>
      <c r="S61" s="9"/>
      <c r="X61" s="391"/>
      <c r="Y61" s="391"/>
      <c r="Z61" s="261"/>
    </row>
    <row r="62" spans="1:26" s="9" customFormat="1">
      <c r="A62">
        <v>9745</v>
      </c>
      <c r="B62" t="s">
        <v>94</v>
      </c>
      <c r="C62" t="s">
        <v>94</v>
      </c>
      <c r="D62" s="143" t="s">
        <v>5</v>
      </c>
      <c r="E62" s="144">
        <v>43210.770324074074</v>
      </c>
      <c r="F62" s="297">
        <f t="shared" si="6"/>
        <v>43210.770324074074</v>
      </c>
      <c r="G62" s="298" t="str">
        <f t="shared" si="7"/>
        <v>18:29</v>
      </c>
      <c r="H62" s="299" t="str">
        <f t="shared" si="8"/>
        <v>-</v>
      </c>
      <c r="I62" s="300" t="str">
        <f t="shared" si="9"/>
        <v>-</v>
      </c>
      <c r="J62" s="300" t="str">
        <f t="shared" si="10"/>
        <v>-</v>
      </c>
      <c r="K62" s="301">
        <f t="shared" si="11"/>
        <v>0</v>
      </c>
      <c r="L62" s="301"/>
      <c r="M62" s="302">
        <f t="shared" si="12"/>
        <v>0</v>
      </c>
      <c r="N62" s="302">
        <f t="shared" si="13"/>
        <v>0</v>
      </c>
      <c r="O62" s="388"/>
      <c r="P62" s="307"/>
      <c r="T62"/>
      <c r="U62"/>
      <c r="V62"/>
      <c r="W62"/>
      <c r="X62" s="391"/>
      <c r="Y62" s="391"/>
      <c r="Z62" s="261"/>
    </row>
    <row r="63" spans="1:26" s="9" customFormat="1">
      <c r="A63">
        <v>9748</v>
      </c>
      <c r="B63" t="s">
        <v>94</v>
      </c>
      <c r="C63" t="s">
        <v>94</v>
      </c>
      <c r="D63" s="143" t="s">
        <v>7</v>
      </c>
      <c r="E63" s="144">
        <v>43210.770462962966</v>
      </c>
      <c r="F63" s="297">
        <f t="shared" si="6"/>
        <v>43210.770462962966</v>
      </c>
      <c r="G63" s="298" t="str">
        <f t="shared" si="7"/>
        <v>18:29</v>
      </c>
      <c r="H63" s="299" t="str">
        <f t="shared" si="8"/>
        <v>-</v>
      </c>
      <c r="I63" s="300" t="str">
        <f t="shared" si="9"/>
        <v>-</v>
      </c>
      <c r="J63" s="300" t="str">
        <f t="shared" si="10"/>
        <v>-</v>
      </c>
      <c r="K63" s="301">
        <f t="shared" si="11"/>
        <v>0.89999999999999947</v>
      </c>
      <c r="L63" s="301"/>
      <c r="M63" s="302">
        <f t="shared" si="12"/>
        <v>0.89999999999999947</v>
      </c>
      <c r="N63" s="302">
        <f t="shared" si="13"/>
        <v>0</v>
      </c>
      <c r="O63" s="388"/>
      <c r="P63" s="307"/>
      <c r="T63"/>
      <c r="U63"/>
      <c r="V63"/>
      <c r="W63"/>
      <c r="X63" s="391"/>
      <c r="Y63" s="391"/>
      <c r="Z63" s="261"/>
    </row>
    <row r="64" spans="1:26" s="9" customFormat="1">
      <c r="A64">
        <v>9760</v>
      </c>
      <c r="B64" t="s">
        <v>94</v>
      </c>
      <c r="C64" t="s">
        <v>94</v>
      </c>
      <c r="D64" s="143" t="s">
        <v>8</v>
      </c>
      <c r="E64" s="144">
        <v>43210.808287037034</v>
      </c>
      <c r="F64" s="297">
        <f t="shared" si="6"/>
        <v>43210.808287037034</v>
      </c>
      <c r="G64" s="298" t="str">
        <f t="shared" si="7"/>
        <v>19:23</v>
      </c>
      <c r="H64" s="299" t="str">
        <f t="shared" si="8"/>
        <v>-</v>
      </c>
      <c r="I64" s="300" t="str">
        <f t="shared" si="9"/>
        <v>-</v>
      </c>
      <c r="J64" s="300" t="str">
        <f t="shared" si="10"/>
        <v>-</v>
      </c>
      <c r="K64" s="301">
        <f t="shared" si="11"/>
        <v>0</v>
      </c>
      <c r="L64" s="301"/>
      <c r="M64" s="302">
        <f t="shared" si="12"/>
        <v>0</v>
      </c>
      <c r="N64" s="302">
        <f t="shared" si="13"/>
        <v>0</v>
      </c>
      <c r="O64" s="388"/>
      <c r="P64" s="307"/>
      <c r="T64"/>
      <c r="U64"/>
      <c r="V64"/>
      <c r="W64"/>
      <c r="X64" s="391"/>
      <c r="Y64" s="391"/>
      <c r="Z64" s="261"/>
    </row>
    <row r="65" spans="1:26" s="9" customFormat="1">
      <c r="A65">
        <v>9775</v>
      </c>
      <c r="B65" t="s">
        <v>94</v>
      </c>
      <c r="C65" t="s">
        <v>94</v>
      </c>
      <c r="D65" s="143" t="s">
        <v>6</v>
      </c>
      <c r="E65" s="144">
        <v>43213.365902777776</v>
      </c>
      <c r="F65" s="297">
        <f t="shared" si="6"/>
        <v>43213.365902777776</v>
      </c>
      <c r="G65" s="298" t="str">
        <f t="shared" si="7"/>
        <v>8:46</v>
      </c>
      <c r="H65" s="299">
        <f t="shared" si="8"/>
        <v>9.7333333333333343</v>
      </c>
      <c r="I65" s="300">
        <f t="shared" si="9"/>
        <v>8</v>
      </c>
      <c r="J65" s="300" t="str">
        <f t="shared" si="10"/>
        <v>-</v>
      </c>
      <c r="K65" s="301">
        <f t="shared" si="11"/>
        <v>0</v>
      </c>
      <c r="L65" s="301"/>
      <c r="M65" s="302">
        <f t="shared" si="12"/>
        <v>0</v>
      </c>
      <c r="N65" s="302">
        <f t="shared" si="13"/>
        <v>0</v>
      </c>
      <c r="O65" s="388"/>
      <c r="P65" s="307"/>
      <c r="T65"/>
      <c r="U65"/>
      <c r="V65"/>
      <c r="W65"/>
      <c r="X65" s="391"/>
      <c r="Y65" s="391"/>
      <c r="Z65" s="261"/>
    </row>
    <row r="66" spans="1:26" s="9" customFormat="1">
      <c r="A66">
        <v>9783</v>
      </c>
      <c r="B66" t="s">
        <v>94</v>
      </c>
      <c r="C66" t="s">
        <v>94</v>
      </c>
      <c r="D66" s="143" t="s">
        <v>5</v>
      </c>
      <c r="E66" s="144">
        <v>43213.771192129629</v>
      </c>
      <c r="F66" s="297">
        <f t="shared" si="6"/>
        <v>43213.771192129629</v>
      </c>
      <c r="G66" s="298" t="str">
        <f t="shared" si="7"/>
        <v>18:30</v>
      </c>
      <c r="H66" s="299" t="str">
        <f t="shared" si="8"/>
        <v>-</v>
      </c>
      <c r="I66" s="300" t="str">
        <f t="shared" si="9"/>
        <v>-</v>
      </c>
      <c r="J66" s="300" t="str">
        <f t="shared" si="10"/>
        <v>-</v>
      </c>
      <c r="K66" s="301">
        <f t="shared" si="11"/>
        <v>0</v>
      </c>
      <c r="L66" s="301"/>
      <c r="M66" s="302">
        <f t="shared" si="12"/>
        <v>0</v>
      </c>
      <c r="N66" s="302">
        <f t="shared" si="13"/>
        <v>0</v>
      </c>
      <c r="O66" s="388"/>
      <c r="P66" s="307"/>
      <c r="T66"/>
      <c r="U66"/>
      <c r="V66"/>
      <c r="W66"/>
      <c r="X66" s="391"/>
      <c r="Y66" s="391"/>
      <c r="Z66" s="261"/>
    </row>
    <row r="67" spans="1:26" s="137" customFormat="1">
      <c r="A67" s="16">
        <v>9813</v>
      </c>
      <c r="B67" s="16" t="s">
        <v>94</v>
      </c>
      <c r="C67" s="16" t="s">
        <v>94</v>
      </c>
      <c r="D67" s="138" t="s">
        <v>6</v>
      </c>
      <c r="E67" s="146">
        <v>43214.566111111111</v>
      </c>
      <c r="F67" s="31">
        <f t="shared" si="6"/>
        <v>43214.566111111111</v>
      </c>
      <c r="G67" s="32" t="str">
        <f t="shared" si="7"/>
        <v>13:35</v>
      </c>
      <c r="H67" s="33">
        <f t="shared" si="8"/>
        <v>4.9333333333333318</v>
      </c>
      <c r="I67" s="58">
        <v>4.5</v>
      </c>
      <c r="J67" s="58">
        <f t="shared" si="10"/>
        <v>3.5</v>
      </c>
      <c r="K67" s="34">
        <f t="shared" si="11"/>
        <v>0</v>
      </c>
      <c r="L67" s="34"/>
      <c r="M67" s="35">
        <f t="shared" si="12"/>
        <v>0</v>
      </c>
      <c r="N67" s="35">
        <f t="shared" si="13"/>
        <v>0</v>
      </c>
      <c r="O67" s="36" t="s">
        <v>111</v>
      </c>
      <c r="P67" s="22"/>
      <c r="T67" s="16"/>
      <c r="U67" s="16"/>
      <c r="V67" s="16"/>
      <c r="W67" s="16"/>
      <c r="X67" s="16"/>
      <c r="Y67" s="16"/>
      <c r="Z67" s="16"/>
    </row>
    <row r="68" spans="1:26" s="9" customFormat="1">
      <c r="A68">
        <v>9823</v>
      </c>
      <c r="B68" t="s">
        <v>94</v>
      </c>
      <c r="C68" t="s">
        <v>94</v>
      </c>
      <c r="D68" s="143" t="s">
        <v>5</v>
      </c>
      <c r="E68" s="144">
        <v>43214.772152777776</v>
      </c>
      <c r="F68" s="297">
        <f t="shared" si="6"/>
        <v>43214.772152777776</v>
      </c>
      <c r="G68" s="298" t="str">
        <f t="shared" si="7"/>
        <v>18:31</v>
      </c>
      <c r="H68" s="299" t="str">
        <f t="shared" si="8"/>
        <v>-</v>
      </c>
      <c r="I68" s="300" t="str">
        <f t="shared" si="9"/>
        <v>-</v>
      </c>
      <c r="J68" s="300" t="str">
        <f t="shared" si="10"/>
        <v>-</v>
      </c>
      <c r="K68" s="301">
        <f t="shared" si="11"/>
        <v>0</v>
      </c>
      <c r="L68" s="301"/>
      <c r="M68" s="302">
        <f t="shared" si="12"/>
        <v>0</v>
      </c>
      <c r="N68" s="302">
        <f t="shared" si="13"/>
        <v>0</v>
      </c>
      <c r="O68" s="388"/>
      <c r="P68" s="307"/>
      <c r="T68"/>
      <c r="U68"/>
      <c r="V68"/>
      <c r="W68"/>
      <c r="X68" s="391"/>
      <c r="Y68" s="391"/>
      <c r="Z68" s="261"/>
    </row>
    <row r="69" spans="1:26" s="9" customFormat="1">
      <c r="A69">
        <v>9824</v>
      </c>
      <c r="B69" t="s">
        <v>94</v>
      </c>
      <c r="C69" t="s">
        <v>94</v>
      </c>
      <c r="D69" s="143" t="s">
        <v>7</v>
      </c>
      <c r="E69" s="144">
        <v>43214.772187499999</v>
      </c>
      <c r="F69" s="297">
        <f t="shared" si="6"/>
        <v>43214.772187499999</v>
      </c>
      <c r="G69" s="298" t="str">
        <f t="shared" si="7"/>
        <v>18:31</v>
      </c>
      <c r="H69" s="299" t="str">
        <f t="shared" si="8"/>
        <v>-</v>
      </c>
      <c r="I69" s="300" t="str">
        <f t="shared" si="9"/>
        <v>-</v>
      </c>
      <c r="J69" s="300" t="str">
        <f t="shared" si="10"/>
        <v>-</v>
      </c>
      <c r="K69" s="301">
        <f t="shared" si="11"/>
        <v>1.8166666666666682</v>
      </c>
      <c r="L69" s="301"/>
      <c r="M69" s="302">
        <f t="shared" si="12"/>
        <v>1.8166666666666682</v>
      </c>
      <c r="N69" s="302">
        <f t="shared" si="13"/>
        <v>0</v>
      </c>
      <c r="O69" s="388"/>
      <c r="P69" s="307"/>
      <c r="T69"/>
      <c r="U69"/>
      <c r="V69"/>
      <c r="W69"/>
      <c r="X69" s="391"/>
      <c r="Y69" s="391"/>
      <c r="Z69" s="261"/>
    </row>
    <row r="70" spans="1:26">
      <c r="A70">
        <v>9831</v>
      </c>
      <c r="B70" t="s">
        <v>94</v>
      </c>
      <c r="C70" t="s">
        <v>94</v>
      </c>
      <c r="D70" s="143" t="s">
        <v>8</v>
      </c>
      <c r="E70" s="144">
        <v>43214.847500000003</v>
      </c>
      <c r="F70" s="297">
        <f t="shared" si="6"/>
        <v>43214.847500000003</v>
      </c>
      <c r="G70" s="298" t="str">
        <f t="shared" si="7"/>
        <v>20:20</v>
      </c>
      <c r="H70" s="299" t="str">
        <f t="shared" si="8"/>
        <v>-</v>
      </c>
      <c r="I70" s="300" t="str">
        <f t="shared" si="9"/>
        <v>-</v>
      </c>
      <c r="J70" s="300" t="str">
        <f t="shared" si="10"/>
        <v>-</v>
      </c>
      <c r="K70" s="301">
        <f t="shared" si="11"/>
        <v>0</v>
      </c>
      <c r="L70" s="301"/>
      <c r="M70" s="302">
        <f t="shared" si="12"/>
        <v>0</v>
      </c>
      <c r="N70" s="302">
        <f t="shared" si="13"/>
        <v>0</v>
      </c>
      <c r="O70" s="388"/>
    </row>
    <row r="71" spans="1:26">
      <c r="A71">
        <v>9841</v>
      </c>
      <c r="B71" t="s">
        <v>94</v>
      </c>
      <c r="C71" t="s">
        <v>94</v>
      </c>
      <c r="D71" s="143" t="s">
        <v>6</v>
      </c>
      <c r="E71" s="144">
        <v>43215.368125000001</v>
      </c>
      <c r="F71" s="297">
        <f t="shared" si="6"/>
        <v>43215.368125000001</v>
      </c>
      <c r="G71" s="298" t="str">
        <f t="shared" si="7"/>
        <v>8:50</v>
      </c>
      <c r="H71" s="299">
        <f t="shared" si="8"/>
        <v>9.5833333333333339</v>
      </c>
      <c r="I71" s="300">
        <f t="shared" si="9"/>
        <v>8</v>
      </c>
      <c r="J71" s="300" t="str">
        <f t="shared" si="10"/>
        <v>-</v>
      </c>
      <c r="K71" s="301">
        <f t="shared" si="11"/>
        <v>0</v>
      </c>
      <c r="L71" s="301"/>
      <c r="M71" s="302">
        <f t="shared" si="12"/>
        <v>0</v>
      </c>
      <c r="N71" s="302">
        <f t="shared" si="13"/>
        <v>0</v>
      </c>
      <c r="O71" s="388"/>
    </row>
    <row r="72" spans="1:26">
      <c r="A72">
        <v>9853</v>
      </c>
      <c r="B72" t="s">
        <v>94</v>
      </c>
      <c r="C72" t="s">
        <v>94</v>
      </c>
      <c r="D72" s="143" t="s">
        <v>5</v>
      </c>
      <c r="E72" s="144">
        <v>43215.767500000002</v>
      </c>
      <c r="F72" s="297">
        <f t="shared" ref="F72:F86" si="14">E72</f>
        <v>43215.767500000002</v>
      </c>
      <c r="G72" s="298" t="str">
        <f t="shared" ref="G72:G86" si="15">HOUR(E72)&amp;":"&amp;MINUTE(E72)</f>
        <v>18:25</v>
      </c>
      <c r="H72" s="299" t="str">
        <f t="shared" ref="H72:H85" si="16">IF(D72="上班",(G73-G72)*24,"-")</f>
        <v>-</v>
      </c>
      <c r="I72" s="300" t="str">
        <f t="shared" ref="I72:I86" si="17">IF(D72="上班",IF(H72-1.5&gt;8,8,H72-1.5),"-")</f>
        <v>-</v>
      </c>
      <c r="J72" s="300" t="str">
        <f t="shared" ref="J72:J86" si="18">IF(I72&lt;8,8-I72,"-")</f>
        <v>-</v>
      </c>
      <c r="K72" s="301">
        <f t="shared" ref="K72:K85" si="19">IF(D72="加班",(G73-G72)*24,0)</f>
        <v>0</v>
      </c>
      <c r="L72" s="301"/>
      <c r="M72" s="302">
        <f t="shared" ref="M72:M86" si="20">IF(K72&gt;2,2,K72)</f>
        <v>0</v>
      </c>
      <c r="N72" s="302">
        <f t="shared" ref="N72:N86" si="21">IF(K72&gt;2,K72-2,0)</f>
        <v>0</v>
      </c>
      <c r="O72" s="388"/>
    </row>
    <row r="73" spans="1:26">
      <c r="A73">
        <v>9854</v>
      </c>
      <c r="B73" t="s">
        <v>94</v>
      </c>
      <c r="C73" t="s">
        <v>94</v>
      </c>
      <c r="D73" s="143" t="s">
        <v>7</v>
      </c>
      <c r="E73" s="144">
        <v>43215.767523148148</v>
      </c>
      <c r="F73" s="297">
        <f t="shared" si="14"/>
        <v>43215.767523148148</v>
      </c>
      <c r="G73" s="298" t="str">
        <f t="shared" si="15"/>
        <v>18:25</v>
      </c>
      <c r="H73" s="299" t="str">
        <f t="shared" si="16"/>
        <v>-</v>
      </c>
      <c r="I73" s="300" t="str">
        <f t="shared" si="17"/>
        <v>-</v>
      </c>
      <c r="J73" s="300" t="str">
        <f t="shared" si="18"/>
        <v>-</v>
      </c>
      <c r="K73" s="301">
        <f t="shared" si="19"/>
        <v>1.6166666666666663</v>
      </c>
      <c r="L73" s="301"/>
      <c r="M73" s="302">
        <f t="shared" si="20"/>
        <v>1.6166666666666663</v>
      </c>
      <c r="N73" s="302">
        <f t="shared" si="21"/>
        <v>0</v>
      </c>
      <c r="O73" s="388"/>
    </row>
    <row r="74" spans="1:26">
      <c r="A74">
        <v>9869</v>
      </c>
      <c r="B74" t="s">
        <v>94</v>
      </c>
      <c r="C74" t="s">
        <v>94</v>
      </c>
      <c r="D74" s="143" t="s">
        <v>8</v>
      </c>
      <c r="E74" s="144">
        <v>43215.835150462961</v>
      </c>
      <c r="F74" s="297">
        <f t="shared" si="14"/>
        <v>43215.835150462961</v>
      </c>
      <c r="G74" s="298" t="str">
        <f t="shared" si="15"/>
        <v>20:2</v>
      </c>
      <c r="H74" s="299" t="str">
        <f t="shared" si="16"/>
        <v>-</v>
      </c>
      <c r="I74" s="300" t="str">
        <f t="shared" si="17"/>
        <v>-</v>
      </c>
      <c r="J74" s="300" t="str">
        <f t="shared" si="18"/>
        <v>-</v>
      </c>
      <c r="K74" s="301">
        <f t="shared" si="19"/>
        <v>0</v>
      </c>
      <c r="L74" s="301"/>
      <c r="M74" s="302">
        <f t="shared" si="20"/>
        <v>0</v>
      </c>
      <c r="N74" s="302">
        <f t="shared" si="21"/>
        <v>0</v>
      </c>
      <c r="O74" s="388"/>
    </row>
    <row r="75" spans="1:26">
      <c r="A75">
        <v>9877</v>
      </c>
      <c r="B75" t="s">
        <v>95</v>
      </c>
      <c r="C75" t="s">
        <v>94</v>
      </c>
      <c r="D75" s="143" t="s">
        <v>6</v>
      </c>
      <c r="E75" s="144">
        <v>43216.370405092595</v>
      </c>
      <c r="F75" s="297">
        <f t="shared" si="14"/>
        <v>43216.370405092595</v>
      </c>
      <c r="G75" s="298" t="str">
        <f t="shared" si="15"/>
        <v>8:53</v>
      </c>
      <c r="H75" s="299">
        <f t="shared" si="16"/>
        <v>9.6166666666666689</v>
      </c>
      <c r="I75" s="300">
        <f t="shared" si="17"/>
        <v>8</v>
      </c>
      <c r="J75" s="300" t="str">
        <f t="shared" si="18"/>
        <v>-</v>
      </c>
      <c r="K75" s="301">
        <f t="shared" si="19"/>
        <v>0</v>
      </c>
      <c r="L75" s="301"/>
      <c r="M75" s="302">
        <f t="shared" si="20"/>
        <v>0</v>
      </c>
      <c r="N75" s="302">
        <f t="shared" si="21"/>
        <v>0</v>
      </c>
      <c r="O75" s="388"/>
    </row>
    <row r="76" spans="1:26">
      <c r="A76">
        <v>9890</v>
      </c>
      <c r="B76" t="s">
        <v>94</v>
      </c>
      <c r="C76" t="s">
        <v>94</v>
      </c>
      <c r="D76" s="143" t="s">
        <v>5</v>
      </c>
      <c r="E76" s="144">
        <v>43216.771099537036</v>
      </c>
      <c r="F76" s="297">
        <f t="shared" si="14"/>
        <v>43216.771099537036</v>
      </c>
      <c r="G76" s="298" t="str">
        <f t="shared" si="15"/>
        <v>18:30</v>
      </c>
      <c r="H76" s="299" t="str">
        <f t="shared" si="16"/>
        <v>-</v>
      </c>
      <c r="I76" s="300" t="str">
        <f t="shared" si="17"/>
        <v>-</v>
      </c>
      <c r="J76" s="300" t="str">
        <f t="shared" si="18"/>
        <v>-</v>
      </c>
      <c r="K76" s="301">
        <f t="shared" si="19"/>
        <v>0</v>
      </c>
      <c r="L76" s="301"/>
      <c r="M76" s="302">
        <f t="shared" si="20"/>
        <v>0</v>
      </c>
      <c r="N76" s="302">
        <f t="shared" si="21"/>
        <v>0</v>
      </c>
      <c r="O76" s="388"/>
    </row>
    <row r="77" spans="1:26">
      <c r="A77">
        <v>9891</v>
      </c>
      <c r="B77" t="s">
        <v>94</v>
      </c>
      <c r="C77" t="s">
        <v>94</v>
      </c>
      <c r="D77" s="143" t="s">
        <v>7</v>
      </c>
      <c r="E77" s="144">
        <v>43216.771134259259</v>
      </c>
      <c r="F77" s="297">
        <f t="shared" si="14"/>
        <v>43216.771134259259</v>
      </c>
      <c r="G77" s="298" t="str">
        <f t="shared" si="15"/>
        <v>18:30</v>
      </c>
      <c r="H77" s="299" t="str">
        <f t="shared" si="16"/>
        <v>-</v>
      </c>
      <c r="I77" s="300" t="str">
        <f t="shared" si="17"/>
        <v>-</v>
      </c>
      <c r="J77" s="300" t="str">
        <f t="shared" si="18"/>
        <v>-</v>
      </c>
      <c r="K77" s="301">
        <f t="shared" si="19"/>
        <v>0.18333333333333268</v>
      </c>
      <c r="L77" s="301"/>
      <c r="M77" s="302">
        <f t="shared" si="20"/>
        <v>0.18333333333333268</v>
      </c>
      <c r="N77" s="302">
        <f t="shared" si="21"/>
        <v>0</v>
      </c>
      <c r="O77" s="388"/>
    </row>
    <row r="78" spans="1:26">
      <c r="A78">
        <v>9900</v>
      </c>
      <c r="B78" t="s">
        <v>94</v>
      </c>
      <c r="C78" t="s">
        <v>94</v>
      </c>
      <c r="D78" s="143" t="s">
        <v>8</v>
      </c>
      <c r="E78" s="144">
        <v>43216.779097222221</v>
      </c>
      <c r="F78" s="297">
        <f t="shared" si="14"/>
        <v>43216.779097222221</v>
      </c>
      <c r="G78" s="298" t="str">
        <f t="shared" si="15"/>
        <v>18:41</v>
      </c>
      <c r="H78" s="299" t="str">
        <f t="shared" si="16"/>
        <v>-</v>
      </c>
      <c r="I78" s="300" t="str">
        <f t="shared" si="17"/>
        <v>-</v>
      </c>
      <c r="J78" s="300" t="str">
        <f t="shared" si="18"/>
        <v>-</v>
      </c>
      <c r="K78" s="301">
        <f t="shared" si="19"/>
        <v>0</v>
      </c>
      <c r="L78" s="301"/>
      <c r="M78" s="302">
        <f t="shared" si="20"/>
        <v>0</v>
      </c>
      <c r="N78" s="302">
        <f t="shared" si="21"/>
        <v>0</v>
      </c>
      <c r="O78" s="388"/>
    </row>
    <row r="79" spans="1:26">
      <c r="A79">
        <v>9918</v>
      </c>
      <c r="B79" t="s">
        <v>95</v>
      </c>
      <c r="C79" t="s">
        <v>94</v>
      </c>
      <c r="D79" s="143" t="s">
        <v>6</v>
      </c>
      <c r="E79" s="144">
        <v>43217.372812499998</v>
      </c>
      <c r="F79" s="297">
        <f t="shared" si="14"/>
        <v>43217.372812499998</v>
      </c>
      <c r="G79" s="298" t="str">
        <f t="shared" si="15"/>
        <v>8:56</v>
      </c>
      <c r="H79" s="299">
        <f t="shared" si="16"/>
        <v>9.6000000000000014</v>
      </c>
      <c r="I79" s="300">
        <f t="shared" si="17"/>
        <v>8</v>
      </c>
      <c r="J79" s="300" t="str">
        <f t="shared" si="18"/>
        <v>-</v>
      </c>
      <c r="K79" s="301">
        <f t="shared" si="19"/>
        <v>0</v>
      </c>
      <c r="L79" s="301"/>
      <c r="M79" s="302">
        <f t="shared" si="20"/>
        <v>0</v>
      </c>
      <c r="N79" s="302">
        <f t="shared" si="21"/>
        <v>0</v>
      </c>
      <c r="O79" s="388"/>
    </row>
    <row r="80" spans="1:26">
      <c r="A80">
        <v>9936</v>
      </c>
      <c r="B80" t="s">
        <v>94</v>
      </c>
      <c r="C80" t="s">
        <v>94</v>
      </c>
      <c r="D80" s="143" t="s">
        <v>5</v>
      </c>
      <c r="E80" s="144">
        <v>43217.772418981483</v>
      </c>
      <c r="F80" s="297">
        <f t="shared" si="14"/>
        <v>43217.772418981483</v>
      </c>
      <c r="G80" s="298" t="str">
        <f t="shared" si="15"/>
        <v>18:32</v>
      </c>
      <c r="H80" s="299" t="str">
        <f t="shared" si="16"/>
        <v>-</v>
      </c>
      <c r="I80" s="300" t="str">
        <f t="shared" si="17"/>
        <v>-</v>
      </c>
      <c r="J80" s="300" t="str">
        <f t="shared" si="18"/>
        <v>-</v>
      </c>
      <c r="K80" s="301">
        <f t="shared" si="19"/>
        <v>0</v>
      </c>
      <c r="L80" s="301"/>
      <c r="M80" s="302">
        <f t="shared" si="20"/>
        <v>0</v>
      </c>
      <c r="N80" s="302">
        <f t="shared" si="21"/>
        <v>0</v>
      </c>
      <c r="O80" s="388"/>
    </row>
    <row r="81" spans="1:25">
      <c r="A81">
        <v>9937</v>
      </c>
      <c r="B81" t="s">
        <v>94</v>
      </c>
      <c r="C81" t="s">
        <v>94</v>
      </c>
      <c r="D81" s="143" t="s">
        <v>7</v>
      </c>
      <c r="E81" s="144">
        <v>43217.772476851853</v>
      </c>
      <c r="F81" s="297">
        <f t="shared" si="14"/>
        <v>43217.772476851853</v>
      </c>
      <c r="G81" s="298" t="str">
        <f t="shared" si="15"/>
        <v>18:32</v>
      </c>
      <c r="H81" s="299" t="str">
        <f t="shared" si="16"/>
        <v>-</v>
      </c>
      <c r="I81" s="300" t="str">
        <f t="shared" si="17"/>
        <v>-</v>
      </c>
      <c r="J81" s="300" t="str">
        <f t="shared" si="18"/>
        <v>-</v>
      </c>
      <c r="K81" s="301">
        <f t="shared" si="19"/>
        <v>1.9166666666666652</v>
      </c>
      <c r="L81" s="301"/>
      <c r="M81" s="302">
        <f t="shared" si="20"/>
        <v>1.9166666666666652</v>
      </c>
      <c r="N81" s="302">
        <f t="shared" si="21"/>
        <v>0</v>
      </c>
      <c r="O81" s="388"/>
    </row>
    <row r="82" spans="1:25">
      <c r="A82">
        <v>9942</v>
      </c>
      <c r="B82" t="s">
        <v>94</v>
      </c>
      <c r="C82" t="s">
        <v>94</v>
      </c>
      <c r="D82" s="143" t="s">
        <v>8</v>
      </c>
      <c r="E82" s="144">
        <v>43217.852187500001</v>
      </c>
      <c r="F82" s="297">
        <f t="shared" si="14"/>
        <v>43217.852187500001</v>
      </c>
      <c r="G82" s="298" t="str">
        <f t="shared" si="15"/>
        <v>20:27</v>
      </c>
      <c r="H82" s="299" t="str">
        <f t="shared" si="16"/>
        <v>-</v>
      </c>
      <c r="I82" s="300" t="str">
        <f t="shared" si="17"/>
        <v>-</v>
      </c>
      <c r="J82" s="300" t="str">
        <f t="shared" si="18"/>
        <v>-</v>
      </c>
      <c r="K82" s="301">
        <f t="shared" si="19"/>
        <v>0</v>
      </c>
      <c r="L82" s="301"/>
      <c r="M82" s="302">
        <f t="shared" si="20"/>
        <v>0</v>
      </c>
      <c r="N82" s="302">
        <f t="shared" si="21"/>
        <v>0</v>
      </c>
      <c r="O82" s="388"/>
      <c r="P82" s="261"/>
      <c r="Q82" s="261"/>
      <c r="R82" s="261"/>
      <c r="S82" s="261"/>
      <c r="T82" s="261"/>
      <c r="U82" s="261"/>
      <c r="V82" s="261"/>
      <c r="W82" s="261"/>
      <c r="X82" s="261"/>
      <c r="Y82" s="261"/>
    </row>
    <row r="83" spans="1:25" s="16" customFormat="1">
      <c r="A83" s="16">
        <v>9966</v>
      </c>
      <c r="B83" s="16" t="s">
        <v>94</v>
      </c>
      <c r="C83" s="16" t="s">
        <v>94</v>
      </c>
      <c r="D83" s="138" t="s">
        <v>6</v>
      </c>
      <c r="E83" s="146">
        <v>43220.569212962961</v>
      </c>
      <c r="F83" s="31">
        <f t="shared" si="14"/>
        <v>43220.569212962961</v>
      </c>
      <c r="G83" s="32" t="str">
        <f t="shared" si="15"/>
        <v>13:39</v>
      </c>
      <c r="H83" s="33">
        <f t="shared" si="16"/>
        <v>4.7999999999999989</v>
      </c>
      <c r="I83" s="58">
        <v>4.5</v>
      </c>
      <c r="J83" s="58">
        <f t="shared" si="18"/>
        <v>3.5</v>
      </c>
      <c r="K83" s="34">
        <f t="shared" si="19"/>
        <v>0</v>
      </c>
      <c r="L83" s="34"/>
      <c r="M83" s="35">
        <f t="shared" si="20"/>
        <v>0</v>
      </c>
      <c r="N83" s="35">
        <f t="shared" si="21"/>
        <v>0</v>
      </c>
      <c r="O83" s="36" t="s">
        <v>111</v>
      </c>
    </row>
    <row r="84" spans="1:25">
      <c r="A84">
        <v>9973</v>
      </c>
      <c r="B84" t="s">
        <v>94</v>
      </c>
      <c r="C84" t="s">
        <v>94</v>
      </c>
      <c r="D84" s="143" t="s">
        <v>5</v>
      </c>
      <c r="E84" s="144">
        <v>43220.769016203703</v>
      </c>
      <c r="F84" s="297">
        <f t="shared" si="14"/>
        <v>43220.769016203703</v>
      </c>
      <c r="G84" s="298" t="str">
        <f t="shared" si="15"/>
        <v>18:27</v>
      </c>
      <c r="H84" s="299" t="str">
        <f t="shared" si="16"/>
        <v>-</v>
      </c>
      <c r="I84" s="300" t="str">
        <f t="shared" si="17"/>
        <v>-</v>
      </c>
      <c r="J84" s="300" t="str">
        <f t="shared" si="18"/>
        <v>-</v>
      </c>
      <c r="K84" s="301">
        <f t="shared" si="19"/>
        <v>0</v>
      </c>
      <c r="L84" s="301"/>
      <c r="M84" s="302">
        <f t="shared" si="20"/>
        <v>0</v>
      </c>
      <c r="N84" s="302">
        <f t="shared" si="21"/>
        <v>0</v>
      </c>
      <c r="O84" s="388"/>
      <c r="P84" s="261"/>
      <c r="Q84" s="261"/>
      <c r="R84" s="261"/>
      <c r="S84" s="261"/>
      <c r="T84" s="261"/>
      <c r="U84" s="261"/>
      <c r="V84" s="261"/>
      <c r="W84" s="261"/>
      <c r="X84" s="261"/>
      <c r="Y84" s="261"/>
    </row>
    <row r="85" spans="1:25">
      <c r="A85">
        <v>9974</v>
      </c>
      <c r="B85" t="s">
        <v>94</v>
      </c>
      <c r="C85" t="s">
        <v>94</v>
      </c>
      <c r="D85" s="143" t="s">
        <v>7</v>
      </c>
      <c r="E85" s="144">
        <v>43220.769050925926</v>
      </c>
      <c r="F85" s="297">
        <f t="shared" si="14"/>
        <v>43220.769050925926</v>
      </c>
      <c r="G85" s="298" t="str">
        <f t="shared" si="15"/>
        <v>18:27</v>
      </c>
      <c r="H85" s="299" t="str">
        <f t="shared" si="16"/>
        <v>-</v>
      </c>
      <c r="I85" s="300" t="str">
        <f t="shared" si="17"/>
        <v>-</v>
      </c>
      <c r="J85" s="300" t="str">
        <f t="shared" si="18"/>
        <v>-</v>
      </c>
      <c r="K85" s="301">
        <f t="shared" si="19"/>
        <v>2.2000000000000002</v>
      </c>
      <c r="L85" s="301"/>
      <c r="M85" s="302">
        <f t="shared" si="20"/>
        <v>2</v>
      </c>
      <c r="N85" s="302">
        <f t="shared" si="21"/>
        <v>0.20000000000000018</v>
      </c>
      <c r="O85" s="388"/>
      <c r="P85" s="261"/>
      <c r="Q85" s="261"/>
      <c r="R85" s="261"/>
      <c r="S85" s="261"/>
      <c r="T85" s="261"/>
      <c r="U85" s="261"/>
      <c r="V85" s="261"/>
      <c r="W85" s="261"/>
      <c r="X85" s="261"/>
      <c r="Y85" s="261"/>
    </row>
    <row r="86" spans="1:25">
      <c r="A86">
        <v>9994</v>
      </c>
      <c r="B86" t="s">
        <v>94</v>
      </c>
      <c r="C86" t="s">
        <v>94</v>
      </c>
      <c r="D86" s="143" t="s">
        <v>8</v>
      </c>
      <c r="E86" s="144">
        <v>43220.860752314817</v>
      </c>
      <c r="F86" s="297">
        <f t="shared" si="14"/>
        <v>43220.860752314817</v>
      </c>
      <c r="G86" s="298" t="str">
        <f t="shared" si="15"/>
        <v>20:39</v>
      </c>
      <c r="H86" s="299" t="str">
        <f>IF(D86="上班",(#REF!-G86)*24,"-")</f>
        <v>-</v>
      </c>
      <c r="I86" s="300" t="str">
        <f t="shared" si="17"/>
        <v>-</v>
      </c>
      <c r="J86" s="300" t="str">
        <f t="shared" si="18"/>
        <v>-</v>
      </c>
      <c r="K86" s="301">
        <f>IF(D86="加班",(#REF!-G86)*24,0)</f>
        <v>0</v>
      </c>
      <c r="L86" s="301"/>
      <c r="M86" s="302">
        <f t="shared" si="20"/>
        <v>0</v>
      </c>
      <c r="N86" s="302">
        <f t="shared" si="21"/>
        <v>0</v>
      </c>
      <c r="O86" s="388"/>
      <c r="P86" s="261"/>
      <c r="Q86" s="261"/>
      <c r="R86" s="261"/>
      <c r="S86" s="261"/>
      <c r="T86" s="261"/>
      <c r="U86" s="261"/>
      <c r="V86" s="261"/>
      <c r="W86" s="261"/>
      <c r="X86" s="261"/>
      <c r="Y86" s="261"/>
    </row>
    <row r="89" spans="1:25">
      <c r="D89" s="9" t="s">
        <v>36</v>
      </c>
      <c r="P89" s="261"/>
      <c r="Q89" s="261"/>
      <c r="R89" s="261"/>
      <c r="S89" s="261"/>
      <c r="T89" s="261"/>
      <c r="U89" s="261"/>
      <c r="V89" s="261"/>
      <c r="W89" s="261"/>
      <c r="X89" s="261"/>
      <c r="Y89" s="261"/>
    </row>
    <row r="90" spans="1:25">
      <c r="D90" s="9" t="s">
        <v>35</v>
      </c>
      <c r="P90" s="261"/>
      <c r="Q90" s="261"/>
      <c r="R90" s="261"/>
      <c r="S90" s="261"/>
      <c r="T90" s="261"/>
      <c r="U90" s="261"/>
      <c r="V90" s="261"/>
      <c r="W90" s="261"/>
      <c r="X90" s="261"/>
      <c r="Y90" s="261"/>
    </row>
    <row r="91" spans="1:25">
      <c r="D91" s="172" t="s">
        <v>63</v>
      </c>
    </row>
    <row r="92" spans="1:25">
      <c r="D92" t="s">
        <v>66</v>
      </c>
    </row>
    <row r="93" spans="1:25">
      <c r="D93" t="s">
        <v>64</v>
      </c>
    </row>
    <row r="94" spans="1:25">
      <c r="D94" t="s">
        <v>68</v>
      </c>
    </row>
    <row r="95" spans="1:25">
      <c r="D95" t="s">
        <v>69</v>
      </c>
    </row>
    <row r="96" spans="1:25">
      <c r="D96" t="s">
        <v>65</v>
      </c>
    </row>
    <row r="97" spans="4:4">
      <c r="D97" t="s">
        <v>67</v>
      </c>
    </row>
  </sheetData>
  <phoneticPr fontId="18" type="noConversion"/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工作表24"/>
  <dimension ref="A1:U26"/>
  <sheetViews>
    <sheetView topLeftCell="D1" workbookViewId="0">
      <selection activeCell="J24" sqref="J24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25" style="3" customWidth="1" collapsed="1"/>
    <col min="5" max="5" width="15.75" style="3" customWidth="1"/>
    <col min="6" max="6" width="5.75" style="16" customWidth="1"/>
    <col min="7" max="7" width="8.625" style="17" hidden="1" customWidth="1" outlineLevel="1"/>
    <col min="8" max="8" width="11.125" style="51" hidden="1" customWidth="1" outlineLevel="1"/>
    <col min="9" max="9" width="12" style="21" customWidth="1" collapsed="1"/>
    <col min="10" max="10" width="15.375" style="21" customWidth="1"/>
    <col min="11" max="11" width="11.125" style="22" hidden="1" customWidth="1" outlineLevel="1"/>
    <col min="12" max="12" width="14.25" style="22" customWidth="1" collapsed="1"/>
    <col min="13" max="13" width="15.75" style="28" customWidth="1"/>
    <col min="14" max="14" width="9" style="9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B7</f>
        <v>albert</v>
      </c>
      <c r="J1" s="46" t="s">
        <v>29</v>
      </c>
      <c r="K1" s="14"/>
      <c r="L1" s="14"/>
      <c r="M1" s="27"/>
      <c r="N1" s="19"/>
    </row>
    <row r="2" spans="1:14">
      <c r="D2" s="23"/>
      <c r="E2" s="29"/>
      <c r="F2" s="79" t="s">
        <v>28</v>
      </c>
      <c r="G2" s="80"/>
      <c r="H2" s="80"/>
      <c r="I2" s="81" t="s">
        <v>24</v>
      </c>
      <c r="J2" s="81"/>
      <c r="K2" s="82"/>
      <c r="L2" s="83"/>
      <c r="M2" s="85" t="s">
        <v>27</v>
      </c>
    </row>
    <row r="3" spans="1:14" ht="17.25" thickBot="1">
      <c r="D3" s="24"/>
      <c r="E3" s="30"/>
      <c r="F3" s="25"/>
      <c r="G3" s="26"/>
      <c r="H3" s="26"/>
      <c r="I3" s="52">
        <f>I6+J6</f>
        <v>72.066666666666663</v>
      </c>
      <c r="J3" s="54"/>
      <c r="K3" s="53"/>
      <c r="L3" s="53"/>
      <c r="M3" s="50"/>
    </row>
    <row r="4" spans="1:14">
      <c r="D4" s="37"/>
      <c r="E4" s="38"/>
      <c r="F4" s="96"/>
      <c r="G4" s="70"/>
      <c r="H4" s="70"/>
      <c r="I4" s="114" t="s">
        <v>20</v>
      </c>
      <c r="J4" s="114" t="s">
        <v>101</v>
      </c>
      <c r="K4" s="114" t="s">
        <v>97</v>
      </c>
      <c r="L4" s="114" t="s">
        <v>98</v>
      </c>
      <c r="M4" s="98"/>
    </row>
    <row r="5" spans="1:14">
      <c r="D5" s="40"/>
      <c r="E5" s="7"/>
      <c r="F5" s="99" t="s">
        <v>26</v>
      </c>
      <c r="G5" s="72"/>
      <c r="H5" s="72"/>
      <c r="I5" s="118" t="s">
        <v>81</v>
      </c>
      <c r="J5" s="118" t="s">
        <v>99</v>
      </c>
      <c r="K5" s="118" t="s">
        <v>100</v>
      </c>
      <c r="L5" s="118" t="s">
        <v>102</v>
      </c>
      <c r="M5" s="102"/>
    </row>
    <row r="6" spans="1:14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22</v>
      </c>
      <c r="I6" s="124">
        <f>SUM(I7:I90)</f>
        <v>70.11666666666666</v>
      </c>
      <c r="J6" s="124">
        <f>SUM(J7:J90)</f>
        <v>1.9499999999999993</v>
      </c>
      <c r="K6" s="124">
        <f>SUM(K9:K22)</f>
        <v>0</v>
      </c>
      <c r="L6" s="124">
        <f>SUM(L9:L22)</f>
        <v>0</v>
      </c>
      <c r="M6" s="103"/>
    </row>
    <row r="7" spans="1:14" s="16" customFormat="1">
      <c r="A7" s="140">
        <v>9355</v>
      </c>
      <c r="B7" s="140" t="s">
        <v>42</v>
      </c>
      <c r="C7" s="140" t="s">
        <v>42</v>
      </c>
      <c r="D7" s="143" t="s">
        <v>6</v>
      </c>
      <c r="E7" s="144">
        <v>43193.412835648145</v>
      </c>
      <c r="F7" s="104">
        <f t="shared" ref="F7" si="0">E7</f>
        <v>43193.412835648145</v>
      </c>
      <c r="G7" s="125" t="str">
        <f t="shared" ref="G7" si="1">HOUR(E7)&amp;":"&amp;MINUTE(E7)</f>
        <v>9:54</v>
      </c>
      <c r="H7" s="126">
        <f t="shared" ref="H7" si="2">IF(D7="上班",(G8-G7)*24,"-")</f>
        <v>9.1166666666666654</v>
      </c>
      <c r="I7" s="92">
        <f>IF(D7="上班",IF(H7-1.5&gt;8,8,H7-1.5),"-")</f>
        <v>7.6166666666666654</v>
      </c>
      <c r="J7" s="92" t="str">
        <f>IF(D7="上班",IF(H7&gt;(8+2),(H7-8-1.5-0.5),"-"),"-")</f>
        <v>-</v>
      </c>
      <c r="K7" s="93">
        <f t="shared" ref="K7" si="3">IF(D7="加班",(G8-G7)*24,0)</f>
        <v>0</v>
      </c>
      <c r="L7" s="93"/>
      <c r="M7" s="164"/>
      <c r="N7" s="137"/>
    </row>
    <row r="8" spans="1:14" s="16" customFormat="1">
      <c r="A8" s="140">
        <v>9371</v>
      </c>
      <c r="B8" s="140" t="s">
        <v>42</v>
      </c>
      <c r="C8" s="140" t="s">
        <v>42</v>
      </c>
      <c r="D8" s="143" t="s">
        <v>5</v>
      </c>
      <c r="E8" s="144">
        <v>43193.792546296296</v>
      </c>
      <c r="F8" s="104">
        <f t="shared" ref="F8:F26" si="4">E8</f>
        <v>43193.792546296296</v>
      </c>
      <c r="G8" s="125" t="str">
        <f t="shared" ref="G8:G26" si="5">HOUR(E8)&amp;":"&amp;MINUTE(E8)</f>
        <v>19:1</v>
      </c>
      <c r="H8" s="126" t="str">
        <f t="shared" ref="H8:H26" si="6">IF(D8="上班",(G9-G8)*24,"-")</f>
        <v>-</v>
      </c>
      <c r="I8" s="92" t="str">
        <f t="shared" ref="I8:I26" si="7">IF(D8="上班",IF(H8-1.5&gt;8,8,H8-1.5),"-")</f>
        <v>-</v>
      </c>
      <c r="J8" s="92" t="str">
        <f t="shared" ref="J8:J26" si="8">IF(D8="上班",IF(H8&gt;(8+2),(H8-8-1.5-0.5),"-"),"-")</f>
        <v>-</v>
      </c>
      <c r="K8" s="93">
        <f t="shared" ref="K8:K26" si="9">IF(D8="加班",(G9-G8)*24,0)</f>
        <v>0</v>
      </c>
      <c r="L8" s="93"/>
      <c r="M8" s="164"/>
      <c r="N8" s="137"/>
    </row>
    <row r="9" spans="1:14" s="16" customFormat="1">
      <c r="A9" s="140">
        <v>9479</v>
      </c>
      <c r="B9" s="140" t="s">
        <v>42</v>
      </c>
      <c r="C9" s="140" t="s">
        <v>42</v>
      </c>
      <c r="D9" s="143" t="s">
        <v>6</v>
      </c>
      <c r="E9" s="144">
        <v>43200.4215625</v>
      </c>
      <c r="F9" s="104">
        <f t="shared" si="4"/>
        <v>43200.4215625</v>
      </c>
      <c r="G9" s="125" t="str">
        <f t="shared" si="5"/>
        <v>10:7</v>
      </c>
      <c r="H9" s="126">
        <f t="shared" si="6"/>
        <v>9.4333333333333336</v>
      </c>
      <c r="I9" s="92">
        <f t="shared" si="7"/>
        <v>7.9333333333333336</v>
      </c>
      <c r="J9" s="92" t="str">
        <f t="shared" si="8"/>
        <v>-</v>
      </c>
      <c r="K9" s="93">
        <f t="shared" si="9"/>
        <v>0</v>
      </c>
      <c r="L9" s="93"/>
      <c r="M9" s="164"/>
      <c r="N9" s="137"/>
    </row>
    <row r="10" spans="1:14" s="63" customFormat="1">
      <c r="A10" s="140">
        <v>9494</v>
      </c>
      <c r="B10" s="140" t="s">
        <v>42</v>
      </c>
      <c r="C10" s="140" t="s">
        <v>42</v>
      </c>
      <c r="D10" s="143" t="s">
        <v>5</v>
      </c>
      <c r="E10" s="144">
        <v>43200.814814814818</v>
      </c>
      <c r="F10" s="104">
        <f t="shared" si="4"/>
        <v>43200.814814814818</v>
      </c>
      <c r="G10" s="125" t="str">
        <f t="shared" si="5"/>
        <v>19:33</v>
      </c>
      <c r="H10" s="126" t="str">
        <f t="shared" si="6"/>
        <v>-</v>
      </c>
      <c r="I10" s="92" t="str">
        <f t="shared" si="7"/>
        <v>-</v>
      </c>
      <c r="J10" s="92" t="str">
        <f t="shared" si="8"/>
        <v>-</v>
      </c>
      <c r="K10" s="93">
        <f t="shared" si="9"/>
        <v>0</v>
      </c>
      <c r="L10" s="93"/>
      <c r="M10" s="164"/>
      <c r="N10" s="18"/>
    </row>
    <row r="11" spans="1:14" s="16" customFormat="1">
      <c r="A11" s="145">
        <v>9479</v>
      </c>
      <c r="B11" s="145" t="s">
        <v>42</v>
      </c>
      <c r="C11" s="145" t="s">
        <v>42</v>
      </c>
      <c r="D11" s="403" t="s">
        <v>6</v>
      </c>
      <c r="E11" s="146">
        <v>43201.416701388887</v>
      </c>
      <c r="F11" s="104">
        <f t="shared" si="4"/>
        <v>43201.416701388887</v>
      </c>
      <c r="G11" s="125" t="str">
        <f t="shared" si="5"/>
        <v>10:0</v>
      </c>
      <c r="H11" s="126">
        <f t="shared" si="6"/>
        <v>8.0166666666666657</v>
      </c>
      <c r="I11" s="92">
        <f t="shared" si="7"/>
        <v>6.5166666666666657</v>
      </c>
      <c r="J11" s="92" t="str">
        <f t="shared" si="8"/>
        <v>-</v>
      </c>
      <c r="K11" s="93">
        <f t="shared" si="9"/>
        <v>0</v>
      </c>
      <c r="L11" s="93"/>
      <c r="M11" s="164"/>
      <c r="N11" s="137"/>
    </row>
    <row r="12" spans="1:14" s="16" customFormat="1">
      <c r="A12" s="140">
        <v>9519</v>
      </c>
      <c r="B12" s="140" t="s">
        <v>42</v>
      </c>
      <c r="C12" s="140" t="s">
        <v>42</v>
      </c>
      <c r="D12" s="143" t="s">
        <v>5</v>
      </c>
      <c r="E12" s="144">
        <v>43201.751087962963</v>
      </c>
      <c r="F12" s="104">
        <f t="shared" si="4"/>
        <v>43201.751087962963</v>
      </c>
      <c r="G12" s="125" t="str">
        <f t="shared" si="5"/>
        <v>18:1</v>
      </c>
      <c r="H12" s="126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164"/>
      <c r="N12" s="137"/>
    </row>
    <row r="13" spans="1:14">
      <c r="A13">
        <v>9543</v>
      </c>
      <c r="B13" t="s">
        <v>42</v>
      </c>
      <c r="C13" t="s">
        <v>42</v>
      </c>
      <c r="D13" s="143" t="s">
        <v>6</v>
      </c>
      <c r="E13" s="144">
        <v>43202.391099537039</v>
      </c>
      <c r="F13" s="104">
        <f t="shared" si="4"/>
        <v>43202.391099537039</v>
      </c>
      <c r="G13" s="125" t="str">
        <f t="shared" si="5"/>
        <v>9:23</v>
      </c>
      <c r="H13" s="126">
        <f t="shared" si="6"/>
        <v>10.916666666666666</v>
      </c>
      <c r="I13" s="92">
        <f t="shared" si="7"/>
        <v>8</v>
      </c>
      <c r="J13" s="92">
        <f t="shared" si="8"/>
        <v>0.91666666666666607</v>
      </c>
      <c r="K13" s="93">
        <f t="shared" si="9"/>
        <v>0</v>
      </c>
      <c r="L13" s="93"/>
      <c r="M13" s="164"/>
    </row>
    <row r="14" spans="1:14">
      <c r="A14">
        <v>9562</v>
      </c>
      <c r="B14" t="s">
        <v>42</v>
      </c>
      <c r="C14" t="s">
        <v>42</v>
      </c>
      <c r="D14" s="143" t="s">
        <v>5</v>
      </c>
      <c r="E14" s="144">
        <v>43202.846388888887</v>
      </c>
      <c r="F14" s="104">
        <f t="shared" si="4"/>
        <v>43202.846388888887</v>
      </c>
      <c r="G14" s="125" t="str">
        <f t="shared" si="5"/>
        <v>20:18</v>
      </c>
      <c r="H14" s="126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164"/>
    </row>
    <row r="15" spans="1:14">
      <c r="A15">
        <v>9651</v>
      </c>
      <c r="B15" t="s">
        <v>42</v>
      </c>
      <c r="C15" t="s">
        <v>42</v>
      </c>
      <c r="D15" s="143" t="s">
        <v>6</v>
      </c>
      <c r="E15" s="144">
        <v>43207.400138888886</v>
      </c>
      <c r="F15" s="104">
        <f t="shared" si="4"/>
        <v>43207.400138888886</v>
      </c>
      <c r="G15" s="125" t="str">
        <f t="shared" si="5"/>
        <v>9:36</v>
      </c>
      <c r="H15" s="126">
        <f t="shared" si="6"/>
        <v>3.2333333333333338</v>
      </c>
      <c r="I15" s="92">
        <f>IF(D15="上班",IF(H15-1.5&gt;8,8,H15-1.5),"-")+1.5</f>
        <v>3.2333333333333338</v>
      </c>
      <c r="J15" s="92" t="str">
        <f t="shared" si="8"/>
        <v>-</v>
      </c>
      <c r="K15" s="93">
        <f t="shared" si="9"/>
        <v>0</v>
      </c>
      <c r="L15" s="93"/>
      <c r="M15" s="164"/>
    </row>
    <row r="16" spans="1:14">
      <c r="A16">
        <v>9653</v>
      </c>
      <c r="B16" t="s">
        <v>42</v>
      </c>
      <c r="C16" t="s">
        <v>42</v>
      </c>
      <c r="D16" s="143" t="s">
        <v>5</v>
      </c>
      <c r="E16" s="144">
        <v>43207.535219907404</v>
      </c>
      <c r="F16" s="104">
        <f t="shared" si="4"/>
        <v>43207.535219907404</v>
      </c>
      <c r="G16" s="125" t="str">
        <f t="shared" si="5"/>
        <v>12:50</v>
      </c>
      <c r="H16" s="126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164"/>
    </row>
    <row r="17" spans="1:21" s="63" customFormat="1">
      <c r="A17">
        <v>9678</v>
      </c>
      <c r="B17" t="s">
        <v>42</v>
      </c>
      <c r="C17" t="s">
        <v>42</v>
      </c>
      <c r="D17" s="143" t="s">
        <v>6</v>
      </c>
      <c r="E17" s="144">
        <v>43208.565104166664</v>
      </c>
      <c r="F17" s="104">
        <f t="shared" si="4"/>
        <v>43208.565104166664</v>
      </c>
      <c r="G17" s="125" t="str">
        <f t="shared" si="5"/>
        <v>13:33</v>
      </c>
      <c r="H17" s="126">
        <f t="shared" si="6"/>
        <v>4.9166666666666652</v>
      </c>
      <c r="I17" s="92">
        <f>IF(D17="上班",IF(H17-1.5&gt;8,8,H17-1.5),"-")+1.5</f>
        <v>4.9166666666666652</v>
      </c>
      <c r="J17" s="92" t="str">
        <f t="shared" si="8"/>
        <v>-</v>
      </c>
      <c r="K17" s="93">
        <f t="shared" si="9"/>
        <v>0</v>
      </c>
      <c r="L17" s="93"/>
      <c r="M17" s="164"/>
      <c r="N17" s="18"/>
    </row>
    <row r="18" spans="1:21" s="63" customFormat="1">
      <c r="A18">
        <v>9681</v>
      </c>
      <c r="B18" t="s">
        <v>42</v>
      </c>
      <c r="C18" t="s">
        <v>42</v>
      </c>
      <c r="D18" s="143" t="s">
        <v>5</v>
      </c>
      <c r="E18" s="144">
        <v>43208.769479166665</v>
      </c>
      <c r="F18" s="104">
        <f t="shared" si="4"/>
        <v>43208.769479166665</v>
      </c>
      <c r="G18" s="125" t="str">
        <f t="shared" si="5"/>
        <v>18:28</v>
      </c>
      <c r="H18" s="126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164"/>
      <c r="N18" s="18"/>
    </row>
    <row r="19" spans="1:21">
      <c r="A19">
        <v>9708</v>
      </c>
      <c r="B19" t="s">
        <v>42</v>
      </c>
      <c r="C19" t="s">
        <v>42</v>
      </c>
      <c r="D19" s="143" t="s">
        <v>6</v>
      </c>
      <c r="E19" s="144">
        <v>43209.387789351851</v>
      </c>
      <c r="F19" s="104">
        <f t="shared" si="4"/>
        <v>43209.387789351851</v>
      </c>
      <c r="G19" s="125" t="str">
        <f t="shared" si="5"/>
        <v>9:18</v>
      </c>
      <c r="H19" s="126">
        <f t="shared" si="6"/>
        <v>11.033333333333333</v>
      </c>
      <c r="I19" s="92">
        <f t="shared" si="7"/>
        <v>8</v>
      </c>
      <c r="J19" s="92">
        <f t="shared" si="8"/>
        <v>1.0333333333333332</v>
      </c>
      <c r="K19" s="93">
        <f t="shared" si="9"/>
        <v>0</v>
      </c>
      <c r="L19" s="93"/>
      <c r="M19" s="164"/>
    </row>
    <row r="20" spans="1:21">
      <c r="A20">
        <v>9726</v>
      </c>
      <c r="B20" t="s">
        <v>42</v>
      </c>
      <c r="C20" t="s">
        <v>42</v>
      </c>
      <c r="D20" s="143" t="s">
        <v>5</v>
      </c>
      <c r="E20" s="144">
        <v>43209.847280092596</v>
      </c>
      <c r="F20" s="104">
        <f t="shared" si="4"/>
        <v>43209.847280092596</v>
      </c>
      <c r="G20" s="125" t="str">
        <f t="shared" si="5"/>
        <v>20:20</v>
      </c>
      <c r="H20" s="126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164"/>
      <c r="U20" t="s">
        <v>55</v>
      </c>
    </row>
    <row r="21" spans="1:21">
      <c r="A21">
        <v>9811</v>
      </c>
      <c r="B21" t="s">
        <v>42</v>
      </c>
      <c r="C21" t="s">
        <v>42</v>
      </c>
      <c r="D21" s="143" t="s">
        <v>6</v>
      </c>
      <c r="E21" s="144">
        <v>43214.385370370372</v>
      </c>
      <c r="F21" s="104">
        <f t="shared" si="4"/>
        <v>43214.385370370372</v>
      </c>
      <c r="G21" s="125" t="str">
        <f t="shared" si="5"/>
        <v>9:14</v>
      </c>
      <c r="H21" s="126">
        <f t="shared" si="6"/>
        <v>9.6666666666666679</v>
      </c>
      <c r="I21" s="92">
        <f t="shared" si="7"/>
        <v>8</v>
      </c>
      <c r="J21" s="92" t="str">
        <f t="shared" si="8"/>
        <v>-</v>
      </c>
      <c r="K21" s="93">
        <f t="shared" si="9"/>
        <v>0</v>
      </c>
      <c r="L21" s="93"/>
      <c r="M21" s="164"/>
    </row>
    <row r="22" spans="1:21">
      <c r="A22">
        <v>9826</v>
      </c>
      <c r="B22" t="s">
        <v>42</v>
      </c>
      <c r="C22" t="s">
        <v>42</v>
      </c>
      <c r="D22" s="143" t="s">
        <v>5</v>
      </c>
      <c r="E22" s="144">
        <v>43214.787962962961</v>
      </c>
      <c r="F22" s="104">
        <f t="shared" si="4"/>
        <v>43214.787962962961</v>
      </c>
      <c r="G22" s="125" t="str">
        <f t="shared" si="5"/>
        <v>18:54</v>
      </c>
      <c r="H22" s="126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164"/>
    </row>
    <row r="23" spans="1:21">
      <c r="A23">
        <v>9845</v>
      </c>
      <c r="B23" t="s">
        <v>42</v>
      </c>
      <c r="C23" t="s">
        <v>42</v>
      </c>
      <c r="D23" s="143" t="s">
        <v>6</v>
      </c>
      <c r="E23" s="144">
        <v>43215.402719907404</v>
      </c>
      <c r="F23" s="104">
        <f t="shared" si="4"/>
        <v>43215.402719907404</v>
      </c>
      <c r="G23" s="125" t="str">
        <f t="shared" si="5"/>
        <v>9:39</v>
      </c>
      <c r="H23" s="126">
        <f t="shared" si="6"/>
        <v>9.65</v>
      </c>
      <c r="I23" s="92">
        <f t="shared" si="7"/>
        <v>8</v>
      </c>
      <c r="J23" s="92" t="str">
        <f t="shared" si="8"/>
        <v>-</v>
      </c>
      <c r="K23" s="93">
        <f t="shared" si="9"/>
        <v>0</v>
      </c>
      <c r="L23" s="93"/>
      <c r="M23" s="164"/>
    </row>
    <row r="24" spans="1:21">
      <c r="A24">
        <v>9864</v>
      </c>
      <c r="B24" t="s">
        <v>105</v>
      </c>
      <c r="C24" t="s">
        <v>42</v>
      </c>
      <c r="D24" s="143" t="s">
        <v>5</v>
      </c>
      <c r="E24" s="144">
        <v>43215.8044212963</v>
      </c>
      <c r="F24" s="104">
        <f t="shared" si="4"/>
        <v>43215.8044212963</v>
      </c>
      <c r="G24" s="125" t="str">
        <f t="shared" si="5"/>
        <v>19:18</v>
      </c>
      <c r="H24" s="126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164"/>
    </row>
    <row r="25" spans="1:21">
      <c r="A25">
        <v>9881</v>
      </c>
      <c r="B25" t="s">
        <v>42</v>
      </c>
      <c r="C25" t="s">
        <v>42</v>
      </c>
      <c r="D25" s="143" t="s">
        <v>6</v>
      </c>
      <c r="E25" s="144">
        <v>43216.395104166666</v>
      </c>
      <c r="F25" s="104">
        <f t="shared" si="4"/>
        <v>43216.395104166666</v>
      </c>
      <c r="G25" s="125" t="str">
        <f t="shared" si="5"/>
        <v>9:28</v>
      </c>
      <c r="H25" s="126">
        <f t="shared" si="6"/>
        <v>9.4</v>
      </c>
      <c r="I25" s="92">
        <f t="shared" si="7"/>
        <v>7.9</v>
      </c>
      <c r="J25" s="92" t="str">
        <f t="shared" si="8"/>
        <v>-</v>
      </c>
      <c r="K25" s="93">
        <f t="shared" si="9"/>
        <v>0</v>
      </c>
      <c r="L25" s="93"/>
      <c r="M25" s="164"/>
    </row>
    <row r="26" spans="1:21" s="63" customFormat="1">
      <c r="A26">
        <v>9901</v>
      </c>
      <c r="B26" t="s">
        <v>42</v>
      </c>
      <c r="C26" t="s">
        <v>42</v>
      </c>
      <c r="D26" s="143" t="s">
        <v>5</v>
      </c>
      <c r="E26" s="144">
        <v>43216.786423611113</v>
      </c>
      <c r="F26" s="104">
        <f t="shared" si="4"/>
        <v>43216.786423611113</v>
      </c>
      <c r="G26" s="125" t="str">
        <f t="shared" si="5"/>
        <v>18:52</v>
      </c>
      <c r="H26" s="126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164"/>
      <c r="N26" s="18"/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工作表25"/>
  <dimension ref="A1:P11"/>
  <sheetViews>
    <sheetView view="pageBreakPreview" topLeftCell="D1" zoomScaleNormal="100" zoomScaleSheetLayoutView="100" workbookViewId="0">
      <selection activeCell="Q18" sqref="Q18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5" style="3" customWidth="1" collapsed="1"/>
    <col min="5" max="5" width="15.75" style="3" customWidth="1"/>
    <col min="6" max="6" width="5.7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8.375" style="22" hidden="1" customWidth="1" outlineLevel="1"/>
    <col min="12" max="12" width="5.875" style="22" customWidth="1" collapsed="1"/>
    <col min="13" max="13" width="8.25" style="22" customWidth="1"/>
    <col min="14" max="14" width="8.125" style="22" customWidth="1"/>
    <col min="15" max="15" width="18.7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denver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I6+J6+M6+N6</f>
        <v>5.9999999999999982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23</v>
      </c>
      <c r="J5" s="100" t="s">
        <v>41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SUM(I7:I11)</f>
        <v>5.9999999999999982</v>
      </c>
      <c r="J6" s="124">
        <v>0</v>
      </c>
      <c r="K6" s="124">
        <f>SUM(K9:K11)</f>
        <v>0</v>
      </c>
      <c r="L6" s="124">
        <f>SUM(L9:L11)</f>
        <v>0</v>
      </c>
      <c r="M6" s="124">
        <f>SUM(M7:M11)</f>
        <v>0</v>
      </c>
      <c r="N6" s="124">
        <f>SUM(N7:N11)</f>
        <v>0</v>
      </c>
      <c r="O6" s="45"/>
    </row>
    <row r="7" spans="1:16" s="63" customFormat="1">
      <c r="A7" s="145">
        <v>9223</v>
      </c>
      <c r="B7" s="145" t="s">
        <v>96</v>
      </c>
      <c r="C7" s="145" t="s">
        <v>96</v>
      </c>
      <c r="D7" s="403" t="s">
        <v>6</v>
      </c>
      <c r="E7" s="146">
        <v>43174.583807870367</v>
      </c>
      <c r="F7" s="104">
        <f>E7</f>
        <v>43174.583807870367</v>
      </c>
      <c r="G7" s="125" t="str">
        <f>HOUR(E7)&amp;":"&amp;MINUTE(E7)</f>
        <v>14:0</v>
      </c>
      <c r="H7" s="126">
        <f t="shared" ref="H7" si="0">IF(D7="上班",(G8-G7)*24,"-")</f>
        <v>3.4999999999999982</v>
      </c>
      <c r="I7" s="92">
        <f>IF(D7="上班",IF(H7-1.5&gt;8,8,H7-1.5),"-")+1.5</f>
        <v>3.4999999999999982</v>
      </c>
      <c r="J7" s="127"/>
      <c r="K7" s="128">
        <f t="shared" ref="K7" si="1">IF(D7="加班",(G8-G7)*24,0)</f>
        <v>0</v>
      </c>
      <c r="L7" s="128"/>
      <c r="M7" s="129">
        <f t="shared" ref="M7" si="2">IF(K7&gt;2,2,K7)</f>
        <v>0</v>
      </c>
      <c r="N7" s="129">
        <f t="shared" ref="N7" si="3">IF(K7&gt;2,K7-2,0)</f>
        <v>0</v>
      </c>
      <c r="O7" s="164"/>
      <c r="P7" s="18"/>
    </row>
    <row r="8" spans="1:16" s="63" customFormat="1">
      <c r="A8" s="145">
        <v>9223</v>
      </c>
      <c r="B8" s="145" t="s">
        <v>96</v>
      </c>
      <c r="C8" s="145" t="s">
        <v>96</v>
      </c>
      <c r="D8" s="403" t="s">
        <v>5</v>
      </c>
      <c r="E8" s="146">
        <v>43174.729548611111</v>
      </c>
      <c r="F8" s="104">
        <f t="shared" ref="F8:F10" si="4">E8</f>
        <v>43174.729548611111</v>
      </c>
      <c r="G8" s="125" t="str">
        <f t="shared" ref="G8:G10" si="5">HOUR(E8)&amp;":"&amp;MINUTE(E8)</f>
        <v>17:30</v>
      </c>
      <c r="H8" s="126" t="str">
        <f t="shared" ref="H8:H10" si="6">IF(D8="上班",(G9-G8)*24,"-")</f>
        <v>-</v>
      </c>
      <c r="I8" s="92" t="str">
        <f>IF(D8="上班",IF(H8-1.5&gt;8,8,H8-1.5),"-")</f>
        <v>-</v>
      </c>
      <c r="J8" s="127"/>
      <c r="K8" s="128">
        <f t="shared" ref="K8:K10" si="7">IF(D8="加班",(G9-G8)*24,0)</f>
        <v>0</v>
      </c>
      <c r="L8" s="128"/>
      <c r="M8" s="129">
        <f t="shared" ref="M8:M10" si="8">IF(K8&gt;2,2,K8)</f>
        <v>0</v>
      </c>
      <c r="N8" s="129">
        <f t="shared" ref="N8:N10" si="9">IF(K8&gt;2,K8-2,0)</f>
        <v>0</v>
      </c>
      <c r="O8" s="164" t="s">
        <v>104</v>
      </c>
      <c r="P8" s="18"/>
    </row>
    <row r="9" spans="1:16">
      <c r="A9" s="398">
        <v>9223</v>
      </c>
      <c r="B9" s="398" t="s">
        <v>96</v>
      </c>
      <c r="C9" s="398" t="s">
        <v>96</v>
      </c>
      <c r="D9" s="403" t="s">
        <v>6</v>
      </c>
      <c r="E9" s="146">
        <v>43187.417141203703</v>
      </c>
      <c r="F9" s="104">
        <f t="shared" si="4"/>
        <v>43187.417141203703</v>
      </c>
      <c r="G9" s="125" t="str">
        <f t="shared" si="5"/>
        <v>10:0</v>
      </c>
      <c r="H9" s="126">
        <f t="shared" si="6"/>
        <v>2.5000000000000004</v>
      </c>
      <c r="I9" s="92">
        <f t="shared" ref="I9" si="10">IF(D9="上班",IF(H9-1.5&gt;8,8,H9-1.5),"-")+1.5</f>
        <v>2.5000000000000004</v>
      </c>
      <c r="J9" s="127"/>
      <c r="K9" s="128">
        <f t="shared" si="7"/>
        <v>0</v>
      </c>
      <c r="L9" s="128"/>
      <c r="M9" s="129">
        <f t="shared" si="8"/>
        <v>0</v>
      </c>
      <c r="N9" s="129">
        <f t="shared" si="9"/>
        <v>0</v>
      </c>
      <c r="O9" s="164"/>
    </row>
    <row r="10" spans="1:16">
      <c r="A10" s="398">
        <v>9223</v>
      </c>
      <c r="B10" s="398" t="s">
        <v>96</v>
      </c>
      <c r="C10" s="398" t="s">
        <v>96</v>
      </c>
      <c r="D10" s="403" t="s">
        <v>5</v>
      </c>
      <c r="E10" s="146">
        <v>43187.521215277775</v>
      </c>
      <c r="F10" s="104">
        <f t="shared" si="4"/>
        <v>43187.521215277775</v>
      </c>
      <c r="G10" s="125" t="str">
        <f t="shared" si="5"/>
        <v>12:30</v>
      </c>
      <c r="H10" s="126" t="str">
        <f t="shared" si="6"/>
        <v>-</v>
      </c>
      <c r="I10" s="92" t="str">
        <f>IF(D10="上班",IF(H10-1.5&gt;8,8,H10-1.5),"-")</f>
        <v>-</v>
      </c>
      <c r="J10" s="127"/>
      <c r="K10" s="128">
        <f t="shared" si="7"/>
        <v>0</v>
      </c>
      <c r="L10" s="128"/>
      <c r="M10" s="129">
        <f t="shared" si="8"/>
        <v>0</v>
      </c>
      <c r="N10" s="129">
        <f t="shared" si="9"/>
        <v>0</v>
      </c>
      <c r="O10" s="164" t="s">
        <v>103</v>
      </c>
    </row>
    <row r="11" spans="1:16">
      <c r="D11" s="178"/>
      <c r="E11" s="17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工作表26"/>
  <dimension ref="A1:P52"/>
  <sheetViews>
    <sheetView view="pageBreakPreview" topLeftCell="D1" zoomScaleNormal="100" zoomScaleSheetLayoutView="100" workbookViewId="0">
      <selection activeCell="J9" sqref="J9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.125" style="3" customWidth="1" collapsed="1"/>
    <col min="5" max="5" width="15.7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1.75" style="21" customWidth="1" collapsed="1"/>
    <col min="10" max="10" width="12.125" style="21" customWidth="1"/>
    <col min="11" max="11" width="2.5" style="22" hidden="1" customWidth="1" outlineLevel="1"/>
    <col min="12" max="12" width="5.875" style="22" customWidth="1" collapsed="1"/>
    <col min="13" max="13" width="8.25" style="22" customWidth="1"/>
    <col min="14" max="14" width="8.125" style="22" customWidth="1"/>
    <col min="15" max="15" width="15.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B9</f>
        <v>wilson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I6+J6+M6+N6</f>
        <v>145.65000000000003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81</v>
      </c>
      <c r="J5" s="118" t="s">
        <v>82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SUM(I7:I44)</f>
        <v>127.75000000000001</v>
      </c>
      <c r="J6" s="124">
        <f>SUM(J7:J44)</f>
        <v>17.900000000000006</v>
      </c>
      <c r="K6" s="124">
        <f>SUM(K9:K18)</f>
        <v>0</v>
      </c>
      <c r="L6" s="124">
        <f>SUM(L9:L18)</f>
        <v>0</v>
      </c>
      <c r="M6" s="124">
        <f>SUM(M9:M18)</f>
        <v>0</v>
      </c>
      <c r="N6" s="124">
        <f>SUM(N9:N18)</f>
        <v>0</v>
      </c>
      <c r="O6" s="45"/>
    </row>
    <row r="7" spans="1:16" s="63" customFormat="1">
      <c r="A7" s="140">
        <v>8497</v>
      </c>
      <c r="B7" s="140" t="s">
        <v>90</v>
      </c>
      <c r="C7" s="140" t="s">
        <v>89</v>
      </c>
      <c r="D7" s="143" t="s">
        <v>6</v>
      </c>
      <c r="E7" s="144">
        <v>43160.376539351855</v>
      </c>
      <c r="F7" s="104">
        <f>E7</f>
        <v>43160.376539351855</v>
      </c>
      <c r="G7" s="125" t="str">
        <f>HOUR(E7)&amp;":"&amp;MINUTE(E7)</f>
        <v>9:2</v>
      </c>
      <c r="H7" s="33">
        <f t="shared" ref="H7" si="0">IF(D7="上班",(G8-G7)*24,"-")</f>
        <v>9.2333333333333325</v>
      </c>
      <c r="I7" s="92">
        <f>IF(D7="上班",IF(H7-1.5&gt;8,8,H7-1.5),"-")</f>
        <v>7.7333333333333325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" si="3">IF(K7&gt;2,K7-2,0)</f>
        <v>0</v>
      </c>
      <c r="O7" s="164"/>
      <c r="P7" s="18"/>
    </row>
    <row r="8" spans="1:16">
      <c r="A8" s="140">
        <v>8500</v>
      </c>
      <c r="B8" s="140" t="s">
        <v>89</v>
      </c>
      <c r="C8" s="140" t="s">
        <v>89</v>
      </c>
      <c r="D8" s="143" t="s">
        <v>5</v>
      </c>
      <c r="E8" s="144">
        <v>43160.761712962965</v>
      </c>
      <c r="F8" s="104">
        <f t="shared" ref="F8:F52" si="4">E8</f>
        <v>43160.761712962965</v>
      </c>
      <c r="G8" s="125" t="str">
        <f t="shared" ref="G8:G52" si="5">HOUR(E8)&amp;":"&amp;MINUTE(E8)</f>
        <v>18:16</v>
      </c>
      <c r="H8" s="33" t="str">
        <f t="shared" ref="H8:H52" si="6">IF(D8="上班",(G9-G8)*24,"-")</f>
        <v>-</v>
      </c>
      <c r="I8" s="92" t="str">
        <f t="shared" ref="I8:I52" si="7">IF(D8="上班",IF(H8-1.5&gt;8,8,H8-1.5),"-")</f>
        <v>-</v>
      </c>
      <c r="J8" s="92" t="str">
        <f t="shared" ref="J8:J52" si="8">IF(D8="上班",IF(H8&gt;(8+2),(H8-8-1.5-0.5),"-"),"-")</f>
        <v>-</v>
      </c>
      <c r="K8" s="93">
        <f t="shared" ref="K8:K52" si="9">IF(D8="加班",(G9-G8)*24,0)</f>
        <v>0</v>
      </c>
      <c r="L8" s="93"/>
      <c r="M8" s="94">
        <f t="shared" ref="M8:M52" si="10">IF(K8&gt;2,K8-2,0)</f>
        <v>0</v>
      </c>
      <c r="N8" s="129">
        <f t="shared" ref="N8:N52" si="11">IF(K8&gt;2,K8-2,0)</f>
        <v>0</v>
      </c>
      <c r="O8" s="164"/>
    </row>
    <row r="9" spans="1:16" s="63" customFormat="1">
      <c r="A9" s="140">
        <v>8530</v>
      </c>
      <c r="B9" s="140" t="s">
        <v>89</v>
      </c>
      <c r="C9" s="140" t="s">
        <v>89</v>
      </c>
      <c r="D9" s="143" t="s">
        <v>6</v>
      </c>
      <c r="E9" s="144">
        <v>43161.382303240738</v>
      </c>
      <c r="F9" s="104">
        <f t="shared" si="4"/>
        <v>43161.382303240738</v>
      </c>
      <c r="G9" s="125" t="str">
        <f t="shared" si="5"/>
        <v>9:10</v>
      </c>
      <c r="H9" s="33">
        <f t="shared" si="6"/>
        <v>12.166666666666666</v>
      </c>
      <c r="I9" s="92">
        <f t="shared" si="7"/>
        <v>8</v>
      </c>
      <c r="J9" s="92">
        <f t="shared" si="8"/>
        <v>2.1666666666666661</v>
      </c>
      <c r="K9" s="93">
        <f t="shared" si="9"/>
        <v>0</v>
      </c>
      <c r="L9" s="93"/>
      <c r="M9" s="94">
        <f t="shared" si="10"/>
        <v>0</v>
      </c>
      <c r="N9" s="129">
        <f t="shared" si="11"/>
        <v>0</v>
      </c>
      <c r="O9" s="164"/>
      <c r="P9" s="18"/>
    </row>
    <row r="10" spans="1:16">
      <c r="A10" s="140">
        <v>8500</v>
      </c>
      <c r="B10" s="140" t="s">
        <v>89</v>
      </c>
      <c r="C10" s="140" t="s">
        <v>89</v>
      </c>
      <c r="D10" s="143" t="s">
        <v>5</v>
      </c>
      <c r="E10" s="144">
        <v>43161.889490740738</v>
      </c>
      <c r="F10" s="104">
        <f t="shared" si="4"/>
        <v>43161.889490740738</v>
      </c>
      <c r="G10" s="125" t="str">
        <f t="shared" si="5"/>
        <v>21:20</v>
      </c>
      <c r="H10" s="33" t="str">
        <f t="shared" si="6"/>
        <v>-</v>
      </c>
      <c r="I10" s="92" t="str">
        <f t="shared" si="7"/>
        <v>-</v>
      </c>
      <c r="J10" s="92" t="str">
        <f t="shared" si="8"/>
        <v>-</v>
      </c>
      <c r="K10" s="93">
        <f t="shared" si="9"/>
        <v>0</v>
      </c>
      <c r="L10" s="93"/>
      <c r="M10" s="94">
        <f t="shared" si="10"/>
        <v>0</v>
      </c>
      <c r="N10" s="129">
        <f t="shared" si="11"/>
        <v>0</v>
      </c>
      <c r="O10" s="164"/>
    </row>
    <row r="11" spans="1:16">
      <c r="A11" s="140">
        <v>8549</v>
      </c>
      <c r="B11" s="140" t="s">
        <v>90</v>
      </c>
      <c r="C11" s="140" t="s">
        <v>89</v>
      </c>
      <c r="D11" s="143" t="s">
        <v>6</v>
      </c>
      <c r="E11" s="144">
        <v>43162.486400462964</v>
      </c>
      <c r="F11" s="104">
        <f t="shared" si="4"/>
        <v>43162.486400462964</v>
      </c>
      <c r="G11" s="125" t="str">
        <f t="shared" si="5"/>
        <v>11:40</v>
      </c>
      <c r="H11" s="33">
        <f t="shared" si="6"/>
        <v>4.2166666666666668</v>
      </c>
      <c r="I11" s="92">
        <f>IF(D11="上班",IF(H11-1.5&gt;8,8,H11-1.5),"-")+1.5</f>
        <v>4.2166666666666668</v>
      </c>
      <c r="J11" s="92" t="str">
        <f t="shared" si="8"/>
        <v>-</v>
      </c>
      <c r="K11" s="93">
        <f t="shared" si="9"/>
        <v>0</v>
      </c>
      <c r="L11" s="93"/>
      <c r="M11" s="94">
        <f t="shared" si="10"/>
        <v>0</v>
      </c>
      <c r="N11" s="129">
        <f t="shared" si="11"/>
        <v>0</v>
      </c>
      <c r="O11" s="164"/>
    </row>
    <row r="12" spans="1:16">
      <c r="A12" s="140">
        <v>8552</v>
      </c>
      <c r="B12" s="140" t="s">
        <v>89</v>
      </c>
      <c r="C12" s="140" t="s">
        <v>89</v>
      </c>
      <c r="D12" s="143" t="s">
        <v>5</v>
      </c>
      <c r="E12" s="144">
        <v>43162.661828703705</v>
      </c>
      <c r="F12" s="104">
        <f t="shared" si="4"/>
        <v>43162.661828703705</v>
      </c>
      <c r="G12" s="125" t="str">
        <f t="shared" si="5"/>
        <v>15:53</v>
      </c>
      <c r="H12" s="33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94">
        <f t="shared" si="10"/>
        <v>0</v>
      </c>
      <c r="N12" s="129">
        <f t="shared" si="11"/>
        <v>0</v>
      </c>
      <c r="O12" s="164"/>
    </row>
    <row r="13" spans="1:16">
      <c r="A13" s="140">
        <v>8553</v>
      </c>
      <c r="B13" s="140" t="s">
        <v>89</v>
      </c>
      <c r="C13" s="140" t="s">
        <v>89</v>
      </c>
      <c r="D13" s="143" t="s">
        <v>6</v>
      </c>
      <c r="E13" s="144">
        <v>43162.683321759258</v>
      </c>
      <c r="F13" s="104">
        <f t="shared" si="4"/>
        <v>43162.683321759258</v>
      </c>
      <c r="G13" s="125" t="str">
        <f t="shared" si="5"/>
        <v>16:23</v>
      </c>
      <c r="H13" s="33">
        <f t="shared" si="6"/>
        <v>5.15</v>
      </c>
      <c r="I13" s="92">
        <f>IF(D13="上班",IF(H13-1.5&gt;8,8,H13-1.5),"-")+1.5</f>
        <v>5.15</v>
      </c>
      <c r="J13" s="92" t="str">
        <f t="shared" si="8"/>
        <v>-</v>
      </c>
      <c r="K13" s="93">
        <f t="shared" si="9"/>
        <v>0</v>
      </c>
      <c r="L13" s="93"/>
      <c r="M13" s="94">
        <f t="shared" si="10"/>
        <v>0</v>
      </c>
      <c r="N13" s="129">
        <f t="shared" si="11"/>
        <v>0</v>
      </c>
      <c r="O13" s="164"/>
    </row>
    <row r="14" spans="1:16">
      <c r="A14" s="140">
        <v>8555</v>
      </c>
      <c r="B14" s="140" t="s">
        <v>90</v>
      </c>
      <c r="C14" s="140" t="s">
        <v>89</v>
      </c>
      <c r="D14" s="143" t="s">
        <v>5</v>
      </c>
      <c r="E14" s="144">
        <v>43162.897245370368</v>
      </c>
      <c r="F14" s="104">
        <f t="shared" si="4"/>
        <v>43162.897245370368</v>
      </c>
      <c r="G14" s="125" t="str">
        <f t="shared" si="5"/>
        <v>21:32</v>
      </c>
      <c r="H14" s="33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94">
        <f t="shared" si="10"/>
        <v>0</v>
      </c>
      <c r="N14" s="129">
        <f t="shared" si="11"/>
        <v>0</v>
      </c>
      <c r="O14" s="164"/>
    </row>
    <row r="15" spans="1:16">
      <c r="A15" s="140">
        <v>8563</v>
      </c>
      <c r="B15" s="140" t="s">
        <v>89</v>
      </c>
      <c r="C15" s="140" t="s">
        <v>89</v>
      </c>
      <c r="D15" s="143" t="s">
        <v>6</v>
      </c>
      <c r="E15" s="144">
        <v>43164.369537037041</v>
      </c>
      <c r="F15" s="104">
        <f t="shared" si="4"/>
        <v>43164.369537037041</v>
      </c>
      <c r="G15" s="125" t="str">
        <f t="shared" si="5"/>
        <v>8:52</v>
      </c>
      <c r="H15" s="33">
        <f t="shared" si="6"/>
        <v>13.733333333333334</v>
      </c>
      <c r="I15" s="92">
        <f t="shared" si="7"/>
        <v>8</v>
      </c>
      <c r="J15" s="92">
        <f t="shared" si="8"/>
        <v>3.7333333333333343</v>
      </c>
      <c r="K15" s="93">
        <f t="shared" si="9"/>
        <v>0</v>
      </c>
      <c r="L15" s="93"/>
      <c r="M15" s="94">
        <f t="shared" si="10"/>
        <v>0</v>
      </c>
      <c r="N15" s="129">
        <f t="shared" si="11"/>
        <v>0</v>
      </c>
      <c r="O15" s="164"/>
    </row>
    <row r="16" spans="1:16">
      <c r="A16" s="140">
        <v>8593</v>
      </c>
      <c r="B16" s="140" t="s">
        <v>90</v>
      </c>
      <c r="C16" s="140" t="s">
        <v>89</v>
      </c>
      <c r="D16" s="143" t="s">
        <v>5</v>
      </c>
      <c r="E16" s="144">
        <v>43164.941701388889</v>
      </c>
      <c r="F16" s="104">
        <f t="shared" si="4"/>
        <v>43164.941701388889</v>
      </c>
      <c r="G16" s="125" t="str">
        <f t="shared" si="5"/>
        <v>22:36</v>
      </c>
      <c r="H16" s="33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94">
        <f t="shared" si="10"/>
        <v>0</v>
      </c>
      <c r="N16" s="129">
        <f t="shared" si="11"/>
        <v>0</v>
      </c>
      <c r="O16" s="164"/>
    </row>
    <row r="17" spans="1:15">
      <c r="A17" s="140">
        <v>8603</v>
      </c>
      <c r="B17" s="140" t="s">
        <v>90</v>
      </c>
      <c r="C17" s="140" t="s">
        <v>89</v>
      </c>
      <c r="D17" s="143" t="s">
        <v>6</v>
      </c>
      <c r="E17" s="144">
        <v>43165.383159722223</v>
      </c>
      <c r="F17" s="104">
        <f t="shared" si="4"/>
        <v>43165.383159722223</v>
      </c>
      <c r="G17" s="125" t="str">
        <f t="shared" si="5"/>
        <v>9:11</v>
      </c>
      <c r="H17" s="33">
        <f t="shared" si="6"/>
        <v>9.0833333333333321</v>
      </c>
      <c r="I17" s="92">
        <f t="shared" si="7"/>
        <v>7.5833333333333321</v>
      </c>
      <c r="J17" s="92" t="str">
        <f t="shared" si="8"/>
        <v>-</v>
      </c>
      <c r="K17" s="93">
        <f t="shared" si="9"/>
        <v>0</v>
      </c>
      <c r="L17" s="93"/>
      <c r="M17" s="94">
        <f t="shared" si="10"/>
        <v>0</v>
      </c>
      <c r="N17" s="129">
        <f t="shared" si="11"/>
        <v>0</v>
      </c>
      <c r="O17" s="164"/>
    </row>
    <row r="18" spans="1:15">
      <c r="A18" s="140">
        <v>8605</v>
      </c>
      <c r="B18" s="140" t="s">
        <v>93</v>
      </c>
      <c r="C18" s="140" t="s">
        <v>89</v>
      </c>
      <c r="D18" s="143" t="s">
        <v>5</v>
      </c>
      <c r="E18" s="144">
        <v>43165.761284722219</v>
      </c>
      <c r="F18" s="104">
        <f t="shared" si="4"/>
        <v>43165.761284722219</v>
      </c>
      <c r="G18" s="125" t="str">
        <f t="shared" si="5"/>
        <v>18:16</v>
      </c>
      <c r="H18" s="33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94">
        <f t="shared" si="10"/>
        <v>0</v>
      </c>
      <c r="N18" s="129">
        <f t="shared" si="11"/>
        <v>0</v>
      </c>
      <c r="O18" s="164"/>
    </row>
    <row r="19" spans="1:15">
      <c r="A19" s="140">
        <v>8635</v>
      </c>
      <c r="B19" s="140" t="s">
        <v>93</v>
      </c>
      <c r="C19" s="140" t="s">
        <v>89</v>
      </c>
      <c r="D19" s="143" t="s">
        <v>6</v>
      </c>
      <c r="E19" s="144">
        <v>43166.399178240739</v>
      </c>
      <c r="F19" s="104">
        <f t="shared" si="4"/>
        <v>43166.399178240739</v>
      </c>
      <c r="G19" s="125" t="str">
        <f t="shared" si="5"/>
        <v>9:34</v>
      </c>
      <c r="H19" s="33">
        <f t="shared" si="6"/>
        <v>12.46666666666667</v>
      </c>
      <c r="I19" s="92">
        <f t="shared" si="7"/>
        <v>8</v>
      </c>
      <c r="J19" s="92">
        <f t="shared" si="8"/>
        <v>2.4666666666666703</v>
      </c>
      <c r="K19" s="93">
        <f t="shared" si="9"/>
        <v>0</v>
      </c>
      <c r="L19" s="93"/>
      <c r="M19" s="94">
        <f t="shared" si="10"/>
        <v>0</v>
      </c>
      <c r="N19" s="129">
        <f t="shared" si="11"/>
        <v>0</v>
      </c>
      <c r="O19" s="164"/>
    </row>
    <row r="20" spans="1:15">
      <c r="A20" s="140">
        <v>8660</v>
      </c>
      <c r="B20" s="140" t="s">
        <v>90</v>
      </c>
      <c r="C20" s="140" t="s">
        <v>89</v>
      </c>
      <c r="D20" s="143" t="s">
        <v>5</v>
      </c>
      <c r="E20" s="144">
        <v>43166.918379629627</v>
      </c>
      <c r="F20" s="104">
        <f t="shared" si="4"/>
        <v>43166.918379629627</v>
      </c>
      <c r="G20" s="125" t="str">
        <f t="shared" si="5"/>
        <v>22:2</v>
      </c>
      <c r="H20" s="33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94">
        <f t="shared" si="10"/>
        <v>0</v>
      </c>
      <c r="N20" s="129">
        <f t="shared" si="11"/>
        <v>0</v>
      </c>
      <c r="O20" s="164"/>
    </row>
    <row r="21" spans="1:15">
      <c r="A21" s="140">
        <v>8662</v>
      </c>
      <c r="B21" s="140" t="s">
        <v>89</v>
      </c>
      <c r="C21" s="140" t="s">
        <v>89</v>
      </c>
      <c r="D21" s="143" t="s">
        <v>6</v>
      </c>
      <c r="E21" s="144">
        <v>43167.357511574075</v>
      </c>
      <c r="F21" s="104">
        <f t="shared" si="4"/>
        <v>43167.357511574075</v>
      </c>
      <c r="G21" s="125" t="str">
        <f t="shared" si="5"/>
        <v>8:34</v>
      </c>
      <c r="H21" s="33">
        <f t="shared" si="6"/>
        <v>9.8500000000000014</v>
      </c>
      <c r="I21" s="92">
        <f t="shared" si="7"/>
        <v>8</v>
      </c>
      <c r="J21" s="92" t="str">
        <f t="shared" si="8"/>
        <v>-</v>
      </c>
      <c r="K21" s="93">
        <f t="shared" si="9"/>
        <v>0</v>
      </c>
      <c r="L21" s="93"/>
      <c r="M21" s="94">
        <f t="shared" si="10"/>
        <v>0</v>
      </c>
      <c r="N21" s="129">
        <f t="shared" si="11"/>
        <v>0</v>
      </c>
      <c r="O21" s="164"/>
    </row>
    <row r="22" spans="1:15">
      <c r="A22" s="140">
        <v>8676</v>
      </c>
      <c r="B22" s="140" t="s">
        <v>89</v>
      </c>
      <c r="C22" s="140" t="s">
        <v>89</v>
      </c>
      <c r="D22" s="143" t="s">
        <v>5</v>
      </c>
      <c r="E22" s="144">
        <v>43167.767939814818</v>
      </c>
      <c r="F22" s="104">
        <f t="shared" si="4"/>
        <v>43167.767939814818</v>
      </c>
      <c r="G22" s="125" t="str">
        <f t="shared" si="5"/>
        <v>18:25</v>
      </c>
      <c r="H22" s="33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94">
        <f t="shared" si="10"/>
        <v>0</v>
      </c>
      <c r="N22" s="129">
        <f t="shared" si="11"/>
        <v>0</v>
      </c>
      <c r="O22" s="164"/>
    </row>
    <row r="23" spans="1:15">
      <c r="A23" s="140">
        <v>8702</v>
      </c>
      <c r="B23" s="140" t="s">
        <v>90</v>
      </c>
      <c r="C23" s="140" t="s">
        <v>89</v>
      </c>
      <c r="D23" s="143" t="s">
        <v>6</v>
      </c>
      <c r="E23" s="144">
        <v>43168.381712962961</v>
      </c>
      <c r="F23" s="104">
        <f t="shared" si="4"/>
        <v>43168.381712962961</v>
      </c>
      <c r="G23" s="125" t="str">
        <f t="shared" si="5"/>
        <v>9:9</v>
      </c>
      <c r="H23" s="33">
        <f t="shared" si="6"/>
        <v>12.150000000000002</v>
      </c>
      <c r="I23" s="92">
        <f t="shared" si="7"/>
        <v>8</v>
      </c>
      <c r="J23" s="92">
        <f t="shared" si="8"/>
        <v>2.1500000000000021</v>
      </c>
      <c r="K23" s="93">
        <f t="shared" si="9"/>
        <v>0</v>
      </c>
      <c r="L23" s="93"/>
      <c r="M23" s="94">
        <f t="shared" si="10"/>
        <v>0</v>
      </c>
      <c r="N23" s="129">
        <f t="shared" si="11"/>
        <v>0</v>
      </c>
      <c r="O23" s="164"/>
    </row>
    <row r="24" spans="1:15">
      <c r="A24" s="140">
        <v>8716</v>
      </c>
      <c r="B24" s="140" t="s">
        <v>90</v>
      </c>
      <c r="C24" s="140" t="s">
        <v>89</v>
      </c>
      <c r="D24" s="143" t="s">
        <v>5</v>
      </c>
      <c r="E24" s="144">
        <v>43168.887557870374</v>
      </c>
      <c r="F24" s="104">
        <f t="shared" si="4"/>
        <v>43168.887557870374</v>
      </c>
      <c r="G24" s="125" t="str">
        <f t="shared" si="5"/>
        <v>21:18</v>
      </c>
      <c r="H24" s="33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94">
        <f t="shared" si="10"/>
        <v>0</v>
      </c>
      <c r="N24" s="129">
        <f t="shared" si="11"/>
        <v>0</v>
      </c>
      <c r="O24" s="164"/>
    </row>
    <row r="25" spans="1:15">
      <c r="A25" s="140">
        <v>8731</v>
      </c>
      <c r="B25" s="140" t="s">
        <v>93</v>
      </c>
      <c r="C25" s="140" t="s">
        <v>89</v>
      </c>
      <c r="D25" s="143" t="s">
        <v>6</v>
      </c>
      <c r="E25" s="144">
        <v>43170.428483796299</v>
      </c>
      <c r="F25" s="104">
        <f t="shared" si="4"/>
        <v>43170.428483796299</v>
      </c>
      <c r="G25" s="125" t="str">
        <f t="shared" si="5"/>
        <v>10:17</v>
      </c>
      <c r="H25" s="33">
        <f t="shared" si="6"/>
        <v>3.183333333333334</v>
      </c>
      <c r="I25" s="92">
        <f>IF(D25="上班",IF(H25-1.5&gt;8,8,H25-1.5),"-")+1.5</f>
        <v>3.183333333333334</v>
      </c>
      <c r="J25" s="92" t="str">
        <f t="shared" si="8"/>
        <v>-</v>
      </c>
      <c r="K25" s="93">
        <f t="shared" si="9"/>
        <v>0</v>
      </c>
      <c r="L25" s="93"/>
      <c r="M25" s="94">
        <f t="shared" si="10"/>
        <v>0</v>
      </c>
      <c r="N25" s="129">
        <f t="shared" si="11"/>
        <v>0</v>
      </c>
      <c r="O25" s="164"/>
    </row>
    <row r="26" spans="1:15">
      <c r="A26" s="140">
        <v>8739</v>
      </c>
      <c r="B26" s="140" t="s">
        <v>89</v>
      </c>
      <c r="C26" s="140" t="s">
        <v>89</v>
      </c>
      <c r="D26" s="143" t="s">
        <v>5</v>
      </c>
      <c r="E26" s="144">
        <v>43170.561145833337</v>
      </c>
      <c r="F26" s="104">
        <f t="shared" si="4"/>
        <v>43170.561145833337</v>
      </c>
      <c r="G26" s="125" t="str">
        <f t="shared" si="5"/>
        <v>13:28</v>
      </c>
      <c r="H26" s="33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94">
        <f t="shared" si="10"/>
        <v>0</v>
      </c>
      <c r="N26" s="129">
        <f t="shared" si="11"/>
        <v>0</v>
      </c>
      <c r="O26" s="164"/>
    </row>
    <row r="27" spans="1:15">
      <c r="A27" s="140">
        <v>8744</v>
      </c>
      <c r="B27" s="140" t="s">
        <v>90</v>
      </c>
      <c r="C27" s="140" t="s">
        <v>89</v>
      </c>
      <c r="D27" s="143" t="s">
        <v>6</v>
      </c>
      <c r="E27" s="144">
        <v>43170.604456018518</v>
      </c>
      <c r="F27" s="104">
        <f t="shared" si="4"/>
        <v>43170.604456018518</v>
      </c>
      <c r="G27" s="125" t="str">
        <f t="shared" si="5"/>
        <v>14:30</v>
      </c>
      <c r="H27" s="33">
        <f t="shared" si="6"/>
        <v>3.4333333333333345</v>
      </c>
      <c r="I27" s="92">
        <f>IF(D27="上班",IF(H27-1.5&gt;8,8,H27-1.5),"-")+1.5</f>
        <v>3.4333333333333345</v>
      </c>
      <c r="J27" s="92" t="str">
        <f t="shared" si="8"/>
        <v>-</v>
      </c>
      <c r="K27" s="93">
        <f t="shared" si="9"/>
        <v>0</v>
      </c>
      <c r="L27" s="93"/>
      <c r="M27" s="94">
        <f t="shared" si="10"/>
        <v>0</v>
      </c>
      <c r="N27" s="129">
        <f t="shared" si="11"/>
        <v>0</v>
      </c>
      <c r="O27" s="164"/>
    </row>
    <row r="28" spans="1:15">
      <c r="A28" s="140">
        <v>8747</v>
      </c>
      <c r="B28" s="140" t="s">
        <v>90</v>
      </c>
      <c r="C28" s="140" t="s">
        <v>89</v>
      </c>
      <c r="D28" s="143" t="s">
        <v>5</v>
      </c>
      <c r="E28" s="144">
        <v>43170.747303240743</v>
      </c>
      <c r="F28" s="104">
        <f t="shared" si="4"/>
        <v>43170.747303240743</v>
      </c>
      <c r="G28" s="125" t="str">
        <f t="shared" si="5"/>
        <v>17:56</v>
      </c>
      <c r="H28" s="33" t="str">
        <f t="shared" si="6"/>
        <v>-</v>
      </c>
      <c r="I28" s="92" t="str">
        <f t="shared" si="7"/>
        <v>-</v>
      </c>
      <c r="J28" s="92" t="str">
        <f t="shared" si="8"/>
        <v>-</v>
      </c>
      <c r="K28" s="93">
        <f t="shared" si="9"/>
        <v>0</v>
      </c>
      <c r="L28" s="93"/>
      <c r="M28" s="94">
        <f t="shared" si="10"/>
        <v>0</v>
      </c>
      <c r="N28" s="129">
        <f t="shared" si="11"/>
        <v>0</v>
      </c>
      <c r="O28" s="164"/>
    </row>
    <row r="29" spans="1:15">
      <c r="A29" s="140">
        <v>8748</v>
      </c>
      <c r="B29" s="140" t="s">
        <v>90</v>
      </c>
      <c r="C29" s="140" t="s">
        <v>89</v>
      </c>
      <c r="D29" s="143" t="s">
        <v>6</v>
      </c>
      <c r="E29" s="144">
        <v>43170.748113425929</v>
      </c>
      <c r="F29" s="104">
        <f t="shared" si="4"/>
        <v>43170.748113425929</v>
      </c>
      <c r="G29" s="125" t="str">
        <f t="shared" si="5"/>
        <v>17:57</v>
      </c>
      <c r="H29" s="33">
        <f t="shared" si="6"/>
        <v>1.1833333333333318</v>
      </c>
      <c r="I29" s="92">
        <f>IF(D29="上班",IF(H29-1.5&gt;8,8,H29-1.5),"-")+1.5</f>
        <v>1.1833333333333318</v>
      </c>
      <c r="J29" s="92" t="str">
        <f t="shared" si="8"/>
        <v>-</v>
      </c>
      <c r="K29" s="93">
        <f t="shared" si="9"/>
        <v>0</v>
      </c>
      <c r="L29" s="93"/>
      <c r="M29" s="94">
        <f t="shared" si="10"/>
        <v>0</v>
      </c>
      <c r="N29" s="129">
        <f t="shared" si="11"/>
        <v>0</v>
      </c>
      <c r="O29" s="164"/>
    </row>
    <row r="30" spans="1:15">
      <c r="A30" s="140">
        <v>8760</v>
      </c>
      <c r="B30" s="140" t="s">
        <v>90</v>
      </c>
      <c r="C30" s="140" t="s">
        <v>89</v>
      </c>
      <c r="D30" s="143" t="s">
        <v>5</v>
      </c>
      <c r="E30" s="144">
        <v>43170.797407407408</v>
      </c>
      <c r="F30" s="104">
        <f t="shared" si="4"/>
        <v>43170.797407407408</v>
      </c>
      <c r="G30" s="125" t="str">
        <f t="shared" si="5"/>
        <v>19:8</v>
      </c>
      <c r="H30" s="33" t="str">
        <f t="shared" si="6"/>
        <v>-</v>
      </c>
      <c r="I30" s="92" t="str">
        <f t="shared" si="7"/>
        <v>-</v>
      </c>
      <c r="J30" s="92" t="str">
        <f t="shared" si="8"/>
        <v>-</v>
      </c>
      <c r="K30" s="93">
        <f t="shared" si="9"/>
        <v>0</v>
      </c>
      <c r="L30" s="93"/>
      <c r="M30" s="94">
        <f t="shared" si="10"/>
        <v>0</v>
      </c>
      <c r="N30" s="129">
        <f t="shared" si="11"/>
        <v>0</v>
      </c>
      <c r="O30" s="164"/>
    </row>
    <row r="31" spans="1:15">
      <c r="A31" s="140">
        <v>8772</v>
      </c>
      <c r="B31" s="140" t="s">
        <v>89</v>
      </c>
      <c r="C31" s="140" t="s">
        <v>89</v>
      </c>
      <c r="D31" s="143" t="s">
        <v>6</v>
      </c>
      <c r="E31" s="144">
        <v>43171.382048611114</v>
      </c>
      <c r="F31" s="104">
        <f t="shared" si="4"/>
        <v>43171.382048611114</v>
      </c>
      <c r="G31" s="125" t="str">
        <f t="shared" si="5"/>
        <v>9:10</v>
      </c>
      <c r="H31" s="33">
        <f t="shared" si="6"/>
        <v>12.766666666666666</v>
      </c>
      <c r="I31" s="92">
        <f t="shared" si="7"/>
        <v>8</v>
      </c>
      <c r="J31" s="92">
        <f t="shared" si="8"/>
        <v>2.7666666666666657</v>
      </c>
      <c r="K31" s="93">
        <f t="shared" si="9"/>
        <v>0</v>
      </c>
      <c r="L31" s="93"/>
      <c r="M31" s="94">
        <f t="shared" si="10"/>
        <v>0</v>
      </c>
      <c r="N31" s="129">
        <f t="shared" si="11"/>
        <v>0</v>
      </c>
      <c r="O31" s="164"/>
    </row>
    <row r="32" spans="1:15">
      <c r="A32" s="140">
        <v>8798</v>
      </c>
      <c r="B32" s="140" t="s">
        <v>90</v>
      </c>
      <c r="C32" s="140" t="s">
        <v>89</v>
      </c>
      <c r="D32" s="143" t="s">
        <v>5</v>
      </c>
      <c r="E32" s="144">
        <v>43171.914039351854</v>
      </c>
      <c r="F32" s="104">
        <f t="shared" si="4"/>
        <v>43171.914039351854</v>
      </c>
      <c r="G32" s="125" t="str">
        <f t="shared" si="5"/>
        <v>21:56</v>
      </c>
      <c r="H32" s="33" t="str">
        <f t="shared" si="6"/>
        <v>-</v>
      </c>
      <c r="I32" s="92" t="str">
        <f t="shared" si="7"/>
        <v>-</v>
      </c>
      <c r="J32" s="92" t="str">
        <f t="shared" si="8"/>
        <v>-</v>
      </c>
      <c r="K32" s="93">
        <f t="shared" si="9"/>
        <v>0</v>
      </c>
      <c r="L32" s="93"/>
      <c r="M32" s="94">
        <f t="shared" si="10"/>
        <v>0</v>
      </c>
      <c r="N32" s="129">
        <f t="shared" si="11"/>
        <v>0</v>
      </c>
      <c r="O32" s="164"/>
    </row>
    <row r="33" spans="1:15">
      <c r="A33" s="140">
        <v>8806</v>
      </c>
      <c r="B33" s="140" t="s">
        <v>93</v>
      </c>
      <c r="C33" s="140" t="s">
        <v>89</v>
      </c>
      <c r="D33" s="143" t="s">
        <v>6</v>
      </c>
      <c r="E33" s="144">
        <v>43172.368321759262</v>
      </c>
      <c r="F33" s="104">
        <f t="shared" si="4"/>
        <v>43172.368321759262</v>
      </c>
      <c r="G33" s="125" t="str">
        <f t="shared" si="5"/>
        <v>8:50</v>
      </c>
      <c r="H33" s="33">
        <f t="shared" si="6"/>
        <v>9.7166666666666668</v>
      </c>
      <c r="I33" s="92">
        <f t="shared" si="7"/>
        <v>8</v>
      </c>
      <c r="J33" s="92" t="str">
        <f t="shared" si="8"/>
        <v>-</v>
      </c>
      <c r="K33" s="93">
        <f t="shared" si="9"/>
        <v>0</v>
      </c>
      <c r="L33" s="93"/>
      <c r="M33" s="94">
        <f t="shared" si="10"/>
        <v>0</v>
      </c>
      <c r="N33" s="129">
        <f t="shared" si="11"/>
        <v>0</v>
      </c>
      <c r="O33" s="164"/>
    </row>
    <row r="34" spans="1:15">
      <c r="A34" s="140">
        <v>8823</v>
      </c>
      <c r="B34" s="140" t="s">
        <v>89</v>
      </c>
      <c r="C34" s="140" t="s">
        <v>89</v>
      </c>
      <c r="D34" s="143" t="s">
        <v>5</v>
      </c>
      <c r="E34" s="144">
        <v>43172.773449074077</v>
      </c>
      <c r="F34" s="104">
        <f t="shared" si="4"/>
        <v>43172.773449074077</v>
      </c>
      <c r="G34" s="125" t="str">
        <f t="shared" si="5"/>
        <v>18:33</v>
      </c>
      <c r="H34" s="33" t="str">
        <f t="shared" si="6"/>
        <v>-</v>
      </c>
      <c r="I34" s="92" t="str">
        <f t="shared" si="7"/>
        <v>-</v>
      </c>
      <c r="J34" s="92" t="str">
        <f t="shared" si="8"/>
        <v>-</v>
      </c>
      <c r="K34" s="93">
        <f t="shared" si="9"/>
        <v>0</v>
      </c>
      <c r="L34" s="93"/>
      <c r="M34" s="94">
        <f t="shared" si="10"/>
        <v>0</v>
      </c>
      <c r="N34" s="129">
        <f t="shared" si="11"/>
        <v>0</v>
      </c>
      <c r="O34" s="164"/>
    </row>
    <row r="35" spans="1:15">
      <c r="A35" s="140">
        <v>8845</v>
      </c>
      <c r="B35" s="140" t="s">
        <v>89</v>
      </c>
      <c r="C35" s="140" t="s">
        <v>89</v>
      </c>
      <c r="D35" s="143" t="s">
        <v>6</v>
      </c>
      <c r="E35" s="144">
        <v>43173.372731481482</v>
      </c>
      <c r="F35" s="104">
        <f t="shared" si="4"/>
        <v>43173.372731481482</v>
      </c>
      <c r="G35" s="125" t="str">
        <f t="shared" si="5"/>
        <v>8:56</v>
      </c>
      <c r="H35" s="33">
        <f t="shared" si="6"/>
        <v>12.100000000000001</v>
      </c>
      <c r="I35" s="92">
        <f t="shared" si="7"/>
        <v>8</v>
      </c>
      <c r="J35" s="92">
        <f t="shared" si="8"/>
        <v>2.1000000000000014</v>
      </c>
      <c r="K35" s="93">
        <f t="shared" si="9"/>
        <v>0</v>
      </c>
      <c r="L35" s="93"/>
      <c r="M35" s="94">
        <f t="shared" si="10"/>
        <v>0</v>
      </c>
      <c r="N35" s="129">
        <f t="shared" si="11"/>
        <v>0</v>
      </c>
      <c r="O35" s="164"/>
    </row>
    <row r="36" spans="1:15">
      <c r="A36" s="140">
        <v>8869</v>
      </c>
      <c r="B36" s="140" t="s">
        <v>89</v>
      </c>
      <c r="C36" s="140" t="s">
        <v>89</v>
      </c>
      <c r="D36" s="143" t="s">
        <v>5</v>
      </c>
      <c r="E36" s="144">
        <v>43173.876458333332</v>
      </c>
      <c r="F36" s="104">
        <f t="shared" si="4"/>
        <v>43173.876458333332</v>
      </c>
      <c r="G36" s="125" t="str">
        <f t="shared" si="5"/>
        <v>21:2</v>
      </c>
      <c r="H36" s="33" t="str">
        <f t="shared" si="6"/>
        <v>-</v>
      </c>
      <c r="I36" s="92" t="str">
        <f t="shared" si="7"/>
        <v>-</v>
      </c>
      <c r="J36" s="92" t="str">
        <f t="shared" si="8"/>
        <v>-</v>
      </c>
      <c r="K36" s="93">
        <f t="shared" si="9"/>
        <v>0</v>
      </c>
      <c r="L36" s="93"/>
      <c r="M36" s="94">
        <f t="shared" si="10"/>
        <v>0</v>
      </c>
      <c r="N36" s="129">
        <f t="shared" si="11"/>
        <v>0</v>
      </c>
      <c r="O36" s="164"/>
    </row>
    <row r="37" spans="1:15">
      <c r="A37" s="140">
        <v>8881</v>
      </c>
      <c r="B37" s="140" t="s">
        <v>93</v>
      </c>
      <c r="C37" s="140" t="s">
        <v>89</v>
      </c>
      <c r="D37" s="143" t="s">
        <v>6</v>
      </c>
      <c r="E37" s="144">
        <v>43174.379340277781</v>
      </c>
      <c r="F37" s="104">
        <f t="shared" si="4"/>
        <v>43174.379340277781</v>
      </c>
      <c r="G37" s="125" t="str">
        <f t="shared" si="5"/>
        <v>9:6</v>
      </c>
      <c r="H37" s="33">
        <f t="shared" si="6"/>
        <v>9.5</v>
      </c>
      <c r="I37" s="92">
        <f t="shared" si="7"/>
        <v>8</v>
      </c>
      <c r="J37" s="92" t="str">
        <f t="shared" si="8"/>
        <v>-</v>
      </c>
      <c r="K37" s="93">
        <f t="shared" si="9"/>
        <v>0</v>
      </c>
      <c r="L37" s="93"/>
      <c r="M37" s="94">
        <f t="shared" si="10"/>
        <v>0</v>
      </c>
      <c r="N37" s="129">
        <f t="shared" si="11"/>
        <v>0</v>
      </c>
      <c r="O37" s="164"/>
    </row>
    <row r="38" spans="1:15">
      <c r="A38" s="140">
        <v>8895</v>
      </c>
      <c r="B38" s="140" t="s">
        <v>89</v>
      </c>
      <c r="C38" s="140" t="s">
        <v>89</v>
      </c>
      <c r="D38" s="143" t="s">
        <v>5</v>
      </c>
      <c r="E38" s="144">
        <v>43174.775312500002</v>
      </c>
      <c r="F38" s="104">
        <f t="shared" si="4"/>
        <v>43174.775312500002</v>
      </c>
      <c r="G38" s="125" t="str">
        <f t="shared" si="5"/>
        <v>18:36</v>
      </c>
      <c r="H38" s="33" t="str">
        <f t="shared" si="6"/>
        <v>-</v>
      </c>
      <c r="I38" s="92" t="str">
        <f t="shared" si="7"/>
        <v>-</v>
      </c>
      <c r="J38" s="92" t="str">
        <f t="shared" si="8"/>
        <v>-</v>
      </c>
      <c r="K38" s="93">
        <f t="shared" si="9"/>
        <v>0</v>
      </c>
      <c r="L38" s="93"/>
      <c r="M38" s="94">
        <f t="shared" si="10"/>
        <v>0</v>
      </c>
      <c r="N38" s="129">
        <f t="shared" si="11"/>
        <v>0</v>
      </c>
      <c r="O38" s="164"/>
    </row>
    <row r="39" spans="1:15">
      <c r="A39" s="140">
        <v>8916</v>
      </c>
      <c r="B39" s="140" t="s">
        <v>89</v>
      </c>
      <c r="C39" s="140" t="s">
        <v>89</v>
      </c>
      <c r="D39" s="143" t="s">
        <v>6</v>
      </c>
      <c r="E39" s="144">
        <v>43175.389456018522</v>
      </c>
      <c r="F39" s="104">
        <f t="shared" si="4"/>
        <v>43175.389456018522</v>
      </c>
      <c r="G39" s="125" t="str">
        <f t="shared" si="5"/>
        <v>9:20</v>
      </c>
      <c r="H39" s="33">
        <f t="shared" si="6"/>
        <v>12.516666666666667</v>
      </c>
      <c r="I39" s="92">
        <f t="shared" si="7"/>
        <v>8</v>
      </c>
      <c r="J39" s="92">
        <f t="shared" si="8"/>
        <v>2.5166666666666675</v>
      </c>
      <c r="K39" s="93">
        <f t="shared" si="9"/>
        <v>0</v>
      </c>
      <c r="L39" s="93"/>
      <c r="M39" s="94">
        <f t="shared" si="10"/>
        <v>0</v>
      </c>
      <c r="N39" s="129">
        <f t="shared" si="11"/>
        <v>0</v>
      </c>
      <c r="O39" s="164"/>
    </row>
    <row r="40" spans="1:15">
      <c r="A40" s="140">
        <v>8941</v>
      </c>
      <c r="B40" s="140" t="s">
        <v>93</v>
      </c>
      <c r="C40" s="140" t="s">
        <v>89</v>
      </c>
      <c r="D40" s="143" t="s">
        <v>5</v>
      </c>
      <c r="E40" s="144">
        <v>43175.910613425927</v>
      </c>
      <c r="F40" s="104">
        <f t="shared" si="4"/>
        <v>43175.910613425927</v>
      </c>
      <c r="G40" s="125" t="str">
        <f t="shared" si="5"/>
        <v>21:51</v>
      </c>
      <c r="H40" s="33" t="str">
        <f t="shared" si="6"/>
        <v>-</v>
      </c>
      <c r="I40" s="92" t="str">
        <f t="shared" si="7"/>
        <v>-</v>
      </c>
      <c r="J40" s="92" t="str">
        <f t="shared" si="8"/>
        <v>-</v>
      </c>
      <c r="K40" s="93">
        <f t="shared" si="9"/>
        <v>0</v>
      </c>
      <c r="L40" s="93"/>
      <c r="M40" s="94">
        <f t="shared" si="10"/>
        <v>0</v>
      </c>
      <c r="N40" s="129">
        <f t="shared" si="11"/>
        <v>0</v>
      </c>
      <c r="O40" s="164"/>
    </row>
    <row r="41" spans="1:15">
      <c r="A41">
        <v>8950</v>
      </c>
      <c r="B41" t="s">
        <v>93</v>
      </c>
      <c r="C41" t="s">
        <v>89</v>
      </c>
      <c r="D41" s="143" t="s">
        <v>6</v>
      </c>
      <c r="E41" s="144">
        <v>43176.471851851849</v>
      </c>
      <c r="F41" s="104">
        <f t="shared" si="4"/>
        <v>43176.471851851849</v>
      </c>
      <c r="G41" s="125" t="str">
        <f t="shared" si="5"/>
        <v>11:19</v>
      </c>
      <c r="H41" s="33">
        <f t="shared" si="6"/>
        <v>8.7666666666666657</v>
      </c>
      <c r="I41" s="92">
        <f t="shared" si="7"/>
        <v>7.2666666666666657</v>
      </c>
      <c r="J41" s="92" t="str">
        <f t="shared" si="8"/>
        <v>-</v>
      </c>
      <c r="K41" s="93">
        <f t="shared" si="9"/>
        <v>0</v>
      </c>
      <c r="L41" s="93"/>
      <c r="M41" s="94">
        <f t="shared" si="10"/>
        <v>0</v>
      </c>
      <c r="N41" s="129">
        <f t="shared" si="11"/>
        <v>0</v>
      </c>
      <c r="O41" s="164"/>
    </row>
    <row r="42" spans="1:15">
      <c r="A42">
        <v>8972</v>
      </c>
      <c r="B42" t="s">
        <v>93</v>
      </c>
      <c r="C42" t="s">
        <v>89</v>
      </c>
      <c r="D42" s="143" t="s">
        <v>5</v>
      </c>
      <c r="E42" s="144">
        <v>43176.836921296293</v>
      </c>
      <c r="F42" s="104">
        <f t="shared" si="4"/>
        <v>43176.836921296293</v>
      </c>
      <c r="G42" s="125" t="str">
        <f t="shared" si="5"/>
        <v>20:5</v>
      </c>
      <c r="H42" s="33" t="str">
        <f t="shared" si="6"/>
        <v>-</v>
      </c>
      <c r="I42" s="92" t="str">
        <f t="shared" si="7"/>
        <v>-</v>
      </c>
      <c r="J42" s="92" t="str">
        <f t="shared" si="8"/>
        <v>-</v>
      </c>
      <c r="K42" s="93">
        <f t="shared" si="9"/>
        <v>0</v>
      </c>
      <c r="L42" s="93"/>
      <c r="M42" s="94">
        <f t="shared" si="10"/>
        <v>0</v>
      </c>
      <c r="N42" s="129">
        <f t="shared" si="11"/>
        <v>0</v>
      </c>
      <c r="O42" s="164"/>
    </row>
    <row r="43" spans="1:15">
      <c r="A43">
        <v>8977</v>
      </c>
      <c r="B43" t="s">
        <v>89</v>
      </c>
      <c r="C43" t="s">
        <v>89</v>
      </c>
      <c r="D43" s="143" t="s">
        <v>6</v>
      </c>
      <c r="E43" s="144">
        <v>43178.368078703701</v>
      </c>
      <c r="F43" s="104">
        <f t="shared" si="4"/>
        <v>43178.368078703701</v>
      </c>
      <c r="G43" s="125" t="str">
        <f t="shared" si="5"/>
        <v>8:50</v>
      </c>
      <c r="H43" s="33">
        <f t="shared" si="6"/>
        <v>9.6333333333333311</v>
      </c>
      <c r="I43" s="92">
        <f t="shared" si="7"/>
        <v>8</v>
      </c>
      <c r="J43" s="92" t="str">
        <f t="shared" si="8"/>
        <v>-</v>
      </c>
      <c r="K43" s="93">
        <f t="shared" si="9"/>
        <v>0</v>
      </c>
      <c r="L43" s="93"/>
      <c r="M43" s="94">
        <f t="shared" si="10"/>
        <v>0</v>
      </c>
      <c r="N43" s="129">
        <f t="shared" si="11"/>
        <v>0</v>
      </c>
      <c r="O43" s="164"/>
    </row>
    <row r="44" spans="1:15">
      <c r="A44">
        <v>8992</v>
      </c>
      <c r="B44" t="s">
        <v>90</v>
      </c>
      <c r="C44" t="s">
        <v>89</v>
      </c>
      <c r="D44" s="143" t="s">
        <v>5</v>
      </c>
      <c r="E44" s="144">
        <v>43178.770011574074</v>
      </c>
      <c r="F44" s="104">
        <f t="shared" si="4"/>
        <v>43178.770011574074</v>
      </c>
      <c r="G44" s="125" t="str">
        <f t="shared" si="5"/>
        <v>18:28</v>
      </c>
      <c r="H44" s="33" t="str">
        <f t="shared" si="6"/>
        <v>-</v>
      </c>
      <c r="I44" s="92" t="str">
        <f t="shared" si="7"/>
        <v>-</v>
      </c>
      <c r="J44" s="92" t="str">
        <f t="shared" si="8"/>
        <v>-</v>
      </c>
      <c r="K44" s="93">
        <f t="shared" si="9"/>
        <v>0</v>
      </c>
      <c r="L44" s="93"/>
      <c r="M44" s="94">
        <f t="shared" si="10"/>
        <v>0</v>
      </c>
      <c r="N44" s="129">
        <f t="shared" si="11"/>
        <v>0</v>
      </c>
      <c r="O44" s="164"/>
    </row>
    <row r="45" spans="1:15">
      <c r="A45">
        <v>8993</v>
      </c>
      <c r="B45" t="s">
        <v>90</v>
      </c>
      <c r="C45" t="s">
        <v>89</v>
      </c>
      <c r="D45" s="143" t="s">
        <v>7</v>
      </c>
      <c r="E45" s="144">
        <v>43178.770069444443</v>
      </c>
      <c r="F45" s="104">
        <f t="shared" si="4"/>
        <v>43178.770069444443</v>
      </c>
      <c r="G45" s="125" t="str">
        <f t="shared" si="5"/>
        <v>18:28</v>
      </c>
      <c r="H45" s="33" t="str">
        <f t="shared" si="6"/>
        <v>-</v>
      </c>
      <c r="I45" s="92" t="str">
        <f t="shared" si="7"/>
        <v>-</v>
      </c>
      <c r="J45" s="92" t="str">
        <f t="shared" si="8"/>
        <v>-</v>
      </c>
      <c r="K45" s="93">
        <f t="shared" si="9"/>
        <v>2.3666666666666663</v>
      </c>
      <c r="L45" s="93"/>
      <c r="M45" s="94">
        <f t="shared" si="10"/>
        <v>0.36666666666666625</v>
      </c>
      <c r="N45" s="129">
        <f t="shared" si="11"/>
        <v>0.36666666666666625</v>
      </c>
      <c r="O45" s="164"/>
    </row>
    <row r="46" spans="1:15">
      <c r="A46">
        <v>9004</v>
      </c>
      <c r="B46" t="s">
        <v>89</v>
      </c>
      <c r="C46" t="s">
        <v>89</v>
      </c>
      <c r="D46" s="143" t="s">
        <v>8</v>
      </c>
      <c r="E46" s="144">
        <v>43178.868437500001</v>
      </c>
      <c r="F46" s="104">
        <f t="shared" si="4"/>
        <v>43178.868437500001</v>
      </c>
      <c r="G46" s="125" t="str">
        <f t="shared" si="5"/>
        <v>20:50</v>
      </c>
      <c r="H46" s="33" t="str">
        <f t="shared" si="6"/>
        <v>-</v>
      </c>
      <c r="I46" s="92" t="str">
        <f t="shared" si="7"/>
        <v>-</v>
      </c>
      <c r="J46" s="92" t="str">
        <f t="shared" si="8"/>
        <v>-</v>
      </c>
      <c r="K46" s="93">
        <f t="shared" si="9"/>
        <v>0</v>
      </c>
      <c r="L46" s="93"/>
      <c r="M46" s="94">
        <f t="shared" si="10"/>
        <v>0</v>
      </c>
      <c r="N46" s="129">
        <f t="shared" si="11"/>
        <v>0</v>
      </c>
      <c r="O46" s="164"/>
    </row>
    <row r="47" spans="1:15">
      <c r="A47">
        <v>9017</v>
      </c>
      <c r="B47" t="s">
        <v>89</v>
      </c>
      <c r="C47" t="s">
        <v>89</v>
      </c>
      <c r="D47" s="143" t="s">
        <v>6</v>
      </c>
      <c r="E47" s="144">
        <v>43179.37332175926</v>
      </c>
      <c r="F47" s="104">
        <f t="shared" si="4"/>
        <v>43179.37332175926</v>
      </c>
      <c r="G47" s="125" t="str">
        <f t="shared" si="5"/>
        <v>8:57</v>
      </c>
      <c r="H47" s="33">
        <f t="shared" si="6"/>
        <v>9.3166666666666664</v>
      </c>
      <c r="I47" s="92">
        <f t="shared" si="7"/>
        <v>7.8166666666666664</v>
      </c>
      <c r="J47" s="92" t="str">
        <f t="shared" si="8"/>
        <v>-</v>
      </c>
      <c r="K47" s="93">
        <f t="shared" si="9"/>
        <v>0</v>
      </c>
      <c r="L47" s="93"/>
      <c r="M47" s="94">
        <f t="shared" si="10"/>
        <v>0</v>
      </c>
      <c r="N47" s="129">
        <f t="shared" si="11"/>
        <v>0</v>
      </c>
      <c r="O47" s="164"/>
    </row>
    <row r="48" spans="1:15">
      <c r="A48">
        <v>9021</v>
      </c>
      <c r="B48" t="s">
        <v>93</v>
      </c>
      <c r="C48" t="s">
        <v>89</v>
      </c>
      <c r="D48" s="143" t="s">
        <v>5</v>
      </c>
      <c r="E48" s="144">
        <v>43179.76152777778</v>
      </c>
      <c r="F48" s="104">
        <f t="shared" si="4"/>
        <v>43179.76152777778</v>
      </c>
      <c r="G48" s="125" t="str">
        <f t="shared" si="5"/>
        <v>18:16</v>
      </c>
      <c r="H48" s="33" t="str">
        <f t="shared" si="6"/>
        <v>-</v>
      </c>
      <c r="I48" s="92" t="str">
        <f t="shared" si="7"/>
        <v>-</v>
      </c>
      <c r="J48" s="92" t="str">
        <f t="shared" si="8"/>
        <v>-</v>
      </c>
      <c r="K48" s="93">
        <f t="shared" si="9"/>
        <v>0</v>
      </c>
      <c r="L48" s="93"/>
      <c r="M48" s="94">
        <f t="shared" si="10"/>
        <v>0</v>
      </c>
      <c r="N48" s="129">
        <f t="shared" si="11"/>
        <v>0</v>
      </c>
      <c r="O48" s="164"/>
    </row>
    <row r="49" spans="1:15">
      <c r="A49">
        <v>9054</v>
      </c>
      <c r="B49" t="s">
        <v>93</v>
      </c>
      <c r="C49" t="s">
        <v>89</v>
      </c>
      <c r="D49" s="143" t="s">
        <v>6</v>
      </c>
      <c r="E49" s="144">
        <v>43180.375254629631</v>
      </c>
      <c r="F49" s="104">
        <f t="shared" si="4"/>
        <v>43180.375254629631</v>
      </c>
      <c r="G49" s="125" t="str">
        <f t="shared" si="5"/>
        <v>9:0</v>
      </c>
      <c r="H49" s="33">
        <f t="shared" si="6"/>
        <v>10.033333333333335</v>
      </c>
      <c r="I49" s="92">
        <f t="shared" si="7"/>
        <v>8</v>
      </c>
      <c r="J49" s="92">
        <f t="shared" si="8"/>
        <v>3.3333333333334991E-2</v>
      </c>
      <c r="K49" s="93">
        <f t="shared" si="9"/>
        <v>0</v>
      </c>
      <c r="L49" s="93"/>
      <c r="M49" s="94">
        <f t="shared" si="10"/>
        <v>0</v>
      </c>
      <c r="N49" s="129">
        <f t="shared" si="11"/>
        <v>0</v>
      </c>
      <c r="O49" s="164"/>
    </row>
    <row r="50" spans="1:15">
      <c r="A50">
        <v>9071</v>
      </c>
      <c r="B50" t="s">
        <v>89</v>
      </c>
      <c r="C50" t="s">
        <v>89</v>
      </c>
      <c r="D50" s="143" t="s">
        <v>5</v>
      </c>
      <c r="E50" s="144">
        <v>43180.79347222222</v>
      </c>
      <c r="F50" s="104">
        <f t="shared" si="4"/>
        <v>43180.79347222222</v>
      </c>
      <c r="G50" s="125" t="str">
        <f t="shared" si="5"/>
        <v>19:2</v>
      </c>
      <c r="H50" s="33" t="str">
        <f t="shared" si="6"/>
        <v>-</v>
      </c>
      <c r="I50" s="92" t="str">
        <f t="shared" si="7"/>
        <v>-</v>
      </c>
      <c r="J50" s="92" t="str">
        <f t="shared" si="8"/>
        <v>-</v>
      </c>
      <c r="K50" s="93">
        <f t="shared" si="9"/>
        <v>0</v>
      </c>
      <c r="L50" s="93"/>
      <c r="M50" s="94">
        <f t="shared" si="10"/>
        <v>0</v>
      </c>
      <c r="N50" s="129">
        <f t="shared" si="11"/>
        <v>0</v>
      </c>
      <c r="O50" s="164"/>
    </row>
    <row r="51" spans="1:15">
      <c r="A51">
        <v>9075</v>
      </c>
      <c r="B51" t="s">
        <v>90</v>
      </c>
      <c r="C51" t="s">
        <v>89</v>
      </c>
      <c r="D51" s="143" t="s">
        <v>7</v>
      </c>
      <c r="E51" s="144">
        <v>43180.817465277774</v>
      </c>
      <c r="F51" s="104">
        <f t="shared" si="4"/>
        <v>43180.817465277774</v>
      </c>
      <c r="G51" s="125" t="str">
        <f t="shared" si="5"/>
        <v>19:37</v>
      </c>
      <c r="H51" s="33" t="str">
        <f t="shared" si="6"/>
        <v>-</v>
      </c>
      <c r="I51" s="92" t="str">
        <f t="shared" si="7"/>
        <v>-</v>
      </c>
      <c r="J51" s="92" t="str">
        <f t="shared" si="8"/>
        <v>-</v>
      </c>
      <c r="K51" s="93">
        <f t="shared" si="9"/>
        <v>1.8333333333333321</v>
      </c>
      <c r="L51" s="93"/>
      <c r="M51" s="94">
        <f t="shared" si="10"/>
        <v>0</v>
      </c>
      <c r="N51" s="129">
        <f t="shared" si="11"/>
        <v>0</v>
      </c>
      <c r="O51" s="164"/>
    </row>
    <row r="52" spans="1:15">
      <c r="A52">
        <v>9080</v>
      </c>
      <c r="B52" t="s">
        <v>90</v>
      </c>
      <c r="C52" t="s">
        <v>89</v>
      </c>
      <c r="D52" s="143" t="s">
        <v>8</v>
      </c>
      <c r="E52" s="144">
        <v>43180.893796296295</v>
      </c>
      <c r="F52" s="104">
        <f t="shared" si="4"/>
        <v>43180.893796296295</v>
      </c>
      <c r="G52" s="125" t="str">
        <f t="shared" si="5"/>
        <v>21:27</v>
      </c>
      <c r="H52" s="33" t="str">
        <f t="shared" si="6"/>
        <v>-</v>
      </c>
      <c r="I52" s="92" t="str">
        <f t="shared" si="7"/>
        <v>-</v>
      </c>
      <c r="J52" s="92" t="str">
        <f t="shared" si="8"/>
        <v>-</v>
      </c>
      <c r="K52" s="93">
        <f t="shared" si="9"/>
        <v>0</v>
      </c>
      <c r="L52" s="93"/>
      <c r="M52" s="94">
        <f t="shared" si="10"/>
        <v>0</v>
      </c>
      <c r="N52" s="129">
        <f t="shared" si="11"/>
        <v>0</v>
      </c>
      <c r="O52" s="16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工作表27"/>
  <dimension ref="A1"/>
  <sheetViews>
    <sheetView workbookViewId="0">
      <selection activeCell="K18" sqref="K18"/>
    </sheetView>
  </sheetViews>
  <sheetFormatPr defaultRowHeight="16.5"/>
  <sheetData/>
  <phoneticPr fontId="18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工作表28"/>
  <dimension ref="A1:P21"/>
  <sheetViews>
    <sheetView view="pageBreakPreview" topLeftCell="D1" zoomScaleNormal="100" zoomScaleSheetLayoutView="100" workbookViewId="0">
      <selection activeCell="S26" sqref="S26"/>
    </sheetView>
  </sheetViews>
  <sheetFormatPr defaultColWidth="9" defaultRowHeight="16.5" outlineLevelCol="1"/>
  <cols>
    <col min="1" max="1" width="5.625" style="201" hidden="1" customWidth="1" outlineLevel="1"/>
    <col min="2" max="2" width="6.875" style="201" hidden="1" customWidth="1" outlineLevel="1"/>
    <col min="3" max="3" width="6.5" style="202" hidden="1" customWidth="1" outlineLevel="1"/>
    <col min="4" max="4" width="10.375" style="202" customWidth="1" collapsed="1"/>
    <col min="5" max="5" width="15.75" style="202" customWidth="1"/>
    <col min="6" max="6" width="7.875" style="245" customWidth="1"/>
    <col min="7" max="7" width="8.625" style="246" hidden="1" customWidth="1" outlineLevel="1"/>
    <col min="8" max="8" width="11.125" style="247" hidden="1" customWidth="1" outlineLevel="1"/>
    <col min="9" max="9" width="10.25" style="248" customWidth="1" collapsed="1"/>
    <col min="10" max="10" width="10" style="248" customWidth="1"/>
    <col min="11" max="11" width="8.375" style="249" hidden="1" customWidth="1" outlineLevel="1"/>
    <col min="12" max="12" width="5.875" style="249" customWidth="1" collapsed="1"/>
    <col min="13" max="13" width="8.25" style="249" customWidth="1"/>
    <col min="14" max="14" width="8.125" style="249" customWidth="1"/>
    <col min="15" max="15" width="11.75" style="250" customWidth="1"/>
    <col min="16" max="16" width="9" style="212"/>
    <col min="17" max="16384" width="9" style="201"/>
  </cols>
  <sheetData>
    <row r="1" spans="1:16" s="190" customFormat="1" ht="28.5" thickBot="1">
      <c r="C1" s="191"/>
      <c r="D1" s="192"/>
      <c r="E1" s="192"/>
      <c r="F1" s="193"/>
      <c r="G1" s="194"/>
      <c r="H1" s="195"/>
      <c r="I1" s="196" t="str">
        <f>B7</f>
        <v>anne</v>
      </c>
      <c r="J1" s="197" t="s">
        <v>29</v>
      </c>
      <c r="K1" s="198"/>
      <c r="L1" s="198"/>
      <c r="M1" s="198"/>
      <c r="N1" s="198"/>
      <c r="O1" s="199"/>
      <c r="P1" s="200"/>
    </row>
    <row r="2" spans="1:16">
      <c r="D2" s="203"/>
      <c r="E2" s="204"/>
      <c r="F2" s="205" t="s">
        <v>28</v>
      </c>
      <c r="G2" s="206"/>
      <c r="H2" s="206"/>
      <c r="I2" s="207" t="s">
        <v>24</v>
      </c>
      <c r="J2" s="207"/>
      <c r="K2" s="208"/>
      <c r="L2" s="209"/>
      <c r="M2" s="210"/>
      <c r="N2" s="210"/>
      <c r="O2" s="211" t="s">
        <v>27</v>
      </c>
    </row>
    <row r="3" spans="1:16" ht="17.25" thickBot="1">
      <c r="D3" s="213"/>
      <c r="E3" s="214"/>
      <c r="F3" s="215"/>
      <c r="G3" s="216"/>
      <c r="H3" s="216"/>
      <c r="I3" s="217">
        <f>I6+J6+M6+N6</f>
        <v>48.216666666666661</v>
      </c>
      <c r="J3" s="218"/>
      <c r="K3" s="219"/>
      <c r="L3" s="219"/>
      <c r="M3" s="219"/>
      <c r="N3" s="219"/>
      <c r="O3" s="220"/>
    </row>
    <row r="4" spans="1:16">
      <c r="D4" s="221"/>
      <c r="E4" s="222"/>
      <c r="F4" s="223"/>
      <c r="G4" s="224"/>
      <c r="H4" s="224"/>
      <c r="I4" s="225" t="s">
        <v>33</v>
      </c>
      <c r="J4" s="225"/>
      <c r="K4" s="225"/>
      <c r="L4" s="225"/>
      <c r="M4" s="225"/>
      <c r="N4" s="225"/>
      <c r="O4" s="226"/>
    </row>
    <row r="5" spans="1:16">
      <c r="D5" s="227"/>
      <c r="E5" s="228"/>
      <c r="F5" s="229" t="s">
        <v>26</v>
      </c>
      <c r="G5" s="230"/>
      <c r="H5" s="230"/>
      <c r="I5" s="231" t="s">
        <v>81</v>
      </c>
      <c r="J5" s="231" t="s">
        <v>82</v>
      </c>
      <c r="K5" s="231"/>
      <c r="L5" s="231"/>
      <c r="M5" s="232"/>
      <c r="N5" s="232"/>
      <c r="O5" s="233"/>
    </row>
    <row r="6" spans="1:16" ht="17.25" thickBot="1">
      <c r="A6" s="201" t="s">
        <v>0</v>
      </c>
      <c r="B6" s="201" t="s">
        <v>1</v>
      </c>
      <c r="C6" s="202" t="s">
        <v>2</v>
      </c>
      <c r="D6" s="234" t="s">
        <v>3</v>
      </c>
      <c r="E6" s="235" t="s">
        <v>4</v>
      </c>
      <c r="F6" s="236"/>
      <c r="G6" s="237"/>
      <c r="H6" s="238" t="s">
        <v>22</v>
      </c>
      <c r="I6" s="239">
        <f>SUM(I7:I18)</f>
        <v>48</v>
      </c>
      <c r="J6" s="239">
        <f>SUM(J7:J18)</f>
        <v>0.21666666666666146</v>
      </c>
      <c r="K6" s="239" t="e">
        <f>SUM(#REF!)</f>
        <v>#REF!</v>
      </c>
      <c r="L6" s="239"/>
      <c r="M6" s="239"/>
      <c r="N6" s="239"/>
      <c r="O6" s="240"/>
    </row>
    <row r="7" spans="1:16">
      <c r="A7" s="312">
        <v>5138</v>
      </c>
      <c r="B7" s="312" t="s">
        <v>79</v>
      </c>
      <c r="C7" s="312" t="s">
        <v>79</v>
      </c>
      <c r="D7" s="315" t="s">
        <v>6</v>
      </c>
      <c r="E7" s="316">
        <v>42979.355613425927</v>
      </c>
      <c r="F7" s="241">
        <f t="shared" ref="F7" si="0">E7</f>
        <v>42979.355613425927</v>
      </c>
      <c r="G7" s="242" t="str">
        <f t="shared" ref="G7" si="1">HOUR(E7)&amp;":"&amp;MINUTE(E7)</f>
        <v>8:32</v>
      </c>
      <c r="H7" s="33">
        <f t="shared" ref="H7" si="2">IF(D7="上班",(G8-G7)*24,"-")</f>
        <v>9.9333333333333318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3">IF(D7="加班",(G8-G7)*24,0)</f>
        <v>0</v>
      </c>
      <c r="L7" s="93"/>
      <c r="M7" s="94">
        <f t="shared" ref="M7" si="4">IF(K7&gt;2,K7-2,0)</f>
        <v>0</v>
      </c>
      <c r="N7" s="129">
        <f t="shared" ref="N7" si="5">IF(K7&gt;2,K7-2,0)</f>
        <v>0</v>
      </c>
      <c r="O7" s="243"/>
    </row>
    <row r="8" spans="1:16">
      <c r="A8" s="312">
        <v>5150</v>
      </c>
      <c r="B8" s="312" t="s">
        <v>79</v>
      </c>
      <c r="C8" s="312" t="s">
        <v>79</v>
      </c>
      <c r="D8" s="317" t="s">
        <v>5</v>
      </c>
      <c r="E8" s="318">
        <v>42979.770127314812</v>
      </c>
      <c r="F8" s="241">
        <f t="shared" ref="F8:F9" si="6">E8</f>
        <v>42979.770127314812</v>
      </c>
      <c r="G8" s="242" t="str">
        <f t="shared" ref="G8:G9" si="7">HOUR(E8)&amp;":"&amp;MINUTE(E8)</f>
        <v>18:28</v>
      </c>
      <c r="H8" s="33" t="str">
        <f t="shared" ref="H8:H18" si="8">IF(D8="上班",(G9-G8)*24,"-")</f>
        <v>-</v>
      </c>
      <c r="I8" s="92" t="str">
        <f t="shared" ref="I8:I18" si="9">IF(D8="上班",IF(H8-1.5&gt;8,8,H8-1.5),"-")</f>
        <v>-</v>
      </c>
      <c r="J8" s="92" t="str">
        <f t="shared" ref="J8:J18" si="10">IF(D8="上班",IF(H8&gt;(8+2),(H8-8-1.5-0.5),"-"),"-")</f>
        <v>-</v>
      </c>
      <c r="K8" s="93">
        <f t="shared" ref="K8:K18" si="11">IF(D8="加班",(G9-G8)*24,0)</f>
        <v>0</v>
      </c>
      <c r="L8" s="93"/>
      <c r="M8" s="94">
        <f t="shared" ref="M8:M18" si="12">IF(K8&gt;2,K8-2,0)</f>
        <v>0</v>
      </c>
      <c r="N8" s="129">
        <f t="shared" ref="N8:N18" si="13">IF(K8&gt;2,K8-2,0)</f>
        <v>0</v>
      </c>
      <c r="O8" s="243"/>
    </row>
    <row r="9" spans="1:16">
      <c r="A9" s="312">
        <v>5153</v>
      </c>
      <c r="B9" s="312" t="s">
        <v>79</v>
      </c>
      <c r="C9" s="312" t="s">
        <v>79</v>
      </c>
      <c r="D9" s="317" t="s">
        <v>6</v>
      </c>
      <c r="E9" s="318">
        <v>42982.358182870368</v>
      </c>
      <c r="F9" s="241">
        <f t="shared" si="6"/>
        <v>42982.358182870368</v>
      </c>
      <c r="G9" s="242" t="str">
        <f t="shared" si="7"/>
        <v>8:35</v>
      </c>
      <c r="H9" s="33">
        <f t="shared" si="8"/>
        <v>10.066666666666665</v>
      </c>
      <c r="I9" s="92">
        <f t="shared" si="9"/>
        <v>8</v>
      </c>
      <c r="J9" s="92">
        <f t="shared" si="10"/>
        <v>6.6666666666664653E-2</v>
      </c>
      <c r="K9" s="93">
        <f t="shared" si="11"/>
        <v>0</v>
      </c>
      <c r="L9" s="93"/>
      <c r="M9" s="94">
        <f t="shared" si="12"/>
        <v>0</v>
      </c>
      <c r="N9" s="129">
        <f t="shared" si="13"/>
        <v>0</v>
      </c>
      <c r="O9" s="243"/>
    </row>
    <row r="10" spans="1:16">
      <c r="A10" s="312">
        <v>5169</v>
      </c>
      <c r="B10" s="312" t="s">
        <v>79</v>
      </c>
      <c r="C10" s="312" t="s">
        <v>79</v>
      </c>
      <c r="D10" s="317" t="s">
        <v>5</v>
      </c>
      <c r="E10" s="318">
        <v>42982.777268518519</v>
      </c>
      <c r="F10" s="241">
        <f t="shared" ref="F10:F18" si="14">E10</f>
        <v>42982.777268518519</v>
      </c>
      <c r="G10" s="242" t="str">
        <f t="shared" ref="G10:G18" si="15">HOUR(E10)&amp;":"&amp;MINUTE(E10)</f>
        <v>18:39</v>
      </c>
      <c r="H10" s="33" t="str">
        <f t="shared" si="8"/>
        <v>-</v>
      </c>
      <c r="I10" s="92" t="str">
        <f t="shared" si="9"/>
        <v>-</v>
      </c>
      <c r="J10" s="92" t="str">
        <f t="shared" si="10"/>
        <v>-</v>
      </c>
      <c r="K10" s="93">
        <f t="shared" si="11"/>
        <v>0</v>
      </c>
      <c r="L10" s="93"/>
      <c r="M10" s="94">
        <f t="shared" si="12"/>
        <v>0</v>
      </c>
      <c r="N10" s="129">
        <f t="shared" si="13"/>
        <v>0</v>
      </c>
      <c r="O10" s="243"/>
    </row>
    <row r="11" spans="1:16">
      <c r="A11" s="312">
        <v>5177</v>
      </c>
      <c r="B11" s="312" t="s">
        <v>79</v>
      </c>
      <c r="C11" s="312" t="s">
        <v>79</v>
      </c>
      <c r="D11" s="317" t="s">
        <v>6</v>
      </c>
      <c r="E11" s="318">
        <v>42983.354479166665</v>
      </c>
      <c r="F11" s="241">
        <f t="shared" si="14"/>
        <v>42983.354479166665</v>
      </c>
      <c r="G11" s="242" t="str">
        <f t="shared" si="15"/>
        <v>8:30</v>
      </c>
      <c r="H11" s="33">
        <f t="shared" si="8"/>
        <v>10.149999999999997</v>
      </c>
      <c r="I11" s="92">
        <f t="shared" si="9"/>
        <v>8</v>
      </c>
      <c r="J11" s="92">
        <f t="shared" si="10"/>
        <v>0.1499999999999968</v>
      </c>
      <c r="K11" s="93">
        <f t="shared" si="11"/>
        <v>0</v>
      </c>
      <c r="L11" s="93"/>
      <c r="M11" s="94">
        <f t="shared" si="12"/>
        <v>0</v>
      </c>
      <c r="N11" s="129">
        <f t="shared" si="13"/>
        <v>0</v>
      </c>
      <c r="O11" s="243"/>
    </row>
    <row r="12" spans="1:16" s="63" customFormat="1">
      <c r="A12" s="322">
        <v>5169</v>
      </c>
      <c r="B12" s="322" t="s">
        <v>79</v>
      </c>
      <c r="C12" s="322" t="s">
        <v>79</v>
      </c>
      <c r="D12" s="321" t="s">
        <v>5</v>
      </c>
      <c r="E12" s="320">
        <v>42983.777268518519</v>
      </c>
      <c r="F12" s="135">
        <f t="shared" si="14"/>
        <v>42983.777268518519</v>
      </c>
      <c r="G12" s="67" t="str">
        <f t="shared" si="15"/>
        <v>18:39</v>
      </c>
      <c r="H12" s="33" t="str">
        <f t="shared" si="8"/>
        <v>-</v>
      </c>
      <c r="I12" s="92" t="str">
        <f t="shared" si="9"/>
        <v>-</v>
      </c>
      <c r="J12" s="92" t="str">
        <f t="shared" si="10"/>
        <v>-</v>
      </c>
      <c r="K12" s="93">
        <f t="shared" si="11"/>
        <v>0</v>
      </c>
      <c r="L12" s="93"/>
      <c r="M12" s="94">
        <f t="shared" si="12"/>
        <v>0</v>
      </c>
      <c r="N12" s="129">
        <f t="shared" si="13"/>
        <v>0</v>
      </c>
      <c r="O12" s="186"/>
      <c r="P12" s="18"/>
    </row>
    <row r="13" spans="1:16">
      <c r="A13" s="312">
        <v>5204</v>
      </c>
      <c r="B13" s="312" t="s">
        <v>79</v>
      </c>
      <c r="C13" s="312" t="s">
        <v>79</v>
      </c>
      <c r="D13" s="317" t="s">
        <v>6</v>
      </c>
      <c r="E13" s="318">
        <v>42984.356087962966</v>
      </c>
      <c r="F13" s="241">
        <f t="shared" si="14"/>
        <v>42984.356087962966</v>
      </c>
      <c r="G13" s="242" t="str">
        <f t="shared" si="15"/>
        <v>8:32</v>
      </c>
      <c r="H13" s="33">
        <f t="shared" si="8"/>
        <v>9.9833333333333307</v>
      </c>
      <c r="I13" s="92">
        <f t="shared" si="9"/>
        <v>8</v>
      </c>
      <c r="J13" s="92" t="str">
        <f t="shared" si="10"/>
        <v>-</v>
      </c>
      <c r="K13" s="93">
        <f t="shared" si="11"/>
        <v>0</v>
      </c>
      <c r="L13" s="93"/>
      <c r="M13" s="94">
        <f t="shared" si="12"/>
        <v>0</v>
      </c>
      <c r="N13" s="129">
        <f t="shared" si="13"/>
        <v>0</v>
      </c>
      <c r="O13" s="243"/>
    </row>
    <row r="14" spans="1:16">
      <c r="A14" s="312">
        <v>5219</v>
      </c>
      <c r="B14" s="312" t="s">
        <v>79</v>
      </c>
      <c r="C14" s="312" t="s">
        <v>79</v>
      </c>
      <c r="D14" s="317" t="s">
        <v>5</v>
      </c>
      <c r="E14" s="318">
        <v>42984.772187499999</v>
      </c>
      <c r="F14" s="241">
        <f t="shared" si="14"/>
        <v>42984.772187499999</v>
      </c>
      <c r="G14" s="242" t="str">
        <f t="shared" si="15"/>
        <v>18:31</v>
      </c>
      <c r="H14" s="33" t="str">
        <f t="shared" si="8"/>
        <v>-</v>
      </c>
      <c r="I14" s="92" t="str">
        <f t="shared" si="9"/>
        <v>-</v>
      </c>
      <c r="J14" s="92" t="str">
        <f t="shared" si="10"/>
        <v>-</v>
      </c>
      <c r="K14" s="93">
        <f t="shared" si="11"/>
        <v>0</v>
      </c>
      <c r="L14" s="93"/>
      <c r="M14" s="94">
        <f t="shared" si="12"/>
        <v>0</v>
      </c>
      <c r="N14" s="129">
        <f t="shared" si="13"/>
        <v>0</v>
      </c>
      <c r="O14" s="243"/>
    </row>
    <row r="15" spans="1:16">
      <c r="A15" s="312">
        <v>5227</v>
      </c>
      <c r="B15" s="312" t="s">
        <v>79</v>
      </c>
      <c r="C15" s="312" t="s">
        <v>79</v>
      </c>
      <c r="D15" s="317" t="s">
        <v>6</v>
      </c>
      <c r="E15" s="318">
        <v>42985.353888888887</v>
      </c>
      <c r="F15" s="241">
        <f t="shared" si="14"/>
        <v>42985.353888888887</v>
      </c>
      <c r="G15" s="242" t="str">
        <f t="shared" si="15"/>
        <v>8:29</v>
      </c>
      <c r="H15" s="33">
        <f t="shared" si="8"/>
        <v>9.9833333333333325</v>
      </c>
      <c r="I15" s="92">
        <f t="shared" si="9"/>
        <v>8</v>
      </c>
      <c r="J15" s="92" t="str">
        <f t="shared" si="10"/>
        <v>-</v>
      </c>
      <c r="K15" s="93">
        <f t="shared" si="11"/>
        <v>0</v>
      </c>
      <c r="L15" s="93"/>
      <c r="M15" s="94">
        <f t="shared" si="12"/>
        <v>0</v>
      </c>
      <c r="N15" s="129">
        <f t="shared" si="13"/>
        <v>0</v>
      </c>
      <c r="O15" s="243"/>
    </row>
    <row r="16" spans="1:16">
      <c r="A16" s="312">
        <v>5238</v>
      </c>
      <c r="B16" s="312" t="s">
        <v>79</v>
      </c>
      <c r="C16" s="312" t="s">
        <v>79</v>
      </c>
      <c r="D16" s="317" t="s">
        <v>5</v>
      </c>
      <c r="E16" s="318">
        <v>42985.769872685189</v>
      </c>
      <c r="F16" s="241">
        <f t="shared" si="14"/>
        <v>42985.769872685189</v>
      </c>
      <c r="G16" s="242" t="str">
        <f t="shared" si="15"/>
        <v>18:28</v>
      </c>
      <c r="H16" s="33" t="str">
        <f t="shared" si="8"/>
        <v>-</v>
      </c>
      <c r="I16" s="92" t="str">
        <f t="shared" si="9"/>
        <v>-</v>
      </c>
      <c r="J16" s="92" t="str">
        <f t="shared" si="10"/>
        <v>-</v>
      </c>
      <c r="K16" s="93">
        <f t="shared" si="11"/>
        <v>0</v>
      </c>
      <c r="L16" s="93"/>
      <c r="M16" s="94">
        <f t="shared" si="12"/>
        <v>0</v>
      </c>
      <c r="N16" s="129">
        <f t="shared" si="13"/>
        <v>0</v>
      </c>
      <c r="O16" s="243"/>
    </row>
    <row r="17" spans="1:15">
      <c r="A17" s="312">
        <v>5256</v>
      </c>
      <c r="B17" s="312" t="s">
        <v>79</v>
      </c>
      <c r="C17" s="312" t="s">
        <v>79</v>
      </c>
      <c r="D17" s="317" t="s">
        <v>6</v>
      </c>
      <c r="E17" s="318">
        <v>42986.360937500001</v>
      </c>
      <c r="F17" s="241">
        <f t="shared" si="14"/>
        <v>42986.360937500001</v>
      </c>
      <c r="G17" s="242" t="str">
        <f t="shared" si="15"/>
        <v>8:39</v>
      </c>
      <c r="H17" s="33">
        <f t="shared" si="8"/>
        <v>9.9333333333333318</v>
      </c>
      <c r="I17" s="92">
        <f t="shared" si="9"/>
        <v>8</v>
      </c>
      <c r="J17" s="92" t="str">
        <f t="shared" si="10"/>
        <v>-</v>
      </c>
      <c r="K17" s="93">
        <f t="shared" si="11"/>
        <v>0</v>
      </c>
      <c r="L17" s="93"/>
      <c r="M17" s="94">
        <f t="shared" si="12"/>
        <v>0</v>
      </c>
      <c r="N17" s="129">
        <f t="shared" si="13"/>
        <v>0</v>
      </c>
      <c r="O17" s="243"/>
    </row>
    <row r="18" spans="1:15">
      <c r="A18" s="312">
        <v>5266</v>
      </c>
      <c r="B18" s="312" t="s">
        <v>79</v>
      </c>
      <c r="C18" s="312" t="s">
        <v>79</v>
      </c>
      <c r="D18" s="317" t="s">
        <v>5</v>
      </c>
      <c r="E18" s="318">
        <v>42986.774837962963</v>
      </c>
      <c r="F18" s="241">
        <f t="shared" si="14"/>
        <v>42986.774837962963</v>
      </c>
      <c r="G18" s="242" t="str">
        <f t="shared" si="15"/>
        <v>18:35</v>
      </c>
      <c r="H18" s="33" t="str">
        <f t="shared" si="8"/>
        <v>-</v>
      </c>
      <c r="I18" s="92" t="str">
        <f t="shared" si="9"/>
        <v>-</v>
      </c>
      <c r="J18" s="92" t="str">
        <f t="shared" si="10"/>
        <v>-</v>
      </c>
      <c r="K18" s="93">
        <f t="shared" si="11"/>
        <v>0</v>
      </c>
      <c r="L18" s="93"/>
      <c r="M18" s="94">
        <f t="shared" si="12"/>
        <v>0</v>
      </c>
      <c r="N18" s="129">
        <f t="shared" si="13"/>
        <v>0</v>
      </c>
      <c r="O18" s="243"/>
    </row>
    <row r="20" spans="1:15">
      <c r="D20" s="244"/>
    </row>
    <row r="21" spans="1:15">
      <c r="D21" s="24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工作表29"/>
  <dimension ref="A1:P23"/>
  <sheetViews>
    <sheetView view="pageBreakPreview" topLeftCell="D1" zoomScaleNormal="100" zoomScaleSheetLayoutView="100" workbookViewId="0">
      <selection activeCell="T15" sqref="T15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10.375" style="3" customWidth="1" collapsed="1"/>
    <col min="5" max="5" width="15.7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2.25" style="22" hidden="1" customWidth="1" outlineLevel="1"/>
    <col min="12" max="12" width="5.875" style="22" customWidth="1" collapsed="1"/>
    <col min="13" max="13" width="8.25" style="22" customWidth="1"/>
    <col min="14" max="14" width="8.125" style="22" customWidth="1"/>
    <col min="15" max="15" width="18.7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B9</f>
        <v>yvonne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I6+J6+M6+N6</f>
        <v>47.283333333333331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81</v>
      </c>
      <c r="J5" s="118" t="s">
        <v>82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SUM(I7:I22)</f>
        <v>47.283333333333331</v>
      </c>
      <c r="J6" s="124">
        <f>SUM(J7:J20)</f>
        <v>0</v>
      </c>
      <c r="K6" s="124">
        <f>SUM(K9:K20)</f>
        <v>0</v>
      </c>
      <c r="L6" s="124">
        <f>SUM(L9:L20)</f>
        <v>0</v>
      </c>
      <c r="M6" s="124">
        <f>SUM(M9:M20)</f>
        <v>0</v>
      </c>
      <c r="N6" s="124">
        <f>SUM(N9:N20)</f>
        <v>0</v>
      </c>
      <c r="O6" s="45"/>
    </row>
    <row r="7" spans="1:16" s="63" customFormat="1">
      <c r="A7" s="314">
        <v>5160</v>
      </c>
      <c r="B7" s="314" t="s">
        <v>73</v>
      </c>
      <c r="C7" s="314" t="s">
        <v>73</v>
      </c>
      <c r="D7" s="317" t="s">
        <v>6</v>
      </c>
      <c r="E7" s="318">
        <v>42982.373495370368</v>
      </c>
      <c r="F7" s="104">
        <f>E7</f>
        <v>42982.373495370368</v>
      </c>
      <c r="G7" s="125" t="str">
        <f>HOUR(E7)&amp;":"&amp;MINUTE(E7)</f>
        <v>8:57</v>
      </c>
      <c r="H7" s="33">
        <f t="shared" ref="H7:H20" si="0">IF(D7="上班",(G8-G7)*24,"-")</f>
        <v>9.6333333333333329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:N8" si="3">IF(K7&gt;2,K7-2,0)</f>
        <v>0</v>
      </c>
      <c r="O7" s="164"/>
      <c r="P7" s="18"/>
    </row>
    <row r="8" spans="1:16">
      <c r="A8" s="312">
        <v>5168</v>
      </c>
      <c r="B8" s="312" t="s">
        <v>73</v>
      </c>
      <c r="C8" s="312" t="s">
        <v>73</v>
      </c>
      <c r="D8" s="317" t="s">
        <v>5</v>
      </c>
      <c r="E8" s="318">
        <v>42982.774629629632</v>
      </c>
      <c r="F8" s="104">
        <f t="shared" ref="F8:F20" si="4">E8</f>
        <v>42982.774629629632</v>
      </c>
      <c r="G8" s="125" t="str">
        <f t="shared" ref="G8:G9" si="5">HOUR(E8)&amp;":"&amp;MINUTE(E8)</f>
        <v>18:35</v>
      </c>
      <c r="H8" s="33" t="str">
        <f t="shared" si="0"/>
        <v>-</v>
      </c>
      <c r="I8" s="92" t="str">
        <f t="shared" ref="I8:I20" si="6">IF(D8="上班",IF(H8-1.5&gt;8,8,H8-1.5),"-")</f>
        <v>-</v>
      </c>
      <c r="J8" s="92" t="str">
        <f t="shared" ref="J8:J20" si="7">IF(D8="上班",IF(H8&gt;(8+2),(H8-8-1.5-0.5),"-"),"-")</f>
        <v>-</v>
      </c>
      <c r="K8" s="128">
        <f>IF(D8="加班",(#REF!-G8)*24,0)</f>
        <v>0</v>
      </c>
      <c r="L8" s="128"/>
      <c r="M8" s="129">
        <f t="shared" ref="M8" si="8">IF(K8&gt;2,2,K8)</f>
        <v>0</v>
      </c>
      <c r="N8" s="129">
        <f t="shared" si="3"/>
        <v>0</v>
      </c>
      <c r="O8" s="164"/>
    </row>
    <row r="9" spans="1:16" s="63" customFormat="1">
      <c r="A9" s="314">
        <v>5183</v>
      </c>
      <c r="B9" s="314" t="s">
        <v>73</v>
      </c>
      <c r="C9" s="314" t="s">
        <v>73</v>
      </c>
      <c r="D9" s="317" t="s">
        <v>6</v>
      </c>
      <c r="E9" s="318">
        <v>42983.587708333333</v>
      </c>
      <c r="F9" s="104">
        <f t="shared" si="4"/>
        <v>42983.587708333333</v>
      </c>
      <c r="G9" s="125" t="str">
        <f t="shared" si="5"/>
        <v>14:6</v>
      </c>
      <c r="H9" s="33">
        <f t="shared" si="0"/>
        <v>4.6333333333333329</v>
      </c>
      <c r="I9" s="92">
        <f>IF(D9="上班",IF(H9-1.5&gt;8,8,H9-1.5),"-")+1.5</f>
        <v>4.6333333333333329</v>
      </c>
      <c r="J9" s="92" t="str">
        <f t="shared" si="7"/>
        <v>-</v>
      </c>
      <c r="K9" s="128">
        <f>IF(D9="加班",(#REF!-G9)*24,0)</f>
        <v>0</v>
      </c>
      <c r="L9" s="128"/>
      <c r="M9" s="129">
        <f t="shared" ref="M9:M20" si="9">IF(K9&gt;2,2,K9)</f>
        <v>0</v>
      </c>
      <c r="N9" s="129">
        <f t="shared" ref="N9:N20" si="10">IF(K9&gt;2,K9-2,0)</f>
        <v>0</v>
      </c>
      <c r="O9" s="164"/>
      <c r="P9" s="18"/>
    </row>
    <row r="10" spans="1:16">
      <c r="A10" s="312">
        <v>5197</v>
      </c>
      <c r="B10" s="312" t="s">
        <v>73</v>
      </c>
      <c r="C10" s="312" t="s">
        <v>73</v>
      </c>
      <c r="D10" s="317" t="s">
        <v>5</v>
      </c>
      <c r="E10" s="318">
        <v>42983.780925925923</v>
      </c>
      <c r="F10" s="104">
        <f t="shared" si="4"/>
        <v>42983.780925925923</v>
      </c>
      <c r="G10" s="125" t="str">
        <f t="shared" ref="G10:G20" si="11">HOUR(E10)&amp;":"&amp;MINUTE(E10)</f>
        <v>18:44</v>
      </c>
      <c r="H10" s="33" t="str">
        <f t="shared" si="0"/>
        <v>-</v>
      </c>
      <c r="I10" s="92" t="str">
        <f t="shared" si="6"/>
        <v>-</v>
      </c>
      <c r="J10" s="92" t="str">
        <f t="shared" si="7"/>
        <v>-</v>
      </c>
      <c r="K10" s="128">
        <f>IF(D10="加班",(#REF!-G10)*24,0)</f>
        <v>0</v>
      </c>
      <c r="L10" s="128"/>
      <c r="M10" s="129">
        <f t="shared" si="9"/>
        <v>0</v>
      </c>
      <c r="N10" s="129">
        <f t="shared" si="10"/>
        <v>0</v>
      </c>
      <c r="O10" s="164"/>
    </row>
    <row r="11" spans="1:16">
      <c r="A11" s="312">
        <v>5212</v>
      </c>
      <c r="B11" s="312" t="s">
        <v>73</v>
      </c>
      <c r="C11" s="312" t="s">
        <v>73</v>
      </c>
      <c r="D11" s="317" t="s">
        <v>6</v>
      </c>
      <c r="E11" s="318">
        <v>42984.434351851851</v>
      </c>
      <c r="F11" s="104">
        <f t="shared" si="4"/>
        <v>42984.434351851851</v>
      </c>
      <c r="G11" s="125" t="str">
        <f t="shared" si="11"/>
        <v>10:25</v>
      </c>
      <c r="H11" s="33">
        <f t="shared" si="0"/>
        <v>8.2666666666666675</v>
      </c>
      <c r="I11" s="92">
        <f t="shared" si="6"/>
        <v>6.7666666666666675</v>
      </c>
      <c r="J11" s="92" t="str">
        <f t="shared" si="7"/>
        <v>-</v>
      </c>
      <c r="K11" s="128">
        <f>IF(D11="加班",(#REF!-G11)*24,0)</f>
        <v>0</v>
      </c>
      <c r="L11" s="128"/>
      <c r="M11" s="129">
        <f t="shared" si="9"/>
        <v>0</v>
      </c>
      <c r="N11" s="129">
        <f t="shared" si="10"/>
        <v>0</v>
      </c>
      <c r="O11" s="164"/>
    </row>
    <row r="12" spans="1:16">
      <c r="A12" s="312">
        <v>5222</v>
      </c>
      <c r="B12" s="312" t="s">
        <v>73</v>
      </c>
      <c r="C12" s="312" t="s">
        <v>73</v>
      </c>
      <c r="D12" s="317" t="s">
        <v>5</v>
      </c>
      <c r="E12" s="318">
        <v>42984.778622685182</v>
      </c>
      <c r="F12" s="104">
        <f t="shared" si="4"/>
        <v>42984.778622685182</v>
      </c>
      <c r="G12" s="125" t="str">
        <f t="shared" si="11"/>
        <v>18:41</v>
      </c>
      <c r="H12" s="33" t="str">
        <f t="shared" si="0"/>
        <v>-</v>
      </c>
      <c r="I12" s="92" t="str">
        <f t="shared" si="6"/>
        <v>-</v>
      </c>
      <c r="J12" s="92" t="str">
        <f t="shared" si="7"/>
        <v>-</v>
      </c>
      <c r="K12" s="128">
        <f>IF(D12="加班",(#REF!-G12)*24,0)</f>
        <v>0</v>
      </c>
      <c r="L12" s="128"/>
      <c r="M12" s="129">
        <f t="shared" si="9"/>
        <v>0</v>
      </c>
      <c r="N12" s="129">
        <f t="shared" si="10"/>
        <v>0</v>
      </c>
      <c r="O12" s="164"/>
    </row>
    <row r="13" spans="1:16">
      <c r="A13" s="312">
        <v>5234</v>
      </c>
      <c r="B13" s="312" t="s">
        <v>73</v>
      </c>
      <c r="C13" s="312" t="s">
        <v>73</v>
      </c>
      <c r="D13" s="317" t="s">
        <v>6</v>
      </c>
      <c r="E13" s="318">
        <v>42985.58697916667</v>
      </c>
      <c r="F13" s="104">
        <f t="shared" si="4"/>
        <v>42985.58697916667</v>
      </c>
      <c r="G13" s="125" t="str">
        <f t="shared" si="11"/>
        <v>14:5</v>
      </c>
      <c r="H13" s="33">
        <f t="shared" si="0"/>
        <v>4.4666666666666668</v>
      </c>
      <c r="I13" s="92">
        <f>IF(D13="上班",IF(H13-1.5&gt;8,8,H13-1.5),"-")+1.5</f>
        <v>4.4666666666666668</v>
      </c>
      <c r="J13" s="92" t="str">
        <f t="shared" si="7"/>
        <v>-</v>
      </c>
      <c r="K13" s="128">
        <f>IF(D13="加班",(#REF!-G13)*24,0)</f>
        <v>0</v>
      </c>
      <c r="L13" s="128"/>
      <c r="M13" s="129">
        <f t="shared" si="9"/>
        <v>0</v>
      </c>
      <c r="N13" s="129">
        <f t="shared" si="10"/>
        <v>0</v>
      </c>
      <c r="O13" s="164"/>
    </row>
    <row r="14" spans="1:16">
      <c r="A14" s="312">
        <v>5243</v>
      </c>
      <c r="B14" s="312" t="s">
        <v>73</v>
      </c>
      <c r="C14" s="312" t="s">
        <v>73</v>
      </c>
      <c r="D14" s="317" t="s">
        <v>5</v>
      </c>
      <c r="E14" s="318">
        <v>42985.773564814815</v>
      </c>
      <c r="F14" s="104">
        <f t="shared" si="4"/>
        <v>42985.773564814815</v>
      </c>
      <c r="G14" s="125" t="str">
        <f t="shared" si="11"/>
        <v>18:33</v>
      </c>
      <c r="H14" s="33" t="str">
        <f t="shared" si="0"/>
        <v>-</v>
      </c>
      <c r="I14" s="92" t="str">
        <f t="shared" si="6"/>
        <v>-</v>
      </c>
      <c r="J14" s="92" t="str">
        <f t="shared" si="7"/>
        <v>-</v>
      </c>
      <c r="K14" s="128">
        <f>IF(D14="加班",(#REF!-G14)*24,0)</f>
        <v>0</v>
      </c>
      <c r="L14" s="128"/>
      <c r="M14" s="129">
        <f t="shared" si="9"/>
        <v>0</v>
      </c>
      <c r="N14" s="129">
        <f t="shared" si="10"/>
        <v>0</v>
      </c>
      <c r="O14" s="164"/>
    </row>
    <row r="15" spans="1:16">
      <c r="A15" s="312">
        <v>5262</v>
      </c>
      <c r="B15" s="312" t="s">
        <v>73</v>
      </c>
      <c r="C15" s="312" t="s">
        <v>73</v>
      </c>
      <c r="D15" s="317" t="s">
        <v>6</v>
      </c>
      <c r="E15" s="318">
        <v>42986.37400462963</v>
      </c>
      <c r="F15" s="104">
        <f t="shared" si="4"/>
        <v>42986.37400462963</v>
      </c>
      <c r="G15" s="125" t="str">
        <f t="shared" si="11"/>
        <v>8:58</v>
      </c>
      <c r="H15" s="33">
        <f t="shared" si="0"/>
        <v>9.7166666666666668</v>
      </c>
      <c r="I15" s="92">
        <f t="shared" si="6"/>
        <v>8</v>
      </c>
      <c r="J15" s="92" t="str">
        <f t="shared" si="7"/>
        <v>-</v>
      </c>
      <c r="K15" s="128">
        <f>IF(D15="加班",(#REF!-G15)*24,0)</f>
        <v>0</v>
      </c>
      <c r="L15" s="128"/>
      <c r="M15" s="129">
        <f t="shared" si="9"/>
        <v>0</v>
      </c>
      <c r="N15" s="129">
        <f t="shared" si="10"/>
        <v>0</v>
      </c>
      <c r="O15" s="164"/>
    </row>
    <row r="16" spans="1:16">
      <c r="A16" s="312">
        <v>5267</v>
      </c>
      <c r="B16" s="312" t="s">
        <v>73</v>
      </c>
      <c r="C16" s="312" t="s">
        <v>73</v>
      </c>
      <c r="D16" s="317" t="s">
        <v>5</v>
      </c>
      <c r="E16" s="318">
        <v>42986.778564814813</v>
      </c>
      <c r="F16" s="104">
        <f t="shared" si="4"/>
        <v>42986.778564814813</v>
      </c>
      <c r="G16" s="125" t="str">
        <f t="shared" si="11"/>
        <v>18:41</v>
      </c>
      <c r="H16" s="33" t="str">
        <f t="shared" si="0"/>
        <v>-</v>
      </c>
      <c r="I16" s="92" t="str">
        <f t="shared" si="6"/>
        <v>-</v>
      </c>
      <c r="J16" s="92" t="str">
        <f t="shared" si="7"/>
        <v>-</v>
      </c>
      <c r="K16" s="128">
        <f>IF(D16="加班",(#REF!-G16)*24,0)</f>
        <v>0</v>
      </c>
      <c r="L16" s="128"/>
      <c r="M16" s="129">
        <f t="shared" si="9"/>
        <v>0</v>
      </c>
      <c r="N16" s="129">
        <f t="shared" si="10"/>
        <v>0</v>
      </c>
      <c r="O16" s="164"/>
    </row>
    <row r="17" spans="1:16">
      <c r="A17" s="313">
        <v>5262</v>
      </c>
      <c r="B17" s="313" t="s">
        <v>73</v>
      </c>
      <c r="C17" s="313" t="s">
        <v>73</v>
      </c>
      <c r="D17" s="319" t="s">
        <v>6</v>
      </c>
      <c r="E17" s="320">
        <v>42993.375393518516</v>
      </c>
      <c r="F17" s="104">
        <f t="shared" si="4"/>
        <v>42993.375393518516</v>
      </c>
      <c r="G17" s="125" t="str">
        <f t="shared" si="11"/>
        <v>9:0</v>
      </c>
      <c r="H17" s="33">
        <f t="shared" si="0"/>
        <v>9.5</v>
      </c>
      <c r="I17" s="92">
        <f t="shared" si="6"/>
        <v>8</v>
      </c>
      <c r="J17" s="92" t="str">
        <f t="shared" si="7"/>
        <v>-</v>
      </c>
      <c r="K17" s="128">
        <f>IF(D17="加班",(#REF!-G17)*24,0)</f>
        <v>0</v>
      </c>
      <c r="L17" s="128"/>
      <c r="M17" s="129">
        <f t="shared" si="9"/>
        <v>0</v>
      </c>
      <c r="N17" s="129">
        <f t="shared" si="10"/>
        <v>0</v>
      </c>
      <c r="O17" s="164"/>
    </row>
    <row r="18" spans="1:16">
      <c r="A18" s="313">
        <v>5267</v>
      </c>
      <c r="B18" s="313" t="s">
        <v>73</v>
      </c>
      <c r="C18" s="313" t="s">
        <v>73</v>
      </c>
      <c r="D18" s="319" t="s">
        <v>5</v>
      </c>
      <c r="E18" s="320">
        <v>42993.770925925928</v>
      </c>
      <c r="F18" s="104">
        <f t="shared" si="4"/>
        <v>42993.770925925928</v>
      </c>
      <c r="G18" s="125" t="str">
        <f t="shared" si="11"/>
        <v>18:30</v>
      </c>
      <c r="H18" s="33" t="str">
        <f t="shared" si="0"/>
        <v>-</v>
      </c>
      <c r="I18" s="92" t="str">
        <f t="shared" si="6"/>
        <v>-</v>
      </c>
      <c r="J18" s="92" t="str">
        <f t="shared" si="7"/>
        <v>-</v>
      </c>
      <c r="K18" s="128">
        <f>IF(D18="加班",(#REF!-G18)*24,0)</f>
        <v>0</v>
      </c>
      <c r="L18" s="128"/>
      <c r="M18" s="129">
        <f t="shared" si="9"/>
        <v>0</v>
      </c>
      <c r="N18" s="129">
        <f t="shared" si="10"/>
        <v>0</v>
      </c>
      <c r="O18" s="164"/>
    </row>
    <row r="19" spans="1:16">
      <c r="A19" s="313">
        <v>5262</v>
      </c>
      <c r="B19" s="313" t="s">
        <v>73</v>
      </c>
      <c r="C19" s="313" t="s">
        <v>73</v>
      </c>
      <c r="D19" s="319" t="s">
        <v>6</v>
      </c>
      <c r="E19" s="320">
        <v>43008.358032407406</v>
      </c>
      <c r="F19" s="104">
        <f t="shared" si="4"/>
        <v>43008.358032407406</v>
      </c>
      <c r="G19" s="125" t="str">
        <f t="shared" si="11"/>
        <v>8:35</v>
      </c>
      <c r="H19" s="33">
        <f t="shared" si="0"/>
        <v>8.9166666666666661</v>
      </c>
      <c r="I19" s="92">
        <f t="shared" si="6"/>
        <v>7.4166666666666661</v>
      </c>
      <c r="J19" s="92" t="str">
        <f t="shared" si="7"/>
        <v>-</v>
      </c>
      <c r="K19" s="128">
        <f>IF(D19="加班",(#REF!-G19)*24,0)</f>
        <v>0</v>
      </c>
      <c r="L19" s="128"/>
      <c r="M19" s="129">
        <f t="shared" si="9"/>
        <v>0</v>
      </c>
      <c r="N19" s="129">
        <f t="shared" si="10"/>
        <v>0</v>
      </c>
      <c r="O19" s="164"/>
    </row>
    <row r="20" spans="1:16">
      <c r="A20" s="313">
        <v>5267</v>
      </c>
      <c r="B20" s="313" t="s">
        <v>73</v>
      </c>
      <c r="C20" s="313" t="s">
        <v>73</v>
      </c>
      <c r="D20" s="319" t="s">
        <v>5</v>
      </c>
      <c r="E20" s="320">
        <v>43008.729259259257</v>
      </c>
      <c r="F20" s="104">
        <f t="shared" si="4"/>
        <v>43008.729259259257</v>
      </c>
      <c r="G20" s="125" t="str">
        <f t="shared" si="11"/>
        <v>17:30</v>
      </c>
      <c r="H20" s="33" t="str">
        <f t="shared" si="0"/>
        <v>-</v>
      </c>
      <c r="I20" s="92" t="str">
        <f t="shared" si="6"/>
        <v>-</v>
      </c>
      <c r="J20" s="92" t="str">
        <f t="shared" si="7"/>
        <v>-</v>
      </c>
      <c r="K20" s="128">
        <f>IF(D20="加班",(#REF!-G20)*24,0)</f>
        <v>0</v>
      </c>
      <c r="L20" s="128"/>
      <c r="M20" s="129">
        <f t="shared" si="9"/>
        <v>0</v>
      </c>
      <c r="N20" s="129">
        <f t="shared" si="10"/>
        <v>0</v>
      </c>
      <c r="O20" s="164"/>
    </row>
    <row r="22" spans="1:16" s="3" customFormat="1">
      <c r="A22"/>
      <c r="B22"/>
      <c r="D22" s="178"/>
      <c r="F22" s="16"/>
      <c r="G22" s="17"/>
      <c r="H22" s="51"/>
      <c r="I22" s="21"/>
      <c r="J22" s="21"/>
      <c r="K22" s="22"/>
      <c r="L22" s="22"/>
      <c r="M22" s="22"/>
      <c r="N22" s="22"/>
      <c r="O22" s="28"/>
      <c r="P22" s="9"/>
    </row>
    <row r="23" spans="1:16" s="3" customFormat="1">
      <c r="A23"/>
      <c r="B23"/>
      <c r="D23" s="178"/>
      <c r="F23" s="16"/>
      <c r="G23" s="17"/>
      <c r="H23" s="51"/>
      <c r="I23" s="21"/>
      <c r="J23" s="21"/>
      <c r="K23" s="22"/>
      <c r="L23" s="22"/>
      <c r="M23" s="22"/>
      <c r="N23" s="22"/>
      <c r="O23" s="28"/>
      <c r="P23" s="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工作表30"/>
  <dimension ref="A1:P8"/>
  <sheetViews>
    <sheetView topLeftCell="D1" zoomScaleNormal="100" workbookViewId="0">
      <selection sqref="A1:E467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5" style="3" customWidth="1" collapsed="1"/>
    <col min="5" max="5" width="15.75" style="3" customWidth="1"/>
    <col min="6" max="6" width="5.7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8.375" style="22" hidden="1" customWidth="1" outlineLevel="1"/>
    <col min="12" max="12" width="6.5" style="22" customWidth="1" collapsed="1"/>
    <col min="13" max="13" width="8.25" style="22" customWidth="1"/>
    <col min="14" max="14" width="8.125" style="22" customWidth="1"/>
    <col min="15" max="15" width="18.7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B6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</f>
        <v>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23</v>
      </c>
      <c r="J5" s="100" t="s">
        <v>41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SUM(I7:I22)</f>
        <v>0</v>
      </c>
      <c r="J6" s="78">
        <f>SUM(J7:J24)</f>
        <v>3</v>
      </c>
      <c r="K6" s="124">
        <f>SUM(K7:K22)</f>
        <v>0</v>
      </c>
      <c r="L6" s="124">
        <f>SUM(L7:L22)</f>
        <v>0</v>
      </c>
      <c r="M6" s="124">
        <f>SUM(M7:M22)</f>
        <v>0</v>
      </c>
      <c r="N6" s="124">
        <f>SUM(N7:N22)</f>
        <v>0</v>
      </c>
      <c r="O6" s="45"/>
    </row>
    <row r="7" spans="1:16" s="16" customFormat="1">
      <c r="A7" s="145">
        <v>1857</v>
      </c>
      <c r="B7" s="148" t="s">
        <v>57</v>
      </c>
      <c r="C7" s="151" t="s">
        <v>58</v>
      </c>
      <c r="D7" s="138" t="s">
        <v>6</v>
      </c>
      <c r="E7" s="146">
        <v>42879</v>
      </c>
      <c r="F7" s="31">
        <f t="shared" ref="F7:F8" si="0">E7</f>
        <v>42879</v>
      </c>
      <c r="G7" s="32" t="str">
        <f t="shared" ref="G7:G8" si="1">HOUR(E7)&amp;":"&amp;MINUTE(E7)</f>
        <v>0:0</v>
      </c>
      <c r="H7" s="33">
        <f t="shared" ref="H7" si="2">IF(D7="上班",(G8-G7)*24,"-")</f>
        <v>0</v>
      </c>
      <c r="I7" s="58">
        <v>0</v>
      </c>
      <c r="J7" s="58">
        <v>3</v>
      </c>
      <c r="K7" s="34">
        <f t="shared" ref="K7" si="3">IF(D7="加班",(G8-G7)*24,0)</f>
        <v>0</v>
      </c>
      <c r="L7" s="34"/>
      <c r="M7" s="35">
        <f t="shared" ref="M7:M8" si="4">IF(K7&gt;2,2,K7)</f>
        <v>0</v>
      </c>
      <c r="N7" s="35">
        <f t="shared" ref="N7:N8" si="5">IF(K7&gt;2,K7-2,0)</f>
        <v>0</v>
      </c>
      <c r="O7" s="36" t="s">
        <v>54</v>
      </c>
      <c r="P7" s="137"/>
    </row>
    <row r="8" spans="1:16" s="16" customFormat="1">
      <c r="A8" s="145">
        <v>1864</v>
      </c>
      <c r="B8" s="148" t="s">
        <v>57</v>
      </c>
      <c r="C8" s="151" t="s">
        <v>58</v>
      </c>
      <c r="D8" s="138" t="s">
        <v>5</v>
      </c>
      <c r="E8" s="146">
        <v>42879</v>
      </c>
      <c r="F8" s="31">
        <f t="shared" si="0"/>
        <v>42879</v>
      </c>
      <c r="G8" s="32" t="str">
        <f t="shared" si="1"/>
        <v>0:0</v>
      </c>
      <c r="H8" s="33" t="str">
        <f>IF(D8="上班",(#REF!-G8)*24,"-")</f>
        <v>-</v>
      </c>
      <c r="I8" s="58" t="str">
        <f>IF(D8="上班",IF(H8-1.5&gt;8,8,H8-1.5),"-")</f>
        <v>-</v>
      </c>
      <c r="J8" s="58"/>
      <c r="K8" s="34">
        <f>IF(D8="加班",(#REF!-G8)*24,0)</f>
        <v>0</v>
      </c>
      <c r="L8" s="34"/>
      <c r="M8" s="35">
        <f t="shared" si="4"/>
        <v>0</v>
      </c>
      <c r="N8" s="35">
        <f t="shared" si="5"/>
        <v>0</v>
      </c>
      <c r="O8" s="36"/>
      <c r="P8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工作表31"/>
  <dimension ref="A1:P9"/>
  <sheetViews>
    <sheetView topLeftCell="D1" workbookViewId="0">
      <selection sqref="A1:E467"/>
    </sheetView>
  </sheetViews>
  <sheetFormatPr defaultRowHeight="16.5" outlineLevelCol="1"/>
  <cols>
    <col min="1" max="1" width="4.7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6" style="3" customWidth="1"/>
    <col min="6" max="6" width="5.7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5.75" style="22" customWidth="1"/>
    <col min="14" max="14" width="8.75" style="22" customWidth="1"/>
    <col min="15" max="15" width="19.1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TL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131"/>
      <c r="F2" s="132" t="s">
        <v>28</v>
      </c>
      <c r="G2" s="80"/>
      <c r="H2" s="80"/>
      <c r="I2" s="81" t="s">
        <v>24</v>
      </c>
      <c r="J2" s="81"/>
      <c r="K2" s="82"/>
      <c r="L2" s="83"/>
      <c r="M2" s="84"/>
      <c r="N2" s="84"/>
      <c r="O2" s="85" t="s">
        <v>27</v>
      </c>
    </row>
    <row r="3" spans="1:16" ht="17.25" thickBot="1">
      <c r="D3" s="24"/>
      <c r="E3" s="30"/>
      <c r="F3" s="25"/>
      <c r="G3" s="26"/>
      <c r="H3" s="26"/>
      <c r="I3" s="52">
        <f>I6+J6</f>
        <v>3.2166666666666659</v>
      </c>
      <c r="J3" s="54"/>
      <c r="K3" s="53"/>
      <c r="L3" s="53"/>
      <c r="M3" s="53"/>
      <c r="N3" s="53"/>
      <c r="O3" s="50"/>
    </row>
    <row r="4" spans="1:16">
      <c r="D4" s="37"/>
      <c r="E4" s="38"/>
      <c r="F4" s="96"/>
      <c r="G4" s="70"/>
      <c r="H4" s="70"/>
      <c r="I4" s="97" t="s">
        <v>33</v>
      </c>
      <c r="J4" s="97"/>
      <c r="K4" s="97"/>
      <c r="L4" s="97"/>
      <c r="M4" s="97"/>
      <c r="N4" s="97"/>
      <c r="O4" s="98"/>
    </row>
    <row r="5" spans="1:16">
      <c r="D5" s="40"/>
      <c r="E5" s="7"/>
      <c r="F5" s="99" t="s">
        <v>26</v>
      </c>
      <c r="G5" s="72"/>
      <c r="H5" s="72"/>
      <c r="I5" s="100" t="s">
        <v>23</v>
      </c>
      <c r="J5" s="100" t="s">
        <v>41</v>
      </c>
      <c r="K5" s="100"/>
      <c r="L5" s="100"/>
      <c r="M5" s="101"/>
      <c r="N5" s="101"/>
      <c r="O5" s="102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22</v>
      </c>
      <c r="I6" s="78">
        <f>SUM(I7:I40)</f>
        <v>3.2166666666666659</v>
      </c>
      <c r="J6" s="78">
        <f>SUM(J7:J40)</f>
        <v>0</v>
      </c>
      <c r="K6" s="78"/>
      <c r="L6" s="78"/>
      <c r="M6" s="44"/>
      <c r="N6" s="44"/>
      <c r="O6" s="45"/>
    </row>
    <row r="7" spans="1:16" s="2" customFormat="1">
      <c r="A7" s="140">
        <v>1791</v>
      </c>
      <c r="B7" s="140" t="s">
        <v>56</v>
      </c>
      <c r="C7" t="s">
        <v>15</v>
      </c>
      <c r="D7" s="141" t="s">
        <v>6</v>
      </c>
      <c r="E7" s="142">
        <v>42748.428356481483</v>
      </c>
      <c r="F7" s="89">
        <f>E7</f>
        <v>42748.428356481483</v>
      </c>
      <c r="G7" s="90" t="str">
        <f>HOUR(E7)&amp;":"&amp;MINUTE(E7)</f>
        <v>10:16</v>
      </c>
      <c r="H7" s="91">
        <f t="shared" ref="H7" si="0">IF(D7="上班",(G8-G7)*24,"-")</f>
        <v>4.7166666666666659</v>
      </c>
      <c r="I7" s="91">
        <f t="shared" ref="I7" si="1">IF(D7="上班",IF(H7-1.5&gt;8,8,H7-1.5),"-")</f>
        <v>3.2166666666666659</v>
      </c>
      <c r="J7" s="91"/>
      <c r="K7" s="93"/>
      <c r="L7" s="93"/>
      <c r="M7" s="94"/>
      <c r="N7" s="94"/>
      <c r="O7" s="171"/>
      <c r="P7" s="8"/>
    </row>
    <row r="8" spans="1:16">
      <c r="A8" s="140">
        <v>1793</v>
      </c>
      <c r="B8" s="140" t="s">
        <v>15</v>
      </c>
      <c r="C8" t="s">
        <v>15</v>
      </c>
      <c r="D8" s="143" t="s">
        <v>5</v>
      </c>
      <c r="E8" s="144">
        <v>42748.62431712963</v>
      </c>
      <c r="F8" s="89">
        <f t="shared" ref="F8" si="2">E8</f>
        <v>42748.62431712963</v>
      </c>
      <c r="G8" s="90" t="str">
        <f t="shared" ref="G8" si="3">HOUR(E8)&amp;":"&amp;MINUTE(E8)</f>
        <v>14:59</v>
      </c>
      <c r="H8" s="91" t="str">
        <f>IF(D8="上班",(#REF!-G8)*24,"-")</f>
        <v>-</v>
      </c>
      <c r="I8" s="91" t="str">
        <f t="shared" ref="I8" si="4">IF(D8="上班",IF(H8-1.5&gt;8,8,H8-1.5),"-")</f>
        <v>-</v>
      </c>
      <c r="J8" s="91"/>
      <c r="K8" s="93"/>
      <c r="L8" s="93"/>
      <c r="M8" s="94"/>
      <c r="N8" s="94"/>
      <c r="O8" s="95"/>
    </row>
    <row r="9" spans="1:16">
      <c r="C9"/>
      <c r="D9"/>
      <c r="E9" s="1"/>
    </row>
  </sheetData>
  <phoneticPr fontId="18" type="noConversion"/>
  <printOptions horizontalCentered="1"/>
  <pageMargins left="0.19685039370078741" right="3.937007874015748E-2" top="0.74803149606299213" bottom="0.74803149606299213" header="0.31496062992125984" footer="0.31496062992125984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工作表32"/>
  <dimension ref="A1:P16"/>
  <sheetViews>
    <sheetView topLeftCell="D1" workbookViewId="0">
      <selection sqref="A1:E467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8" style="3" customWidth="1"/>
    <col min="6" max="6" width="5.7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9" style="21" customWidth="1"/>
    <col min="11" max="11" width="8.375" style="22" hidden="1" customWidth="1" outlineLevel="1"/>
    <col min="12" max="12" width="6.25" style="22" customWidth="1" collapsed="1"/>
    <col min="13" max="13" width="6.75" style="22" customWidth="1"/>
    <col min="14" max="14" width="8.75" style="22" customWidth="1"/>
    <col min="15" max="15" width="14.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">
        <v>52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</f>
        <v>15.166666666666666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23</v>
      </c>
      <c r="J5" s="100" t="s">
        <v>41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SUM(I7:I41)</f>
        <v>3.1666666666666661</v>
      </c>
      <c r="J6" s="78">
        <f>SUM(J7:J55)</f>
        <v>12</v>
      </c>
      <c r="K6" s="124">
        <f>SUM(K13:K41)</f>
        <v>0</v>
      </c>
      <c r="L6" s="124">
        <f>SUM(L13:L41)</f>
        <v>0</v>
      </c>
      <c r="M6" s="124">
        <f>SUM(M13:M41)</f>
        <v>0</v>
      </c>
      <c r="N6" s="124">
        <f>SUM(N13:N41)</f>
        <v>0</v>
      </c>
      <c r="O6" s="45"/>
    </row>
    <row r="7" spans="1:16" s="2" customFormat="1">
      <c r="A7" s="140">
        <v>1809</v>
      </c>
      <c r="B7" s="140" t="s">
        <v>37</v>
      </c>
      <c r="C7" s="140" t="s">
        <v>37</v>
      </c>
      <c r="D7" s="141" t="s">
        <v>6</v>
      </c>
      <c r="E7" s="142">
        <v>42706.412881944445</v>
      </c>
      <c r="F7" s="104">
        <f t="shared" ref="F7" si="0">E7</f>
        <v>42706.412881944445</v>
      </c>
      <c r="G7" s="125" t="str">
        <f>HOUR(E7)&amp;":"&amp;MINUTE(E7)</f>
        <v>9:54</v>
      </c>
      <c r="H7" s="126">
        <f t="shared" ref="H7" si="1">IF(D7="上班",(G8-G7)*24,"-")</f>
        <v>0.2333333333333325</v>
      </c>
      <c r="I7" s="92">
        <f>IF(D7="上班",IF(H7-1.5&gt;8,8,H7-1.5),"-")+1.5</f>
        <v>0.2333333333333325</v>
      </c>
      <c r="J7" s="92"/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36"/>
      <c r="P7" s="8"/>
    </row>
    <row r="8" spans="1:16">
      <c r="A8" s="140">
        <v>1810</v>
      </c>
      <c r="B8" s="140" t="s">
        <v>37</v>
      </c>
      <c r="C8" s="140" t="s">
        <v>37</v>
      </c>
      <c r="D8" s="143" t="s">
        <v>5</v>
      </c>
      <c r="E8" s="144">
        <v>42706.422777777778</v>
      </c>
      <c r="F8" s="104">
        <f t="shared" ref="F8:F12" si="5">E8</f>
        <v>42706.422777777778</v>
      </c>
      <c r="G8" s="125" t="str">
        <f t="shared" ref="G8:G12" si="6">HOUR(E8)&amp;":"&amp;MINUTE(E8)</f>
        <v>10:8</v>
      </c>
      <c r="H8" s="126" t="str">
        <f>IF(D8="上班",(G11-G8)*24,"-")</f>
        <v>-</v>
      </c>
      <c r="I8" s="92" t="str">
        <f>IF(D8="上班",IF(H8-1.5&gt;8,8,H8-1.5),"-")</f>
        <v>-</v>
      </c>
      <c r="J8" s="92"/>
      <c r="K8" s="93">
        <f>IF(D8="加班",(G11-G8)*24,0)</f>
        <v>0</v>
      </c>
      <c r="L8" s="93"/>
      <c r="M8" s="94">
        <f t="shared" ref="M8:M12" si="7">IF(K8&gt;2,2,K8)</f>
        <v>0</v>
      </c>
      <c r="N8" s="94">
        <f t="shared" ref="N8:N12" si="8">IF(K8&gt;2,K8-2,0)</f>
        <v>0</v>
      </c>
      <c r="O8" s="36"/>
    </row>
    <row r="9" spans="1:16" s="16" customFormat="1">
      <c r="A9" s="145">
        <v>1857</v>
      </c>
      <c r="B9" s="140" t="s">
        <v>37</v>
      </c>
      <c r="C9" s="140" t="s">
        <v>37</v>
      </c>
      <c r="D9" s="138" t="s">
        <v>6</v>
      </c>
      <c r="E9" s="146">
        <v>42709</v>
      </c>
      <c r="F9" s="31">
        <f t="shared" si="5"/>
        <v>42709</v>
      </c>
      <c r="G9" s="32" t="str">
        <f t="shared" si="6"/>
        <v>0:0</v>
      </c>
      <c r="H9" s="33">
        <f t="shared" ref="H9:H10" si="9">IF(D9="上班",(G10-G9)*24,"-")</f>
        <v>0</v>
      </c>
      <c r="I9" s="58">
        <v>0</v>
      </c>
      <c r="J9" s="58">
        <v>2</v>
      </c>
      <c r="K9" s="34">
        <f t="shared" ref="K9:K10" si="10">IF(D9="加班",(G10-G9)*24,0)</f>
        <v>0</v>
      </c>
      <c r="L9" s="34"/>
      <c r="M9" s="35">
        <f t="shared" si="7"/>
        <v>0</v>
      </c>
      <c r="N9" s="35">
        <f t="shared" si="8"/>
        <v>0</v>
      </c>
      <c r="O9" s="36" t="s">
        <v>54</v>
      </c>
      <c r="P9" s="137"/>
    </row>
    <row r="10" spans="1:16" s="16" customFormat="1">
      <c r="A10" s="145">
        <v>1864</v>
      </c>
      <c r="B10" s="140" t="s">
        <v>37</v>
      </c>
      <c r="C10" s="140" t="s">
        <v>37</v>
      </c>
      <c r="D10" s="138" t="s">
        <v>5</v>
      </c>
      <c r="E10" s="146">
        <v>42709</v>
      </c>
      <c r="F10" s="31">
        <f t="shared" si="5"/>
        <v>42709</v>
      </c>
      <c r="G10" s="32" t="str">
        <f t="shared" si="6"/>
        <v>0:0</v>
      </c>
      <c r="H10" s="33" t="str">
        <f t="shared" si="9"/>
        <v>-</v>
      </c>
      <c r="I10" s="58" t="str">
        <f>IF(D10="上班",IF(H10-1.5&gt;8,8,H10-1.5),"-")</f>
        <v>-</v>
      </c>
      <c r="J10" s="58"/>
      <c r="K10" s="34">
        <f t="shared" si="10"/>
        <v>0</v>
      </c>
      <c r="L10" s="34"/>
      <c r="M10" s="35">
        <f t="shared" si="7"/>
        <v>0</v>
      </c>
      <c r="N10" s="35">
        <f t="shared" si="8"/>
        <v>0</v>
      </c>
      <c r="O10" s="36"/>
      <c r="P10" s="137"/>
    </row>
    <row r="11" spans="1:16" s="16" customFormat="1">
      <c r="A11" s="140">
        <v>1894</v>
      </c>
      <c r="B11" s="140" t="s">
        <v>37</v>
      </c>
      <c r="C11" s="140" t="s">
        <v>37</v>
      </c>
      <c r="D11" s="141" t="s">
        <v>6</v>
      </c>
      <c r="E11" s="142">
        <v>42716.384826388887</v>
      </c>
      <c r="F11" s="104">
        <f t="shared" si="5"/>
        <v>42716.384826388887</v>
      </c>
      <c r="G11" s="125" t="str">
        <f t="shared" si="6"/>
        <v>9:14</v>
      </c>
      <c r="H11" s="126">
        <f t="shared" ref="H11:H14" si="11">IF(D11="上班",(G12-G11)*24,"-")</f>
        <v>2.9333333333333336</v>
      </c>
      <c r="I11" s="92">
        <f t="shared" ref="I11" si="12">IF(D11="上班",IF(H11-1.5&gt;8,8,H11-1.5),"-")+1.5</f>
        <v>2.9333333333333336</v>
      </c>
      <c r="J11" s="92"/>
      <c r="K11" s="93">
        <f t="shared" ref="K11:K14" si="13">IF(D11="加班",(G12-G11)*24,0)</f>
        <v>0</v>
      </c>
      <c r="L11" s="93"/>
      <c r="M11" s="94">
        <f t="shared" si="7"/>
        <v>0</v>
      </c>
      <c r="N11" s="94">
        <f t="shared" si="8"/>
        <v>0</v>
      </c>
      <c r="O11" s="36"/>
      <c r="P11" s="137"/>
    </row>
    <row r="12" spans="1:16" s="16" customFormat="1">
      <c r="A12" s="140">
        <v>1895</v>
      </c>
      <c r="B12" s="140" t="s">
        <v>37</v>
      </c>
      <c r="C12" s="140" t="s">
        <v>37</v>
      </c>
      <c r="D12" s="143" t="s">
        <v>5</v>
      </c>
      <c r="E12" s="144">
        <v>42716.507060185184</v>
      </c>
      <c r="F12" s="104">
        <f t="shared" si="5"/>
        <v>42716.507060185184</v>
      </c>
      <c r="G12" s="125" t="str">
        <f t="shared" si="6"/>
        <v>12:10</v>
      </c>
      <c r="H12" s="126" t="str">
        <f t="shared" si="11"/>
        <v>-</v>
      </c>
      <c r="I12" s="92" t="str">
        <f>IF(D12="上班",IF(H12-1.5&gt;8,8,H12-1.5),"-")</f>
        <v>-</v>
      </c>
      <c r="J12" s="92"/>
      <c r="K12" s="93">
        <f t="shared" si="13"/>
        <v>0</v>
      </c>
      <c r="L12" s="93"/>
      <c r="M12" s="94">
        <f t="shared" si="7"/>
        <v>0</v>
      </c>
      <c r="N12" s="94">
        <f t="shared" si="8"/>
        <v>0</v>
      </c>
      <c r="O12" s="36"/>
      <c r="P12" s="137"/>
    </row>
    <row r="13" spans="1:16" s="16" customFormat="1">
      <c r="A13" s="145">
        <v>1857</v>
      </c>
      <c r="B13" s="140" t="s">
        <v>37</v>
      </c>
      <c r="C13" s="140" t="s">
        <v>37</v>
      </c>
      <c r="D13" s="138" t="s">
        <v>6</v>
      </c>
      <c r="E13" s="146">
        <v>42723</v>
      </c>
      <c r="F13" s="31">
        <f t="shared" ref="F13:F14" si="14">E13</f>
        <v>42723</v>
      </c>
      <c r="G13" s="32" t="str">
        <f t="shared" ref="G13:G14" si="15">HOUR(E13)&amp;":"&amp;MINUTE(E13)</f>
        <v>0:0</v>
      </c>
      <c r="H13" s="33">
        <f t="shared" si="11"/>
        <v>0</v>
      </c>
      <c r="I13" s="58">
        <v>0</v>
      </c>
      <c r="J13" s="58">
        <v>7</v>
      </c>
      <c r="K13" s="34">
        <f t="shared" si="13"/>
        <v>0</v>
      </c>
      <c r="L13" s="34"/>
      <c r="M13" s="35">
        <f t="shared" ref="M13:M14" si="16">IF(K13&gt;2,2,K13)</f>
        <v>0</v>
      </c>
      <c r="N13" s="35">
        <f t="shared" ref="N13:N14" si="17">IF(K13&gt;2,K13-2,0)</f>
        <v>0</v>
      </c>
      <c r="O13" s="36" t="s">
        <v>54</v>
      </c>
      <c r="P13" s="137"/>
    </row>
    <row r="14" spans="1:16" s="16" customFormat="1">
      <c r="A14" s="145">
        <v>1864</v>
      </c>
      <c r="B14" s="140" t="s">
        <v>37</v>
      </c>
      <c r="C14" s="140" t="s">
        <v>37</v>
      </c>
      <c r="D14" s="138" t="s">
        <v>5</v>
      </c>
      <c r="E14" s="146">
        <v>42723</v>
      </c>
      <c r="F14" s="31">
        <f t="shared" si="14"/>
        <v>42723</v>
      </c>
      <c r="G14" s="32" t="str">
        <f t="shared" si="15"/>
        <v>0:0</v>
      </c>
      <c r="H14" s="33" t="str">
        <f t="shared" si="11"/>
        <v>-</v>
      </c>
      <c r="I14" s="58" t="str">
        <f>IF(D14="上班",IF(H14-1.5&gt;8,8,H14-1.5),"-")</f>
        <v>-</v>
      </c>
      <c r="J14" s="58"/>
      <c r="K14" s="34">
        <f t="shared" si="13"/>
        <v>0</v>
      </c>
      <c r="L14" s="34"/>
      <c r="M14" s="35">
        <f t="shared" si="16"/>
        <v>0</v>
      </c>
      <c r="N14" s="35">
        <f t="shared" si="17"/>
        <v>0</v>
      </c>
      <c r="O14" s="36"/>
      <c r="P14" s="137"/>
    </row>
    <row r="15" spans="1:16" s="16" customFormat="1">
      <c r="A15" s="145">
        <v>1857</v>
      </c>
      <c r="B15" s="140" t="s">
        <v>37</v>
      </c>
      <c r="C15" s="140" t="s">
        <v>37</v>
      </c>
      <c r="D15" s="138" t="s">
        <v>6</v>
      </c>
      <c r="E15" s="146">
        <v>42725</v>
      </c>
      <c r="F15" s="31">
        <f t="shared" ref="F15:F16" si="18">E15</f>
        <v>42725</v>
      </c>
      <c r="G15" s="32" t="str">
        <f t="shared" ref="G15:G16" si="19">HOUR(E15)&amp;":"&amp;MINUTE(E15)</f>
        <v>0:0</v>
      </c>
      <c r="H15" s="33">
        <f t="shared" ref="H15:H16" si="20">IF(D15="上班",(G16-G15)*24,"-")</f>
        <v>0</v>
      </c>
      <c r="I15" s="58">
        <v>0</v>
      </c>
      <c r="J15" s="58">
        <v>3</v>
      </c>
      <c r="K15" s="34">
        <f t="shared" ref="K15:K16" si="21">IF(D15="加班",(G16-G15)*24,0)</f>
        <v>0</v>
      </c>
      <c r="L15" s="34"/>
      <c r="M15" s="35">
        <f t="shared" ref="M15:M16" si="22">IF(K15&gt;2,2,K15)</f>
        <v>0</v>
      </c>
      <c r="N15" s="35">
        <f t="shared" ref="N15:N16" si="23">IF(K15&gt;2,K15-2,0)</f>
        <v>0</v>
      </c>
      <c r="O15" s="36" t="s">
        <v>54</v>
      </c>
      <c r="P15" s="137"/>
    </row>
    <row r="16" spans="1:16" s="16" customFormat="1">
      <c r="A16" s="145">
        <v>1864</v>
      </c>
      <c r="B16" s="140" t="s">
        <v>37</v>
      </c>
      <c r="C16" s="140" t="s">
        <v>37</v>
      </c>
      <c r="D16" s="138" t="s">
        <v>5</v>
      </c>
      <c r="E16" s="146">
        <v>42725</v>
      </c>
      <c r="F16" s="31">
        <f t="shared" si="18"/>
        <v>42725</v>
      </c>
      <c r="G16" s="32" t="str">
        <f t="shared" si="19"/>
        <v>0:0</v>
      </c>
      <c r="H16" s="33" t="str">
        <f t="shared" si="20"/>
        <v>-</v>
      </c>
      <c r="I16" s="58" t="str">
        <f>IF(D16="上班",IF(H16-1.5&gt;8,8,H16-1.5),"-")</f>
        <v>-</v>
      </c>
      <c r="J16" s="58"/>
      <c r="K16" s="34">
        <f t="shared" si="21"/>
        <v>0</v>
      </c>
      <c r="L16" s="34"/>
      <c r="M16" s="35">
        <f t="shared" si="22"/>
        <v>0</v>
      </c>
      <c r="N16" s="35">
        <f t="shared" si="23"/>
        <v>0</v>
      </c>
      <c r="O16" s="36"/>
      <c r="P16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工作表33"/>
  <dimension ref="A1:U81"/>
  <sheetViews>
    <sheetView view="pageBreakPreview" topLeftCell="D49" zoomScaleNormal="100" zoomScaleSheetLayoutView="100" workbookViewId="0">
      <selection activeCell="L10" sqref="L10"/>
    </sheetView>
  </sheetViews>
  <sheetFormatPr defaultRowHeight="16.5" outlineLevelCol="1"/>
  <cols>
    <col min="1" max="1" width="6.7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5.125" style="3" customWidth="1"/>
    <col min="6" max="6" width="6.2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9.625" style="22" customWidth="1"/>
    <col min="15" max="15" width="18.1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B38</f>
        <v>sam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184">
        <f>24-8</f>
        <v>16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SUM(K15:K52)</f>
        <v>17.716666666666665</v>
      </c>
      <c r="L3" s="53">
        <f>J3</f>
        <v>0</v>
      </c>
      <c r="M3" s="53">
        <f>M6-J3</f>
        <v>18.149999999999999</v>
      </c>
      <c r="N3" s="53">
        <f>N6</f>
        <v>5.15</v>
      </c>
      <c r="O3" s="50"/>
    </row>
    <row r="4" spans="1:21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168</v>
      </c>
    </row>
    <row r="5" spans="1:21">
      <c r="D5" s="87">
        <v>0</v>
      </c>
      <c r="E5" s="86">
        <v>0</v>
      </c>
      <c r="F5" s="86">
        <v>8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0.14562499999999998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SUM(I7:I76)</f>
        <v>168</v>
      </c>
      <c r="J6" s="78">
        <f>SUM(J7:J62)</f>
        <v>0</v>
      </c>
      <c r="K6" s="78">
        <f>SUM(K7:K62)</f>
        <v>23.099999999999998</v>
      </c>
      <c r="L6" s="78">
        <f>SUM(L7:L62)</f>
        <v>0</v>
      </c>
      <c r="M6" s="78">
        <f>SUM(M7:M76)</f>
        <v>18.149999999999999</v>
      </c>
      <c r="N6" s="78">
        <f>SUM(N7:N74)</f>
        <v>5.15</v>
      </c>
      <c r="O6" s="45"/>
      <c r="Q6" s="47"/>
      <c r="U6" s="49"/>
    </row>
    <row r="7" spans="1:21" s="130" customFormat="1">
      <c r="A7" s="140">
        <v>4167</v>
      </c>
      <c r="B7" s="140" t="s">
        <v>48</v>
      </c>
      <c r="C7" s="140" t="s">
        <v>48</v>
      </c>
      <c r="D7" s="141" t="s">
        <v>6</v>
      </c>
      <c r="E7" s="142">
        <v>42919.357164351852</v>
      </c>
      <c r="F7" s="89">
        <f t="shared" ref="F7" si="0">E7</f>
        <v>42919.357164351852</v>
      </c>
      <c r="G7" s="90" t="str">
        <f>HOUR(E7)&amp;":"&amp;MINUTE(E7)</f>
        <v>8:34</v>
      </c>
      <c r="H7" s="91">
        <f>IF(D7="上班",(G8-G7)*24,"-")</f>
        <v>10</v>
      </c>
      <c r="I7" s="92">
        <f t="shared" ref="I7" si="1">IF(D7="上班",IF(H7-1.5&gt;8,8,H7-1.5),"-")</f>
        <v>8</v>
      </c>
      <c r="J7" s="92" t="str">
        <f>IF(I7&lt;8,8-I7,"-")</f>
        <v>-</v>
      </c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95"/>
      <c r="P7" s="149"/>
      <c r="Q7" s="149"/>
      <c r="R7" s="149"/>
      <c r="S7" s="149"/>
    </row>
    <row r="8" spans="1:21" s="16" customFormat="1">
      <c r="A8" s="140">
        <v>4181</v>
      </c>
      <c r="B8" s="140" t="s">
        <v>48</v>
      </c>
      <c r="C8" s="140" t="s">
        <v>48</v>
      </c>
      <c r="D8" s="143" t="s">
        <v>5</v>
      </c>
      <c r="E8" s="144">
        <v>42919.773877314816</v>
      </c>
      <c r="F8" s="89">
        <f t="shared" ref="F8:F70" si="5">E8</f>
        <v>42919.773877314816</v>
      </c>
      <c r="G8" s="90" t="str">
        <f t="shared" ref="G8:G70" si="6">HOUR(E8)&amp;":"&amp;MINUTE(E8)</f>
        <v>18:34</v>
      </c>
      <c r="H8" s="91" t="str">
        <f t="shared" ref="H8:H69" si="7">IF(D8="上班",(G9-G8)*24,"-")</f>
        <v>-</v>
      </c>
      <c r="I8" s="92" t="str">
        <f t="shared" ref="I8:I70" si="8">IF(D8="上班",IF(H8-1.5&gt;8,8,H8-1.5),"-")</f>
        <v>-</v>
      </c>
      <c r="J8" s="92" t="str">
        <f t="shared" ref="J8:J70" si="9">IF(I8&lt;8,8-I8,"-")</f>
        <v>-</v>
      </c>
      <c r="K8" s="93">
        <f t="shared" ref="K8:K69" si="10">IF(D8="加班",(G9-G8)*24,0)</f>
        <v>0</v>
      </c>
      <c r="L8" s="93"/>
      <c r="M8" s="94">
        <f t="shared" ref="M8:M70" si="11">IF(K8&gt;2,2,K8)</f>
        <v>0</v>
      </c>
      <c r="N8" s="94">
        <f t="shared" ref="N8:N70" si="12">IF(K8&gt;2,K8-2,0)</f>
        <v>0</v>
      </c>
      <c r="O8" s="95"/>
      <c r="P8" s="137"/>
      <c r="Q8" s="137"/>
      <c r="R8" s="137"/>
      <c r="S8" s="137"/>
    </row>
    <row r="9" spans="1:21" s="16" customFormat="1">
      <c r="A9" s="140">
        <v>4182</v>
      </c>
      <c r="B9" s="140" t="s">
        <v>48</v>
      </c>
      <c r="C9" s="140" t="s">
        <v>48</v>
      </c>
      <c r="D9" s="141" t="s">
        <v>7</v>
      </c>
      <c r="E9" s="142">
        <v>42919.773900462962</v>
      </c>
      <c r="F9" s="89">
        <f t="shared" si="5"/>
        <v>42919.773900462962</v>
      </c>
      <c r="G9" s="90" t="str">
        <f t="shared" si="6"/>
        <v>18:34</v>
      </c>
      <c r="H9" s="91" t="str">
        <f t="shared" si="7"/>
        <v>-</v>
      </c>
      <c r="I9" s="92" t="str">
        <f t="shared" si="8"/>
        <v>-</v>
      </c>
      <c r="J9" s="92" t="str">
        <f t="shared" si="9"/>
        <v>-</v>
      </c>
      <c r="K9" s="93">
        <f t="shared" si="10"/>
        <v>0.83333333333333037</v>
      </c>
      <c r="L9" s="93"/>
      <c r="M9" s="94">
        <f t="shared" si="11"/>
        <v>0.83333333333333037</v>
      </c>
      <c r="N9" s="94">
        <f t="shared" si="12"/>
        <v>0</v>
      </c>
      <c r="O9" s="95"/>
      <c r="P9" s="137"/>
      <c r="Q9" s="137"/>
      <c r="R9" s="137"/>
      <c r="S9" s="137"/>
    </row>
    <row r="10" spans="1:21" s="16" customFormat="1">
      <c r="A10" s="140">
        <v>4185</v>
      </c>
      <c r="B10" s="140" t="s">
        <v>48</v>
      </c>
      <c r="C10" s="140" t="s">
        <v>48</v>
      </c>
      <c r="D10" s="143" t="s">
        <v>8</v>
      </c>
      <c r="E10" s="144">
        <v>42919.808703703704</v>
      </c>
      <c r="F10" s="89">
        <f t="shared" si="5"/>
        <v>42919.808703703704</v>
      </c>
      <c r="G10" s="90" t="str">
        <f t="shared" si="6"/>
        <v>19:24</v>
      </c>
      <c r="H10" s="91" t="str">
        <f t="shared" si="7"/>
        <v>-</v>
      </c>
      <c r="I10" s="92" t="str">
        <f t="shared" si="8"/>
        <v>-</v>
      </c>
      <c r="J10" s="92" t="str">
        <f t="shared" si="9"/>
        <v>-</v>
      </c>
      <c r="K10" s="93">
        <f t="shared" si="10"/>
        <v>0</v>
      </c>
      <c r="L10" s="93"/>
      <c r="M10" s="94">
        <f t="shared" si="11"/>
        <v>0</v>
      </c>
      <c r="N10" s="94">
        <f t="shared" si="12"/>
        <v>0</v>
      </c>
      <c r="O10" s="95"/>
      <c r="P10" s="137"/>
      <c r="Q10" s="137"/>
      <c r="R10" s="137"/>
      <c r="S10" s="137"/>
    </row>
    <row r="11" spans="1:21" s="16" customFormat="1">
      <c r="A11" s="140">
        <v>4190</v>
      </c>
      <c r="B11" s="140" t="s">
        <v>48</v>
      </c>
      <c r="C11" s="140" t="s">
        <v>48</v>
      </c>
      <c r="D11" s="141" t="s">
        <v>6</v>
      </c>
      <c r="E11" s="142">
        <v>42920.355694444443</v>
      </c>
      <c r="F11" s="89">
        <f t="shared" si="5"/>
        <v>42920.355694444443</v>
      </c>
      <c r="G11" s="90" t="str">
        <f t="shared" si="6"/>
        <v>8:32</v>
      </c>
      <c r="H11" s="91">
        <f t="shared" si="7"/>
        <v>9.7333333333333325</v>
      </c>
      <c r="I11" s="92">
        <f t="shared" si="8"/>
        <v>8</v>
      </c>
      <c r="J11" s="92" t="str">
        <f t="shared" si="9"/>
        <v>-</v>
      </c>
      <c r="K11" s="93">
        <f t="shared" si="10"/>
        <v>0</v>
      </c>
      <c r="L11" s="93"/>
      <c r="M11" s="94">
        <f t="shared" si="11"/>
        <v>0</v>
      </c>
      <c r="N11" s="94">
        <f t="shared" si="12"/>
        <v>0</v>
      </c>
      <c r="O11" s="95"/>
      <c r="P11" s="137"/>
      <c r="Q11" s="137"/>
      <c r="R11" s="137"/>
      <c r="S11" s="137"/>
    </row>
    <row r="12" spans="1:21" s="16" customFormat="1">
      <c r="A12" s="140">
        <v>4197</v>
      </c>
      <c r="B12" s="140" t="s">
        <v>48</v>
      </c>
      <c r="C12" s="140" t="s">
        <v>48</v>
      </c>
      <c r="D12" s="143" t="s">
        <v>5</v>
      </c>
      <c r="E12" s="144">
        <v>42920.761238425926</v>
      </c>
      <c r="F12" s="89">
        <f t="shared" si="5"/>
        <v>42920.761238425926</v>
      </c>
      <c r="G12" s="90" t="str">
        <f t="shared" si="6"/>
        <v>18:16</v>
      </c>
      <c r="H12" s="91" t="str">
        <f t="shared" si="7"/>
        <v>-</v>
      </c>
      <c r="I12" s="92" t="str">
        <f t="shared" si="8"/>
        <v>-</v>
      </c>
      <c r="J12" s="92" t="str">
        <f t="shared" si="9"/>
        <v>-</v>
      </c>
      <c r="K12" s="93">
        <f t="shared" si="10"/>
        <v>0</v>
      </c>
      <c r="L12" s="93"/>
      <c r="M12" s="94">
        <f t="shared" si="11"/>
        <v>0</v>
      </c>
      <c r="N12" s="94">
        <f t="shared" si="12"/>
        <v>0</v>
      </c>
      <c r="O12" s="95"/>
      <c r="P12" s="137"/>
      <c r="Q12" s="137"/>
      <c r="R12" s="137"/>
      <c r="S12" s="137"/>
    </row>
    <row r="13" spans="1:21" s="16" customFormat="1">
      <c r="A13" s="140">
        <v>4203</v>
      </c>
      <c r="B13" s="140" t="s">
        <v>48</v>
      </c>
      <c r="C13" s="140" t="s">
        <v>48</v>
      </c>
      <c r="D13" s="141" t="s">
        <v>7</v>
      </c>
      <c r="E13" s="142">
        <v>42920.784594907411</v>
      </c>
      <c r="F13" s="89">
        <f t="shared" si="5"/>
        <v>42920.784594907411</v>
      </c>
      <c r="G13" s="90" t="str">
        <f t="shared" si="6"/>
        <v>18:49</v>
      </c>
      <c r="H13" s="91" t="str">
        <f t="shared" si="7"/>
        <v>-</v>
      </c>
      <c r="I13" s="92" t="str">
        <f t="shared" si="8"/>
        <v>-</v>
      </c>
      <c r="J13" s="92" t="str">
        <f t="shared" si="9"/>
        <v>-</v>
      </c>
      <c r="K13" s="93">
        <f t="shared" si="10"/>
        <v>1.6666666666666687</v>
      </c>
      <c r="L13" s="93"/>
      <c r="M13" s="94">
        <f t="shared" si="11"/>
        <v>1.6666666666666687</v>
      </c>
      <c r="N13" s="94">
        <f t="shared" si="12"/>
        <v>0</v>
      </c>
      <c r="O13" s="95"/>
      <c r="P13" s="137"/>
      <c r="Q13" s="137"/>
      <c r="R13" s="137"/>
      <c r="S13" s="137"/>
    </row>
    <row r="14" spans="1:21" s="16" customFormat="1">
      <c r="A14" s="140">
        <v>4209</v>
      </c>
      <c r="B14" s="140" t="s">
        <v>48</v>
      </c>
      <c r="C14" s="140" t="s">
        <v>48</v>
      </c>
      <c r="D14" s="143" t="s">
        <v>8</v>
      </c>
      <c r="E14" s="144">
        <v>42920.853530092594</v>
      </c>
      <c r="F14" s="89">
        <f t="shared" si="5"/>
        <v>42920.853530092594</v>
      </c>
      <c r="G14" s="90" t="str">
        <f t="shared" si="6"/>
        <v>20:29</v>
      </c>
      <c r="H14" s="91" t="str">
        <f t="shared" si="7"/>
        <v>-</v>
      </c>
      <c r="I14" s="92" t="str">
        <f t="shared" si="8"/>
        <v>-</v>
      </c>
      <c r="J14" s="92" t="str">
        <f t="shared" si="9"/>
        <v>-</v>
      </c>
      <c r="K14" s="93">
        <f t="shared" si="10"/>
        <v>0</v>
      </c>
      <c r="L14" s="93"/>
      <c r="M14" s="94">
        <f t="shared" si="11"/>
        <v>0</v>
      </c>
      <c r="N14" s="94">
        <f t="shared" si="12"/>
        <v>0</v>
      </c>
      <c r="O14" s="95"/>
      <c r="P14" s="137"/>
      <c r="Q14" s="137"/>
      <c r="R14" s="137"/>
      <c r="S14" s="137"/>
    </row>
    <row r="15" spans="1:21" s="16" customFormat="1">
      <c r="A15" s="140">
        <v>4211</v>
      </c>
      <c r="B15" s="140" t="s">
        <v>48</v>
      </c>
      <c r="C15" s="140" t="s">
        <v>48</v>
      </c>
      <c r="D15" s="141" t="s">
        <v>6</v>
      </c>
      <c r="E15" s="142">
        <v>42921.354641203703</v>
      </c>
      <c r="F15" s="89">
        <f t="shared" si="5"/>
        <v>42921.354641203703</v>
      </c>
      <c r="G15" s="90" t="str">
        <f t="shared" si="6"/>
        <v>8:30</v>
      </c>
      <c r="H15" s="91">
        <f t="shared" si="7"/>
        <v>10.08333333333333</v>
      </c>
      <c r="I15" s="92">
        <f t="shared" si="8"/>
        <v>8</v>
      </c>
      <c r="J15" s="92" t="str">
        <f t="shared" si="9"/>
        <v>-</v>
      </c>
      <c r="K15" s="93">
        <f t="shared" si="10"/>
        <v>0</v>
      </c>
      <c r="L15" s="93"/>
      <c r="M15" s="94">
        <f t="shared" si="11"/>
        <v>0</v>
      </c>
      <c r="N15" s="94">
        <f t="shared" si="12"/>
        <v>0</v>
      </c>
      <c r="O15" s="95"/>
      <c r="P15" s="137"/>
      <c r="Q15" s="137"/>
      <c r="R15" s="137"/>
      <c r="S15" s="137"/>
    </row>
    <row r="16" spans="1:21" s="16" customFormat="1">
      <c r="A16" s="140">
        <v>4224</v>
      </c>
      <c r="B16" s="140" t="s">
        <v>48</v>
      </c>
      <c r="C16" s="140" t="s">
        <v>48</v>
      </c>
      <c r="D16" s="143" t="s">
        <v>5</v>
      </c>
      <c r="E16" s="144">
        <v>42921.774687500001</v>
      </c>
      <c r="F16" s="89">
        <f t="shared" si="5"/>
        <v>42921.774687500001</v>
      </c>
      <c r="G16" s="90" t="str">
        <f t="shared" si="6"/>
        <v>18:35</v>
      </c>
      <c r="H16" s="91" t="str">
        <f t="shared" si="7"/>
        <v>-</v>
      </c>
      <c r="I16" s="92" t="str">
        <f t="shared" si="8"/>
        <v>-</v>
      </c>
      <c r="J16" s="92" t="str">
        <f t="shared" si="9"/>
        <v>-</v>
      </c>
      <c r="K16" s="93">
        <f t="shared" si="10"/>
        <v>0</v>
      </c>
      <c r="L16" s="93"/>
      <c r="M16" s="94">
        <f t="shared" si="11"/>
        <v>0</v>
      </c>
      <c r="N16" s="94">
        <f t="shared" si="12"/>
        <v>0</v>
      </c>
      <c r="O16" s="95"/>
      <c r="P16" s="137"/>
      <c r="Q16" s="137"/>
      <c r="R16" s="137"/>
      <c r="S16" s="137"/>
    </row>
    <row r="17" spans="1:19" s="16" customFormat="1">
      <c r="A17" s="140">
        <v>4225</v>
      </c>
      <c r="B17" s="140" t="s">
        <v>48</v>
      </c>
      <c r="C17" s="140" t="s">
        <v>48</v>
      </c>
      <c r="D17" s="141" t="s">
        <v>7</v>
      </c>
      <c r="E17" s="142">
        <v>42921.774722222224</v>
      </c>
      <c r="F17" s="89">
        <f t="shared" si="5"/>
        <v>42921.774722222224</v>
      </c>
      <c r="G17" s="90" t="str">
        <f t="shared" si="6"/>
        <v>18:35</v>
      </c>
      <c r="H17" s="91" t="str">
        <f t="shared" si="7"/>
        <v>-</v>
      </c>
      <c r="I17" s="92" t="str">
        <f t="shared" si="8"/>
        <v>-</v>
      </c>
      <c r="J17" s="92" t="str">
        <f t="shared" si="9"/>
        <v>-</v>
      </c>
      <c r="K17" s="93">
        <f t="shared" si="10"/>
        <v>1.5666666666666664</v>
      </c>
      <c r="L17" s="93"/>
      <c r="M17" s="94">
        <f t="shared" si="11"/>
        <v>1.5666666666666664</v>
      </c>
      <c r="N17" s="94">
        <f t="shared" si="12"/>
        <v>0</v>
      </c>
      <c r="O17" s="95"/>
      <c r="P17" s="137"/>
      <c r="Q17" s="137"/>
      <c r="R17" s="137"/>
      <c r="S17" s="137"/>
    </row>
    <row r="18" spans="1:19" s="16" customFormat="1">
      <c r="A18" s="140">
        <v>4230</v>
      </c>
      <c r="B18" s="140" t="s">
        <v>48</v>
      </c>
      <c r="C18" s="140" t="s">
        <v>48</v>
      </c>
      <c r="D18" s="143" t="s">
        <v>8</v>
      </c>
      <c r="E18" s="144">
        <v>42921.83965277778</v>
      </c>
      <c r="F18" s="89">
        <f t="shared" si="5"/>
        <v>42921.83965277778</v>
      </c>
      <c r="G18" s="90" t="str">
        <f t="shared" si="6"/>
        <v>20:9</v>
      </c>
      <c r="H18" s="91" t="str">
        <f t="shared" si="7"/>
        <v>-</v>
      </c>
      <c r="I18" s="92" t="str">
        <f t="shared" si="8"/>
        <v>-</v>
      </c>
      <c r="J18" s="92" t="str">
        <f t="shared" si="9"/>
        <v>-</v>
      </c>
      <c r="K18" s="93">
        <f t="shared" si="10"/>
        <v>0</v>
      </c>
      <c r="L18" s="93"/>
      <c r="M18" s="94">
        <f t="shared" si="11"/>
        <v>0</v>
      </c>
      <c r="N18" s="94">
        <f t="shared" si="12"/>
        <v>0</v>
      </c>
      <c r="O18" s="95"/>
      <c r="P18" s="137"/>
      <c r="Q18" s="137"/>
      <c r="R18" s="137"/>
      <c r="S18" s="137"/>
    </row>
    <row r="19" spans="1:19" s="16" customFormat="1">
      <c r="A19" s="140">
        <v>4233</v>
      </c>
      <c r="B19" s="140" t="s">
        <v>48</v>
      </c>
      <c r="C19" s="140" t="s">
        <v>48</v>
      </c>
      <c r="D19" s="141" t="s">
        <v>6</v>
      </c>
      <c r="E19" s="142">
        <v>42922.356909722221</v>
      </c>
      <c r="F19" s="89">
        <f t="shared" si="5"/>
        <v>42922.356909722221</v>
      </c>
      <c r="G19" s="90" t="str">
        <f t="shared" si="6"/>
        <v>8:33</v>
      </c>
      <c r="H19" s="91">
        <f t="shared" si="7"/>
        <v>9.7333333333333343</v>
      </c>
      <c r="I19" s="92">
        <f t="shared" si="8"/>
        <v>8</v>
      </c>
      <c r="J19" s="92" t="str">
        <f t="shared" si="9"/>
        <v>-</v>
      </c>
      <c r="K19" s="93">
        <f t="shared" si="10"/>
        <v>0</v>
      </c>
      <c r="L19" s="93"/>
      <c r="M19" s="94">
        <f t="shared" si="11"/>
        <v>0</v>
      </c>
      <c r="N19" s="94">
        <f t="shared" si="12"/>
        <v>0</v>
      </c>
      <c r="O19" s="95"/>
      <c r="P19" s="137"/>
      <c r="Q19" s="137"/>
      <c r="R19" s="137"/>
      <c r="S19" s="137"/>
    </row>
    <row r="20" spans="1:19" s="16" customFormat="1">
      <c r="A20" s="140">
        <v>4239</v>
      </c>
      <c r="B20" s="140" t="s">
        <v>48</v>
      </c>
      <c r="C20" s="140" t="s">
        <v>48</v>
      </c>
      <c r="D20" s="143" t="s">
        <v>5</v>
      </c>
      <c r="E20" s="144">
        <v>42922.76185185185</v>
      </c>
      <c r="F20" s="89">
        <f t="shared" si="5"/>
        <v>42922.76185185185</v>
      </c>
      <c r="G20" s="90" t="str">
        <f t="shared" si="6"/>
        <v>18:17</v>
      </c>
      <c r="H20" s="91" t="str">
        <f t="shared" si="7"/>
        <v>-</v>
      </c>
      <c r="I20" s="92" t="str">
        <f t="shared" si="8"/>
        <v>-</v>
      </c>
      <c r="J20" s="92" t="str">
        <f t="shared" si="9"/>
        <v>-</v>
      </c>
      <c r="K20" s="93">
        <f t="shared" si="10"/>
        <v>0</v>
      </c>
      <c r="L20" s="93"/>
      <c r="M20" s="94">
        <f t="shared" si="11"/>
        <v>0</v>
      </c>
      <c r="N20" s="94">
        <f t="shared" si="12"/>
        <v>0</v>
      </c>
      <c r="O20" s="95"/>
      <c r="P20" s="137"/>
      <c r="Q20" s="137"/>
      <c r="R20" s="137"/>
      <c r="S20" s="137"/>
    </row>
    <row r="21" spans="1:19" s="2" customFormat="1">
      <c r="A21" s="140">
        <v>4249</v>
      </c>
      <c r="B21" s="140" t="s">
        <v>48</v>
      </c>
      <c r="C21" s="140" t="s">
        <v>48</v>
      </c>
      <c r="D21" s="141" t="s">
        <v>6</v>
      </c>
      <c r="E21" s="142">
        <v>42923.356550925928</v>
      </c>
      <c r="F21" s="89">
        <f t="shared" si="5"/>
        <v>42923.356550925928</v>
      </c>
      <c r="G21" s="90" t="str">
        <f t="shared" si="6"/>
        <v>8:33</v>
      </c>
      <c r="H21" s="91">
        <f t="shared" si="7"/>
        <v>10.016666666666667</v>
      </c>
      <c r="I21" s="92">
        <f t="shared" si="8"/>
        <v>8</v>
      </c>
      <c r="J21" s="92" t="str">
        <f t="shared" si="9"/>
        <v>-</v>
      </c>
      <c r="K21" s="93">
        <f t="shared" si="10"/>
        <v>0</v>
      </c>
      <c r="L21" s="93"/>
      <c r="M21" s="94">
        <f t="shared" si="11"/>
        <v>0</v>
      </c>
      <c r="N21" s="94">
        <f t="shared" si="12"/>
        <v>0</v>
      </c>
      <c r="O21" s="95"/>
      <c r="P21" s="8"/>
      <c r="Q21" s="8"/>
      <c r="R21" s="8"/>
      <c r="S21" s="8"/>
    </row>
    <row r="22" spans="1:19">
      <c r="A22" s="140">
        <v>4265</v>
      </c>
      <c r="B22" s="140" t="s">
        <v>48</v>
      </c>
      <c r="C22" s="140" t="s">
        <v>48</v>
      </c>
      <c r="D22" s="143" t="s">
        <v>5</v>
      </c>
      <c r="E22" s="144">
        <v>42923.773715277777</v>
      </c>
      <c r="F22" s="89">
        <f t="shared" si="5"/>
        <v>42923.773715277777</v>
      </c>
      <c r="G22" s="90" t="str">
        <f t="shared" si="6"/>
        <v>18:34</v>
      </c>
      <c r="H22" s="91" t="str">
        <f t="shared" si="7"/>
        <v>-</v>
      </c>
      <c r="I22" s="92" t="str">
        <f t="shared" si="8"/>
        <v>-</v>
      </c>
      <c r="J22" s="92" t="str">
        <f t="shared" si="9"/>
        <v>-</v>
      </c>
      <c r="K22" s="93">
        <f t="shared" si="10"/>
        <v>0</v>
      </c>
      <c r="L22" s="93"/>
      <c r="M22" s="94">
        <f t="shared" si="11"/>
        <v>0</v>
      </c>
      <c r="N22" s="94">
        <f t="shared" si="12"/>
        <v>0</v>
      </c>
      <c r="O22" s="95"/>
    </row>
    <row r="23" spans="1:19" s="2" customFormat="1">
      <c r="A23" s="140">
        <v>4266</v>
      </c>
      <c r="B23" s="140" t="s">
        <v>48</v>
      </c>
      <c r="C23" s="140" t="s">
        <v>48</v>
      </c>
      <c r="D23" s="141" t="s">
        <v>7</v>
      </c>
      <c r="E23" s="142">
        <v>42923.77375</v>
      </c>
      <c r="F23" s="89">
        <f t="shared" si="5"/>
        <v>42923.77375</v>
      </c>
      <c r="G23" s="90" t="str">
        <f t="shared" si="6"/>
        <v>18:34</v>
      </c>
      <c r="H23" s="91" t="str">
        <f t="shared" si="7"/>
        <v>-</v>
      </c>
      <c r="I23" s="92" t="str">
        <f t="shared" si="8"/>
        <v>-</v>
      </c>
      <c r="J23" s="92" t="str">
        <f t="shared" si="9"/>
        <v>-</v>
      </c>
      <c r="K23" s="93">
        <f t="shared" si="10"/>
        <v>2.4666666666666686</v>
      </c>
      <c r="L23" s="93"/>
      <c r="M23" s="94">
        <f t="shared" si="11"/>
        <v>2</v>
      </c>
      <c r="N23" s="94">
        <f t="shared" si="12"/>
        <v>0.46666666666666856</v>
      </c>
      <c r="O23" s="95"/>
      <c r="P23" s="8"/>
      <c r="Q23" s="8"/>
      <c r="R23" s="8"/>
      <c r="S23" s="8"/>
    </row>
    <row r="24" spans="1:19">
      <c r="A24" s="140">
        <v>4271</v>
      </c>
      <c r="B24" s="140" t="s">
        <v>48</v>
      </c>
      <c r="C24" s="140" t="s">
        <v>48</v>
      </c>
      <c r="D24" s="143" t="s">
        <v>8</v>
      </c>
      <c r="E24" s="144">
        <v>42923.876851851855</v>
      </c>
      <c r="F24" s="89">
        <f t="shared" si="5"/>
        <v>42923.876851851855</v>
      </c>
      <c r="G24" s="90" t="str">
        <f t="shared" si="6"/>
        <v>21:2</v>
      </c>
      <c r="H24" s="91" t="str">
        <f t="shared" si="7"/>
        <v>-</v>
      </c>
      <c r="I24" s="92" t="str">
        <f t="shared" si="8"/>
        <v>-</v>
      </c>
      <c r="J24" s="92" t="str">
        <f t="shared" si="9"/>
        <v>-</v>
      </c>
      <c r="K24" s="93">
        <f t="shared" si="10"/>
        <v>0</v>
      </c>
      <c r="L24" s="93"/>
      <c r="M24" s="94">
        <f t="shared" si="11"/>
        <v>0</v>
      </c>
      <c r="N24" s="94">
        <f t="shared" si="12"/>
        <v>0</v>
      </c>
      <c r="O24" s="95"/>
    </row>
    <row r="25" spans="1:19" s="2" customFormat="1">
      <c r="A25" s="140">
        <v>4274</v>
      </c>
      <c r="B25" s="140" t="s">
        <v>48</v>
      </c>
      <c r="C25" s="140" t="s">
        <v>48</v>
      </c>
      <c r="D25" s="141" t="s">
        <v>6</v>
      </c>
      <c r="E25" s="142">
        <v>42926.359293981484</v>
      </c>
      <c r="F25" s="89">
        <f t="shared" si="5"/>
        <v>42926.359293981484</v>
      </c>
      <c r="G25" s="90" t="str">
        <f t="shared" si="6"/>
        <v>8:37</v>
      </c>
      <c r="H25" s="91">
        <f t="shared" si="7"/>
        <v>9.9500000000000011</v>
      </c>
      <c r="I25" s="92">
        <f t="shared" si="8"/>
        <v>8</v>
      </c>
      <c r="J25" s="92" t="str">
        <f t="shared" si="9"/>
        <v>-</v>
      </c>
      <c r="K25" s="93">
        <f t="shared" si="10"/>
        <v>0</v>
      </c>
      <c r="L25" s="93"/>
      <c r="M25" s="94">
        <f t="shared" si="11"/>
        <v>0</v>
      </c>
      <c r="N25" s="94">
        <f t="shared" si="12"/>
        <v>0</v>
      </c>
      <c r="O25" s="95"/>
      <c r="P25" s="8"/>
      <c r="Q25" s="8"/>
      <c r="R25" s="8"/>
      <c r="S25" s="8"/>
    </row>
    <row r="26" spans="1:19" s="63" customFormat="1">
      <c r="A26" s="140">
        <v>4290</v>
      </c>
      <c r="B26" s="140" t="s">
        <v>48</v>
      </c>
      <c r="C26" s="140" t="s">
        <v>48</v>
      </c>
      <c r="D26" s="143" t="s">
        <v>5</v>
      </c>
      <c r="E26" s="144">
        <v>42926.774224537039</v>
      </c>
      <c r="F26" s="89">
        <f t="shared" si="5"/>
        <v>42926.774224537039</v>
      </c>
      <c r="G26" s="90" t="str">
        <f t="shared" si="6"/>
        <v>18:34</v>
      </c>
      <c r="H26" s="91" t="str">
        <f t="shared" si="7"/>
        <v>-</v>
      </c>
      <c r="I26" s="92" t="str">
        <f t="shared" si="8"/>
        <v>-</v>
      </c>
      <c r="J26" s="92" t="str">
        <f t="shared" si="9"/>
        <v>-</v>
      </c>
      <c r="K26" s="93">
        <f t="shared" si="10"/>
        <v>0</v>
      </c>
      <c r="L26" s="93"/>
      <c r="M26" s="94">
        <f t="shared" si="11"/>
        <v>0</v>
      </c>
      <c r="N26" s="94">
        <f t="shared" si="12"/>
        <v>0</v>
      </c>
      <c r="O26" s="95"/>
      <c r="P26" s="18"/>
      <c r="Q26" s="18"/>
      <c r="R26" s="18"/>
      <c r="S26" s="18"/>
    </row>
    <row r="27" spans="1:19" s="9" customFormat="1">
      <c r="A27" s="140">
        <v>4291</v>
      </c>
      <c r="B27" s="140" t="s">
        <v>48</v>
      </c>
      <c r="C27" s="140" t="s">
        <v>48</v>
      </c>
      <c r="D27" s="143" t="s">
        <v>7</v>
      </c>
      <c r="E27" s="144">
        <v>42926.774259259262</v>
      </c>
      <c r="F27" s="89">
        <f t="shared" si="5"/>
        <v>42926.774259259262</v>
      </c>
      <c r="G27" s="90" t="str">
        <f t="shared" si="6"/>
        <v>18:34</v>
      </c>
      <c r="H27" s="91" t="str">
        <f t="shared" si="7"/>
        <v>-</v>
      </c>
      <c r="I27" s="92" t="str">
        <f t="shared" si="8"/>
        <v>-</v>
      </c>
      <c r="J27" s="92" t="str">
        <f t="shared" si="9"/>
        <v>-</v>
      </c>
      <c r="K27" s="93">
        <f t="shared" si="10"/>
        <v>2.2666666666666639</v>
      </c>
      <c r="L27" s="93"/>
      <c r="M27" s="94">
        <f t="shared" si="11"/>
        <v>2</v>
      </c>
      <c r="N27" s="94">
        <f t="shared" si="12"/>
        <v>0.26666666666666394</v>
      </c>
      <c r="O27" s="95"/>
    </row>
    <row r="28" spans="1:19" s="9" customFormat="1">
      <c r="A28" s="140">
        <v>4296</v>
      </c>
      <c r="B28" s="140" t="s">
        <v>48</v>
      </c>
      <c r="C28" s="140" t="s">
        <v>48</v>
      </c>
      <c r="D28" s="143" t="s">
        <v>8</v>
      </c>
      <c r="E28" s="144">
        <v>42926.868495370371</v>
      </c>
      <c r="F28" s="89">
        <f t="shared" si="5"/>
        <v>42926.868495370371</v>
      </c>
      <c r="G28" s="90" t="str">
        <f t="shared" si="6"/>
        <v>20:50</v>
      </c>
      <c r="H28" s="91" t="str">
        <f t="shared" si="7"/>
        <v>-</v>
      </c>
      <c r="I28" s="92" t="str">
        <f t="shared" si="8"/>
        <v>-</v>
      </c>
      <c r="J28" s="92" t="str">
        <f t="shared" si="9"/>
        <v>-</v>
      </c>
      <c r="K28" s="93">
        <f t="shared" si="10"/>
        <v>0</v>
      </c>
      <c r="L28" s="93"/>
      <c r="M28" s="94">
        <f t="shared" si="11"/>
        <v>0</v>
      </c>
      <c r="N28" s="94">
        <f t="shared" si="12"/>
        <v>0</v>
      </c>
      <c r="O28" s="95"/>
    </row>
    <row r="29" spans="1:19" s="2" customFormat="1">
      <c r="A29" s="140">
        <v>4301</v>
      </c>
      <c r="B29" s="140" t="s">
        <v>48</v>
      </c>
      <c r="C29" s="140" t="s">
        <v>48</v>
      </c>
      <c r="D29" s="141" t="s">
        <v>6</v>
      </c>
      <c r="E29" s="142">
        <v>42927.357557870368</v>
      </c>
      <c r="F29" s="89">
        <f t="shared" si="5"/>
        <v>42927.357557870368</v>
      </c>
      <c r="G29" s="90" t="str">
        <f t="shared" si="6"/>
        <v>8:34</v>
      </c>
      <c r="H29" s="91">
        <f t="shared" si="7"/>
        <v>10.149999999999997</v>
      </c>
      <c r="I29" s="92">
        <f t="shared" si="8"/>
        <v>8</v>
      </c>
      <c r="J29" s="92" t="str">
        <f t="shared" si="9"/>
        <v>-</v>
      </c>
      <c r="K29" s="93">
        <f t="shared" si="10"/>
        <v>0</v>
      </c>
      <c r="L29" s="93"/>
      <c r="M29" s="94">
        <f t="shared" si="11"/>
        <v>0</v>
      </c>
      <c r="N29" s="94">
        <f t="shared" si="12"/>
        <v>0</v>
      </c>
      <c r="O29" s="95"/>
      <c r="P29" s="8"/>
      <c r="Q29" s="8"/>
      <c r="R29" s="8"/>
      <c r="S29" s="8"/>
    </row>
    <row r="30" spans="1:19">
      <c r="A30" s="140">
        <v>4314</v>
      </c>
      <c r="B30" s="140" t="s">
        <v>48</v>
      </c>
      <c r="C30" s="140" t="s">
        <v>48</v>
      </c>
      <c r="D30" s="143" t="s">
        <v>5</v>
      </c>
      <c r="E30" s="144">
        <v>42927.779930555553</v>
      </c>
      <c r="F30" s="89">
        <f t="shared" si="5"/>
        <v>42927.779930555553</v>
      </c>
      <c r="G30" s="90" t="str">
        <f t="shared" si="6"/>
        <v>18:43</v>
      </c>
      <c r="H30" s="91" t="str">
        <f t="shared" si="7"/>
        <v>-</v>
      </c>
      <c r="I30" s="92" t="str">
        <f t="shared" si="8"/>
        <v>-</v>
      </c>
      <c r="J30" s="92" t="str">
        <f t="shared" si="9"/>
        <v>-</v>
      </c>
      <c r="K30" s="93">
        <f t="shared" si="10"/>
        <v>0</v>
      </c>
      <c r="L30" s="93"/>
      <c r="M30" s="94">
        <f t="shared" si="11"/>
        <v>0</v>
      </c>
      <c r="N30" s="94">
        <f t="shared" si="12"/>
        <v>0</v>
      </c>
      <c r="O30" s="95"/>
    </row>
    <row r="31" spans="1:19" s="137" customFormat="1">
      <c r="A31" s="140">
        <v>4324</v>
      </c>
      <c r="B31" s="140" t="s">
        <v>48</v>
      </c>
      <c r="C31" s="140" t="s">
        <v>48</v>
      </c>
      <c r="D31" s="143" t="s">
        <v>6</v>
      </c>
      <c r="E31" s="144">
        <v>42928.356631944444</v>
      </c>
      <c r="F31" s="89">
        <f t="shared" si="5"/>
        <v>42928.356631944444</v>
      </c>
      <c r="G31" s="90" t="str">
        <f t="shared" si="6"/>
        <v>8:33</v>
      </c>
      <c r="H31" s="91">
        <f t="shared" si="7"/>
        <v>10.116666666666667</v>
      </c>
      <c r="I31" s="92">
        <f t="shared" si="8"/>
        <v>8</v>
      </c>
      <c r="J31" s="92" t="str">
        <f t="shared" si="9"/>
        <v>-</v>
      </c>
      <c r="K31" s="93">
        <f t="shared" si="10"/>
        <v>0</v>
      </c>
      <c r="L31" s="93"/>
      <c r="M31" s="94">
        <f t="shared" si="11"/>
        <v>0</v>
      </c>
      <c r="N31" s="94">
        <f t="shared" si="12"/>
        <v>0</v>
      </c>
      <c r="O31" s="95"/>
    </row>
    <row r="32" spans="1:19" s="137" customFormat="1" ht="17.25" customHeight="1">
      <c r="A32" s="140">
        <v>4334</v>
      </c>
      <c r="B32" s="140" t="s">
        <v>48</v>
      </c>
      <c r="C32" s="140" t="s">
        <v>48</v>
      </c>
      <c r="D32" s="143" t="s">
        <v>5</v>
      </c>
      <c r="E32" s="144">
        <v>42928.77815972222</v>
      </c>
      <c r="F32" s="89">
        <f t="shared" si="5"/>
        <v>42928.77815972222</v>
      </c>
      <c r="G32" s="90" t="str">
        <f t="shared" si="6"/>
        <v>18:40</v>
      </c>
      <c r="H32" s="91" t="str">
        <f t="shared" si="7"/>
        <v>-</v>
      </c>
      <c r="I32" s="92" t="str">
        <f t="shared" si="8"/>
        <v>-</v>
      </c>
      <c r="J32" s="92" t="str">
        <f t="shared" si="9"/>
        <v>-</v>
      </c>
      <c r="K32" s="93">
        <f t="shared" si="10"/>
        <v>0</v>
      </c>
      <c r="L32" s="93"/>
      <c r="M32" s="94">
        <f t="shared" si="11"/>
        <v>0</v>
      </c>
      <c r="N32" s="94">
        <f t="shared" si="12"/>
        <v>0</v>
      </c>
      <c r="O32" s="95"/>
    </row>
    <row r="33" spans="1:19" s="2" customFormat="1">
      <c r="A33" s="140">
        <v>4336</v>
      </c>
      <c r="B33" s="140" t="s">
        <v>48</v>
      </c>
      <c r="C33" s="140" t="s">
        <v>48</v>
      </c>
      <c r="D33" s="143" t="s">
        <v>7</v>
      </c>
      <c r="E33" s="144">
        <v>42928.778194444443</v>
      </c>
      <c r="F33" s="89">
        <f t="shared" si="5"/>
        <v>42928.778194444443</v>
      </c>
      <c r="G33" s="90" t="str">
        <f t="shared" si="6"/>
        <v>18:40</v>
      </c>
      <c r="H33" s="91" t="str">
        <f t="shared" si="7"/>
        <v>-</v>
      </c>
      <c r="I33" s="92" t="str">
        <f t="shared" si="8"/>
        <v>-</v>
      </c>
      <c r="J33" s="92" t="str">
        <f t="shared" si="9"/>
        <v>-</v>
      </c>
      <c r="K33" s="93">
        <f t="shared" si="10"/>
        <v>3.2500000000000018</v>
      </c>
      <c r="L33" s="93"/>
      <c r="M33" s="94">
        <f t="shared" si="11"/>
        <v>2</v>
      </c>
      <c r="N33" s="94">
        <f t="shared" si="12"/>
        <v>1.2500000000000018</v>
      </c>
      <c r="O33" s="95"/>
      <c r="P33" s="8"/>
      <c r="Q33" s="8"/>
      <c r="R33" s="8"/>
      <c r="S33" s="8"/>
    </row>
    <row r="34" spans="1:19" s="63" customFormat="1">
      <c r="A34" s="140">
        <v>4347</v>
      </c>
      <c r="B34" s="140" t="s">
        <v>48</v>
      </c>
      <c r="C34" s="140" t="s">
        <v>48</v>
      </c>
      <c r="D34" s="143" t="s">
        <v>8</v>
      </c>
      <c r="E34" s="144">
        <v>42928.913506944446</v>
      </c>
      <c r="F34" s="89">
        <f t="shared" si="5"/>
        <v>42928.913506944446</v>
      </c>
      <c r="G34" s="90" t="str">
        <f t="shared" si="6"/>
        <v>21:55</v>
      </c>
      <c r="H34" s="91" t="str">
        <f t="shared" si="7"/>
        <v>-</v>
      </c>
      <c r="I34" s="92" t="str">
        <f t="shared" si="8"/>
        <v>-</v>
      </c>
      <c r="J34" s="92" t="str">
        <f t="shared" si="9"/>
        <v>-</v>
      </c>
      <c r="K34" s="93">
        <f t="shared" si="10"/>
        <v>0</v>
      </c>
      <c r="L34" s="93"/>
      <c r="M34" s="94">
        <f t="shared" si="11"/>
        <v>0</v>
      </c>
      <c r="N34" s="94">
        <f t="shared" si="12"/>
        <v>0</v>
      </c>
      <c r="O34" s="95"/>
      <c r="P34" s="18"/>
      <c r="Q34" s="18"/>
      <c r="R34" s="18"/>
      <c r="S34" s="18"/>
    </row>
    <row r="35" spans="1:19" s="9" customFormat="1">
      <c r="A35" s="140">
        <v>4352</v>
      </c>
      <c r="B35" s="140" t="s">
        <v>48</v>
      </c>
      <c r="C35" s="140" t="s">
        <v>48</v>
      </c>
      <c r="D35" s="143" t="s">
        <v>6</v>
      </c>
      <c r="E35" s="144">
        <v>42929.360590277778</v>
      </c>
      <c r="F35" s="89">
        <f t="shared" si="5"/>
        <v>42929.360590277778</v>
      </c>
      <c r="G35" s="90" t="str">
        <f t="shared" si="6"/>
        <v>8:39</v>
      </c>
      <c r="H35" s="91">
        <f t="shared" si="7"/>
        <v>9.9</v>
      </c>
      <c r="I35" s="92">
        <f t="shared" si="8"/>
        <v>8</v>
      </c>
      <c r="J35" s="92" t="str">
        <f t="shared" si="9"/>
        <v>-</v>
      </c>
      <c r="K35" s="93">
        <f t="shared" si="10"/>
        <v>0</v>
      </c>
      <c r="L35" s="93"/>
      <c r="M35" s="94">
        <f t="shared" si="11"/>
        <v>0</v>
      </c>
      <c r="N35" s="94">
        <f t="shared" si="12"/>
        <v>0</v>
      </c>
      <c r="O35" s="95"/>
    </row>
    <row r="36" spans="1:19" s="9" customFormat="1">
      <c r="A36" s="140">
        <v>4361</v>
      </c>
      <c r="B36" s="140" t="s">
        <v>48</v>
      </c>
      <c r="C36" s="140" t="s">
        <v>48</v>
      </c>
      <c r="D36" s="143" t="s">
        <v>5</v>
      </c>
      <c r="E36" s="144">
        <v>42929.773414351854</v>
      </c>
      <c r="F36" s="89">
        <f t="shared" si="5"/>
        <v>42929.773414351854</v>
      </c>
      <c r="G36" s="90" t="str">
        <f t="shared" si="6"/>
        <v>18:33</v>
      </c>
      <c r="H36" s="91" t="str">
        <f t="shared" si="7"/>
        <v>-</v>
      </c>
      <c r="I36" s="92" t="str">
        <f t="shared" si="8"/>
        <v>-</v>
      </c>
      <c r="J36" s="92" t="str">
        <f t="shared" si="9"/>
        <v>-</v>
      </c>
      <c r="K36" s="93">
        <f t="shared" si="10"/>
        <v>0</v>
      </c>
      <c r="L36" s="93"/>
      <c r="M36" s="94">
        <f t="shared" si="11"/>
        <v>0</v>
      </c>
      <c r="N36" s="94">
        <f t="shared" si="12"/>
        <v>0</v>
      </c>
      <c r="O36" s="95"/>
    </row>
    <row r="37" spans="1:19" s="130" customFormat="1">
      <c r="A37" s="140">
        <v>4362</v>
      </c>
      <c r="B37" s="140" t="s">
        <v>48</v>
      </c>
      <c r="C37" s="140" t="s">
        <v>48</v>
      </c>
      <c r="D37" s="143" t="s">
        <v>7</v>
      </c>
      <c r="E37" s="144">
        <v>42929.773449074077</v>
      </c>
      <c r="F37" s="89">
        <f t="shared" si="5"/>
        <v>42929.773449074077</v>
      </c>
      <c r="G37" s="90" t="str">
        <f t="shared" si="6"/>
        <v>18:33</v>
      </c>
      <c r="H37" s="91" t="str">
        <f t="shared" si="7"/>
        <v>-</v>
      </c>
      <c r="I37" s="92" t="str">
        <f t="shared" si="8"/>
        <v>-</v>
      </c>
      <c r="J37" s="92" t="str">
        <f t="shared" si="9"/>
        <v>-</v>
      </c>
      <c r="K37" s="93">
        <f t="shared" si="10"/>
        <v>4.0999999999999988</v>
      </c>
      <c r="L37" s="93"/>
      <c r="M37" s="94">
        <f t="shared" si="11"/>
        <v>2</v>
      </c>
      <c r="N37" s="94">
        <f t="shared" si="12"/>
        <v>2.0999999999999988</v>
      </c>
      <c r="O37" s="95"/>
      <c r="P37" s="149"/>
      <c r="Q37" s="149"/>
      <c r="R37" s="149"/>
      <c r="S37" s="149"/>
    </row>
    <row r="38" spans="1:19">
      <c r="A38" s="140">
        <v>4371</v>
      </c>
      <c r="B38" s="140" t="s">
        <v>48</v>
      </c>
      <c r="C38" s="140" t="s">
        <v>48</v>
      </c>
      <c r="D38" s="143" t="s">
        <v>8</v>
      </c>
      <c r="E38" s="144">
        <v>42929.944062499999</v>
      </c>
      <c r="F38" s="89">
        <f t="shared" si="5"/>
        <v>42929.944062499999</v>
      </c>
      <c r="G38" s="90" t="str">
        <f t="shared" si="6"/>
        <v>22:39</v>
      </c>
      <c r="H38" s="91" t="str">
        <f t="shared" si="7"/>
        <v>-</v>
      </c>
      <c r="I38" s="92" t="str">
        <f t="shared" si="8"/>
        <v>-</v>
      </c>
      <c r="J38" s="92" t="str">
        <f t="shared" si="9"/>
        <v>-</v>
      </c>
      <c r="K38" s="93">
        <f t="shared" si="10"/>
        <v>0</v>
      </c>
      <c r="L38" s="93"/>
      <c r="M38" s="94">
        <f t="shared" si="11"/>
        <v>0</v>
      </c>
      <c r="N38" s="94">
        <f t="shared" si="12"/>
        <v>0</v>
      </c>
      <c r="O38" s="95"/>
    </row>
    <row r="39" spans="1:19">
      <c r="A39" s="140">
        <v>4374</v>
      </c>
      <c r="B39" s="140" t="s">
        <v>48</v>
      </c>
      <c r="C39" s="140" t="s">
        <v>48</v>
      </c>
      <c r="D39" s="143" t="s">
        <v>6</v>
      </c>
      <c r="E39" s="144">
        <v>42930.356689814813</v>
      </c>
      <c r="F39" s="89">
        <f t="shared" si="5"/>
        <v>42930.356689814813</v>
      </c>
      <c r="G39" s="90" t="str">
        <f t="shared" si="6"/>
        <v>8:33</v>
      </c>
      <c r="H39" s="91">
        <f t="shared" si="7"/>
        <v>10.216666666666667</v>
      </c>
      <c r="I39" s="92">
        <f t="shared" si="8"/>
        <v>8</v>
      </c>
      <c r="J39" s="92" t="str">
        <f t="shared" si="9"/>
        <v>-</v>
      </c>
      <c r="K39" s="93">
        <f t="shared" si="10"/>
        <v>0</v>
      </c>
      <c r="L39" s="93"/>
      <c r="M39" s="94">
        <f t="shared" si="11"/>
        <v>0</v>
      </c>
      <c r="N39" s="94">
        <f t="shared" si="12"/>
        <v>0</v>
      </c>
      <c r="O39" s="95"/>
    </row>
    <row r="40" spans="1:19" s="2" customFormat="1">
      <c r="A40" s="140">
        <v>4389</v>
      </c>
      <c r="B40" s="140" t="s">
        <v>48</v>
      </c>
      <c r="C40" s="140" t="s">
        <v>48</v>
      </c>
      <c r="D40" s="143" t="s">
        <v>5</v>
      </c>
      <c r="E40" s="144">
        <v>42930.782141203701</v>
      </c>
      <c r="F40" s="89">
        <f t="shared" si="5"/>
        <v>42930.782141203701</v>
      </c>
      <c r="G40" s="90" t="str">
        <f t="shared" si="6"/>
        <v>18:46</v>
      </c>
      <c r="H40" s="91" t="str">
        <f t="shared" si="7"/>
        <v>-</v>
      </c>
      <c r="I40" s="92" t="str">
        <f t="shared" si="8"/>
        <v>-</v>
      </c>
      <c r="J40" s="92" t="str">
        <f t="shared" si="9"/>
        <v>-</v>
      </c>
      <c r="K40" s="93">
        <f t="shared" si="10"/>
        <v>0</v>
      </c>
      <c r="L40" s="93"/>
      <c r="M40" s="94">
        <f t="shared" si="11"/>
        <v>0</v>
      </c>
      <c r="N40" s="94">
        <f t="shared" si="12"/>
        <v>0</v>
      </c>
      <c r="O40" s="95"/>
      <c r="P40" s="8"/>
      <c r="Q40" s="8"/>
      <c r="R40" s="8"/>
      <c r="S40" s="8"/>
    </row>
    <row r="41" spans="1:19">
      <c r="A41" s="140">
        <v>4397</v>
      </c>
      <c r="B41" s="140" t="s">
        <v>48</v>
      </c>
      <c r="C41" s="140" t="s">
        <v>48</v>
      </c>
      <c r="D41" s="143" t="s">
        <v>6</v>
      </c>
      <c r="E41" s="144">
        <v>42933.357407407406</v>
      </c>
      <c r="F41" s="89">
        <f t="shared" si="5"/>
        <v>42933.357407407406</v>
      </c>
      <c r="G41" s="90" t="str">
        <f t="shared" si="6"/>
        <v>8:34</v>
      </c>
      <c r="H41" s="91">
        <f t="shared" si="7"/>
        <v>9.8666666666666671</v>
      </c>
      <c r="I41" s="92">
        <f t="shared" si="8"/>
        <v>8</v>
      </c>
      <c r="J41" s="92" t="str">
        <f t="shared" si="9"/>
        <v>-</v>
      </c>
      <c r="K41" s="93">
        <f t="shared" si="10"/>
        <v>0</v>
      </c>
      <c r="L41" s="93"/>
      <c r="M41" s="94">
        <f t="shared" si="11"/>
        <v>0</v>
      </c>
      <c r="N41" s="94">
        <f t="shared" si="12"/>
        <v>0</v>
      </c>
      <c r="O41" s="95"/>
    </row>
    <row r="42" spans="1:19">
      <c r="A42" s="140">
        <v>4409</v>
      </c>
      <c r="B42" s="140" t="s">
        <v>48</v>
      </c>
      <c r="C42" s="140" t="s">
        <v>48</v>
      </c>
      <c r="D42" s="143" t="s">
        <v>5</v>
      </c>
      <c r="E42" s="144">
        <v>42933.768125000002</v>
      </c>
      <c r="F42" s="89">
        <f t="shared" si="5"/>
        <v>42933.768125000002</v>
      </c>
      <c r="G42" s="90" t="str">
        <f t="shared" si="6"/>
        <v>18:26</v>
      </c>
      <c r="H42" s="91" t="str">
        <f t="shared" si="7"/>
        <v>-</v>
      </c>
      <c r="I42" s="92" t="str">
        <f t="shared" si="8"/>
        <v>-</v>
      </c>
      <c r="J42" s="92" t="str">
        <f t="shared" si="9"/>
        <v>-</v>
      </c>
      <c r="K42" s="93">
        <f t="shared" si="10"/>
        <v>0</v>
      </c>
      <c r="L42" s="93"/>
      <c r="M42" s="94">
        <f t="shared" si="11"/>
        <v>0</v>
      </c>
      <c r="N42" s="94">
        <f t="shared" si="12"/>
        <v>0</v>
      </c>
      <c r="O42" s="95"/>
    </row>
    <row r="43" spans="1:19" s="16" customFormat="1">
      <c r="A43" s="140">
        <v>4418</v>
      </c>
      <c r="B43" s="140" t="s">
        <v>48</v>
      </c>
      <c r="C43" s="140" t="s">
        <v>48</v>
      </c>
      <c r="D43" s="143" t="s">
        <v>6</v>
      </c>
      <c r="E43" s="144">
        <v>42934.356585648151</v>
      </c>
      <c r="F43" s="89">
        <f t="shared" si="5"/>
        <v>42934.356585648151</v>
      </c>
      <c r="G43" s="90" t="str">
        <f t="shared" si="6"/>
        <v>8:33</v>
      </c>
      <c r="H43" s="91">
        <f t="shared" si="7"/>
        <v>9.8333333333333321</v>
      </c>
      <c r="I43" s="92">
        <f t="shared" si="8"/>
        <v>8</v>
      </c>
      <c r="J43" s="92" t="str">
        <f t="shared" si="9"/>
        <v>-</v>
      </c>
      <c r="K43" s="93">
        <f t="shared" si="10"/>
        <v>0</v>
      </c>
      <c r="L43" s="93"/>
      <c r="M43" s="94">
        <f t="shared" si="11"/>
        <v>0</v>
      </c>
      <c r="N43" s="94">
        <f t="shared" si="12"/>
        <v>0</v>
      </c>
      <c r="O43" s="95"/>
      <c r="P43" s="137"/>
      <c r="Q43" s="137"/>
      <c r="R43" s="137"/>
      <c r="S43" s="137"/>
    </row>
    <row r="44" spans="1:19" s="16" customFormat="1">
      <c r="A44" s="140">
        <v>4426</v>
      </c>
      <c r="B44" s="140" t="s">
        <v>48</v>
      </c>
      <c r="C44" s="140" t="s">
        <v>48</v>
      </c>
      <c r="D44" s="143" t="s">
        <v>5</v>
      </c>
      <c r="E44" s="144">
        <v>42934.766550925924</v>
      </c>
      <c r="F44" s="89">
        <f t="shared" si="5"/>
        <v>42934.766550925924</v>
      </c>
      <c r="G44" s="90" t="str">
        <f t="shared" si="6"/>
        <v>18:23</v>
      </c>
      <c r="H44" s="91" t="str">
        <f t="shared" si="7"/>
        <v>-</v>
      </c>
      <c r="I44" s="92" t="str">
        <f t="shared" si="8"/>
        <v>-</v>
      </c>
      <c r="J44" s="92" t="str">
        <f t="shared" si="9"/>
        <v>-</v>
      </c>
      <c r="K44" s="93">
        <f t="shared" si="10"/>
        <v>0</v>
      </c>
      <c r="L44" s="93"/>
      <c r="M44" s="94">
        <f t="shared" si="11"/>
        <v>0</v>
      </c>
      <c r="N44" s="94">
        <f t="shared" si="12"/>
        <v>0</v>
      </c>
      <c r="O44" s="95"/>
      <c r="P44" s="137"/>
      <c r="Q44" s="137"/>
      <c r="R44" s="137"/>
      <c r="S44" s="137"/>
    </row>
    <row r="45" spans="1:19">
      <c r="A45" s="140">
        <v>4431</v>
      </c>
      <c r="B45" s="140" t="s">
        <v>48</v>
      </c>
      <c r="C45" s="140" t="s">
        <v>48</v>
      </c>
      <c r="D45" s="143" t="s">
        <v>7</v>
      </c>
      <c r="E45" s="144">
        <v>42934.795358796298</v>
      </c>
      <c r="F45" s="89">
        <f t="shared" si="5"/>
        <v>42934.795358796298</v>
      </c>
      <c r="G45" s="90" t="str">
        <f t="shared" si="6"/>
        <v>19:5</v>
      </c>
      <c r="H45" s="91" t="str">
        <f t="shared" si="7"/>
        <v>-</v>
      </c>
      <c r="I45" s="92" t="str">
        <f t="shared" si="8"/>
        <v>-</v>
      </c>
      <c r="J45" s="92" t="str">
        <f t="shared" si="9"/>
        <v>-</v>
      </c>
      <c r="K45" s="93">
        <f t="shared" si="10"/>
        <v>1.883333333333332</v>
      </c>
      <c r="L45" s="93"/>
      <c r="M45" s="94">
        <f t="shared" si="11"/>
        <v>1.883333333333332</v>
      </c>
      <c r="N45" s="94">
        <f t="shared" si="12"/>
        <v>0</v>
      </c>
      <c r="O45" s="95"/>
    </row>
    <row r="46" spans="1:19">
      <c r="A46" s="140">
        <v>4439</v>
      </c>
      <c r="B46" s="140" t="s">
        <v>48</v>
      </c>
      <c r="C46" s="140" t="s">
        <v>48</v>
      </c>
      <c r="D46" s="143" t="s">
        <v>8</v>
      </c>
      <c r="E46" s="144">
        <v>42934.874201388891</v>
      </c>
      <c r="F46" s="89">
        <f t="shared" si="5"/>
        <v>42934.874201388891</v>
      </c>
      <c r="G46" s="90" t="str">
        <f t="shared" si="6"/>
        <v>20:58</v>
      </c>
      <c r="H46" s="91" t="str">
        <f t="shared" si="7"/>
        <v>-</v>
      </c>
      <c r="I46" s="92" t="str">
        <f t="shared" si="8"/>
        <v>-</v>
      </c>
      <c r="J46" s="92" t="str">
        <f t="shared" si="9"/>
        <v>-</v>
      </c>
      <c r="K46" s="93">
        <f t="shared" si="10"/>
        <v>0</v>
      </c>
      <c r="L46" s="93"/>
      <c r="M46" s="94">
        <f t="shared" si="11"/>
        <v>0</v>
      </c>
      <c r="N46" s="94">
        <f t="shared" si="12"/>
        <v>0</v>
      </c>
      <c r="O46" s="95"/>
    </row>
    <row r="47" spans="1:19">
      <c r="A47" s="140">
        <v>4443</v>
      </c>
      <c r="B47" s="140" t="s">
        <v>48</v>
      </c>
      <c r="C47" s="140" t="s">
        <v>48</v>
      </c>
      <c r="D47" s="143" t="s">
        <v>6</v>
      </c>
      <c r="E47" s="144">
        <v>42935.358611111114</v>
      </c>
      <c r="F47" s="89">
        <f t="shared" si="5"/>
        <v>42935.358611111114</v>
      </c>
      <c r="G47" s="90" t="str">
        <f t="shared" si="6"/>
        <v>8:36</v>
      </c>
      <c r="H47" s="91">
        <f t="shared" si="7"/>
        <v>9.9833333333333307</v>
      </c>
      <c r="I47" s="92">
        <f t="shared" si="8"/>
        <v>8</v>
      </c>
      <c r="J47" s="92" t="str">
        <f t="shared" si="9"/>
        <v>-</v>
      </c>
      <c r="K47" s="93">
        <f t="shared" si="10"/>
        <v>0</v>
      </c>
      <c r="L47" s="93"/>
      <c r="M47" s="94">
        <f t="shared" si="11"/>
        <v>0</v>
      </c>
      <c r="N47" s="94">
        <f t="shared" si="12"/>
        <v>0</v>
      </c>
      <c r="O47" s="95"/>
    </row>
    <row r="48" spans="1:19">
      <c r="A48" s="140">
        <v>4455</v>
      </c>
      <c r="B48" s="140" t="s">
        <v>48</v>
      </c>
      <c r="C48" s="140" t="s">
        <v>48</v>
      </c>
      <c r="D48" s="143" t="s">
        <v>5</v>
      </c>
      <c r="E48" s="144">
        <v>42935.77480324074</v>
      </c>
      <c r="F48" s="89">
        <f t="shared" si="5"/>
        <v>42935.77480324074</v>
      </c>
      <c r="G48" s="90" t="str">
        <f t="shared" si="6"/>
        <v>18:35</v>
      </c>
      <c r="H48" s="91" t="str">
        <f t="shared" si="7"/>
        <v>-</v>
      </c>
      <c r="I48" s="92" t="str">
        <f t="shared" si="8"/>
        <v>-</v>
      </c>
      <c r="J48" s="92" t="str">
        <f t="shared" si="9"/>
        <v>-</v>
      </c>
      <c r="K48" s="93">
        <f t="shared" si="10"/>
        <v>0</v>
      </c>
      <c r="L48" s="93"/>
      <c r="M48" s="94">
        <f t="shared" si="11"/>
        <v>0</v>
      </c>
      <c r="N48" s="94">
        <f t="shared" si="12"/>
        <v>0</v>
      </c>
      <c r="O48" s="95"/>
    </row>
    <row r="49" spans="1:19">
      <c r="A49" s="140">
        <v>4456</v>
      </c>
      <c r="B49" s="140" t="s">
        <v>48</v>
      </c>
      <c r="C49" s="140" t="s">
        <v>48</v>
      </c>
      <c r="D49" s="143" t="s">
        <v>7</v>
      </c>
      <c r="E49" s="144">
        <v>42935.77484953704</v>
      </c>
      <c r="F49" s="89">
        <f t="shared" si="5"/>
        <v>42935.77484953704</v>
      </c>
      <c r="G49" s="90" t="str">
        <f t="shared" si="6"/>
        <v>18:35</v>
      </c>
      <c r="H49" s="91" t="str">
        <f t="shared" si="7"/>
        <v>-</v>
      </c>
      <c r="I49" s="92" t="str">
        <f t="shared" si="8"/>
        <v>-</v>
      </c>
      <c r="J49" s="92" t="str">
        <f t="shared" si="9"/>
        <v>-</v>
      </c>
      <c r="K49" s="93">
        <f t="shared" si="10"/>
        <v>2.1833333333333336</v>
      </c>
      <c r="L49" s="93"/>
      <c r="M49" s="94">
        <f t="shared" si="11"/>
        <v>2</v>
      </c>
      <c r="N49" s="94">
        <f t="shared" si="12"/>
        <v>0.18333333333333357</v>
      </c>
      <c r="O49" s="95"/>
    </row>
    <row r="50" spans="1:19">
      <c r="A50" s="140">
        <v>4464</v>
      </c>
      <c r="B50" s="140" t="s">
        <v>48</v>
      </c>
      <c r="C50" s="140" t="s">
        <v>48</v>
      </c>
      <c r="D50" s="143" t="s">
        <v>8</v>
      </c>
      <c r="E50" s="144">
        <v>42935.865590277775</v>
      </c>
      <c r="F50" s="89">
        <f t="shared" si="5"/>
        <v>42935.865590277775</v>
      </c>
      <c r="G50" s="90" t="str">
        <f t="shared" si="6"/>
        <v>20:46</v>
      </c>
      <c r="H50" s="91" t="str">
        <f t="shared" si="7"/>
        <v>-</v>
      </c>
      <c r="I50" s="92" t="str">
        <f t="shared" si="8"/>
        <v>-</v>
      </c>
      <c r="J50" s="92" t="str">
        <f t="shared" si="9"/>
        <v>-</v>
      </c>
      <c r="K50" s="93">
        <f t="shared" si="10"/>
        <v>0</v>
      </c>
      <c r="L50" s="93"/>
      <c r="M50" s="94">
        <f t="shared" si="11"/>
        <v>0</v>
      </c>
      <c r="N50" s="94">
        <f t="shared" si="12"/>
        <v>0</v>
      </c>
      <c r="O50" s="95"/>
      <c r="P50" s="9" t="s">
        <v>19</v>
      </c>
    </row>
    <row r="51" spans="1:19">
      <c r="A51" s="140">
        <v>4466</v>
      </c>
      <c r="B51" s="140" t="s">
        <v>50</v>
      </c>
      <c r="C51" s="140" t="s">
        <v>48</v>
      </c>
      <c r="D51" s="143" t="s">
        <v>6</v>
      </c>
      <c r="E51" s="144">
        <v>42936.356134259258</v>
      </c>
      <c r="F51" s="89">
        <f t="shared" si="5"/>
        <v>42936.356134259258</v>
      </c>
      <c r="G51" s="90" t="str">
        <f t="shared" si="6"/>
        <v>8:32</v>
      </c>
      <c r="H51" s="91">
        <f t="shared" si="7"/>
        <v>9.6666666666666661</v>
      </c>
      <c r="I51" s="92">
        <f t="shared" si="8"/>
        <v>8</v>
      </c>
      <c r="J51" s="92" t="str">
        <f t="shared" si="9"/>
        <v>-</v>
      </c>
      <c r="K51" s="93">
        <f t="shared" si="10"/>
        <v>0</v>
      </c>
      <c r="L51" s="93"/>
      <c r="M51" s="94">
        <f t="shared" si="11"/>
        <v>0</v>
      </c>
      <c r="N51" s="94">
        <f t="shared" si="12"/>
        <v>0</v>
      </c>
      <c r="O51" s="95"/>
    </row>
    <row r="52" spans="1:19">
      <c r="A52" s="140">
        <v>4475</v>
      </c>
      <c r="B52" s="140" t="s">
        <v>50</v>
      </c>
      <c r="C52" s="140" t="s">
        <v>48</v>
      </c>
      <c r="D52" s="143" t="s">
        <v>5</v>
      </c>
      <c r="E52" s="144">
        <v>42936.758622685185</v>
      </c>
      <c r="F52" s="89">
        <f t="shared" si="5"/>
        <v>42936.758622685185</v>
      </c>
      <c r="G52" s="90" t="str">
        <f t="shared" si="6"/>
        <v>18:12</v>
      </c>
      <c r="H52" s="91" t="str">
        <f t="shared" si="7"/>
        <v>-</v>
      </c>
      <c r="I52" s="92" t="str">
        <f t="shared" si="8"/>
        <v>-</v>
      </c>
      <c r="J52" s="92" t="str">
        <f t="shared" si="9"/>
        <v>-</v>
      </c>
      <c r="K52" s="93">
        <f t="shared" si="10"/>
        <v>0</v>
      </c>
      <c r="L52" s="93"/>
      <c r="M52" s="94">
        <f t="shared" si="11"/>
        <v>0</v>
      </c>
      <c r="N52" s="94">
        <f t="shared" si="12"/>
        <v>0</v>
      </c>
      <c r="O52" s="95"/>
    </row>
    <row r="53" spans="1:19">
      <c r="A53" s="140">
        <v>4493</v>
      </c>
      <c r="B53" s="140" t="s">
        <v>48</v>
      </c>
      <c r="C53" s="140" t="s">
        <v>48</v>
      </c>
      <c r="D53" s="143" t="s">
        <v>6</v>
      </c>
      <c r="E53" s="144">
        <v>42937.359791666669</v>
      </c>
      <c r="F53" s="89">
        <f t="shared" si="5"/>
        <v>42937.359791666669</v>
      </c>
      <c r="G53" s="90" t="str">
        <f t="shared" si="6"/>
        <v>8:38</v>
      </c>
      <c r="H53" s="91">
        <f t="shared" si="7"/>
        <v>10.25</v>
      </c>
      <c r="I53" s="92">
        <f t="shared" si="8"/>
        <v>8</v>
      </c>
      <c r="J53" s="92" t="str">
        <f t="shared" si="9"/>
        <v>-</v>
      </c>
      <c r="K53" s="93">
        <f t="shared" si="10"/>
        <v>0</v>
      </c>
      <c r="L53" s="93"/>
      <c r="M53" s="94">
        <f t="shared" si="11"/>
        <v>0</v>
      </c>
      <c r="N53" s="94">
        <f t="shared" si="12"/>
        <v>0</v>
      </c>
      <c r="O53" s="95"/>
      <c r="P53"/>
      <c r="Q53"/>
      <c r="R53"/>
      <c r="S53"/>
    </row>
    <row r="54" spans="1:19">
      <c r="A54" s="140">
        <v>4503</v>
      </c>
      <c r="B54" s="140" t="s">
        <v>48</v>
      </c>
      <c r="C54" s="140" t="s">
        <v>48</v>
      </c>
      <c r="D54" s="143" t="s">
        <v>5</v>
      </c>
      <c r="E54" s="144">
        <v>42937.786932870367</v>
      </c>
      <c r="F54" s="89">
        <f t="shared" si="5"/>
        <v>42937.786932870367</v>
      </c>
      <c r="G54" s="90" t="str">
        <f t="shared" si="6"/>
        <v>18:53</v>
      </c>
      <c r="H54" s="91" t="str">
        <f t="shared" si="7"/>
        <v>-</v>
      </c>
      <c r="I54" s="92" t="str">
        <f t="shared" si="8"/>
        <v>-</v>
      </c>
      <c r="J54" s="92" t="str">
        <f t="shared" si="9"/>
        <v>-</v>
      </c>
      <c r="K54" s="93">
        <f t="shared" si="10"/>
        <v>0</v>
      </c>
      <c r="L54" s="93"/>
      <c r="M54" s="94">
        <f t="shared" si="11"/>
        <v>0</v>
      </c>
      <c r="N54" s="94">
        <f t="shared" si="12"/>
        <v>0</v>
      </c>
      <c r="O54" s="95"/>
      <c r="P54"/>
      <c r="Q54"/>
      <c r="R54"/>
      <c r="S54"/>
    </row>
    <row r="55" spans="1:19" s="2" customFormat="1">
      <c r="A55" s="140">
        <v>4508</v>
      </c>
      <c r="B55" s="140" t="s">
        <v>48</v>
      </c>
      <c r="C55" s="140" t="s">
        <v>48</v>
      </c>
      <c r="D55" s="143" t="s">
        <v>6</v>
      </c>
      <c r="E55" s="144">
        <v>42940.356087962966</v>
      </c>
      <c r="F55" s="89">
        <f t="shared" si="5"/>
        <v>42940.356087962966</v>
      </c>
      <c r="G55" s="90" t="str">
        <f t="shared" si="6"/>
        <v>8:32</v>
      </c>
      <c r="H55" s="91">
        <f t="shared" si="7"/>
        <v>10.216666666666667</v>
      </c>
      <c r="I55" s="92">
        <f t="shared" si="8"/>
        <v>8</v>
      </c>
      <c r="J55" s="92" t="str">
        <f t="shared" si="9"/>
        <v>-</v>
      </c>
      <c r="K55" s="93">
        <f t="shared" si="10"/>
        <v>0</v>
      </c>
      <c r="L55" s="93"/>
      <c r="M55" s="94">
        <f t="shared" si="11"/>
        <v>0</v>
      </c>
      <c r="N55" s="94">
        <f t="shared" si="12"/>
        <v>0</v>
      </c>
      <c r="O55" s="95"/>
    </row>
    <row r="56" spans="1:19" s="2" customFormat="1">
      <c r="A56" s="140">
        <v>4524</v>
      </c>
      <c r="B56" s="140" t="s">
        <v>48</v>
      </c>
      <c r="C56" s="140" t="s">
        <v>48</v>
      </c>
      <c r="D56" s="143" t="s">
        <v>5</v>
      </c>
      <c r="E56" s="144">
        <v>42940.781458333331</v>
      </c>
      <c r="F56" s="89">
        <f t="shared" si="5"/>
        <v>42940.781458333331</v>
      </c>
      <c r="G56" s="90" t="str">
        <f t="shared" si="6"/>
        <v>18:45</v>
      </c>
      <c r="H56" s="91" t="str">
        <f t="shared" si="7"/>
        <v>-</v>
      </c>
      <c r="I56" s="92" t="str">
        <f t="shared" si="8"/>
        <v>-</v>
      </c>
      <c r="J56" s="92" t="str">
        <f t="shared" si="9"/>
        <v>-</v>
      </c>
      <c r="K56" s="93">
        <f t="shared" si="10"/>
        <v>0</v>
      </c>
      <c r="L56" s="93"/>
      <c r="M56" s="94">
        <f t="shared" si="11"/>
        <v>0</v>
      </c>
      <c r="N56" s="94">
        <f t="shared" si="12"/>
        <v>0</v>
      </c>
      <c r="O56" s="95"/>
    </row>
    <row r="57" spans="1:19">
      <c r="A57" s="140">
        <v>4525</v>
      </c>
      <c r="B57" s="140" t="s">
        <v>48</v>
      </c>
      <c r="C57" s="140" t="s">
        <v>48</v>
      </c>
      <c r="D57" s="143" t="s">
        <v>7</v>
      </c>
      <c r="E57" s="144">
        <v>42940.781493055554</v>
      </c>
      <c r="F57" s="89">
        <f t="shared" si="5"/>
        <v>42940.781493055554</v>
      </c>
      <c r="G57" s="90" t="str">
        <f t="shared" si="6"/>
        <v>18:45</v>
      </c>
      <c r="H57" s="91" t="str">
        <f t="shared" si="7"/>
        <v>-</v>
      </c>
      <c r="I57" s="92" t="str">
        <f t="shared" si="8"/>
        <v>-</v>
      </c>
      <c r="J57" s="92" t="str">
        <f t="shared" si="9"/>
        <v>-</v>
      </c>
      <c r="K57" s="93">
        <f t="shared" si="10"/>
        <v>2.8833333333333337</v>
      </c>
      <c r="L57" s="93"/>
      <c r="M57" s="94">
        <f t="shared" si="11"/>
        <v>2</v>
      </c>
      <c r="N57" s="94">
        <f t="shared" si="12"/>
        <v>0.88333333333333375</v>
      </c>
      <c r="O57" s="95"/>
    </row>
    <row r="58" spans="1:19">
      <c r="A58" s="140">
        <v>4531</v>
      </c>
      <c r="B58" s="140" t="s">
        <v>48</v>
      </c>
      <c r="C58" s="140" t="s">
        <v>48</v>
      </c>
      <c r="D58" s="143" t="s">
        <v>8</v>
      </c>
      <c r="E58" s="144">
        <v>42940.901689814818</v>
      </c>
      <c r="F58" s="89">
        <f t="shared" si="5"/>
        <v>42940.901689814818</v>
      </c>
      <c r="G58" s="90" t="str">
        <f t="shared" si="6"/>
        <v>21:38</v>
      </c>
      <c r="H58" s="91" t="str">
        <f t="shared" si="7"/>
        <v>-</v>
      </c>
      <c r="I58" s="92" t="str">
        <f t="shared" si="8"/>
        <v>-</v>
      </c>
      <c r="J58" s="92" t="str">
        <f t="shared" si="9"/>
        <v>-</v>
      </c>
      <c r="K58" s="93">
        <f t="shared" si="10"/>
        <v>0</v>
      </c>
      <c r="L58" s="93"/>
      <c r="M58" s="94">
        <f t="shared" si="11"/>
        <v>0</v>
      </c>
      <c r="N58" s="94">
        <f t="shared" si="12"/>
        <v>0</v>
      </c>
      <c r="O58" s="95"/>
    </row>
    <row r="59" spans="1:19" s="63" customFormat="1">
      <c r="A59" s="140">
        <v>4538</v>
      </c>
      <c r="B59" s="140" t="s">
        <v>48</v>
      </c>
      <c r="C59" s="140" t="s">
        <v>48</v>
      </c>
      <c r="D59" s="143" t="s">
        <v>6</v>
      </c>
      <c r="E59" s="144">
        <v>42941.358611111114</v>
      </c>
      <c r="F59" s="89">
        <f t="shared" si="5"/>
        <v>42941.358611111114</v>
      </c>
      <c r="G59" s="90" t="str">
        <f t="shared" si="6"/>
        <v>8:36</v>
      </c>
      <c r="H59" s="91">
        <f t="shared" si="7"/>
        <v>10.533333333333331</v>
      </c>
      <c r="I59" s="92">
        <f t="shared" si="8"/>
        <v>8</v>
      </c>
      <c r="J59" s="92" t="str">
        <f t="shared" si="9"/>
        <v>-</v>
      </c>
      <c r="K59" s="93">
        <f t="shared" si="10"/>
        <v>0</v>
      </c>
      <c r="L59" s="93"/>
      <c r="M59" s="94">
        <f t="shared" si="11"/>
        <v>0</v>
      </c>
      <c r="N59" s="94">
        <f t="shared" si="12"/>
        <v>0</v>
      </c>
      <c r="O59" s="95"/>
      <c r="P59" s="18"/>
      <c r="Q59" s="18"/>
      <c r="R59" s="18"/>
      <c r="S59" s="18"/>
    </row>
    <row r="60" spans="1:19" s="63" customFormat="1">
      <c r="A60" s="140">
        <v>4551</v>
      </c>
      <c r="B60" s="140" t="s">
        <v>48</v>
      </c>
      <c r="C60" s="140" t="s">
        <v>48</v>
      </c>
      <c r="D60" s="143" t="s">
        <v>5</v>
      </c>
      <c r="E60" s="144">
        <v>42941.797615740739</v>
      </c>
      <c r="F60" s="89">
        <f t="shared" si="5"/>
        <v>42941.797615740739</v>
      </c>
      <c r="G60" s="90" t="str">
        <f t="shared" si="6"/>
        <v>19:8</v>
      </c>
      <c r="H60" s="91" t="str">
        <f t="shared" si="7"/>
        <v>-</v>
      </c>
      <c r="I60" s="92" t="str">
        <f t="shared" si="8"/>
        <v>-</v>
      </c>
      <c r="J60" s="92" t="str">
        <f t="shared" si="9"/>
        <v>-</v>
      </c>
      <c r="K60" s="93">
        <f t="shared" si="10"/>
        <v>0</v>
      </c>
      <c r="L60" s="93"/>
      <c r="M60" s="94">
        <f t="shared" si="11"/>
        <v>0</v>
      </c>
      <c r="N60" s="94">
        <f t="shared" si="12"/>
        <v>0</v>
      </c>
      <c r="O60" s="95"/>
      <c r="P60" s="18"/>
      <c r="Q60" s="18"/>
      <c r="R60" s="18"/>
      <c r="S60" s="18"/>
    </row>
    <row r="61" spans="1:19">
      <c r="A61" s="140">
        <v>4560</v>
      </c>
      <c r="B61" s="140" t="s">
        <v>48</v>
      </c>
      <c r="C61" s="140" t="s">
        <v>48</v>
      </c>
      <c r="D61" s="143" t="s">
        <v>6</v>
      </c>
      <c r="E61" s="144">
        <v>42942.358252314814</v>
      </c>
      <c r="F61" s="89">
        <f t="shared" si="5"/>
        <v>42942.358252314814</v>
      </c>
      <c r="G61" s="90" t="str">
        <f t="shared" si="6"/>
        <v>8:35</v>
      </c>
      <c r="H61" s="91">
        <f t="shared" si="7"/>
        <v>10.65</v>
      </c>
      <c r="I61" s="92">
        <f t="shared" si="8"/>
        <v>8</v>
      </c>
      <c r="J61" s="92" t="str">
        <f t="shared" si="9"/>
        <v>-</v>
      </c>
      <c r="K61" s="93">
        <f t="shared" si="10"/>
        <v>0</v>
      </c>
      <c r="L61" s="93"/>
      <c r="M61" s="94">
        <f t="shared" si="11"/>
        <v>0</v>
      </c>
      <c r="N61" s="94">
        <f t="shared" si="12"/>
        <v>0</v>
      </c>
      <c r="O61" s="95"/>
    </row>
    <row r="62" spans="1:19">
      <c r="A62" s="140">
        <v>4574</v>
      </c>
      <c r="B62" s="140" t="s">
        <v>48</v>
      </c>
      <c r="C62" s="140" t="s">
        <v>48</v>
      </c>
      <c r="D62" s="143" t="s">
        <v>5</v>
      </c>
      <c r="E62" s="144">
        <v>42942.801655092589</v>
      </c>
      <c r="F62" s="89">
        <f t="shared" si="5"/>
        <v>42942.801655092589</v>
      </c>
      <c r="G62" s="90" t="str">
        <f t="shared" si="6"/>
        <v>19:14</v>
      </c>
      <c r="H62" s="91" t="str">
        <f t="shared" si="7"/>
        <v>-</v>
      </c>
      <c r="I62" s="92" t="str">
        <f t="shared" si="8"/>
        <v>-</v>
      </c>
      <c r="J62" s="92" t="str">
        <f t="shared" si="9"/>
        <v>-</v>
      </c>
      <c r="K62" s="93">
        <f t="shared" si="10"/>
        <v>0</v>
      </c>
      <c r="L62" s="93"/>
      <c r="M62" s="94">
        <f t="shared" si="11"/>
        <v>0</v>
      </c>
      <c r="N62" s="94">
        <f t="shared" si="12"/>
        <v>0</v>
      </c>
      <c r="O62" s="95"/>
    </row>
    <row r="63" spans="1:19">
      <c r="A63">
        <v>4575</v>
      </c>
      <c r="B63" t="s">
        <v>48</v>
      </c>
      <c r="C63" t="s">
        <v>48</v>
      </c>
      <c r="D63" s="143" t="s">
        <v>7</v>
      </c>
      <c r="E63" s="144">
        <v>42942.801701388889</v>
      </c>
      <c r="F63" s="89">
        <f t="shared" si="5"/>
        <v>42942.801701388889</v>
      </c>
      <c r="G63" s="90" t="str">
        <f t="shared" si="6"/>
        <v>19:14</v>
      </c>
      <c r="H63" s="91" t="str">
        <f t="shared" si="7"/>
        <v>-</v>
      </c>
      <c r="I63" s="92" t="str">
        <f t="shared" si="8"/>
        <v>-</v>
      </c>
      <c r="J63" s="92" t="str">
        <f t="shared" si="9"/>
        <v>-</v>
      </c>
      <c r="K63" s="93">
        <f t="shared" si="10"/>
        <v>0.19999999999999929</v>
      </c>
      <c r="L63" s="93"/>
      <c r="M63" s="94">
        <f t="shared" si="11"/>
        <v>0.19999999999999929</v>
      </c>
      <c r="N63" s="94">
        <f t="shared" si="12"/>
        <v>0</v>
      </c>
      <c r="O63" s="95"/>
    </row>
    <row r="64" spans="1:19" s="63" customFormat="1">
      <c r="A64">
        <v>4576</v>
      </c>
      <c r="B64" t="s">
        <v>50</v>
      </c>
      <c r="C64" t="s">
        <v>48</v>
      </c>
      <c r="D64" s="143" t="s">
        <v>8</v>
      </c>
      <c r="E64" s="144">
        <v>42942.810173611113</v>
      </c>
      <c r="F64" s="89">
        <f t="shared" si="5"/>
        <v>42942.810173611113</v>
      </c>
      <c r="G64" s="90" t="str">
        <f t="shared" si="6"/>
        <v>19:26</v>
      </c>
      <c r="H64" s="91" t="str">
        <f t="shared" si="7"/>
        <v>-</v>
      </c>
      <c r="I64" s="92" t="str">
        <f t="shared" si="8"/>
        <v>-</v>
      </c>
      <c r="J64" s="92" t="str">
        <f t="shared" si="9"/>
        <v>-</v>
      </c>
      <c r="K64" s="93">
        <f t="shared" si="10"/>
        <v>0</v>
      </c>
      <c r="L64" s="93"/>
      <c r="M64" s="94">
        <f t="shared" si="11"/>
        <v>0</v>
      </c>
      <c r="N64" s="94">
        <f t="shared" si="12"/>
        <v>0</v>
      </c>
      <c r="O64" s="95"/>
      <c r="P64" s="18"/>
      <c r="Q64" s="18"/>
      <c r="R64" s="18"/>
      <c r="S64" s="18"/>
    </row>
    <row r="65" spans="1:19">
      <c r="A65">
        <v>4584</v>
      </c>
      <c r="B65" t="s">
        <v>50</v>
      </c>
      <c r="C65" t="s">
        <v>48</v>
      </c>
      <c r="D65" s="143" t="s">
        <v>6</v>
      </c>
      <c r="E65" s="144">
        <v>42943.359733796293</v>
      </c>
      <c r="F65" s="89">
        <f t="shared" si="5"/>
        <v>42943.359733796293</v>
      </c>
      <c r="G65" s="90" t="str">
        <f t="shared" si="6"/>
        <v>8:38</v>
      </c>
      <c r="H65" s="91">
        <f t="shared" si="7"/>
        <v>9.7666666666666657</v>
      </c>
      <c r="I65" s="92">
        <f t="shared" si="8"/>
        <v>8</v>
      </c>
      <c r="J65" s="92" t="str">
        <f t="shared" si="9"/>
        <v>-</v>
      </c>
      <c r="K65" s="93">
        <f t="shared" si="10"/>
        <v>0</v>
      </c>
      <c r="L65" s="93"/>
      <c r="M65" s="94">
        <f t="shared" si="11"/>
        <v>0</v>
      </c>
      <c r="N65" s="94">
        <f t="shared" si="12"/>
        <v>0</v>
      </c>
      <c r="O65" s="95"/>
    </row>
    <row r="66" spans="1:19">
      <c r="A66">
        <v>4594</v>
      </c>
      <c r="B66" t="s">
        <v>48</v>
      </c>
      <c r="C66" t="s">
        <v>48</v>
      </c>
      <c r="D66" s="143" t="s">
        <v>5</v>
      </c>
      <c r="E66" s="144">
        <v>42943.767094907409</v>
      </c>
      <c r="F66" s="89">
        <f t="shared" si="5"/>
        <v>42943.767094907409</v>
      </c>
      <c r="G66" s="90" t="str">
        <f t="shared" si="6"/>
        <v>18:24</v>
      </c>
      <c r="H66" s="91" t="str">
        <f t="shared" si="7"/>
        <v>-</v>
      </c>
      <c r="I66" s="92" t="str">
        <f t="shared" si="8"/>
        <v>-</v>
      </c>
      <c r="J66" s="92" t="str">
        <f t="shared" si="9"/>
        <v>-</v>
      </c>
      <c r="K66" s="93">
        <f t="shared" si="10"/>
        <v>0</v>
      </c>
      <c r="L66" s="93"/>
      <c r="M66" s="94">
        <f t="shared" si="11"/>
        <v>0</v>
      </c>
      <c r="N66" s="94">
        <f t="shared" si="12"/>
        <v>0</v>
      </c>
      <c r="O66" s="95"/>
    </row>
    <row r="67" spans="1:19">
      <c r="A67">
        <v>4603</v>
      </c>
      <c r="B67" t="s">
        <v>48</v>
      </c>
      <c r="C67" t="s">
        <v>48</v>
      </c>
      <c r="D67" s="143" t="s">
        <v>6</v>
      </c>
      <c r="E67" s="144">
        <v>42944.356435185182</v>
      </c>
      <c r="F67" s="89">
        <f t="shared" si="5"/>
        <v>42944.356435185182</v>
      </c>
      <c r="G67" s="90" t="str">
        <f t="shared" si="6"/>
        <v>8:33</v>
      </c>
      <c r="H67" s="91">
        <f t="shared" si="7"/>
        <v>10.316666666666666</v>
      </c>
      <c r="I67" s="92">
        <f t="shared" si="8"/>
        <v>8</v>
      </c>
      <c r="J67" s="92" t="str">
        <f t="shared" si="9"/>
        <v>-</v>
      </c>
      <c r="K67" s="93">
        <f t="shared" si="10"/>
        <v>0</v>
      </c>
      <c r="L67" s="93"/>
      <c r="M67" s="94">
        <f t="shared" si="11"/>
        <v>0</v>
      </c>
      <c r="N67" s="94">
        <f t="shared" si="12"/>
        <v>0</v>
      </c>
      <c r="O67" s="95"/>
    </row>
    <row r="68" spans="1:19">
      <c r="A68">
        <v>4618</v>
      </c>
      <c r="B68" t="s">
        <v>48</v>
      </c>
      <c r="C68" t="s">
        <v>48</v>
      </c>
      <c r="D68" s="143" t="s">
        <v>5</v>
      </c>
      <c r="E68" s="144">
        <v>42944.786377314813</v>
      </c>
      <c r="F68" s="89">
        <f t="shared" si="5"/>
        <v>42944.786377314813</v>
      </c>
      <c r="G68" s="90" t="str">
        <f t="shared" si="6"/>
        <v>18:52</v>
      </c>
      <c r="H68" s="91" t="str">
        <f t="shared" si="7"/>
        <v>-</v>
      </c>
      <c r="I68" s="92" t="str">
        <f t="shared" si="8"/>
        <v>-</v>
      </c>
      <c r="J68" s="92" t="str">
        <f t="shared" si="9"/>
        <v>-</v>
      </c>
      <c r="K68" s="93">
        <f t="shared" si="10"/>
        <v>0</v>
      </c>
      <c r="L68" s="93"/>
      <c r="M68" s="94">
        <f t="shared" si="11"/>
        <v>0</v>
      </c>
      <c r="N68" s="94">
        <f t="shared" si="12"/>
        <v>0</v>
      </c>
      <c r="O68" s="95"/>
    </row>
    <row r="69" spans="1:19" s="63" customFormat="1">
      <c r="A69" s="63">
        <v>4603</v>
      </c>
      <c r="B69" s="63" t="s">
        <v>48</v>
      </c>
      <c r="C69" s="63" t="s">
        <v>48</v>
      </c>
      <c r="D69" s="181" t="s">
        <v>6</v>
      </c>
      <c r="E69" s="180">
        <v>42947.354351851849</v>
      </c>
      <c r="F69" s="135">
        <f t="shared" si="5"/>
        <v>42947.354351851849</v>
      </c>
      <c r="G69" s="67" t="str">
        <f t="shared" si="6"/>
        <v>8:30</v>
      </c>
      <c r="H69" s="64">
        <f t="shared" si="7"/>
        <v>9.5</v>
      </c>
      <c r="I69" s="66">
        <f t="shared" si="8"/>
        <v>8</v>
      </c>
      <c r="J69" s="66" t="str">
        <f t="shared" si="9"/>
        <v>-</v>
      </c>
      <c r="K69" s="68">
        <f t="shared" si="10"/>
        <v>0</v>
      </c>
      <c r="L69" s="68"/>
      <c r="M69" s="65">
        <f t="shared" si="11"/>
        <v>0</v>
      </c>
      <c r="N69" s="65">
        <f t="shared" si="12"/>
        <v>0</v>
      </c>
      <c r="O69" s="147" t="s">
        <v>80</v>
      </c>
      <c r="P69" s="18"/>
      <c r="Q69" s="18"/>
      <c r="R69" s="18"/>
      <c r="S69" s="18"/>
    </row>
    <row r="70" spans="1:19" s="63" customFormat="1">
      <c r="A70" s="63">
        <v>4618</v>
      </c>
      <c r="B70" s="63" t="s">
        <v>48</v>
      </c>
      <c r="C70" s="63" t="s">
        <v>48</v>
      </c>
      <c r="D70" s="181" t="s">
        <v>5</v>
      </c>
      <c r="E70" s="180">
        <v>42947.7502662037</v>
      </c>
      <c r="F70" s="135">
        <f t="shared" si="5"/>
        <v>42947.7502662037</v>
      </c>
      <c r="G70" s="67" t="str">
        <f t="shared" si="6"/>
        <v>18:0</v>
      </c>
      <c r="H70" s="64" t="str">
        <f>IF(D70="上班",(#REF!-G70)*24,"-")</f>
        <v>-</v>
      </c>
      <c r="I70" s="66" t="str">
        <f t="shared" si="8"/>
        <v>-</v>
      </c>
      <c r="J70" s="66" t="str">
        <f t="shared" si="9"/>
        <v>-</v>
      </c>
      <c r="K70" s="68">
        <f>IF(D70="加班",(#REF!-G70)*24,0)</f>
        <v>0</v>
      </c>
      <c r="L70" s="68"/>
      <c r="M70" s="65">
        <f t="shared" si="11"/>
        <v>0</v>
      </c>
      <c r="N70" s="65">
        <f t="shared" si="12"/>
        <v>0</v>
      </c>
      <c r="O70" s="147"/>
      <c r="P70" s="18"/>
      <c r="Q70" s="18"/>
      <c r="R70" s="18"/>
      <c r="S70" s="18"/>
    </row>
    <row r="71" spans="1:19">
      <c r="D71"/>
    </row>
    <row r="72" spans="1:19">
      <c r="D72"/>
    </row>
    <row r="73" spans="1:19">
      <c r="D73" s="9" t="s">
        <v>49</v>
      </c>
      <c r="E73" s="9"/>
      <c r="F73" s="55"/>
      <c r="G73" s="55"/>
      <c r="H73" s="9"/>
      <c r="I73" s="60"/>
      <c r="J73" s="61"/>
      <c r="K73" s="61"/>
      <c r="L73" s="59"/>
    </row>
    <row r="74" spans="1:19">
      <c r="D74" s="9" t="s">
        <v>39</v>
      </c>
      <c r="E74"/>
      <c r="F74" s="3"/>
      <c r="G74"/>
      <c r="H74"/>
      <c r="I74" s="62"/>
      <c r="J74" s="62"/>
      <c r="K74" s="62"/>
      <c r="L74" s="59"/>
    </row>
    <row r="75" spans="1:19">
      <c r="D75" s="172" t="s">
        <v>63</v>
      </c>
      <c r="E75" s="173"/>
      <c r="F75" s="130"/>
      <c r="G75" s="174"/>
      <c r="H75" s="175"/>
      <c r="I75" s="176"/>
      <c r="J75" s="176"/>
      <c r="K75" s="177"/>
      <c r="L75" s="177"/>
      <c r="M75" s="177"/>
    </row>
    <row r="76" spans="1:19">
      <c r="D76" t="s">
        <v>66</v>
      </c>
    </row>
    <row r="77" spans="1:19">
      <c r="D77" t="s">
        <v>64</v>
      </c>
    </row>
    <row r="78" spans="1:19">
      <c r="D78" t="s">
        <v>68</v>
      </c>
    </row>
    <row r="79" spans="1:19">
      <c r="D79" t="s">
        <v>69</v>
      </c>
    </row>
    <row r="80" spans="1:19">
      <c r="D80" t="s">
        <v>65</v>
      </c>
    </row>
    <row r="81" spans="4:4">
      <c r="D81" t="s">
        <v>67</v>
      </c>
    </row>
  </sheetData>
  <phoneticPr fontId="18" type="noConversion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工作表34"/>
  <dimension ref="A1:U39"/>
  <sheetViews>
    <sheetView topLeftCell="D13" workbookViewId="0">
      <selection sqref="A1:E467"/>
    </sheetView>
  </sheetViews>
  <sheetFormatPr defaultRowHeight="16.5" outlineLevelCol="1"/>
  <cols>
    <col min="1" max="1" width="5.375" hidden="1" customWidth="1" outlineLevel="1"/>
    <col min="2" max="2" width="6.875" hidden="1" customWidth="1" outlineLevel="1"/>
    <col min="3" max="3" width="6.5" style="3" hidden="1" customWidth="1" outlineLevel="1"/>
    <col min="4" max="4" width="10.5" style="3" customWidth="1" collapsed="1"/>
    <col min="5" max="5" width="15.25" style="3" customWidth="1"/>
    <col min="6" max="6" width="6.2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75" style="22" customWidth="1"/>
    <col min="15" max="15" width="18.1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LZ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28</v>
      </c>
      <c r="E2" s="29"/>
      <c r="F2" s="79"/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/>
      <c r="E3" s="30"/>
      <c r="F3" s="25"/>
      <c r="G3" s="26"/>
      <c r="H3" s="26"/>
      <c r="I3" s="88"/>
      <c r="J3" s="54">
        <f>D5+E5</f>
        <v>5.0000000000000711E-2</v>
      </c>
      <c r="K3" s="53">
        <f>SUM(K15:K41)</f>
        <v>4.1333333333333346</v>
      </c>
      <c r="L3" s="53">
        <v>0.05</v>
      </c>
      <c r="M3" s="53">
        <f>M6-L3</f>
        <v>4.8500000000000014</v>
      </c>
      <c r="N3" s="53">
        <f>N6</f>
        <v>0</v>
      </c>
      <c r="O3" s="50"/>
    </row>
    <row r="4" spans="1:21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59</v>
      </c>
    </row>
    <row r="5" spans="1:21">
      <c r="D5" s="162">
        <f>J27</f>
        <v>5.0000000000000711E-2</v>
      </c>
      <c r="E5" s="150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3.0625000000000006E-2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SUM(I7:I36)</f>
        <v>58.95</v>
      </c>
      <c r="J6" s="78">
        <f t="shared" ref="J6:N6" si="0">SUM(J7:J36)</f>
        <v>5.0000000000000711E-2</v>
      </c>
      <c r="K6" s="78">
        <f t="shared" si="0"/>
        <v>4.9000000000000012</v>
      </c>
      <c r="L6" s="78">
        <f t="shared" si="0"/>
        <v>0</v>
      </c>
      <c r="M6" s="78">
        <f t="shared" si="0"/>
        <v>4.9000000000000012</v>
      </c>
      <c r="N6" s="78">
        <f t="shared" si="0"/>
        <v>0</v>
      </c>
      <c r="O6" s="45"/>
      <c r="Q6" s="47"/>
    </row>
    <row r="7" spans="1:21" s="137" customFormat="1">
      <c r="A7" s="152">
        <v>2100</v>
      </c>
      <c r="B7" s="152" t="s">
        <v>59</v>
      </c>
      <c r="C7" s="152" t="s">
        <v>13</v>
      </c>
      <c r="D7" s="153" t="s">
        <v>6</v>
      </c>
      <c r="E7" s="154">
        <v>42738.365381944444</v>
      </c>
      <c r="F7" s="89">
        <f t="shared" ref="F7:F36" si="1">E7</f>
        <v>42738.365381944444</v>
      </c>
      <c r="G7" s="32" t="str">
        <f t="shared" ref="G7" si="2">HOUR(E7)&amp;":"&amp;MINUTE(E7)</f>
        <v>8:46</v>
      </c>
      <c r="H7" s="33">
        <f t="shared" ref="H7" si="3">IF(D7="上班",(G8-G7)*24,"-")</f>
        <v>9.8666666666666671</v>
      </c>
      <c r="I7" s="92">
        <f t="shared" ref="I7:I8" si="4">IF(D7="上班",IF(H7-1.5&gt;8,8,H7-1.5),"-")</f>
        <v>8</v>
      </c>
      <c r="J7" s="92" t="str">
        <f t="shared" ref="J7:J8" si="5">IF(I7&lt;8,8-I7,"-")</f>
        <v>-</v>
      </c>
      <c r="K7" s="93">
        <f t="shared" ref="K7:K8" si="6">IF(D7="加班",(G8-G7)*24,0)</f>
        <v>0</v>
      </c>
      <c r="L7" s="93"/>
      <c r="M7" s="94">
        <f t="shared" ref="M7:M8" si="7">IF(K7&gt;2,2,K7)</f>
        <v>0</v>
      </c>
      <c r="N7" s="94">
        <f t="shared" ref="N7:N8" si="8">IF(K7&gt;2,K7-2,0)</f>
        <v>0</v>
      </c>
      <c r="O7" s="20"/>
    </row>
    <row r="8" spans="1:21" s="137" customFormat="1">
      <c r="A8" s="152">
        <v>2108</v>
      </c>
      <c r="B8" s="152" t="s">
        <v>13</v>
      </c>
      <c r="C8" s="152" t="s">
        <v>13</v>
      </c>
      <c r="D8" s="155" t="s">
        <v>5</v>
      </c>
      <c r="E8" s="156">
        <v>42738.776435185187</v>
      </c>
      <c r="F8" s="89">
        <f t="shared" si="1"/>
        <v>42738.776435185187</v>
      </c>
      <c r="G8" s="90" t="str">
        <f t="shared" ref="G8:G34" si="9">HOUR(E8)&amp;":"&amp;MINUTE(E8)</f>
        <v>18:38</v>
      </c>
      <c r="H8" s="91" t="str">
        <f t="shared" ref="H8:H33" si="10">IF(D8="上班",(G9-G8)*24,"-")</f>
        <v>-</v>
      </c>
      <c r="I8" s="92" t="str">
        <f t="shared" si="4"/>
        <v>-</v>
      </c>
      <c r="J8" s="92" t="str">
        <f t="shared" si="5"/>
        <v>-</v>
      </c>
      <c r="K8" s="93">
        <f t="shared" si="6"/>
        <v>0</v>
      </c>
      <c r="L8" s="93"/>
      <c r="M8" s="94">
        <f t="shared" si="7"/>
        <v>0</v>
      </c>
      <c r="N8" s="94">
        <f t="shared" si="8"/>
        <v>0</v>
      </c>
      <c r="O8" s="20"/>
    </row>
    <row r="9" spans="1:21">
      <c r="A9" s="152">
        <v>2112</v>
      </c>
      <c r="B9" s="152" t="s">
        <v>13</v>
      </c>
      <c r="C9" s="152" t="s">
        <v>13</v>
      </c>
      <c r="D9" s="155" t="s">
        <v>6</v>
      </c>
      <c r="E9" s="156">
        <v>42739.358425925922</v>
      </c>
      <c r="F9" s="89">
        <f t="shared" si="1"/>
        <v>42739.358425925922</v>
      </c>
      <c r="G9" s="90" t="str">
        <f t="shared" si="9"/>
        <v>8:36</v>
      </c>
      <c r="H9" s="91">
        <f t="shared" si="10"/>
        <v>10.066666666666666</v>
      </c>
      <c r="I9" s="92">
        <f t="shared" ref="I9:I10" si="11">IF(D9="上班",IF(H9-1.5&gt;8,8,H9-1.5),"-")</f>
        <v>8</v>
      </c>
      <c r="J9" s="92" t="str">
        <f t="shared" ref="J9:J10" si="12">IF(I9&lt;8,8-I9,"-")</f>
        <v>-</v>
      </c>
      <c r="K9" s="93">
        <f t="shared" ref="K9:K10" si="13">IF(D9="加班",(G10-G9)*24,0)</f>
        <v>0</v>
      </c>
      <c r="L9" s="93"/>
      <c r="M9" s="94">
        <f t="shared" ref="M9:M10" si="14">IF(K9&gt;2,2,K9)</f>
        <v>0</v>
      </c>
      <c r="N9" s="94">
        <f t="shared" ref="N9:N10" si="15">IF(K9&gt;2,K9-2,0)</f>
        <v>0</v>
      </c>
      <c r="O9" s="20"/>
    </row>
    <row r="10" spans="1:21">
      <c r="A10" s="152">
        <v>2122</v>
      </c>
      <c r="B10" s="152" t="s">
        <v>13</v>
      </c>
      <c r="C10" s="152" t="s">
        <v>13</v>
      </c>
      <c r="D10" s="155" t="s">
        <v>5</v>
      </c>
      <c r="E10" s="156">
        <v>42739.777812499997</v>
      </c>
      <c r="F10" s="89">
        <f t="shared" si="1"/>
        <v>42739.777812499997</v>
      </c>
      <c r="G10" s="90" t="str">
        <f t="shared" si="9"/>
        <v>18:40</v>
      </c>
      <c r="H10" s="91" t="str">
        <f t="shared" si="10"/>
        <v>-</v>
      </c>
      <c r="I10" s="92" t="str">
        <f t="shared" si="11"/>
        <v>-</v>
      </c>
      <c r="J10" s="92" t="str">
        <f t="shared" si="12"/>
        <v>-</v>
      </c>
      <c r="K10" s="93">
        <f t="shared" si="13"/>
        <v>0</v>
      </c>
      <c r="L10" s="93"/>
      <c r="M10" s="94">
        <f t="shared" si="14"/>
        <v>0</v>
      </c>
      <c r="N10" s="94">
        <f t="shared" si="15"/>
        <v>0</v>
      </c>
      <c r="O10" s="20"/>
    </row>
    <row r="11" spans="1:21" s="16" customFormat="1">
      <c r="A11" s="152">
        <v>2123</v>
      </c>
      <c r="B11" s="152" t="s">
        <v>13</v>
      </c>
      <c r="C11" s="152" t="s">
        <v>13</v>
      </c>
      <c r="D11" s="155" t="s">
        <v>7</v>
      </c>
      <c r="E11" s="156">
        <v>42739.77784722222</v>
      </c>
      <c r="F11" s="89">
        <f t="shared" si="1"/>
        <v>42739.77784722222</v>
      </c>
      <c r="G11" s="32" t="str">
        <f t="shared" si="9"/>
        <v>18:40</v>
      </c>
      <c r="H11" s="33" t="str">
        <f t="shared" si="10"/>
        <v>-</v>
      </c>
      <c r="I11" s="92" t="str">
        <f t="shared" ref="I11:I36" si="16">IF(D11="上班",IF(H11-1.5&gt;8,8,H11-1.5),"-")</f>
        <v>-</v>
      </c>
      <c r="J11" s="92" t="str">
        <f t="shared" ref="J11:J36" si="17">IF(I11&lt;8,8-I11,"-")</f>
        <v>-</v>
      </c>
      <c r="K11" s="93">
        <f t="shared" ref="K11:K36" si="18">IF(D11="加班",(G12-G11)*24,0)</f>
        <v>0.76666666666666661</v>
      </c>
      <c r="L11" s="93"/>
      <c r="M11" s="94">
        <f t="shared" ref="M11:M36" si="19">IF(K11&gt;2,2,K11)</f>
        <v>0.76666666666666661</v>
      </c>
      <c r="N11" s="94">
        <f t="shared" ref="N11:N36" si="20">IF(K11&gt;2,K11-2,0)</f>
        <v>0</v>
      </c>
      <c r="O11" s="20"/>
      <c r="P11" s="137"/>
      <c r="Q11" s="137"/>
      <c r="R11" s="137"/>
      <c r="S11" s="137"/>
    </row>
    <row r="12" spans="1:21" s="16" customFormat="1">
      <c r="A12" s="152">
        <v>2124</v>
      </c>
      <c r="B12" s="152" t="s">
        <v>13</v>
      </c>
      <c r="C12" s="152" t="s">
        <v>13</v>
      </c>
      <c r="D12" s="155" t="s">
        <v>8</v>
      </c>
      <c r="E12" s="156">
        <v>42739.809872685182</v>
      </c>
      <c r="F12" s="89">
        <f t="shared" si="1"/>
        <v>42739.809872685182</v>
      </c>
      <c r="G12" s="32" t="str">
        <f t="shared" si="9"/>
        <v>19:26</v>
      </c>
      <c r="H12" s="33" t="str">
        <f t="shared" si="10"/>
        <v>-</v>
      </c>
      <c r="I12" s="92" t="str">
        <f t="shared" si="16"/>
        <v>-</v>
      </c>
      <c r="J12" s="92" t="str">
        <f t="shared" si="17"/>
        <v>-</v>
      </c>
      <c r="K12" s="93">
        <f t="shared" si="18"/>
        <v>0</v>
      </c>
      <c r="L12" s="93"/>
      <c r="M12" s="94">
        <f t="shared" si="19"/>
        <v>0</v>
      </c>
      <c r="N12" s="94">
        <f t="shared" si="20"/>
        <v>0</v>
      </c>
      <c r="O12" s="20"/>
      <c r="P12" s="137"/>
      <c r="Q12" s="137"/>
      <c r="R12" s="137"/>
      <c r="S12" s="137"/>
    </row>
    <row r="13" spans="1:21">
      <c r="A13" s="152">
        <v>2131</v>
      </c>
      <c r="B13" s="152" t="s">
        <v>13</v>
      </c>
      <c r="C13" s="152" t="s">
        <v>13</v>
      </c>
      <c r="D13" s="155" t="s">
        <v>6</v>
      </c>
      <c r="E13" s="156">
        <v>42740.368576388886</v>
      </c>
      <c r="F13" s="89">
        <f t="shared" si="1"/>
        <v>42740.368576388886</v>
      </c>
      <c r="G13" s="90" t="str">
        <f t="shared" si="9"/>
        <v>8:50</v>
      </c>
      <c r="H13" s="91">
        <f t="shared" si="10"/>
        <v>9.6666666666666679</v>
      </c>
      <c r="I13" s="92">
        <f t="shared" si="16"/>
        <v>8</v>
      </c>
      <c r="J13" s="92" t="str">
        <f t="shared" si="17"/>
        <v>-</v>
      </c>
      <c r="K13" s="93">
        <f t="shared" si="18"/>
        <v>0</v>
      </c>
      <c r="L13" s="93"/>
      <c r="M13" s="94">
        <f t="shared" si="19"/>
        <v>0</v>
      </c>
      <c r="N13" s="94">
        <f t="shared" si="20"/>
        <v>0</v>
      </c>
      <c r="O13" s="20"/>
    </row>
    <row r="14" spans="1:21">
      <c r="A14" s="152">
        <v>2136</v>
      </c>
      <c r="B14" s="152" t="s">
        <v>13</v>
      </c>
      <c r="C14" s="152" t="s">
        <v>13</v>
      </c>
      <c r="D14" s="155" t="s">
        <v>5</v>
      </c>
      <c r="E14" s="156">
        <v>42740.770972222221</v>
      </c>
      <c r="F14" s="89">
        <f t="shared" si="1"/>
        <v>42740.770972222221</v>
      </c>
      <c r="G14" s="90" t="str">
        <f t="shared" si="9"/>
        <v>18:30</v>
      </c>
      <c r="H14" s="91" t="str">
        <f t="shared" si="10"/>
        <v>-</v>
      </c>
      <c r="I14" s="92" t="str">
        <f t="shared" si="16"/>
        <v>-</v>
      </c>
      <c r="J14" s="92" t="str">
        <f t="shared" si="17"/>
        <v>-</v>
      </c>
      <c r="K14" s="93">
        <f t="shared" si="18"/>
        <v>0</v>
      </c>
      <c r="L14" s="93"/>
      <c r="M14" s="94">
        <f t="shared" si="19"/>
        <v>0</v>
      </c>
      <c r="N14" s="94">
        <f t="shared" si="20"/>
        <v>0</v>
      </c>
      <c r="O14" s="20"/>
    </row>
    <row r="15" spans="1:21" s="2" customFormat="1">
      <c r="A15" s="152">
        <v>2137</v>
      </c>
      <c r="B15" s="152" t="s">
        <v>13</v>
      </c>
      <c r="C15" s="152" t="s">
        <v>13</v>
      </c>
      <c r="D15" s="155" t="s">
        <v>7</v>
      </c>
      <c r="E15" s="156">
        <v>42740.771006944444</v>
      </c>
      <c r="F15" s="89">
        <f t="shared" si="1"/>
        <v>42740.771006944444</v>
      </c>
      <c r="G15" s="90" t="str">
        <f t="shared" si="9"/>
        <v>18:30</v>
      </c>
      <c r="H15" s="91" t="str">
        <f t="shared" si="10"/>
        <v>-</v>
      </c>
      <c r="I15" s="92" t="str">
        <f t="shared" si="16"/>
        <v>-</v>
      </c>
      <c r="J15" s="92" t="str">
        <f t="shared" si="17"/>
        <v>-</v>
      </c>
      <c r="K15" s="93">
        <f t="shared" si="18"/>
        <v>0.16666666666666607</v>
      </c>
      <c r="L15" s="93"/>
      <c r="M15" s="94">
        <f t="shared" si="19"/>
        <v>0.16666666666666607</v>
      </c>
      <c r="N15" s="94">
        <f t="shared" si="20"/>
        <v>0</v>
      </c>
      <c r="O15" s="20"/>
      <c r="P15" s="8"/>
      <c r="Q15" s="8"/>
      <c r="R15" s="8"/>
      <c r="S15" s="8"/>
    </row>
    <row r="16" spans="1:21">
      <c r="A16" s="152">
        <v>2143</v>
      </c>
      <c r="B16" s="152" t="s">
        <v>13</v>
      </c>
      <c r="C16" s="152" t="s">
        <v>13</v>
      </c>
      <c r="D16" s="155" t="s">
        <v>8</v>
      </c>
      <c r="E16" s="156">
        <v>42740.777824074074</v>
      </c>
      <c r="F16" s="89">
        <f t="shared" si="1"/>
        <v>42740.777824074074</v>
      </c>
      <c r="G16" s="90" t="str">
        <f t="shared" si="9"/>
        <v>18:40</v>
      </c>
      <c r="H16" s="91" t="str">
        <f t="shared" si="10"/>
        <v>-</v>
      </c>
      <c r="I16" s="92" t="str">
        <f t="shared" si="16"/>
        <v>-</v>
      </c>
      <c r="J16" s="92" t="str">
        <f t="shared" si="17"/>
        <v>-</v>
      </c>
      <c r="K16" s="93">
        <f t="shared" si="18"/>
        <v>0</v>
      </c>
      <c r="L16" s="93"/>
      <c r="M16" s="94">
        <f t="shared" si="19"/>
        <v>0</v>
      </c>
      <c r="N16" s="94">
        <f t="shared" si="20"/>
        <v>0</v>
      </c>
      <c r="O16" s="20"/>
    </row>
    <row r="17" spans="1:19">
      <c r="A17" s="152">
        <v>2150</v>
      </c>
      <c r="B17" s="152" t="s">
        <v>13</v>
      </c>
      <c r="C17" s="152" t="s">
        <v>13</v>
      </c>
      <c r="D17" s="155" t="s">
        <v>6</v>
      </c>
      <c r="E17" s="156">
        <v>42741.36550925926</v>
      </c>
      <c r="F17" s="89">
        <f t="shared" si="1"/>
        <v>42741.36550925926</v>
      </c>
      <c r="G17" s="90" t="str">
        <f t="shared" si="9"/>
        <v>8:46</v>
      </c>
      <c r="H17" s="91">
        <f t="shared" si="10"/>
        <v>9.7333333333333343</v>
      </c>
      <c r="I17" s="92">
        <f t="shared" si="16"/>
        <v>8</v>
      </c>
      <c r="J17" s="92" t="str">
        <f t="shared" si="17"/>
        <v>-</v>
      </c>
      <c r="K17" s="93">
        <f t="shared" si="18"/>
        <v>0</v>
      </c>
      <c r="L17" s="93"/>
      <c r="M17" s="94">
        <f t="shared" si="19"/>
        <v>0</v>
      </c>
      <c r="N17" s="94">
        <f t="shared" si="20"/>
        <v>0</v>
      </c>
      <c r="O17" s="20"/>
    </row>
    <row r="18" spans="1:19" s="16" customFormat="1">
      <c r="A18" s="157">
        <v>2136</v>
      </c>
      <c r="B18" s="157" t="s">
        <v>13</v>
      </c>
      <c r="C18" s="157" t="s">
        <v>13</v>
      </c>
      <c r="D18" s="160" t="s">
        <v>5</v>
      </c>
      <c r="E18" s="158">
        <v>42741.770833333336</v>
      </c>
      <c r="F18" s="31">
        <f t="shared" si="1"/>
        <v>42741.770833333336</v>
      </c>
      <c r="G18" s="32" t="str">
        <f t="shared" si="9"/>
        <v>18:30</v>
      </c>
      <c r="H18" s="33" t="str">
        <f t="shared" si="10"/>
        <v>-</v>
      </c>
      <c r="I18" s="58" t="str">
        <f t="shared" si="16"/>
        <v>-</v>
      </c>
      <c r="J18" s="58" t="str">
        <f t="shared" si="17"/>
        <v>-</v>
      </c>
      <c r="K18" s="34">
        <f t="shared" si="18"/>
        <v>0</v>
      </c>
      <c r="L18" s="34"/>
      <c r="M18" s="35">
        <f t="shared" si="19"/>
        <v>0</v>
      </c>
      <c r="N18" s="35">
        <f t="shared" si="20"/>
        <v>0</v>
      </c>
      <c r="O18" s="20"/>
      <c r="P18" s="137"/>
      <c r="Q18" s="137"/>
      <c r="R18" s="137"/>
      <c r="S18" s="137"/>
    </row>
    <row r="19" spans="1:19" s="16" customFormat="1">
      <c r="A19" s="157">
        <v>2137</v>
      </c>
      <c r="B19" s="157" t="s">
        <v>13</v>
      </c>
      <c r="C19" s="159" t="s">
        <v>13</v>
      </c>
      <c r="D19" s="160" t="s">
        <v>7</v>
      </c>
      <c r="E19" s="158">
        <v>42741.771006944444</v>
      </c>
      <c r="F19" s="31">
        <f t="shared" si="1"/>
        <v>42741.771006944444</v>
      </c>
      <c r="G19" s="32" t="str">
        <f t="shared" si="9"/>
        <v>18:30</v>
      </c>
      <c r="H19" s="33" t="str">
        <f t="shared" si="10"/>
        <v>-</v>
      </c>
      <c r="I19" s="58" t="str">
        <f t="shared" si="16"/>
        <v>-</v>
      </c>
      <c r="J19" s="58" t="str">
        <f t="shared" si="17"/>
        <v>-</v>
      </c>
      <c r="K19" s="34">
        <f t="shared" si="18"/>
        <v>0.5333333333333341</v>
      </c>
      <c r="L19" s="34"/>
      <c r="M19" s="35">
        <f t="shared" si="19"/>
        <v>0.5333333333333341</v>
      </c>
      <c r="N19" s="35">
        <f t="shared" si="20"/>
        <v>0</v>
      </c>
      <c r="O19" s="20"/>
      <c r="P19" s="137"/>
      <c r="Q19" s="137"/>
      <c r="R19" s="137"/>
      <c r="S19" s="137"/>
    </row>
    <row r="20" spans="1:19">
      <c r="A20" s="152">
        <v>2158</v>
      </c>
      <c r="B20" s="152" t="s">
        <v>13</v>
      </c>
      <c r="C20" s="152" t="s">
        <v>13</v>
      </c>
      <c r="D20" s="155" t="s">
        <v>8</v>
      </c>
      <c r="E20" s="156">
        <v>42741.793240740742</v>
      </c>
      <c r="F20" s="89">
        <f t="shared" si="1"/>
        <v>42741.793240740742</v>
      </c>
      <c r="G20" s="90" t="str">
        <f t="shared" si="9"/>
        <v>19:2</v>
      </c>
      <c r="H20" s="91" t="str">
        <f t="shared" si="10"/>
        <v>-</v>
      </c>
      <c r="I20" s="92" t="str">
        <f t="shared" si="16"/>
        <v>-</v>
      </c>
      <c r="J20" s="92" t="str">
        <f t="shared" si="17"/>
        <v>-</v>
      </c>
      <c r="K20" s="93">
        <f t="shared" si="18"/>
        <v>0</v>
      </c>
      <c r="L20" s="93"/>
      <c r="M20" s="94">
        <f t="shared" si="19"/>
        <v>0</v>
      </c>
      <c r="N20" s="94">
        <f t="shared" si="20"/>
        <v>0</v>
      </c>
      <c r="O20" s="20"/>
    </row>
    <row r="21" spans="1:19">
      <c r="A21" s="152">
        <v>2164</v>
      </c>
      <c r="B21" s="152" t="s">
        <v>13</v>
      </c>
      <c r="C21" s="152" t="s">
        <v>13</v>
      </c>
      <c r="D21" s="155" t="s">
        <v>6</v>
      </c>
      <c r="E21" s="156">
        <v>42744.361875000002</v>
      </c>
      <c r="F21" s="89">
        <f t="shared" si="1"/>
        <v>42744.361875000002</v>
      </c>
      <c r="G21" s="90" t="str">
        <f t="shared" si="9"/>
        <v>8:41</v>
      </c>
      <c r="H21" s="91">
        <f t="shared" si="10"/>
        <v>9.8333333333333321</v>
      </c>
      <c r="I21" s="92">
        <f t="shared" si="16"/>
        <v>8</v>
      </c>
      <c r="J21" s="92" t="str">
        <f t="shared" si="17"/>
        <v>-</v>
      </c>
      <c r="K21" s="93">
        <f t="shared" si="18"/>
        <v>0</v>
      </c>
      <c r="L21" s="93"/>
      <c r="M21" s="94">
        <f t="shared" si="19"/>
        <v>0</v>
      </c>
      <c r="N21" s="94">
        <f t="shared" si="20"/>
        <v>0</v>
      </c>
      <c r="O21" s="20"/>
    </row>
    <row r="22" spans="1:19">
      <c r="A22" s="152">
        <v>2171</v>
      </c>
      <c r="B22" s="152" t="s">
        <v>13</v>
      </c>
      <c r="C22" s="152" t="s">
        <v>13</v>
      </c>
      <c r="D22" s="155" t="s">
        <v>5</v>
      </c>
      <c r="E22" s="156">
        <v>42744.771631944444</v>
      </c>
      <c r="F22" s="89">
        <f t="shared" si="1"/>
        <v>42744.771631944444</v>
      </c>
      <c r="G22" s="90" t="str">
        <f t="shared" si="9"/>
        <v>18:31</v>
      </c>
      <c r="H22" s="91" t="str">
        <f t="shared" si="10"/>
        <v>-</v>
      </c>
      <c r="I22" s="92" t="str">
        <f t="shared" si="16"/>
        <v>-</v>
      </c>
      <c r="J22" s="92" t="str">
        <f t="shared" si="17"/>
        <v>-</v>
      </c>
      <c r="K22" s="93">
        <f t="shared" si="18"/>
        <v>0</v>
      </c>
      <c r="L22" s="93"/>
      <c r="M22" s="94">
        <f t="shared" si="19"/>
        <v>0</v>
      </c>
      <c r="N22" s="94">
        <f t="shared" si="20"/>
        <v>0</v>
      </c>
      <c r="O22" s="20"/>
    </row>
    <row r="23" spans="1:19" s="16" customFormat="1">
      <c r="A23" s="152">
        <v>2172</v>
      </c>
      <c r="B23" s="152" t="s">
        <v>13</v>
      </c>
      <c r="C23" s="152" t="s">
        <v>13</v>
      </c>
      <c r="D23" s="155" t="s">
        <v>7</v>
      </c>
      <c r="E23" s="156">
        <v>42744.771666666667</v>
      </c>
      <c r="F23" s="89">
        <f t="shared" si="1"/>
        <v>42744.771666666667</v>
      </c>
      <c r="G23" s="32" t="str">
        <f t="shared" si="9"/>
        <v>18:31</v>
      </c>
      <c r="H23" s="33" t="str">
        <f t="shared" si="10"/>
        <v>-</v>
      </c>
      <c r="I23" s="92" t="str">
        <f t="shared" si="16"/>
        <v>-</v>
      </c>
      <c r="J23" s="92" t="str">
        <f t="shared" si="17"/>
        <v>-</v>
      </c>
      <c r="K23" s="93">
        <f t="shared" si="18"/>
        <v>0.50000000000000089</v>
      </c>
      <c r="L23" s="93"/>
      <c r="M23" s="94">
        <f t="shared" si="19"/>
        <v>0.50000000000000089</v>
      </c>
      <c r="N23" s="94">
        <f t="shared" si="20"/>
        <v>0</v>
      </c>
      <c r="O23" s="20"/>
      <c r="P23" s="137"/>
      <c r="Q23" s="137"/>
      <c r="R23" s="137"/>
      <c r="S23" s="137"/>
    </row>
    <row r="24" spans="1:19" s="16" customFormat="1">
      <c r="A24" s="152">
        <v>2176</v>
      </c>
      <c r="B24" s="152" t="s">
        <v>13</v>
      </c>
      <c r="C24" s="152" t="s">
        <v>13</v>
      </c>
      <c r="D24" s="155" t="s">
        <v>8</v>
      </c>
      <c r="E24" s="161">
        <v>42744.792847222219</v>
      </c>
      <c r="F24" s="89">
        <f t="shared" si="1"/>
        <v>42744.792847222219</v>
      </c>
      <c r="G24" s="32" t="str">
        <f t="shared" si="9"/>
        <v>19:1</v>
      </c>
      <c r="H24" s="33" t="str">
        <f t="shared" si="10"/>
        <v>-</v>
      </c>
      <c r="I24" s="92" t="str">
        <f t="shared" si="16"/>
        <v>-</v>
      </c>
      <c r="J24" s="92" t="str">
        <f t="shared" si="17"/>
        <v>-</v>
      </c>
      <c r="K24" s="93">
        <f t="shared" si="18"/>
        <v>0</v>
      </c>
      <c r="L24" s="93"/>
      <c r="M24" s="94">
        <f t="shared" si="19"/>
        <v>0</v>
      </c>
      <c r="N24" s="94">
        <f t="shared" si="20"/>
        <v>0</v>
      </c>
      <c r="O24" s="20"/>
      <c r="P24" s="137"/>
      <c r="Q24" s="137"/>
      <c r="R24" s="137"/>
      <c r="S24" s="137"/>
    </row>
    <row r="25" spans="1:19">
      <c r="A25" s="152">
        <v>2181</v>
      </c>
      <c r="B25" s="152" t="s">
        <v>13</v>
      </c>
      <c r="C25" s="152" t="s">
        <v>13</v>
      </c>
      <c r="D25" s="155" t="s">
        <v>6</v>
      </c>
      <c r="E25" s="156">
        <v>42745.364907407406</v>
      </c>
      <c r="F25" s="89">
        <f t="shared" si="1"/>
        <v>42745.364907407406</v>
      </c>
      <c r="G25" s="90" t="str">
        <f t="shared" si="9"/>
        <v>8:45</v>
      </c>
      <c r="H25" s="91">
        <f t="shared" si="10"/>
        <v>3.2500000000000004</v>
      </c>
      <c r="I25" s="92">
        <f>IF(D25="上班",IF(H25-1.5&gt;8,8,H25-1.5),"-")+1.5</f>
        <v>3.2500000000000004</v>
      </c>
      <c r="J25" s="92"/>
      <c r="K25" s="93">
        <f t="shared" si="18"/>
        <v>0</v>
      </c>
      <c r="L25" s="93"/>
      <c r="M25" s="94">
        <f t="shared" si="19"/>
        <v>0</v>
      </c>
      <c r="N25" s="94">
        <f t="shared" si="20"/>
        <v>0</v>
      </c>
      <c r="O25" s="20"/>
    </row>
    <row r="26" spans="1:19" s="16" customFormat="1">
      <c r="A26" s="157">
        <v>2171</v>
      </c>
      <c r="B26" s="157" t="s">
        <v>13</v>
      </c>
      <c r="C26" s="157" t="s">
        <v>13</v>
      </c>
      <c r="D26" s="160" t="s">
        <v>5</v>
      </c>
      <c r="E26" s="158">
        <v>42745.5</v>
      </c>
      <c r="F26" s="31">
        <f t="shared" si="1"/>
        <v>42745.5</v>
      </c>
      <c r="G26" s="32" t="str">
        <f t="shared" si="9"/>
        <v>12:0</v>
      </c>
      <c r="H26" s="33" t="str">
        <f t="shared" si="10"/>
        <v>-</v>
      </c>
      <c r="I26" s="58" t="str">
        <f t="shared" si="16"/>
        <v>-</v>
      </c>
      <c r="J26" s="58" t="str">
        <f t="shared" si="17"/>
        <v>-</v>
      </c>
      <c r="K26" s="34">
        <f t="shared" si="18"/>
        <v>0</v>
      </c>
      <c r="L26" s="34"/>
      <c r="M26" s="35">
        <f t="shared" si="19"/>
        <v>0</v>
      </c>
      <c r="N26" s="35">
        <f t="shared" si="20"/>
        <v>0</v>
      </c>
      <c r="O26" s="20"/>
      <c r="P26" s="137"/>
      <c r="Q26" s="137"/>
      <c r="R26" s="137"/>
      <c r="S26" s="137"/>
    </row>
    <row r="27" spans="1:19" s="16" customFormat="1">
      <c r="A27" s="157">
        <v>2189</v>
      </c>
      <c r="B27" s="157" t="s">
        <v>13</v>
      </c>
      <c r="C27" s="157" t="s">
        <v>13</v>
      </c>
      <c r="D27" s="160" t="s">
        <v>51</v>
      </c>
      <c r="E27" s="158">
        <v>42745.574999999997</v>
      </c>
      <c r="F27" s="31">
        <f t="shared" si="1"/>
        <v>42745.574999999997</v>
      </c>
      <c r="G27" s="32" t="str">
        <f t="shared" si="9"/>
        <v>13:48</v>
      </c>
      <c r="H27" s="33">
        <f t="shared" si="10"/>
        <v>4.6999999999999993</v>
      </c>
      <c r="I27" s="58">
        <f>IF(D27="上班",IF(H27-1.5&gt;8,8,H27-1.5),"-")+1.5</f>
        <v>4.6999999999999993</v>
      </c>
      <c r="J27" s="58">
        <f>8-I25-I27</f>
        <v>5.0000000000000711E-2</v>
      </c>
      <c r="K27" s="34">
        <f t="shared" si="18"/>
        <v>0</v>
      </c>
      <c r="L27" s="34"/>
      <c r="M27" s="35">
        <f t="shared" si="19"/>
        <v>0</v>
      </c>
      <c r="N27" s="35">
        <f t="shared" si="20"/>
        <v>0</v>
      </c>
      <c r="O27" s="20" t="s">
        <v>61</v>
      </c>
      <c r="P27" s="137"/>
      <c r="Q27" s="137"/>
      <c r="R27" s="137"/>
      <c r="S27" s="137"/>
    </row>
    <row r="28" spans="1:19">
      <c r="A28" s="152">
        <v>2189</v>
      </c>
      <c r="B28" s="152" t="s">
        <v>13</v>
      </c>
      <c r="C28" s="152" t="s">
        <v>13</v>
      </c>
      <c r="D28" s="155" t="s">
        <v>5</v>
      </c>
      <c r="E28" s="156">
        <v>42745.771423611113</v>
      </c>
      <c r="F28" s="89">
        <f t="shared" si="1"/>
        <v>42745.771423611113</v>
      </c>
      <c r="G28" s="90" t="str">
        <f t="shared" si="9"/>
        <v>18:30</v>
      </c>
      <c r="H28" s="91" t="str">
        <f t="shared" si="10"/>
        <v>-</v>
      </c>
      <c r="I28" s="92" t="str">
        <f t="shared" si="16"/>
        <v>-</v>
      </c>
      <c r="J28" s="92" t="str">
        <f t="shared" si="17"/>
        <v>-</v>
      </c>
      <c r="K28" s="93">
        <f t="shared" si="18"/>
        <v>0</v>
      </c>
      <c r="L28" s="93"/>
      <c r="M28" s="94">
        <f t="shared" si="19"/>
        <v>0</v>
      </c>
      <c r="N28" s="94">
        <f t="shared" si="20"/>
        <v>0</v>
      </c>
      <c r="O28" s="20"/>
    </row>
    <row r="29" spans="1:19">
      <c r="A29" s="152">
        <v>2190</v>
      </c>
      <c r="B29" s="152" t="s">
        <v>13</v>
      </c>
      <c r="C29" s="152" t="s">
        <v>13</v>
      </c>
      <c r="D29" s="155" t="s">
        <v>7</v>
      </c>
      <c r="E29" s="156">
        <v>42745.771458333336</v>
      </c>
      <c r="F29" s="89">
        <f t="shared" si="1"/>
        <v>42745.771458333336</v>
      </c>
      <c r="G29" s="90" t="str">
        <f t="shared" si="9"/>
        <v>18:30</v>
      </c>
      <c r="H29" s="91" t="str">
        <f t="shared" si="10"/>
        <v>-</v>
      </c>
      <c r="I29" s="92" t="str">
        <f t="shared" si="16"/>
        <v>-</v>
      </c>
      <c r="J29" s="92" t="str">
        <f t="shared" si="17"/>
        <v>-</v>
      </c>
      <c r="K29" s="93">
        <f t="shared" si="18"/>
        <v>1.133333333333332</v>
      </c>
      <c r="L29" s="93"/>
      <c r="M29" s="94">
        <f t="shared" si="19"/>
        <v>1.133333333333332</v>
      </c>
      <c r="N29" s="94">
        <f t="shared" si="20"/>
        <v>0</v>
      </c>
      <c r="O29" s="20"/>
    </row>
    <row r="30" spans="1:19">
      <c r="A30" s="152">
        <v>2193</v>
      </c>
      <c r="B30" s="152" t="s">
        <v>13</v>
      </c>
      <c r="C30" s="152" t="s">
        <v>13</v>
      </c>
      <c r="D30" s="155" t="s">
        <v>8</v>
      </c>
      <c r="E30" s="156">
        <v>42745.818726851852</v>
      </c>
      <c r="F30" s="89">
        <f t="shared" si="1"/>
        <v>42745.818726851852</v>
      </c>
      <c r="G30" s="90" t="str">
        <f t="shared" si="9"/>
        <v>19:38</v>
      </c>
      <c r="H30" s="91" t="str">
        <f t="shared" si="10"/>
        <v>-</v>
      </c>
      <c r="I30" s="92" t="str">
        <f t="shared" si="16"/>
        <v>-</v>
      </c>
      <c r="J30" s="92" t="str">
        <f t="shared" si="17"/>
        <v>-</v>
      </c>
      <c r="K30" s="93">
        <f t="shared" si="18"/>
        <v>0</v>
      </c>
      <c r="L30" s="93"/>
      <c r="M30" s="94">
        <f t="shared" si="19"/>
        <v>0</v>
      </c>
      <c r="N30" s="94">
        <f t="shared" si="20"/>
        <v>0</v>
      </c>
      <c r="O30" s="20"/>
    </row>
    <row r="31" spans="1:19" s="137" customFormat="1">
      <c r="A31" s="152">
        <v>2199</v>
      </c>
      <c r="B31" s="152" t="s">
        <v>13</v>
      </c>
      <c r="C31" s="152" t="s">
        <v>13</v>
      </c>
      <c r="D31" s="155" t="s">
        <v>6</v>
      </c>
      <c r="E31" s="156">
        <v>42746.370474537034</v>
      </c>
      <c r="F31" s="89">
        <f t="shared" si="1"/>
        <v>42746.370474537034</v>
      </c>
      <c r="G31" s="32" t="str">
        <f t="shared" si="9"/>
        <v>8:53</v>
      </c>
      <c r="H31" s="33">
        <f t="shared" si="10"/>
        <v>9.6333333333333329</v>
      </c>
      <c r="I31" s="92">
        <f t="shared" si="16"/>
        <v>8</v>
      </c>
      <c r="J31" s="92" t="str">
        <f t="shared" si="17"/>
        <v>-</v>
      </c>
      <c r="K31" s="93">
        <f t="shared" si="18"/>
        <v>0</v>
      </c>
      <c r="L31" s="93"/>
      <c r="M31" s="94">
        <f t="shared" si="19"/>
        <v>0</v>
      </c>
      <c r="N31" s="94">
        <f t="shared" si="20"/>
        <v>0</v>
      </c>
      <c r="O31" s="20"/>
    </row>
    <row r="32" spans="1:19" s="137" customFormat="1">
      <c r="A32" s="152">
        <v>2206</v>
      </c>
      <c r="B32" s="152" t="s">
        <v>13</v>
      </c>
      <c r="C32" s="152" t="s">
        <v>13</v>
      </c>
      <c r="D32" s="155" t="s">
        <v>5</v>
      </c>
      <c r="E32" s="156">
        <v>42746.772118055553</v>
      </c>
      <c r="F32" s="89">
        <f t="shared" si="1"/>
        <v>42746.772118055553</v>
      </c>
      <c r="G32" s="32" t="str">
        <f t="shared" si="9"/>
        <v>18:31</v>
      </c>
      <c r="H32" s="33" t="str">
        <f t="shared" si="10"/>
        <v>-</v>
      </c>
      <c r="I32" s="92" t="str">
        <f t="shared" si="16"/>
        <v>-</v>
      </c>
      <c r="J32" s="92" t="str">
        <f t="shared" si="17"/>
        <v>-</v>
      </c>
      <c r="K32" s="93">
        <f t="shared" si="18"/>
        <v>0</v>
      </c>
      <c r="L32" s="93"/>
      <c r="M32" s="94">
        <f t="shared" si="19"/>
        <v>0</v>
      </c>
      <c r="N32" s="94">
        <f t="shared" si="20"/>
        <v>0</v>
      </c>
      <c r="O32" s="20"/>
    </row>
    <row r="33" spans="1:19" s="137" customFormat="1">
      <c r="A33" s="152">
        <v>2207</v>
      </c>
      <c r="B33" s="152" t="s">
        <v>13</v>
      </c>
      <c r="C33" s="152" t="s">
        <v>13</v>
      </c>
      <c r="D33" s="155" t="s">
        <v>7</v>
      </c>
      <c r="E33" s="156">
        <v>42746.772175925929</v>
      </c>
      <c r="F33" s="89">
        <f t="shared" si="1"/>
        <v>42746.772175925929</v>
      </c>
      <c r="G33" s="32" t="str">
        <f t="shared" si="9"/>
        <v>18:31</v>
      </c>
      <c r="H33" s="33" t="str">
        <f t="shared" si="10"/>
        <v>-</v>
      </c>
      <c r="I33" s="92" t="str">
        <f t="shared" si="16"/>
        <v>-</v>
      </c>
      <c r="J33" s="92" t="str">
        <f t="shared" si="17"/>
        <v>-</v>
      </c>
      <c r="K33" s="93">
        <f t="shared" si="18"/>
        <v>1.8000000000000016</v>
      </c>
      <c r="L33" s="93"/>
      <c r="M33" s="94">
        <f t="shared" si="19"/>
        <v>1.8000000000000016</v>
      </c>
      <c r="N33" s="94">
        <f t="shared" si="20"/>
        <v>0</v>
      </c>
      <c r="O33" s="20"/>
    </row>
    <row r="34" spans="1:19" s="137" customFormat="1">
      <c r="A34" s="152">
        <v>2211</v>
      </c>
      <c r="B34" s="152" t="s">
        <v>13</v>
      </c>
      <c r="C34" s="152" t="s">
        <v>13</v>
      </c>
      <c r="D34" s="155" t="s">
        <v>8</v>
      </c>
      <c r="E34" s="156">
        <v>42746.847118055557</v>
      </c>
      <c r="F34" s="89">
        <f t="shared" si="1"/>
        <v>42746.847118055557</v>
      </c>
      <c r="G34" s="32" t="str">
        <f t="shared" si="9"/>
        <v>20:19</v>
      </c>
      <c r="H34" s="33" t="str">
        <f>IF(D34="上班",(#REF!-G34)*24,"-")</f>
        <v>-</v>
      </c>
      <c r="I34" s="92" t="str">
        <f t="shared" si="16"/>
        <v>-</v>
      </c>
      <c r="J34" s="92" t="str">
        <f t="shared" si="17"/>
        <v>-</v>
      </c>
      <c r="K34" s="93">
        <f t="shared" si="18"/>
        <v>0</v>
      </c>
      <c r="L34" s="93"/>
      <c r="M34" s="94">
        <f t="shared" si="19"/>
        <v>0</v>
      </c>
      <c r="N34" s="94">
        <f t="shared" si="20"/>
        <v>0</v>
      </c>
      <c r="O34" s="20"/>
    </row>
    <row r="35" spans="1:19" s="137" customFormat="1">
      <c r="A35" s="152">
        <v>2199</v>
      </c>
      <c r="B35" s="152" t="s">
        <v>13</v>
      </c>
      <c r="C35" s="152" t="s">
        <v>13</v>
      </c>
      <c r="D35" s="163" t="s">
        <v>6</v>
      </c>
      <c r="E35" s="158">
        <v>42751.375</v>
      </c>
      <c r="F35" s="31">
        <f t="shared" si="1"/>
        <v>42751.375</v>
      </c>
      <c r="G35" s="32" t="str">
        <f t="shared" ref="G35:G36" si="21">HOUR(E35)&amp;":"&amp;MINUTE(E35)</f>
        <v>9:0</v>
      </c>
      <c r="H35" s="33">
        <f t="shared" ref="H35:H36" si="22">IF(D35="上班",(G36-G35)*24,"-")</f>
        <v>3</v>
      </c>
      <c r="I35" s="58">
        <f>IF(D35="上班",IF(H35-1.5&gt;8,8,H35-1.5),"-")+1.5</f>
        <v>3</v>
      </c>
      <c r="J35" s="58">
        <v>0</v>
      </c>
      <c r="K35" s="34">
        <f t="shared" si="18"/>
        <v>0</v>
      </c>
      <c r="L35" s="34"/>
      <c r="M35" s="35">
        <f t="shared" si="19"/>
        <v>0</v>
      </c>
      <c r="N35" s="35">
        <f t="shared" si="20"/>
        <v>0</v>
      </c>
      <c r="O35" s="20" t="s">
        <v>60</v>
      </c>
    </row>
    <row r="36" spans="1:19" s="137" customFormat="1">
      <c r="A36" s="152">
        <v>2206</v>
      </c>
      <c r="B36" s="152" t="s">
        <v>13</v>
      </c>
      <c r="C36" s="152" t="s">
        <v>13</v>
      </c>
      <c r="D36" s="163" t="s">
        <v>5</v>
      </c>
      <c r="E36" s="158">
        <v>42751.5</v>
      </c>
      <c r="F36" s="31">
        <f t="shared" si="1"/>
        <v>42751.5</v>
      </c>
      <c r="G36" s="32" t="str">
        <f t="shared" si="21"/>
        <v>12:0</v>
      </c>
      <c r="H36" s="33" t="str">
        <f t="shared" si="22"/>
        <v>-</v>
      </c>
      <c r="I36" s="58" t="str">
        <f t="shared" si="16"/>
        <v>-</v>
      </c>
      <c r="J36" s="58" t="str">
        <f t="shared" si="17"/>
        <v>-</v>
      </c>
      <c r="K36" s="34">
        <f t="shared" si="18"/>
        <v>0</v>
      </c>
      <c r="L36" s="34"/>
      <c r="M36" s="35">
        <f t="shared" si="19"/>
        <v>0</v>
      </c>
      <c r="N36" s="35">
        <f t="shared" si="20"/>
        <v>0</v>
      </c>
      <c r="O36" s="20"/>
    </row>
    <row r="37" spans="1:19">
      <c r="D37" s="9" t="s">
        <v>36</v>
      </c>
      <c r="E37" s="9"/>
      <c r="F37" s="55"/>
      <c r="G37" s="55"/>
      <c r="H37" s="9"/>
      <c r="I37" s="55"/>
      <c r="J37" s="9"/>
      <c r="K37" s="9"/>
      <c r="M37" s="56"/>
      <c r="N37" s="56"/>
    </row>
    <row r="38" spans="1:19">
      <c r="D38" s="9" t="s">
        <v>35</v>
      </c>
      <c r="E38"/>
      <c r="F38" s="3"/>
      <c r="G38"/>
      <c r="H38"/>
      <c r="I38"/>
      <c r="J38"/>
      <c r="K38"/>
    </row>
    <row r="39" spans="1:19" s="2" customFormat="1">
      <c r="C39" s="165"/>
      <c r="D39" s="8" t="s">
        <v>63</v>
      </c>
      <c r="E39" s="165"/>
      <c r="F39" s="63"/>
      <c r="G39" s="166"/>
      <c r="H39" s="167"/>
      <c r="I39" s="168"/>
      <c r="J39" s="168"/>
      <c r="K39" s="169"/>
      <c r="L39" s="169"/>
      <c r="M39" s="169"/>
      <c r="N39" s="169"/>
      <c r="O39" s="170"/>
      <c r="P39" s="8"/>
      <c r="Q39" s="8"/>
      <c r="R39" s="8"/>
      <c r="S39" s="8"/>
    </row>
  </sheetData>
  <phoneticPr fontId="18" type="noConversion"/>
  <pageMargins left="0.25" right="0.25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36</vt:i4>
      </vt:variant>
      <vt:variant>
        <vt:lpstr>具名範圍</vt:lpstr>
      </vt:variant>
      <vt:variant>
        <vt:i4>53</vt:i4>
      </vt:variant>
    </vt:vector>
  </HeadingPairs>
  <TitlesOfParts>
    <vt:vector size="89" baseType="lpstr">
      <vt:lpstr>Release Notes</vt:lpstr>
      <vt:lpstr>原始DATA</vt:lpstr>
      <vt:lpstr>修改後DATA</vt:lpstr>
      <vt:lpstr>VBA Output</vt:lpstr>
      <vt:lpstr>Jason</vt:lpstr>
      <vt:lpstr>Jessie</vt:lpstr>
      <vt:lpstr>Justin </vt:lpstr>
      <vt:lpstr>JW</vt:lpstr>
      <vt:lpstr>Kevin</vt:lpstr>
      <vt:lpstr>Lisa</vt:lpstr>
      <vt:lpstr>MY</vt:lpstr>
      <vt:lpstr>Nick</vt:lpstr>
      <vt:lpstr>Ruby</vt:lpstr>
      <vt:lpstr>WJ</vt:lpstr>
      <vt:lpstr>工作表1</vt:lpstr>
      <vt:lpstr>Paul </vt:lpstr>
      <vt:lpstr>Willy</vt:lpstr>
      <vt:lpstr>Scott</vt:lpstr>
      <vt:lpstr>未使用</vt:lpstr>
      <vt:lpstr>Danny</vt:lpstr>
      <vt:lpstr>Owen</vt:lpstr>
      <vt:lpstr>Lorah</vt:lpstr>
      <vt:lpstr>Amber</vt:lpstr>
      <vt:lpstr>An</vt:lpstr>
      <vt:lpstr>Leo</vt:lpstr>
      <vt:lpstr>Albert</vt:lpstr>
      <vt:lpstr>Denver</vt:lpstr>
      <vt:lpstr>Wilson</vt:lpstr>
      <vt:lpstr>統計</vt:lpstr>
      <vt:lpstr>Anne</vt:lpstr>
      <vt:lpstr>Yvonne</vt:lpstr>
      <vt:lpstr>B6</vt:lpstr>
      <vt:lpstr>TL</vt:lpstr>
      <vt:lpstr>吳悠 </vt:lpstr>
      <vt:lpstr>Sam</vt:lpstr>
      <vt:lpstr>LZ(done)</vt:lpstr>
      <vt:lpstr>Amber!Print_Area</vt:lpstr>
      <vt:lpstr>An!Print_Area</vt:lpstr>
      <vt:lpstr>Anne!Print_Area</vt:lpstr>
      <vt:lpstr>Danny!Print_Area</vt:lpstr>
      <vt:lpstr>Denver!Print_Area</vt:lpstr>
      <vt:lpstr>Jason!Print_Area</vt:lpstr>
      <vt:lpstr>Jessie!Print_Area</vt:lpstr>
      <vt:lpstr>'Justin '!Print_Area</vt:lpstr>
      <vt:lpstr>JW!Print_Area</vt:lpstr>
      <vt:lpstr>Kevin!Print_Area</vt:lpstr>
      <vt:lpstr>Leo!Print_Area</vt:lpstr>
      <vt:lpstr>Lisa!Print_Area</vt:lpstr>
      <vt:lpstr>Lorah!Print_Area</vt:lpstr>
      <vt:lpstr>MY!Print_Area</vt:lpstr>
      <vt:lpstr>Nick!Print_Area</vt:lpstr>
      <vt:lpstr>Owen!Print_Area</vt:lpstr>
      <vt:lpstr>'Paul '!Print_Area</vt:lpstr>
      <vt:lpstr>Ruby!Print_Area</vt:lpstr>
      <vt:lpstr>Sam!Print_Area</vt:lpstr>
      <vt:lpstr>Scott!Print_Area</vt:lpstr>
      <vt:lpstr>Willy!Print_Area</vt:lpstr>
      <vt:lpstr>Wilson!Print_Area</vt:lpstr>
      <vt:lpstr>WJ!Print_Area</vt:lpstr>
      <vt:lpstr>Yvonne!Print_Area</vt:lpstr>
      <vt:lpstr>Albert!Print_Titles</vt:lpstr>
      <vt:lpstr>Amber!Print_Titles</vt:lpstr>
      <vt:lpstr>An!Print_Titles</vt:lpstr>
      <vt:lpstr>Anne!Print_Titles</vt:lpstr>
      <vt:lpstr>'B6'!Print_Titles</vt:lpstr>
      <vt:lpstr>Danny!Print_Titles</vt:lpstr>
      <vt:lpstr>Denver!Print_Titles</vt:lpstr>
      <vt:lpstr>Jason!Print_Titles</vt:lpstr>
      <vt:lpstr>Jessie!Print_Titles</vt:lpstr>
      <vt:lpstr>'Justin '!Print_Titles</vt:lpstr>
      <vt:lpstr>JW!Print_Titles</vt:lpstr>
      <vt:lpstr>Kevin!Print_Titles</vt:lpstr>
      <vt:lpstr>Leo!Print_Titles</vt:lpstr>
      <vt:lpstr>Lisa!Print_Titles</vt:lpstr>
      <vt:lpstr>Lorah!Print_Titles</vt:lpstr>
      <vt:lpstr>'LZ(done)'!Print_Titles</vt:lpstr>
      <vt:lpstr>MY!Print_Titles</vt:lpstr>
      <vt:lpstr>Nick!Print_Titles</vt:lpstr>
      <vt:lpstr>Owen!Print_Titles</vt:lpstr>
      <vt:lpstr>'Paul '!Print_Titles</vt:lpstr>
      <vt:lpstr>Ruby!Print_Titles</vt:lpstr>
      <vt:lpstr>Sam!Print_Titles</vt:lpstr>
      <vt:lpstr>Scott!Print_Titles</vt:lpstr>
      <vt:lpstr>TL!Print_Titles</vt:lpstr>
      <vt:lpstr>Willy!Print_Titles</vt:lpstr>
      <vt:lpstr>Wilson!Print_Titles</vt:lpstr>
      <vt:lpstr>WJ!Print_Titles</vt:lpstr>
      <vt:lpstr>Yvonne!Print_Titles</vt:lpstr>
      <vt:lpstr>'吳悠 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</dc:creator>
  <cp:lastModifiedBy>paul</cp:lastModifiedBy>
  <cp:lastPrinted>2018-08-05T11:14:42Z</cp:lastPrinted>
  <dcterms:created xsi:type="dcterms:W3CDTF">2016-08-28T16:20:00Z</dcterms:created>
  <dcterms:modified xsi:type="dcterms:W3CDTF">2019-11-25T06:00:49Z</dcterms:modified>
</cp:coreProperties>
</file>