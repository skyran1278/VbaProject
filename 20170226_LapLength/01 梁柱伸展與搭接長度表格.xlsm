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\Documents\VbaProject\20170226_LapLength\"/>
    </mc:Choice>
  </mc:AlternateContent>
  <xr:revisionPtr revIDLastSave="0" documentId="13_ncr:1_{712B2D35-F278-4936-8B35-A45F8765113C}" xr6:coauthVersionLast="47" xr6:coauthVersionMax="47" xr10:uidLastSave="{00000000-0000-0000-0000-000000000000}"/>
  <bookViews>
    <workbookView xWindow="-108" yWindow="-108" windowWidth="23256" windowHeight="12456" xr2:uid="{2085E973-0F85-4581-B623-D9307C3051F8}"/>
  </bookViews>
  <sheets>
    <sheet name="表格" sheetId="1" r:id="rId1"/>
  </sheets>
  <functionGroups builtInGroupCount="19"/>
  <definedNames>
    <definedName name="cb_Ktr_db_1.5_">表格!$C$2</definedName>
    <definedName name="cb_Ktr_db_2.5_">表格!$D$2</definedName>
    <definedName name="fy1_">表格!$A$2</definedName>
    <definedName name="fy2_">表格!$B$2</definedName>
    <definedName name="λ">表格!$H$2</definedName>
    <definedName name="ψe">表格!$G$2</definedName>
    <definedName name="非頂層ψt">表格!$E$2</definedName>
    <definedName name="頂層ψt">表格!$F$2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46" i="1" l="1"/>
  <c r="V46" i="1"/>
  <c r="U46" i="1"/>
  <c r="T46" i="1"/>
  <c r="S46" i="1"/>
  <c r="R46" i="1"/>
  <c r="Q46" i="1"/>
  <c r="P46" i="1"/>
  <c r="W45" i="1"/>
  <c r="V45" i="1"/>
  <c r="U45" i="1"/>
  <c r="T45" i="1"/>
  <c r="S45" i="1"/>
  <c r="R45" i="1"/>
  <c r="Q45" i="1"/>
  <c r="P45" i="1"/>
  <c r="W44" i="1"/>
  <c r="V44" i="1"/>
  <c r="U44" i="1"/>
  <c r="T44" i="1"/>
  <c r="S44" i="1"/>
  <c r="R44" i="1"/>
  <c r="Q44" i="1"/>
  <c r="P44" i="1"/>
  <c r="W43" i="1"/>
  <c r="V43" i="1"/>
  <c r="U43" i="1"/>
  <c r="T43" i="1"/>
  <c r="S43" i="1"/>
  <c r="R43" i="1"/>
  <c r="Q43" i="1"/>
  <c r="P43" i="1"/>
  <c r="W42" i="1"/>
  <c r="V42" i="1"/>
  <c r="U42" i="1"/>
  <c r="T42" i="1"/>
  <c r="S42" i="1"/>
  <c r="R42" i="1"/>
  <c r="Q42" i="1"/>
  <c r="P42" i="1"/>
  <c r="W41" i="1"/>
  <c r="V41" i="1"/>
  <c r="U41" i="1"/>
  <c r="T41" i="1"/>
  <c r="S41" i="1"/>
  <c r="R41" i="1"/>
  <c r="Q41" i="1"/>
  <c r="P41" i="1"/>
  <c r="W40" i="1"/>
  <c r="V40" i="1"/>
  <c r="U40" i="1"/>
  <c r="T40" i="1"/>
  <c r="S40" i="1"/>
  <c r="R40" i="1"/>
  <c r="Q40" i="1"/>
  <c r="P40" i="1"/>
  <c r="W39" i="1"/>
  <c r="V39" i="1"/>
  <c r="U39" i="1"/>
  <c r="T39" i="1"/>
  <c r="S39" i="1"/>
  <c r="R39" i="1"/>
  <c r="Q39" i="1"/>
  <c r="P39" i="1"/>
  <c r="W38" i="1"/>
  <c r="V38" i="1"/>
  <c r="U38" i="1"/>
  <c r="T38" i="1"/>
  <c r="S38" i="1"/>
  <c r="R38" i="1"/>
  <c r="Q38" i="1"/>
  <c r="P38" i="1"/>
  <c r="W37" i="1"/>
  <c r="V37" i="1"/>
  <c r="U37" i="1"/>
  <c r="T37" i="1"/>
  <c r="S37" i="1"/>
  <c r="R37" i="1"/>
  <c r="Q37" i="1"/>
  <c r="P37" i="1"/>
  <c r="W36" i="1"/>
  <c r="V36" i="1"/>
  <c r="U36" i="1"/>
  <c r="T36" i="1"/>
  <c r="S36" i="1"/>
  <c r="R36" i="1"/>
  <c r="Q36" i="1"/>
  <c r="P36" i="1"/>
  <c r="W35" i="1"/>
  <c r="V35" i="1"/>
  <c r="U35" i="1"/>
  <c r="T35" i="1"/>
  <c r="S35" i="1"/>
  <c r="R35" i="1"/>
  <c r="Q35" i="1"/>
  <c r="P35" i="1"/>
  <c r="W34" i="1"/>
  <c r="V34" i="1"/>
  <c r="U34" i="1"/>
  <c r="T34" i="1"/>
  <c r="S34" i="1"/>
  <c r="R34" i="1"/>
  <c r="Q34" i="1"/>
  <c r="P34" i="1"/>
  <c r="W33" i="1"/>
  <c r="V33" i="1"/>
  <c r="U33" i="1"/>
  <c r="T33" i="1"/>
  <c r="S33" i="1"/>
  <c r="R33" i="1"/>
  <c r="Q33" i="1"/>
  <c r="P33" i="1"/>
  <c r="W32" i="1"/>
  <c r="V32" i="1"/>
  <c r="U32" i="1"/>
  <c r="T32" i="1"/>
  <c r="S32" i="1"/>
  <c r="R32" i="1"/>
  <c r="Q32" i="1"/>
  <c r="P32" i="1"/>
  <c r="W31" i="1"/>
  <c r="V31" i="1"/>
  <c r="U31" i="1"/>
  <c r="T31" i="1"/>
  <c r="S31" i="1"/>
  <c r="R31" i="1"/>
  <c r="Q31" i="1"/>
  <c r="P31" i="1"/>
  <c r="D32" i="1"/>
  <c r="E32" i="1"/>
  <c r="F32" i="1"/>
  <c r="G32" i="1"/>
  <c r="H32" i="1"/>
  <c r="I32" i="1"/>
  <c r="J32" i="1"/>
  <c r="K32" i="1"/>
  <c r="D33" i="1"/>
  <c r="E33" i="1"/>
  <c r="F33" i="1"/>
  <c r="G33" i="1"/>
  <c r="H33" i="1"/>
  <c r="I33" i="1"/>
  <c r="J33" i="1"/>
  <c r="K33" i="1"/>
  <c r="D34" i="1"/>
  <c r="E34" i="1"/>
  <c r="F34" i="1"/>
  <c r="G34" i="1"/>
  <c r="H34" i="1"/>
  <c r="I34" i="1"/>
  <c r="J34" i="1"/>
  <c r="K34" i="1"/>
  <c r="D35" i="1"/>
  <c r="E35" i="1"/>
  <c r="F35" i="1"/>
  <c r="G35" i="1"/>
  <c r="H35" i="1"/>
  <c r="I35" i="1"/>
  <c r="J35" i="1"/>
  <c r="K35" i="1"/>
  <c r="D36" i="1"/>
  <c r="E36" i="1"/>
  <c r="F36" i="1"/>
  <c r="G36" i="1"/>
  <c r="H36" i="1"/>
  <c r="I36" i="1"/>
  <c r="J36" i="1"/>
  <c r="K36" i="1"/>
  <c r="D37" i="1"/>
  <c r="E37" i="1"/>
  <c r="F37" i="1"/>
  <c r="G37" i="1"/>
  <c r="H37" i="1"/>
  <c r="I37" i="1"/>
  <c r="J37" i="1"/>
  <c r="K37" i="1"/>
  <c r="D38" i="1"/>
  <c r="E38" i="1"/>
  <c r="F38" i="1"/>
  <c r="G38" i="1"/>
  <c r="H38" i="1"/>
  <c r="I38" i="1"/>
  <c r="J38" i="1"/>
  <c r="K38" i="1"/>
  <c r="D39" i="1"/>
  <c r="E39" i="1"/>
  <c r="F39" i="1"/>
  <c r="G39" i="1"/>
  <c r="H39" i="1"/>
  <c r="I39" i="1"/>
  <c r="J39" i="1"/>
  <c r="K39" i="1"/>
  <c r="D40" i="1"/>
  <c r="E40" i="1"/>
  <c r="F40" i="1"/>
  <c r="G40" i="1"/>
  <c r="H40" i="1"/>
  <c r="I40" i="1"/>
  <c r="J40" i="1"/>
  <c r="K40" i="1"/>
  <c r="D41" i="1"/>
  <c r="E41" i="1"/>
  <c r="F41" i="1"/>
  <c r="G41" i="1"/>
  <c r="H41" i="1"/>
  <c r="I41" i="1"/>
  <c r="J41" i="1"/>
  <c r="K41" i="1"/>
  <c r="D42" i="1"/>
  <c r="E42" i="1"/>
  <c r="F42" i="1"/>
  <c r="G42" i="1"/>
  <c r="H42" i="1"/>
  <c r="I42" i="1"/>
  <c r="J42" i="1"/>
  <c r="K42" i="1"/>
  <c r="D43" i="1"/>
  <c r="E43" i="1"/>
  <c r="F43" i="1"/>
  <c r="G43" i="1"/>
  <c r="H43" i="1"/>
  <c r="I43" i="1"/>
  <c r="J43" i="1"/>
  <c r="K43" i="1"/>
  <c r="D44" i="1"/>
  <c r="E44" i="1"/>
  <c r="F44" i="1"/>
  <c r="G44" i="1"/>
  <c r="H44" i="1"/>
  <c r="I44" i="1"/>
  <c r="J44" i="1"/>
  <c r="K44" i="1"/>
  <c r="D45" i="1"/>
  <c r="E45" i="1"/>
  <c r="F45" i="1"/>
  <c r="G45" i="1"/>
  <c r="H45" i="1"/>
  <c r="I45" i="1"/>
  <c r="J45" i="1"/>
  <c r="K45" i="1"/>
  <c r="D46" i="1"/>
  <c r="E46" i="1"/>
  <c r="F46" i="1"/>
  <c r="G46" i="1"/>
  <c r="H46" i="1"/>
  <c r="I46" i="1"/>
  <c r="J46" i="1"/>
  <c r="K46" i="1"/>
  <c r="E31" i="1"/>
  <c r="F31" i="1"/>
  <c r="G31" i="1"/>
  <c r="H31" i="1"/>
  <c r="I31" i="1"/>
  <c r="J31" i="1"/>
  <c r="K31" i="1"/>
  <c r="D31" i="1"/>
  <c r="N44" i="1"/>
  <c r="B44" i="1"/>
  <c r="N39" i="1"/>
  <c r="B39" i="1"/>
  <c r="N36" i="1"/>
  <c r="B36" i="1"/>
  <c r="N31" i="1"/>
  <c r="B31" i="1"/>
  <c r="P28" i="1"/>
  <c r="D28" i="1"/>
  <c r="D6" i="1"/>
  <c r="P6" i="1"/>
  <c r="N22" i="1"/>
  <c r="N17" i="1"/>
  <c r="N14" i="1"/>
  <c r="N9" i="1"/>
  <c r="B22" i="1"/>
  <c r="B17" i="1"/>
  <c r="B9" i="1"/>
  <c r="S21" i="1" a="1"/>
  <c r="K20" i="1" a="1"/>
  <c r="W23" i="1" a="1"/>
  <c r="H12" i="1" a="1"/>
  <c r="T17" i="1" a="1"/>
  <c r="P12" i="1" a="1"/>
  <c r="F12" i="1" a="1"/>
  <c r="T11" i="1" a="1"/>
  <c r="V11" i="1" a="1"/>
  <c r="P20" i="1" a="1"/>
  <c r="D20" i="1" a="1"/>
  <c r="W24" i="1" a="1"/>
  <c r="R24" i="1" a="1"/>
  <c r="W19" i="1" a="1"/>
  <c r="H11" i="1" a="1"/>
  <c r="R21" i="1" a="1"/>
  <c r="P23" i="1" a="1"/>
  <c r="E10" i="1" a="1"/>
  <c r="Q18" i="1" a="1"/>
  <c r="K12" i="1" a="1"/>
  <c r="V12" i="1" a="1"/>
  <c r="Q24" i="1" a="1"/>
  <c r="D18" i="1" a="1"/>
  <c r="W9" i="1" a="1"/>
  <c r="U10" i="1" a="1"/>
  <c r="I10" i="1" a="1"/>
  <c r="T21" i="1" a="1"/>
  <c r="G19" i="1" a="1"/>
  <c r="R22" i="1" a="1"/>
  <c r="E9" i="1" a="1"/>
  <c r="K21" i="1" a="1"/>
  <c r="U9" i="1" a="1"/>
  <c r="W15" i="1" a="1"/>
  <c r="Q13" i="1" a="1"/>
  <c r="G20" i="1" a="1"/>
  <c r="V16" i="1" a="1"/>
  <c r="P13" i="1" a="1"/>
  <c r="V22" i="1" a="1"/>
  <c r="Q22" i="1" a="1"/>
  <c r="F10" i="1" a="1"/>
  <c r="E12" i="1" a="1"/>
  <c r="V17" i="1" a="1"/>
  <c r="T24" i="1" a="1"/>
  <c r="Q19" i="1" a="1"/>
  <c r="P10" i="1" a="1"/>
  <c r="K17" i="1" a="1"/>
  <c r="K10" i="1" a="1"/>
  <c r="H18" i="1" a="1"/>
  <c r="T12" i="1" a="1"/>
  <c r="H13" i="1" a="1"/>
  <c r="Q20" i="1" a="1"/>
  <c r="P17" i="1" a="1"/>
  <c r="D17" i="1" a="1"/>
  <c r="P21" i="1" a="1"/>
  <c r="D21" i="1" a="1"/>
  <c r="E19" i="1" a="1"/>
  <c r="G12" i="1" a="1"/>
  <c r="I21" i="1" a="1"/>
  <c r="T13" i="1" a="1"/>
  <c r="W12" i="1" a="1"/>
  <c r="T15" i="1" a="1"/>
  <c r="F11" i="1" a="1"/>
  <c r="U19" i="1" a="1"/>
  <c r="S20" i="1" a="1"/>
  <c r="U23" i="1" a="1"/>
  <c r="H10" i="1" a="1"/>
  <c r="Q15" i="1" a="1"/>
  <c r="S24" i="1" a="1"/>
  <c r="U21" i="1" a="1"/>
  <c r="K13" i="1" a="1"/>
  <c r="U11" i="1" a="1"/>
  <c r="V15" i="1" a="1"/>
  <c r="D9" i="1" a="1"/>
  <c r="V23" i="1" a="1"/>
  <c r="F20" i="1" a="1"/>
  <c r="H20" i="1" a="1"/>
  <c r="Q16" i="1" a="1"/>
  <c r="F21" i="1" a="1"/>
  <c r="R19" i="1" a="1"/>
  <c r="F18" i="1" a="1"/>
  <c r="U24" i="1" a="1"/>
  <c r="F13" i="1" a="1"/>
  <c r="V18" i="1" a="1"/>
  <c r="V9" i="1" a="1"/>
  <c r="P18" i="1" a="1"/>
  <c r="R12" i="1" a="1"/>
  <c r="E17" i="1" a="1"/>
  <c r="R18" i="1" a="1"/>
  <c r="V19" i="1" a="1"/>
  <c r="W22" i="1" a="1"/>
  <c r="J17" i="1" a="1"/>
  <c r="T14" i="1" a="1"/>
  <c r="T19" i="1" a="1"/>
  <c r="I12" i="1" a="1"/>
  <c r="U14" i="1" a="1"/>
  <c r="P11" i="1" a="1"/>
  <c r="S14" i="1" a="1"/>
  <c r="Q21" i="1" a="1"/>
  <c r="J20" i="1" a="1"/>
  <c r="W20" i="1" a="1"/>
  <c r="T9" i="1" a="1"/>
  <c r="P14" i="1" a="1"/>
  <c r="D12" i="1" a="1"/>
  <c r="U18" i="1" a="1"/>
  <c r="G18" i="1" a="1"/>
  <c r="S22" i="1" a="1"/>
  <c r="K9" i="1" a="1"/>
  <c r="Q11" i="1" a="1"/>
  <c r="E13" i="1" a="1"/>
  <c r="Q9" i="1" a="1"/>
  <c r="R10" i="1" a="1"/>
  <c r="F9" i="1" a="1"/>
  <c r="Q17" i="1" a="1"/>
  <c r="W17" i="1" a="1"/>
  <c r="W21" i="1" a="1"/>
  <c r="T23" i="1" a="1"/>
  <c r="W10" i="1" a="1"/>
  <c r="S18" i="1" a="1"/>
  <c r="V13" i="1" a="1"/>
  <c r="J9" i="1" a="1"/>
  <c r="J19" i="1" a="1"/>
  <c r="R11" i="1" a="1"/>
  <c r="I20" i="1" a="1"/>
  <c r="P15" i="1" a="1"/>
  <c r="U13" i="1" a="1"/>
  <c r="V21" i="1" a="1"/>
  <c r="J21" i="1" a="1"/>
  <c r="V24" i="1" a="1"/>
  <c r="G10" i="1" a="1"/>
  <c r="V14" i="1" a="1"/>
  <c r="S11" i="1" a="1"/>
  <c r="E21" i="1" a="1"/>
  <c r="S15" i="1" a="1"/>
  <c r="R16" i="1" a="1"/>
  <c r="T20" i="1" a="1"/>
  <c r="D13" i="1" a="1"/>
  <c r="R13" i="1" a="1"/>
  <c r="T18" i="1" a="1"/>
  <c r="R9" i="1" a="1"/>
  <c r="G11" i="1" a="1"/>
  <c r="P16" i="1" a="1"/>
  <c r="S19" i="1" a="1"/>
  <c r="J10" i="1" a="1"/>
  <c r="R14" i="1" a="1"/>
  <c r="R20" i="1" a="1"/>
  <c r="K11" i="1" a="1"/>
  <c r="H17" i="1" a="1"/>
  <c r="S13" i="1" a="1"/>
  <c r="G21" i="1" a="1"/>
  <c r="U15" i="1" a="1"/>
  <c r="I19" i="1" a="1"/>
  <c r="V20" i="1" a="1"/>
  <c r="D19" i="1" a="1"/>
  <c r="T22" i="1" a="1"/>
  <c r="G9" i="1" a="1"/>
  <c r="J13" i="1" a="1"/>
  <c r="P9" i="1" a="1"/>
  <c r="F17" i="1" a="1"/>
  <c r="D10" i="1" a="1"/>
  <c r="W14" i="1" a="1"/>
  <c r="R17" i="1" a="1"/>
  <c r="S12" i="1" a="1"/>
  <c r="J12" i="1" a="1"/>
  <c r="U17" i="1" a="1"/>
  <c r="H21" i="1" a="1"/>
  <c r="E18" i="1" a="1"/>
  <c r="S16" i="1" a="1"/>
  <c r="G17" i="1" a="1"/>
  <c r="E11" i="1" a="1"/>
  <c r="D11" i="1" a="1"/>
  <c r="P22" i="1" a="1"/>
  <c r="K19" i="1" a="1"/>
  <c r="I17" i="1" a="1"/>
  <c r="Q23" i="1" a="1"/>
  <c r="J11" i="1" a="1"/>
  <c r="U16" i="1" a="1"/>
  <c r="T10" i="1" a="1"/>
  <c r="E20" i="1" a="1"/>
  <c r="R15" i="1" a="1"/>
  <c r="I9" i="1" a="1"/>
  <c r="U20" i="1" a="1"/>
  <c r="I18" i="1" a="1"/>
  <c r="U22" i="1" a="1"/>
  <c r="H9" i="1" a="1"/>
  <c r="P19" i="1" a="1"/>
  <c r="S10" i="1" a="1"/>
  <c r="I13" i="1" a="1"/>
  <c r="Q10" i="1" a="1"/>
  <c r="R23" i="1" a="1"/>
  <c r="P24" i="1" a="1"/>
  <c r="W13" i="1" a="1"/>
  <c r="G13" i="1" a="1"/>
  <c r="F19" i="1" a="1"/>
  <c r="S9" i="1" a="1"/>
  <c r="S17" i="1" a="1"/>
  <c r="V10" i="1" a="1"/>
  <c r="T16" i="1" a="1"/>
  <c r="Q14" i="1" a="1"/>
  <c r="K18" i="1" a="1"/>
  <c r="W11" i="1" a="1"/>
  <c r="W16" i="1" a="1"/>
  <c r="Q12" i="1" a="1"/>
  <c r="S23" i="1" a="1"/>
  <c r="U12" i="1" a="1"/>
  <c r="W18" i="1" a="1"/>
  <c r="J18" i="1" a="1"/>
  <c r="I11" i="1" a="1"/>
  <c r="H19" i="1" a="1"/>
  <c r="S23" i="1" l="1"/>
  <c r="S24" i="1"/>
  <c r="P24" i="1"/>
  <c r="T23" i="1"/>
  <c r="R23" i="1"/>
  <c r="U23" i="1"/>
  <c r="R24" i="1"/>
  <c r="W24" i="1"/>
  <c r="Q24" i="1"/>
  <c r="V24" i="1"/>
  <c r="U24" i="1"/>
  <c r="W23" i="1"/>
  <c r="Q23" i="1"/>
  <c r="T24" i="1"/>
  <c r="V23" i="1"/>
  <c r="P23" i="1"/>
  <c r="W22" i="1"/>
  <c r="Q22" i="1"/>
  <c r="V22" i="1"/>
  <c r="U22" i="1"/>
  <c r="T22" i="1"/>
  <c r="S22" i="1"/>
  <c r="R22" i="1"/>
  <c r="P22" i="1"/>
  <c r="P20" i="1"/>
  <c r="U20" i="1"/>
  <c r="U21" i="1"/>
  <c r="U18" i="1"/>
  <c r="T21" i="1"/>
  <c r="T18" i="1"/>
  <c r="W19" i="1"/>
  <c r="S18" i="1"/>
  <c r="R21" i="1"/>
  <c r="T20" i="1"/>
  <c r="V19" i="1"/>
  <c r="R18" i="1"/>
  <c r="W20" i="1"/>
  <c r="S19" i="1"/>
  <c r="V20" i="1"/>
  <c r="R19" i="1"/>
  <c r="S21" i="1"/>
  <c r="Q19" i="1"/>
  <c r="P19" i="1"/>
  <c r="Q21" i="1"/>
  <c r="Q20" i="1"/>
  <c r="W21" i="1"/>
  <c r="S20" i="1"/>
  <c r="U19" i="1"/>
  <c r="W18" i="1"/>
  <c r="Q18" i="1"/>
  <c r="V21" i="1"/>
  <c r="P21" i="1"/>
  <c r="R20" i="1"/>
  <c r="T19" i="1"/>
  <c r="V18" i="1"/>
  <c r="P18" i="1"/>
  <c r="U17" i="1"/>
  <c r="T17" i="1"/>
  <c r="S17" i="1"/>
  <c r="V17" i="1"/>
  <c r="R17" i="1"/>
  <c r="W17" i="1"/>
  <c r="Q17" i="1"/>
  <c r="P17" i="1"/>
  <c r="T15" i="1"/>
  <c r="W16" i="1"/>
  <c r="R15" i="1"/>
  <c r="U15" i="1"/>
  <c r="Q16" i="1"/>
  <c r="P16" i="1"/>
  <c r="U16" i="1"/>
  <c r="W15" i="1"/>
  <c r="Q15" i="1"/>
  <c r="S16" i="1"/>
  <c r="R16" i="1"/>
  <c r="S15" i="1"/>
  <c r="V16" i="1"/>
  <c r="T16" i="1"/>
  <c r="V15" i="1"/>
  <c r="P15" i="1"/>
  <c r="R14" i="1"/>
  <c r="V14" i="1"/>
  <c r="U14" i="1"/>
  <c r="T14" i="1"/>
  <c r="S14" i="1"/>
  <c r="W14" i="1"/>
  <c r="Q14" i="1"/>
  <c r="P14" i="1"/>
  <c r="W12" i="1"/>
  <c r="Q12" i="1"/>
  <c r="U12" i="1"/>
  <c r="U13" i="1"/>
  <c r="S11" i="1"/>
  <c r="T13" i="1"/>
  <c r="P12" i="1"/>
  <c r="T10" i="1"/>
  <c r="S13" i="1"/>
  <c r="W11" i="1"/>
  <c r="Q11" i="1"/>
  <c r="S10" i="1"/>
  <c r="R13" i="1"/>
  <c r="T12" i="1"/>
  <c r="V11" i="1"/>
  <c r="P11" i="1"/>
  <c r="R10" i="1"/>
  <c r="Q13" i="1"/>
  <c r="U10" i="1"/>
  <c r="V12" i="1"/>
  <c r="R11" i="1"/>
  <c r="W13" i="1"/>
  <c r="S12" i="1"/>
  <c r="U11" i="1"/>
  <c r="W10" i="1"/>
  <c r="Q10" i="1"/>
  <c r="V13" i="1"/>
  <c r="P13" i="1"/>
  <c r="R12" i="1"/>
  <c r="T11" i="1"/>
  <c r="V10" i="1"/>
  <c r="P10" i="1"/>
  <c r="V9" i="1"/>
  <c r="U9" i="1"/>
  <c r="S9" i="1"/>
  <c r="R9" i="1"/>
  <c r="T9" i="1"/>
  <c r="W9" i="1"/>
  <c r="Q9" i="1"/>
  <c r="P9" i="1"/>
  <c r="G13" i="1"/>
  <c r="G11" i="1"/>
  <c r="K12" i="1"/>
  <c r="I10" i="1"/>
  <c r="J12" i="1"/>
  <c r="H10" i="1"/>
  <c r="I12" i="1"/>
  <c r="K11" i="1"/>
  <c r="E11" i="1"/>
  <c r="G10" i="1"/>
  <c r="F13" i="1"/>
  <c r="H12" i="1"/>
  <c r="J11" i="1"/>
  <c r="D11" i="1"/>
  <c r="F10" i="1"/>
  <c r="H13" i="1"/>
  <c r="I13" i="1"/>
  <c r="E12" i="1"/>
  <c r="D12" i="1"/>
  <c r="F11" i="1"/>
  <c r="K13" i="1"/>
  <c r="E13" i="1"/>
  <c r="G12" i="1"/>
  <c r="I11" i="1"/>
  <c r="K10" i="1"/>
  <c r="E10" i="1"/>
  <c r="J13" i="1"/>
  <c r="D13" i="1"/>
  <c r="F12" i="1"/>
  <c r="H11" i="1"/>
  <c r="J10" i="1"/>
  <c r="D10" i="1"/>
  <c r="J9" i="1"/>
  <c r="F9" i="1"/>
  <c r="I9" i="1"/>
  <c r="H9" i="1"/>
  <c r="G9" i="1"/>
  <c r="K9" i="1"/>
  <c r="E9" i="1"/>
  <c r="D9" i="1"/>
  <c r="D20" i="1"/>
  <c r="I18" i="1"/>
  <c r="H21" i="1"/>
  <c r="G18" i="1"/>
  <c r="G19" i="1"/>
  <c r="J20" i="1"/>
  <c r="F19" i="1"/>
  <c r="H18" i="1"/>
  <c r="G21" i="1"/>
  <c r="I20" i="1"/>
  <c r="K19" i="1"/>
  <c r="F21" i="1"/>
  <c r="H20" i="1"/>
  <c r="J19" i="1"/>
  <c r="D19" i="1"/>
  <c r="F18" i="1"/>
  <c r="K20" i="1"/>
  <c r="E19" i="1"/>
  <c r="K21" i="1"/>
  <c r="I21" i="1"/>
  <c r="E20" i="1"/>
  <c r="E21" i="1"/>
  <c r="G20" i="1"/>
  <c r="I19" i="1"/>
  <c r="K18" i="1"/>
  <c r="E18" i="1"/>
  <c r="J21" i="1"/>
  <c r="D21" i="1"/>
  <c r="F20" i="1"/>
  <c r="H19" i="1"/>
  <c r="J18" i="1"/>
  <c r="D18" i="1"/>
  <c r="H17" i="1"/>
  <c r="I17" i="1"/>
  <c r="G17" i="1"/>
  <c r="F17" i="1"/>
  <c r="J17" i="1"/>
  <c r="K17" i="1"/>
  <c r="E17" i="1"/>
  <c r="D17" i="1"/>
  <c r="B14" i="1" l="1"/>
  <c r="G24" i="1" a="1"/>
  <c r="D23" i="1" a="1"/>
  <c r="E16" i="1" a="1"/>
  <c r="D15" i="1" a="1"/>
  <c r="D14" i="1" a="1"/>
  <c r="J16" i="1" a="1"/>
  <c r="H14" i="1" a="1"/>
  <c r="F15" i="1" a="1"/>
  <c r="I14" i="1" a="1"/>
  <c r="F23" i="1" a="1"/>
  <c r="K22" i="1" a="1"/>
  <c r="I22" i="1" a="1"/>
  <c r="K14" i="1" a="1"/>
  <c r="E22" i="1" a="1"/>
  <c r="K23" i="1" a="1"/>
  <c r="J23" i="1" a="1"/>
  <c r="D22" i="1" a="1"/>
  <c r="K24" i="1" a="1"/>
  <c r="E24" i="1" a="1"/>
  <c r="F24" i="1" a="1"/>
  <c r="D16" i="1" a="1"/>
  <c r="G14" i="1" a="1"/>
  <c r="I23" i="1" a="1"/>
  <c r="F16" i="1" a="1"/>
  <c r="J14" i="1" a="1"/>
  <c r="I16" i="1" a="1"/>
  <c r="K15" i="1" a="1"/>
  <c r="G15" i="1" a="1"/>
  <c r="I15" i="1" a="1"/>
  <c r="F22" i="1" a="1"/>
  <c r="G22" i="1" a="1"/>
  <c r="E14" i="1" a="1"/>
  <c r="E15" i="1" a="1"/>
  <c r="G23" i="1" a="1"/>
  <c r="H22" i="1" a="1"/>
  <c r="G16" i="1" a="1"/>
  <c r="F14" i="1" a="1"/>
  <c r="J24" i="1" a="1"/>
  <c r="D24" i="1" a="1"/>
  <c r="E23" i="1" a="1"/>
  <c r="I24" i="1" a="1"/>
  <c r="H16" i="1" a="1"/>
  <c r="J15" i="1" a="1"/>
  <c r="J22" i="1" a="1"/>
  <c r="H23" i="1" a="1"/>
  <c r="H15" i="1" a="1"/>
  <c r="K16" i="1" a="1"/>
  <c r="H24" i="1" a="1"/>
  <c r="D15" i="1" l="1"/>
  <c r="J15" i="1"/>
  <c r="H16" i="1"/>
  <c r="E15" i="1"/>
  <c r="K15" i="1"/>
  <c r="I16" i="1"/>
  <c r="K16" i="1"/>
  <c r="F16" i="1"/>
  <c r="G16" i="1"/>
  <c r="D16" i="1"/>
  <c r="F15" i="1"/>
  <c r="J16" i="1"/>
  <c r="E16" i="1"/>
  <c r="H15" i="1"/>
  <c r="I15" i="1"/>
  <c r="G15" i="1"/>
  <c r="E14" i="1"/>
  <c r="K14" i="1"/>
  <c r="J14" i="1"/>
  <c r="F14" i="1"/>
  <c r="G14" i="1"/>
  <c r="I14" i="1"/>
  <c r="H14" i="1"/>
  <c r="D14" i="1"/>
  <c r="D23" i="1"/>
  <c r="J23" i="1"/>
  <c r="H24" i="1"/>
  <c r="I24" i="1"/>
  <c r="E23" i="1"/>
  <c r="D24" i="1"/>
  <c r="J24" i="1"/>
  <c r="I23" i="1"/>
  <c r="F23" i="1"/>
  <c r="F24" i="1"/>
  <c r="E24" i="1"/>
  <c r="K24" i="1"/>
  <c r="G24" i="1"/>
  <c r="G23" i="1"/>
  <c r="H23" i="1"/>
  <c r="K23" i="1"/>
  <c r="E22" i="1"/>
  <c r="G22" i="1"/>
  <c r="I22" i="1"/>
  <c r="K22" i="1"/>
  <c r="J22" i="1"/>
  <c r="H22" i="1"/>
  <c r="F22" i="1"/>
  <c r="D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<sst xmlns="http://schemas.openxmlformats.org/spreadsheetml/2006/main" count="72" uniqueCount="26">
  <si>
    <t>#4</t>
    <phoneticPr fontId="1" type="noConversion"/>
  </si>
  <si>
    <t>#5</t>
    <phoneticPr fontId="1" type="noConversion"/>
  </si>
  <si>
    <t>#6</t>
  </si>
  <si>
    <t>#7</t>
  </si>
  <si>
    <t>#8</t>
  </si>
  <si>
    <t>#9</t>
  </si>
  <si>
    <t>#10</t>
  </si>
  <si>
    <t>#11</t>
  </si>
  <si>
    <r>
      <rPr>
        <sz val="12"/>
        <color theme="1"/>
        <rFont val="微軟正黑體"/>
        <family val="2"/>
        <charset val="136"/>
      </rPr>
      <t>單位</t>
    </r>
    <r>
      <rPr>
        <sz val="12"/>
        <color theme="1"/>
        <rFont val="Calibri"/>
        <family val="2"/>
      </rPr>
      <t xml:space="preserve">: </t>
    </r>
    <r>
      <rPr>
        <sz val="12"/>
        <color theme="1"/>
        <rFont val="微軟正黑體"/>
        <family val="2"/>
        <charset val="136"/>
      </rPr>
      <t>公分</t>
    </r>
    <phoneticPr fontId="1" type="noConversion"/>
  </si>
  <si>
    <r>
      <rPr>
        <sz val="12"/>
        <color theme="1"/>
        <rFont val="微軟正黑體"/>
        <family val="2"/>
        <charset val="136"/>
      </rPr>
      <t xml:space="preserve">淨間距
</t>
    </r>
    <r>
      <rPr>
        <sz val="12"/>
        <color theme="1"/>
        <rFont val="Calibri"/>
        <family val="2"/>
      </rPr>
      <t>X</t>
    </r>
    <phoneticPr fontId="1" type="noConversion"/>
  </si>
  <si>
    <r>
      <rPr>
        <sz val="12"/>
        <color theme="1"/>
        <rFont val="微軟正黑體"/>
        <family val="2"/>
        <charset val="136"/>
      </rPr>
      <t xml:space="preserve">主筋
</t>
    </r>
    <r>
      <rPr>
        <sz val="12"/>
        <color theme="1"/>
        <rFont val="Calibri"/>
        <family val="2"/>
      </rPr>
      <t>fy
kgf/cm</t>
    </r>
    <r>
      <rPr>
        <vertAlign val="superscript"/>
        <sz val="12"/>
        <color theme="1"/>
        <rFont val="Calibri"/>
        <family val="2"/>
      </rPr>
      <t>2</t>
    </r>
    <phoneticPr fontId="1" type="noConversion"/>
  </si>
  <si>
    <r>
      <rPr>
        <sz val="12"/>
        <color theme="1"/>
        <rFont val="微軟正黑體"/>
        <family val="2"/>
        <charset val="136"/>
      </rPr>
      <t xml:space="preserve">混凝土
</t>
    </r>
    <r>
      <rPr>
        <sz val="12"/>
        <color theme="1"/>
        <rFont val="Calibri"/>
        <family val="2"/>
      </rPr>
      <t>fc'
kgf/cm</t>
    </r>
    <r>
      <rPr>
        <vertAlign val="superscript"/>
        <sz val="12"/>
        <color theme="1"/>
        <rFont val="Calibri"/>
        <family val="2"/>
      </rPr>
      <t>2</t>
    </r>
    <phoneticPr fontId="1" type="noConversion"/>
  </si>
  <si>
    <r>
      <rPr>
        <sz val="12"/>
        <color theme="1"/>
        <rFont val="微軟正黑體"/>
        <family val="2"/>
        <charset val="136"/>
      </rPr>
      <t>適用條件</t>
    </r>
    <r>
      <rPr>
        <sz val="12"/>
        <color theme="1"/>
        <rFont val="Calibri"/>
        <family val="2"/>
      </rPr>
      <t xml:space="preserve">: </t>
    </r>
    <r>
      <rPr>
        <sz val="12"/>
        <color theme="1"/>
        <rFont val="微軟正黑體"/>
        <family val="2"/>
        <charset val="136"/>
      </rPr>
      <t>待伸展鋼筋淨間距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≧</t>
    </r>
    <r>
      <rPr>
        <sz val="12"/>
        <color theme="1"/>
        <rFont val="Calibri"/>
        <family val="2"/>
      </rPr>
      <t xml:space="preserve"> X, </t>
    </r>
    <r>
      <rPr>
        <sz val="12"/>
        <color theme="1"/>
        <rFont val="微軟正黑體"/>
        <family val="2"/>
        <charset val="136"/>
      </rPr>
      <t>保護層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≧</t>
    </r>
    <r>
      <rPr>
        <sz val="12"/>
        <color theme="1"/>
        <rFont val="Calibri"/>
        <family val="2"/>
      </rPr>
      <t xml:space="preserve"> 4cm, </t>
    </r>
    <r>
      <rPr>
        <sz val="12"/>
        <color theme="1"/>
        <rFont val="微軟正黑體"/>
        <family val="2"/>
        <charset val="136"/>
      </rPr>
      <t>箍筋</t>
    </r>
    <r>
      <rPr>
        <sz val="12"/>
        <color theme="1"/>
        <rFont val="Calibri"/>
        <family val="2"/>
      </rPr>
      <t xml:space="preserve"> fyt = 4200kgf/cm</t>
    </r>
    <r>
      <rPr>
        <vertAlign val="superscript"/>
        <sz val="12"/>
        <color theme="1"/>
        <rFont val="Calibri"/>
        <family val="2"/>
      </rPr>
      <t>2</t>
    </r>
    <phoneticPr fontId="1" type="noConversion"/>
  </si>
  <si>
    <r>
      <rPr>
        <sz val="12"/>
        <color theme="1"/>
        <rFont val="微軟正黑體"/>
        <family val="2"/>
        <charset val="136"/>
      </rPr>
      <t>≧</t>
    </r>
    <r>
      <rPr>
        <sz val="12"/>
        <color theme="1"/>
        <rFont val="Calibri"/>
        <family val="2"/>
      </rPr>
      <t xml:space="preserve"> 1db</t>
    </r>
    <phoneticPr fontId="1" type="noConversion"/>
  </si>
  <si>
    <r>
      <rPr>
        <sz val="12"/>
        <color theme="1"/>
        <rFont val="微軟正黑體"/>
        <family val="2"/>
        <charset val="136"/>
      </rPr>
      <t>≧</t>
    </r>
    <r>
      <rPr>
        <sz val="12"/>
        <color theme="1"/>
        <rFont val="Calibri"/>
        <family val="2"/>
      </rPr>
      <t xml:space="preserve"> 3db</t>
    </r>
    <phoneticPr fontId="1" type="noConversion"/>
  </si>
  <si>
    <r>
      <rPr>
        <sz val="12"/>
        <color theme="1"/>
        <rFont val="微軟正黑體"/>
        <family val="2"/>
        <charset val="136"/>
      </rPr>
      <t>頂層</t>
    </r>
    <r>
      <rPr>
        <sz val="12"/>
        <color theme="1"/>
        <rFont val="Calibri"/>
        <family val="2"/>
      </rPr>
      <t>ψt</t>
    </r>
    <phoneticPr fontId="1" type="noConversion"/>
  </si>
  <si>
    <t>λ</t>
    <phoneticPr fontId="1" type="noConversion"/>
  </si>
  <si>
    <t>ψe</t>
    <phoneticPr fontId="1" type="noConversion"/>
  </si>
  <si>
    <r>
      <rPr>
        <sz val="12"/>
        <color theme="1"/>
        <rFont val="微軟正黑體"/>
        <family val="2"/>
        <charset val="136"/>
      </rPr>
      <t>非頂層</t>
    </r>
    <r>
      <rPr>
        <sz val="12"/>
        <color theme="1"/>
        <rFont val="Calibri"/>
        <family val="2"/>
      </rPr>
      <t>ψt</t>
    </r>
    <phoneticPr fontId="1" type="noConversion"/>
  </si>
  <si>
    <t>fy1</t>
    <phoneticPr fontId="1" type="noConversion"/>
  </si>
  <si>
    <t>fy2</t>
    <phoneticPr fontId="1" type="noConversion"/>
  </si>
  <si>
    <t>cb + Ktr / db</t>
    <phoneticPr fontId="1" type="noConversion"/>
  </si>
  <si>
    <r>
      <rPr>
        <sz val="12"/>
        <color theme="1"/>
        <rFont val="微軟正黑體"/>
        <family val="2"/>
        <charset val="136"/>
      </rPr>
      <t>梁、柱</t>
    </r>
    <r>
      <rPr>
        <sz val="12"/>
        <color theme="1"/>
        <rFont val="Calibri"/>
        <family val="2"/>
      </rPr>
      <t xml:space="preserve"> - </t>
    </r>
    <r>
      <rPr>
        <sz val="12"/>
        <color theme="1"/>
        <rFont val="微軟正黑體"/>
        <family val="2"/>
        <charset val="136"/>
      </rPr>
      <t>非頂層受拉竹節鋼筋伸展長度</t>
    </r>
    <r>
      <rPr>
        <sz val="12"/>
        <color theme="1"/>
        <rFont val="Calibri"/>
        <family val="2"/>
      </rPr>
      <t xml:space="preserve"> (ld)</t>
    </r>
    <phoneticPr fontId="1" type="noConversion"/>
  </si>
  <si>
    <r>
      <rPr>
        <sz val="12"/>
        <color theme="1"/>
        <rFont val="微軟正黑體"/>
        <family val="2"/>
        <charset val="136"/>
      </rPr>
      <t>梁、柱</t>
    </r>
    <r>
      <rPr>
        <sz val="12"/>
        <color theme="1"/>
        <rFont val="Calibri"/>
        <family val="2"/>
      </rPr>
      <t xml:space="preserve"> - </t>
    </r>
    <r>
      <rPr>
        <sz val="12"/>
        <color theme="1"/>
        <rFont val="微軟正黑體"/>
        <family val="2"/>
        <charset val="136"/>
      </rPr>
      <t>頂層受拉竹節鋼筋伸展長度</t>
    </r>
    <r>
      <rPr>
        <sz val="12"/>
        <color theme="1"/>
        <rFont val="Calibri"/>
        <family val="2"/>
      </rPr>
      <t xml:space="preserve"> (ldt)</t>
    </r>
    <phoneticPr fontId="1" type="noConversion"/>
  </si>
  <si>
    <r>
      <rPr>
        <sz val="12"/>
        <color theme="1"/>
        <rFont val="微軟正黑體"/>
        <family val="2"/>
        <charset val="136"/>
      </rPr>
      <t>梁、柱</t>
    </r>
    <r>
      <rPr>
        <sz val="12"/>
        <color theme="1"/>
        <rFont val="Calibri"/>
        <family val="2"/>
      </rPr>
      <t xml:space="preserve"> - </t>
    </r>
    <r>
      <rPr>
        <sz val="12"/>
        <color theme="1"/>
        <rFont val="微軟正黑體"/>
        <family val="2"/>
        <charset val="136"/>
      </rPr>
      <t>非頂層受拉竹節鋼筋搭接長度</t>
    </r>
    <r>
      <rPr>
        <sz val="12"/>
        <color theme="1"/>
        <rFont val="Calibri"/>
        <family val="2"/>
      </rPr>
      <t xml:space="preserve"> (ls)</t>
    </r>
    <phoneticPr fontId="1" type="noConversion"/>
  </si>
  <si>
    <r>
      <rPr>
        <sz val="12"/>
        <color theme="1"/>
        <rFont val="微軟正黑體"/>
        <family val="2"/>
        <charset val="136"/>
      </rPr>
      <t>梁、柱</t>
    </r>
    <r>
      <rPr>
        <sz val="12"/>
        <color theme="1"/>
        <rFont val="Calibri"/>
        <family val="2"/>
      </rPr>
      <t xml:space="preserve"> - </t>
    </r>
    <r>
      <rPr>
        <sz val="12"/>
        <color theme="1"/>
        <rFont val="微軟正黑體"/>
        <family val="2"/>
        <charset val="136"/>
      </rPr>
      <t>頂層受拉竹節鋼筋搭接長度</t>
    </r>
    <r>
      <rPr>
        <sz val="12"/>
        <color theme="1"/>
        <rFont val="Calibri"/>
        <family val="2"/>
      </rPr>
      <t xml:space="preserve"> (lst)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</si>
</sst>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D&quot;0"/>
    <numFmt numFmtId="177" formatCode="0.0"/>
    <numFmt numFmtId="178" formatCode="&quot;D&quot;00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vertAlign val="superscript"/>
      <sz val="12"/>
      <color theme="1"/>
      <name val="Calibri"/>
      <family val="2"/>
    </font>
    <font>
      <sz val="12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178" fontId="3" fillId="0" borderId="1" xfId="0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3" fillId="0" borderId="2" xfId="0" applyFont="1" applyBorder="1">
      <alignment vertical="center"/>
    </xf>
    <xf numFmtId="0" fontId="3" fillId="0" borderId="6" xfId="0" applyFont="1" applyBorder="1">
      <alignment vertical="center"/>
    </xf>
    <xf numFmtId="1" fontId="3" fillId="0" borderId="1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right" vertical="center"/>
    </xf>
    <xf numFmtId="0" fontId="3" fillId="0" borderId="1" xfId="0" applyFont="1" applyBorder="1" applyAlignment="1">
      <alignment horizontal="righ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FB68C-126A-4BCA-B96E-ACDC08FA5DCE}">
  <sheetPr codeName="工作表1"/>
  <dimension ref="A1:W46"/>
  <sheetViews>
    <sheetView tabSelected="1" workbookViewId="0"/>
  </sheetViews>
  <sheetFormatPr defaultRowHeight="15.6" x14ac:dyDescent="0.3"/>
  <cols>
    <col min="1" max="3" width="8.88671875" style="1"/>
    <col min="4" max="4" width="9.44140625" style="1" bestFit="1" customWidth="1"/>
    <col min="5" max="16384" width="8.88671875" style="1"/>
  </cols>
  <sheetData>
    <row r="1" spans="1:23" x14ac:dyDescent="0.3">
      <c r="A1" s="2" t="s">
        <v>19</v>
      </c>
      <c r="B1" s="2" t="s">
        <v>20</v>
      </c>
      <c r="C1" s="2" t="s">
        <v>21</v>
      </c>
      <c r="D1" s="2" t="s">
        <v>21</v>
      </c>
      <c r="E1" s="2" t="s">
        <v>18</v>
      </c>
      <c r="F1" s="2" t="s">
        <v>15</v>
      </c>
      <c r="G1" s="2" t="s">
        <v>17</v>
      </c>
      <c r="H1" s="2" t="s">
        <v>16</v>
      </c>
    </row>
    <row r="2" spans="1:23" x14ac:dyDescent="0.3">
      <c r="A2" s="11">
        <v>4200</v>
      </c>
      <c r="B2" s="11">
        <v>4900</v>
      </c>
      <c r="C2" s="2">
        <v>1.5</v>
      </c>
      <c r="D2" s="2">
        <v>2.5</v>
      </c>
      <c r="E2" s="9">
        <v>1</v>
      </c>
      <c r="F2" s="2">
        <v>1.3</v>
      </c>
      <c r="G2" s="2">
        <v>1</v>
      </c>
      <c r="H2" s="2">
        <v>1</v>
      </c>
    </row>
    <row r="4" spans="1:23" x14ac:dyDescent="0.3">
      <c r="A4" s="12" t="s">
        <v>22</v>
      </c>
      <c r="B4" s="12"/>
      <c r="C4" s="12"/>
      <c r="D4" s="12"/>
      <c r="E4" s="12"/>
      <c r="F4" s="12"/>
      <c r="G4" s="12"/>
      <c r="H4" s="12"/>
      <c r="I4" s="13"/>
      <c r="J4" s="12"/>
      <c r="K4" s="12"/>
      <c r="M4" s="12" t="s">
        <v>23</v>
      </c>
      <c r="N4" s="12"/>
      <c r="O4" s="12"/>
      <c r="P4" s="12"/>
      <c r="Q4" s="12"/>
      <c r="R4" s="12"/>
      <c r="S4" s="12"/>
      <c r="T4" s="12"/>
      <c r="U4" s="13"/>
      <c r="V4" s="12"/>
      <c r="W4" s="12"/>
    </row>
    <row r="5" spans="1:23" ht="17.399999999999999" x14ac:dyDescent="0.3">
      <c r="A5" s="3" t="s">
        <v>12</v>
      </c>
      <c r="B5" s="3"/>
      <c r="C5" s="3"/>
      <c r="D5" s="3"/>
      <c r="E5" s="3"/>
      <c r="F5" s="3"/>
      <c r="G5" s="3"/>
      <c r="H5" s="6"/>
      <c r="I5" s="7"/>
      <c r="J5" s="16" t="s">
        <v>8</v>
      </c>
      <c r="K5" s="17"/>
      <c r="M5" s="3" t="s">
        <v>12</v>
      </c>
      <c r="N5" s="3"/>
      <c r="O5" s="3"/>
      <c r="P5" s="3"/>
      <c r="Q5" s="3"/>
      <c r="R5" s="3"/>
      <c r="S5" s="3"/>
      <c r="T5" s="6"/>
      <c r="U5" s="7"/>
      <c r="V5" s="16" t="s">
        <v>8</v>
      </c>
      <c r="W5" s="17"/>
    </row>
    <row r="6" spans="1:23" ht="17.399999999999999" customHeight="1" x14ac:dyDescent="0.3">
      <c r="A6" s="14" t="s">
        <v>9</v>
      </c>
      <c r="B6" s="14" t="s">
        <v>10</v>
      </c>
      <c r="C6" s="14" t="s">
        <v>11</v>
      </c>
      <c r="D6" s="14" t="str">
        <f>"頂筋修正因子 (α = "&amp;TEXT(非頂層ψt, "0.0")&amp;")"</f>
        <v>頂筋修正因子 (α = 1.0)</v>
      </c>
      <c r="E6" s="14"/>
      <c r="F6" s="14"/>
      <c r="G6" s="14"/>
      <c r="H6" s="14"/>
      <c r="I6" s="15"/>
      <c r="J6" s="14"/>
      <c r="K6" s="14"/>
      <c r="M6" s="14" t="s">
        <v>9</v>
      </c>
      <c r="N6" s="14" t="s">
        <v>10</v>
      </c>
      <c r="O6" s="14" t="s">
        <v>11</v>
      </c>
      <c r="P6" s="14" t="str">
        <f>"頂筋修正因子 (α = "&amp;頂層ψt&amp;")"</f>
        <v>頂筋修正因子 (α = 1.3)</v>
      </c>
      <c r="Q6" s="14"/>
      <c r="R6" s="14"/>
      <c r="S6" s="14"/>
      <c r="T6" s="14"/>
      <c r="U6" s="15"/>
      <c r="V6" s="14"/>
      <c r="W6" s="14"/>
    </row>
    <row r="7" spans="1:23" x14ac:dyDescent="0.3">
      <c r="A7" s="14"/>
      <c r="B7" s="14"/>
      <c r="C7" s="14"/>
      <c r="D7" s="10" t="s">
        <v>0</v>
      </c>
      <c r="E7" s="10" t="s">
        <v>1</v>
      </c>
      <c r="F7" s="10" t="s">
        <v>2</v>
      </c>
      <c r="G7" s="10" t="s">
        <v>3</v>
      </c>
      <c r="H7" s="10" t="s">
        <v>4</v>
      </c>
      <c r="I7" s="10" t="s">
        <v>5</v>
      </c>
      <c r="J7" s="10" t="s">
        <v>6</v>
      </c>
      <c r="K7" s="10" t="s">
        <v>7</v>
      </c>
      <c r="M7" s="14"/>
      <c r="N7" s="14"/>
      <c r="O7" s="14"/>
      <c r="P7" s="10" t="s">
        <v>0</v>
      </c>
      <c r="Q7" s="10" t="s">
        <v>1</v>
      </c>
      <c r="R7" s="10" t="s">
        <v>2</v>
      </c>
      <c r="S7" s="10" t="s">
        <v>3</v>
      </c>
      <c r="T7" s="10" t="s">
        <v>4</v>
      </c>
      <c r="U7" s="10" t="s">
        <v>5</v>
      </c>
      <c r="V7" s="10" t="s">
        <v>6</v>
      </c>
      <c r="W7" s="10" t="s">
        <v>7</v>
      </c>
    </row>
    <row r="8" spans="1:23" x14ac:dyDescent="0.3">
      <c r="A8" s="14"/>
      <c r="B8" s="14"/>
      <c r="C8" s="14"/>
      <c r="D8" s="4">
        <v>13</v>
      </c>
      <c r="E8" s="5">
        <v>16</v>
      </c>
      <c r="F8" s="5">
        <v>19</v>
      </c>
      <c r="G8" s="5">
        <v>22</v>
      </c>
      <c r="H8" s="5">
        <v>25</v>
      </c>
      <c r="I8" s="5">
        <v>29</v>
      </c>
      <c r="J8" s="5">
        <v>32</v>
      </c>
      <c r="K8" s="5">
        <v>36</v>
      </c>
      <c r="M8" s="14"/>
      <c r="N8" s="14"/>
      <c r="O8" s="14"/>
      <c r="P8" s="4">
        <v>13</v>
      </c>
      <c r="Q8" s="5">
        <v>16</v>
      </c>
      <c r="R8" s="5">
        <v>19</v>
      </c>
      <c r="S8" s="5">
        <v>22</v>
      </c>
      <c r="T8" s="5">
        <v>25</v>
      </c>
      <c r="U8" s="5">
        <v>29</v>
      </c>
      <c r="V8" s="5">
        <v>32</v>
      </c>
      <c r="W8" s="5">
        <v>36</v>
      </c>
    </row>
    <row r="9" spans="1:23" x14ac:dyDescent="0.3">
      <c r="A9" s="12" t="s">
        <v>13</v>
      </c>
      <c r="B9" s="12">
        <f>fy1_</f>
        <v>4200</v>
      </c>
      <c r="C9" s="10">
        <v>210</v>
      </c>
      <c r="D9" s="8" cm="1">
        <f t="array" ref="D9">0.28*fy1_*非頂層ψt*ψe*psi_s(D$8)*λ/SQRT($C9)/cb_Ktr_db_1.5_*(D$8/10)</f>
        <v>56.265185446538197</v>
      </c>
      <c r="E9" s="8" cm="1">
        <f t="array" ref="E9">0.28*fy1_*非頂層ψt*ψe*psi_s(E$8)*λ/SQRT($C9)/cb_Ktr_db_1.5_*(E$8/10)</f>
        <v>69.249459011123932</v>
      </c>
      <c r="F9" s="8" cm="1">
        <f t="array" ref="F9">0.28*fy1_*非頂層ψt*ψe*psi_s(F$8)*λ/SQRT($C9)/cb_Ktr_db_1.5_*(F$8/10)</f>
        <v>82.233732575709666</v>
      </c>
      <c r="G9" s="8" cm="1">
        <f t="array" ref="G9">0.28*fy1_*非頂層ψt*ψe*psi_s(G$8)*λ/SQRT($C9)/cb_Ktr_db_1.5_*(G$8/10)</f>
        <v>119.02250767536927</v>
      </c>
      <c r="H9" s="8" cm="1">
        <f t="array" ref="H9">0.28*fy1_*非頂層ψt*ψe*psi_s(H$8)*λ/SQRT($C9)/cb_Ktr_db_1.5_*(H$8/10)</f>
        <v>135.25284963110144</v>
      </c>
      <c r="I9" s="8" cm="1">
        <f t="array" ref="I9">0.28*fy1_*非頂層ψt*ψe*psi_s(I$8)*λ/SQRT($C9)/cb_Ktr_db_1.5_*(I$8/10)</f>
        <v>156.89330557207765</v>
      </c>
      <c r="J9" s="8" cm="1">
        <f t="array" ref="J9">0.28*fy1_*非頂層ψt*ψe*psi_s(J$8)*λ/SQRT($C9)/cb_Ktr_db_1.5_*(J$8/10)</f>
        <v>173.12364752780985</v>
      </c>
      <c r="K9" s="8" cm="1">
        <f t="array" ref="K9">0.28*fy1_*非頂層ψt*ψe*psi_s(K$8)*λ/SQRT($C9)/cb_Ktr_db_1.5_*(K$8/10)</f>
        <v>194.76410346878606</v>
      </c>
      <c r="M9" s="12" t="s">
        <v>13</v>
      </c>
      <c r="N9" s="12">
        <f>fy1_</f>
        <v>4200</v>
      </c>
      <c r="O9" s="10">
        <v>210</v>
      </c>
      <c r="P9" s="8" cm="1">
        <f t="array" ref="P9">0.28*fy1_*頂層ψt*ψe*psi_s(P$8)*λ/SQRT($C9)/cb_Ktr_db_1.5_*(P$8/10)</f>
        <v>73.144741080499657</v>
      </c>
      <c r="Q9" s="8" cm="1">
        <f t="array" ref="Q9">0.28*fy1_*頂層ψt*ψe*psi_s(Q$8)*λ/SQRT($C9)/cb_Ktr_db_1.5_*(Q$8/10)</f>
        <v>90.024296714461116</v>
      </c>
      <c r="R9" s="8" cm="1">
        <f t="array" ref="R9">0.28*fy1_*頂層ψt*ψe*psi_s(R$8)*λ/SQRT($C9)/cb_Ktr_db_1.5_*(R$8/10)</f>
        <v>106.90385234842257</v>
      </c>
      <c r="S9" s="8" cm="1">
        <f t="array" ref="S9">0.28*fy1_*頂層ψt*ψe*psi_s(S$8)*λ/SQRT($C9)/cb_Ktr_db_1.5_*(S$8/10)</f>
        <v>154.72925997798004</v>
      </c>
      <c r="T9" s="8" cm="1">
        <f t="array" ref="T9">0.28*fy1_*頂層ψt*ψe*psi_s(T$8)*λ/SQRT($C9)/cb_Ktr_db_1.5_*(T$8/10)</f>
        <v>175.82870452043184</v>
      </c>
      <c r="U9" s="8" cm="1">
        <f t="array" ref="U9">0.28*fy1_*頂層ψt*ψe*psi_s(U$8)*λ/SQRT($C9)/cb_Ktr_db_1.5_*(U$8/10)</f>
        <v>203.96129724370093</v>
      </c>
      <c r="V9" s="8" cm="1">
        <f t="array" ref="V9">0.28*fy1_*頂層ψt*ψe*psi_s(V$8)*λ/SQRT($C9)/cb_Ktr_db_1.5_*(V$8/10)</f>
        <v>225.06074178615279</v>
      </c>
      <c r="W9" s="8" cm="1">
        <f t="array" ref="W9">0.28*fy1_*頂層ψt*ψe*psi_s(W$8)*λ/SQRT($C9)/cb_Ktr_db_1.5_*(W$8/10)</f>
        <v>253.19333450942187</v>
      </c>
    </row>
    <row r="10" spans="1:23" x14ac:dyDescent="0.3">
      <c r="A10" s="12"/>
      <c r="B10" s="12"/>
      <c r="C10" s="10">
        <v>245</v>
      </c>
      <c r="D10" s="8" cm="1">
        <f t="array" ref="D10">0.28*fy1_*非頂層ψt*ψe*psi_s(D$8)*λ/SQRT($C10)/cb_Ktr_db_1.5_*(D$8/10)</f>
        <v>52.091439603835106</v>
      </c>
      <c r="E10" s="8" cm="1">
        <f t="array" ref="E10">0.28*fy1_*非頂層ψt*ψe*psi_s(E$8)*λ/SQRT($C10)/cb_Ktr_db_1.5_*(E$8/10)</f>
        <v>64.112541050873972</v>
      </c>
      <c r="F10" s="8" cm="1">
        <f t="array" ref="F10">0.28*fy1_*非頂層ψt*ψe*psi_s(F$8)*λ/SQRT($C10)/cb_Ktr_db_1.5_*(F$8/10)</f>
        <v>76.133642497912831</v>
      </c>
      <c r="G10" s="8" cm="1">
        <f t="array" ref="G10">0.28*fy1_*非頂層ψt*ψe*psi_s(G$8)*λ/SQRT($C10)/cb_Ktr_db_1.5_*(G$8/10)</f>
        <v>110.19342993118963</v>
      </c>
      <c r="H10" s="8" cm="1">
        <f t="array" ref="H10">0.28*fy1_*非頂層ψt*ψe*psi_s(H$8)*λ/SQRT($C10)/cb_Ktr_db_1.5_*(H$8/10)</f>
        <v>125.2198067399882</v>
      </c>
      <c r="I10" s="8" cm="1">
        <f t="array" ref="I10">0.28*fy1_*非頂層ψt*ψe*psi_s(I$8)*λ/SQRT($C10)/cb_Ktr_db_1.5_*(I$8/10)</f>
        <v>145.2549758183863</v>
      </c>
      <c r="J10" s="8" cm="1">
        <f t="array" ref="J10">0.28*fy1_*非頂層ψt*ψe*psi_s(J$8)*λ/SQRT($C10)/cb_Ktr_db_1.5_*(J$8/10)</f>
        <v>160.2813526271849</v>
      </c>
      <c r="K10" s="8" cm="1">
        <f t="array" ref="K10">0.28*fy1_*非頂層ψt*ψe*psi_s(K$8)*λ/SQRT($C10)/cb_Ktr_db_1.5_*(K$8/10)</f>
        <v>180.31652170558303</v>
      </c>
      <c r="M10" s="12"/>
      <c r="N10" s="12"/>
      <c r="O10" s="10">
        <v>245</v>
      </c>
      <c r="P10" s="8" cm="1">
        <f t="array" ref="P10">0.28*fy1_*頂層ψt*ψe*psi_s(P$8)*λ/SQRT($C10)/cb_Ktr_db_1.5_*(P$8/10)</f>
        <v>67.718871484985627</v>
      </c>
      <c r="Q10" s="8" cm="1">
        <f t="array" ref="Q10">0.28*fy1_*頂層ψt*ψe*psi_s(Q$8)*λ/SQRT($C10)/cb_Ktr_db_1.5_*(Q$8/10)</f>
        <v>83.346303366136155</v>
      </c>
      <c r="R10" s="8" cm="1">
        <f t="array" ref="R10">0.28*fy1_*頂層ψt*ψe*psi_s(R$8)*λ/SQRT($C10)/cb_Ktr_db_1.5_*(R$8/10)</f>
        <v>98.973735247286669</v>
      </c>
      <c r="S10" s="8" cm="1">
        <f t="array" ref="S10">0.28*fy1_*頂層ψt*ψe*psi_s(S$8)*λ/SQRT($C10)/cb_Ktr_db_1.5_*(S$8/10)</f>
        <v>143.25145891054652</v>
      </c>
      <c r="T10" s="8" cm="1">
        <f t="array" ref="T10">0.28*fy1_*頂層ψt*ψe*psi_s(T$8)*λ/SQRT($C10)/cb_Ktr_db_1.5_*(T$8/10)</f>
        <v>162.78574876198465</v>
      </c>
      <c r="U10" s="8" cm="1">
        <f t="array" ref="U10">0.28*fy1_*頂層ψt*ψe*psi_s(U$8)*λ/SQRT($C10)/cb_Ktr_db_1.5_*(U$8/10)</f>
        <v>188.83146856390221</v>
      </c>
      <c r="V10" s="8" cm="1">
        <f t="array" ref="V10">0.28*fy1_*頂層ψt*ψe*psi_s(V$8)*λ/SQRT($C10)/cb_Ktr_db_1.5_*(V$8/10)</f>
        <v>208.36575841534037</v>
      </c>
      <c r="W10" s="8" cm="1">
        <f t="array" ref="W10">0.28*fy1_*頂層ψt*ψe*psi_s(W$8)*λ/SQRT($C10)/cb_Ktr_db_1.5_*(W$8/10)</f>
        <v>234.41147821725792</v>
      </c>
    </row>
    <row r="11" spans="1:23" x14ac:dyDescent="0.3">
      <c r="A11" s="12"/>
      <c r="B11" s="12"/>
      <c r="C11" s="10">
        <v>280</v>
      </c>
      <c r="D11" s="8" cm="1">
        <f t="array" ref="D11">0.28*fy1_*非頂層ψt*ψe*psi_s(D$8)*λ/SQRT($C11)/cb_Ktr_db_1.5_*(D$8/10)</f>
        <v>48.727079945344563</v>
      </c>
      <c r="E11" s="8" cm="1">
        <f t="array" ref="E11">0.28*fy1_*非頂層ψt*ψe*psi_s(E$8)*λ/SQRT($C11)/cb_Ktr_db_1.5_*(E$8/10)</f>
        <v>59.97179070196254</v>
      </c>
      <c r="F11" s="8" cm="1">
        <f t="array" ref="F11">0.28*fy1_*非頂層ψt*ψe*psi_s(F$8)*λ/SQRT($C11)/cb_Ktr_db_1.5_*(F$8/10)</f>
        <v>71.21650145858051</v>
      </c>
      <c r="G11" s="8" cm="1">
        <f t="array" ref="G11">0.28*fy1_*非頂層ψt*ψe*psi_s(G$8)*λ/SQRT($C11)/cb_Ktr_db_1.5_*(G$8/10)</f>
        <v>103.07651526899812</v>
      </c>
      <c r="H11" s="8" cm="1">
        <f t="array" ref="H11">0.28*fy1_*非頂層ψt*ψe*psi_s(H$8)*λ/SQRT($C11)/cb_Ktr_db_1.5_*(H$8/10)</f>
        <v>117.13240371477058</v>
      </c>
      <c r="I11" s="8" cm="1">
        <f t="array" ref="I11">0.28*fy1_*非頂層ψt*ψe*psi_s(I$8)*λ/SQRT($C11)/cb_Ktr_db_1.5_*(I$8/10)</f>
        <v>135.87358830913388</v>
      </c>
      <c r="J11" s="8" cm="1">
        <f t="array" ref="J11">0.28*fy1_*非頂層ψt*ψe*psi_s(J$8)*λ/SQRT($C11)/cb_Ktr_db_1.5_*(J$8/10)</f>
        <v>149.92947675490635</v>
      </c>
      <c r="K11" s="8" cm="1">
        <f t="array" ref="K11">0.28*fy1_*非頂層ψt*ψe*psi_s(K$8)*λ/SQRT($C11)/cb_Ktr_db_1.5_*(K$8/10)</f>
        <v>168.67066134926964</v>
      </c>
      <c r="M11" s="12"/>
      <c r="N11" s="12"/>
      <c r="O11" s="10">
        <v>280</v>
      </c>
      <c r="P11" s="8" cm="1">
        <f t="array" ref="P11">0.28*fy1_*頂層ψt*ψe*psi_s(P$8)*λ/SQRT($C11)/cb_Ktr_db_1.5_*(P$8/10)</f>
        <v>63.345203928947932</v>
      </c>
      <c r="Q11" s="8" cm="1">
        <f t="array" ref="Q11">0.28*fy1_*頂層ψt*ψe*psi_s(Q$8)*λ/SQRT($C11)/cb_Ktr_db_1.5_*(Q$8/10)</f>
        <v>77.963327912551307</v>
      </c>
      <c r="R11" s="8" cm="1">
        <f t="array" ref="R11">0.28*fy1_*頂層ψt*ψe*psi_s(R$8)*λ/SQRT($C11)/cb_Ktr_db_1.5_*(R$8/10)</f>
        <v>92.581451896154661</v>
      </c>
      <c r="S11" s="8" cm="1">
        <f t="array" ref="S11">0.28*fy1_*頂層ψt*ψe*psi_s(S$8)*λ/SQRT($C11)/cb_Ktr_db_1.5_*(S$8/10)</f>
        <v>133.99946984969756</v>
      </c>
      <c r="T11" s="8" cm="1">
        <f t="array" ref="T11">0.28*fy1_*頂層ψt*ψe*psi_s(T$8)*λ/SQRT($C11)/cb_Ktr_db_1.5_*(T$8/10)</f>
        <v>152.27212482920174</v>
      </c>
      <c r="U11" s="8" cm="1">
        <f t="array" ref="U11">0.28*fy1_*頂層ψt*ψe*psi_s(U$8)*λ/SQRT($C11)/cb_Ktr_db_1.5_*(U$8/10)</f>
        <v>176.63566480187401</v>
      </c>
      <c r="V11" s="8" cm="1">
        <f t="array" ref="V11">0.28*fy1_*頂層ψt*ψe*psi_s(V$8)*λ/SQRT($C11)/cb_Ktr_db_1.5_*(V$8/10)</f>
        <v>194.90831978137825</v>
      </c>
      <c r="W11" s="8" cm="1">
        <f t="array" ref="W11">0.28*fy1_*頂層ψt*ψe*psi_s(W$8)*λ/SQRT($C11)/cb_Ktr_db_1.5_*(W$8/10)</f>
        <v>219.27185975405052</v>
      </c>
    </row>
    <row r="12" spans="1:23" x14ac:dyDescent="0.3">
      <c r="A12" s="12"/>
      <c r="B12" s="12"/>
      <c r="C12" s="10">
        <v>350</v>
      </c>
      <c r="D12" s="8" cm="1">
        <f t="array" ref="D12">0.28*fy1_*非頂層ψt*ψe*psi_s(D$8)*λ/SQRT($C12)/cb_Ktr_db_1.5_*(D$8/10)</f>
        <v>43.582825241142871</v>
      </c>
      <c r="E12" s="8" cm="1">
        <f t="array" ref="E12">0.28*fy1_*非頂層ψt*ψe*psi_s(E$8)*λ/SQRT($C12)/cb_Ktr_db_1.5_*(E$8/10)</f>
        <v>53.640400296791228</v>
      </c>
      <c r="F12" s="8" cm="1">
        <f t="array" ref="F12">0.28*fy1_*非頂層ψt*ψe*psi_s(F$8)*λ/SQRT($C12)/cb_Ktr_db_1.5_*(F$8/10)</f>
        <v>63.69797535243957</v>
      </c>
      <c r="G12" s="8" cm="1">
        <f t="array" ref="G12">0.28*fy1_*非頂層ψt*ψe*psi_s(G$8)*λ/SQRT($C12)/cb_Ktr_db_1.5_*(G$8/10)</f>
        <v>92.19443801010992</v>
      </c>
      <c r="H12" s="8" cm="1">
        <f t="array" ref="H12">0.28*fy1_*非頂層ψt*ψe*psi_s(H$8)*λ/SQRT($C12)/cb_Ktr_db_1.5_*(H$8/10)</f>
        <v>104.76640682967036</v>
      </c>
      <c r="I12" s="8" cm="1">
        <f t="array" ref="I12">0.28*fy1_*非頂層ψt*ψe*psi_s(I$8)*λ/SQRT($C12)/cb_Ktr_db_1.5_*(I$8/10)</f>
        <v>121.5290319224176</v>
      </c>
      <c r="J12" s="8" cm="1">
        <f t="array" ref="J12">0.28*fy1_*非頂層ψt*ψe*psi_s(J$8)*λ/SQRT($C12)/cb_Ktr_db_1.5_*(J$8/10)</f>
        <v>134.10100074197805</v>
      </c>
      <c r="K12" s="8" cm="1">
        <f t="array" ref="K12">0.28*fy1_*非頂層ψt*ψe*psi_s(K$8)*λ/SQRT($C12)/cb_Ktr_db_1.5_*(K$8/10)</f>
        <v>150.86362583472533</v>
      </c>
      <c r="M12" s="12"/>
      <c r="N12" s="12"/>
      <c r="O12" s="10">
        <v>350</v>
      </c>
      <c r="P12" s="8" cm="1">
        <f t="array" ref="P12">0.28*fy1_*頂層ψt*ψe*psi_s(P$8)*λ/SQRT($C12)/cb_Ktr_db_1.5_*(P$8/10)</f>
        <v>56.657672813485725</v>
      </c>
      <c r="Q12" s="8" cm="1">
        <f t="array" ref="Q12">0.28*fy1_*頂層ψt*ψe*psi_s(Q$8)*λ/SQRT($C12)/cb_Ktr_db_1.5_*(Q$8/10)</f>
        <v>69.732520385828579</v>
      </c>
      <c r="R12" s="8" cm="1">
        <f t="array" ref="R12">0.28*fy1_*頂層ψt*ψe*psi_s(R$8)*λ/SQRT($C12)/cb_Ktr_db_1.5_*(R$8/10)</f>
        <v>82.80736795817144</v>
      </c>
      <c r="S12" s="8" cm="1">
        <f t="array" ref="S12">0.28*fy1_*頂層ψt*ψe*psi_s(S$8)*λ/SQRT($C12)/cb_Ktr_db_1.5_*(S$8/10)</f>
        <v>119.85276941314289</v>
      </c>
      <c r="T12" s="8" cm="1">
        <f t="array" ref="T12">0.28*fy1_*頂層ψt*ψe*psi_s(T$8)*λ/SQRT($C12)/cb_Ktr_db_1.5_*(T$8/10)</f>
        <v>136.19632887857145</v>
      </c>
      <c r="U12" s="8" cm="1">
        <f t="array" ref="U12">0.28*fy1_*頂層ψt*ψe*psi_s(U$8)*λ/SQRT($C12)/cb_Ktr_db_1.5_*(U$8/10)</f>
        <v>157.98774149914289</v>
      </c>
      <c r="V12" s="8" cm="1">
        <f t="array" ref="V12">0.28*fy1_*頂層ψt*ψe*psi_s(V$8)*λ/SQRT($C12)/cb_Ktr_db_1.5_*(V$8/10)</f>
        <v>174.33130096457148</v>
      </c>
      <c r="W12" s="8" cm="1">
        <f t="array" ref="W12">0.28*fy1_*頂層ψt*ψe*psi_s(W$8)*λ/SQRT($C12)/cb_Ktr_db_1.5_*(W$8/10)</f>
        <v>196.12271358514289</v>
      </c>
    </row>
    <row r="13" spans="1:23" x14ac:dyDescent="0.3">
      <c r="A13" s="12"/>
      <c r="B13" s="12"/>
      <c r="C13" s="10">
        <v>420</v>
      </c>
      <c r="D13" s="8" cm="1">
        <f t="array" ref="D13">0.28*fy1_*非頂層ψt*ψe*psi_s(D$8)*λ/SQRT($C13)/cb_Ktr_db_1.5_*(D$8/10)</f>
        <v>39.785494173965809</v>
      </c>
      <c r="E13" s="8" cm="1">
        <f t="array" ref="E13">0.28*fy1_*非頂層ψt*ψe*psi_s(E$8)*λ/SQRT($C13)/cb_Ktr_db_1.5_*(E$8/10)</f>
        <v>48.966762060265609</v>
      </c>
      <c r="F13" s="8" cm="1">
        <f t="array" ref="F13">0.28*fy1_*非頂層ψt*ψe*psi_s(F$8)*λ/SQRT($C13)/cb_Ktr_db_1.5_*(F$8/10)</f>
        <v>58.148029946565408</v>
      </c>
      <c r="G13" s="8" cm="1">
        <f t="array" ref="G13">0.28*fy1_*非頂層ψt*ψe*psi_s(G$8)*λ/SQRT($C13)/cb_Ktr_db_1.5_*(G$8/10)</f>
        <v>84.161622291081514</v>
      </c>
      <c r="H13" s="8" cm="1">
        <f t="array" ref="H13">0.28*fy1_*非頂層ψt*ψe*psi_s(H$8)*λ/SQRT($C13)/cb_Ktr_db_1.5_*(H$8/10)</f>
        <v>95.638207148956255</v>
      </c>
      <c r="I13" s="8" cm="1">
        <f t="array" ref="I13">0.28*fy1_*非頂層ψt*ψe*psi_s(I$8)*λ/SQRT($C13)/cb_Ktr_db_1.5_*(I$8/10)</f>
        <v>110.94032029278925</v>
      </c>
      <c r="J13" s="8" cm="1">
        <f t="array" ref="J13">0.28*fy1_*非頂層ψt*ψe*psi_s(J$8)*λ/SQRT($C13)/cb_Ktr_db_1.5_*(J$8/10)</f>
        <v>122.41690515066401</v>
      </c>
      <c r="K13" s="8" cm="1">
        <f t="array" ref="K13">0.28*fy1_*非頂層ψt*ψe*psi_s(K$8)*λ/SQRT($C13)/cb_Ktr_db_1.5_*(K$8/10)</f>
        <v>137.719018294497</v>
      </c>
      <c r="M13" s="12"/>
      <c r="N13" s="12"/>
      <c r="O13" s="10">
        <v>420</v>
      </c>
      <c r="P13" s="8" cm="1">
        <f t="array" ref="P13">0.28*fy1_*頂層ψt*ψe*psi_s(P$8)*λ/SQRT($C13)/cb_Ktr_db_1.5_*(P$8/10)</f>
        <v>51.721142426155545</v>
      </c>
      <c r="Q13" s="8" cm="1">
        <f t="array" ref="Q13">0.28*fy1_*頂層ψt*ψe*psi_s(Q$8)*λ/SQRT($C13)/cb_Ktr_db_1.5_*(Q$8/10)</f>
        <v>63.656790678345288</v>
      </c>
      <c r="R13" s="8" cm="1">
        <f t="array" ref="R13">0.28*fy1_*頂層ψt*ψe*psi_s(R$8)*λ/SQRT($C13)/cb_Ktr_db_1.5_*(R$8/10)</f>
        <v>75.592438930535025</v>
      </c>
      <c r="S13" s="8" cm="1">
        <f t="array" ref="S13">0.28*fy1_*頂層ψt*ψe*psi_s(S$8)*λ/SQRT($C13)/cb_Ktr_db_1.5_*(S$8/10)</f>
        <v>109.41010897840596</v>
      </c>
      <c r="T13" s="8" cm="1">
        <f t="array" ref="T13">0.28*fy1_*頂層ψt*ψe*psi_s(T$8)*λ/SQRT($C13)/cb_Ktr_db_1.5_*(T$8/10)</f>
        <v>124.32966929364312</v>
      </c>
      <c r="U13" s="8" cm="1">
        <f t="array" ref="U13">0.28*fy1_*頂層ψt*ψe*psi_s(U$8)*λ/SQRT($C13)/cb_Ktr_db_1.5_*(U$8/10)</f>
        <v>144.22241638062602</v>
      </c>
      <c r="V13" s="8" cm="1">
        <f t="array" ref="V13">0.28*fy1_*頂層ψt*ψe*psi_s(V$8)*λ/SQRT($C13)/cb_Ktr_db_1.5_*(V$8/10)</f>
        <v>159.14197669586321</v>
      </c>
      <c r="W13" s="8" cm="1">
        <f t="array" ref="W13">0.28*fy1_*頂層ψt*ψe*psi_s(W$8)*λ/SQRT($C13)/cb_Ktr_db_1.5_*(W$8/10)</f>
        <v>179.0347237828461</v>
      </c>
    </row>
    <row r="14" spans="1:23" x14ac:dyDescent="0.3">
      <c r="A14" s="12"/>
      <c r="B14" s="12">
        <f>fy2_</f>
        <v>4900</v>
      </c>
      <c r="C14" s="10">
        <v>280</v>
      </c>
      <c r="D14" s="8" cm="1">
        <f t="array" ref="D14">0.28*fy2_*非頂層ψt*ψe*psi_s(D$8)*λ/SQRT($C14)/cb_Ktr_db_1.5_*(D$8/10)</f>
        <v>56.84825993623533</v>
      </c>
      <c r="E14" s="8" cm="1">
        <f t="array" ref="E14">0.28*fy2_*非頂層ψt*ψe*psi_s(E$8)*λ/SQRT($C14)/cb_Ktr_db_1.5_*(E$8/10)</f>
        <v>69.967089152289631</v>
      </c>
      <c r="F14" s="8" cm="1">
        <f t="array" ref="F14">0.28*fy2_*非頂層ψt*ψe*psi_s(F$8)*λ/SQRT($C14)/cb_Ktr_db_1.5_*(F$8/10)</f>
        <v>83.08591836834394</v>
      </c>
      <c r="G14" s="8" cm="1">
        <f t="array" ref="G14">0.28*fy2_*非頂層ψt*ψe*psi_s(G$8)*λ/SQRT($C14)/cb_Ktr_db_1.5_*(G$8/10)</f>
        <v>120.25593448049783</v>
      </c>
      <c r="H14" s="8" cm="1">
        <f t="array" ref="H14">0.28*fy2_*非頂層ψt*ψe*psi_s(H$8)*λ/SQRT($C14)/cb_Ktr_db_1.5_*(H$8/10)</f>
        <v>136.65447100056571</v>
      </c>
      <c r="I14" s="8" cm="1">
        <f t="array" ref="I14">0.28*fy2_*非頂層ψt*ψe*psi_s(I$8)*λ/SQRT($C14)/cb_Ktr_db_1.5_*(I$8/10)</f>
        <v>158.51918636065619</v>
      </c>
      <c r="J14" s="8" cm="1">
        <f t="array" ref="J14">0.28*fy2_*非頂層ψt*ψe*psi_s(J$8)*λ/SQRT($C14)/cb_Ktr_db_1.5_*(J$8/10)</f>
        <v>174.91772288072411</v>
      </c>
      <c r="K14" s="8" cm="1">
        <f t="array" ref="K14">0.28*fy2_*非頂層ψt*ψe*psi_s(K$8)*λ/SQRT($C14)/cb_Ktr_db_1.5_*(K$8/10)</f>
        <v>196.7824382408146</v>
      </c>
      <c r="M14" s="12"/>
      <c r="N14" s="12">
        <f>fy2_</f>
        <v>4900</v>
      </c>
      <c r="O14" s="10">
        <v>280</v>
      </c>
      <c r="P14" s="8" cm="1">
        <f t="array" ref="P14">0.28*fy2_*頂層ψt*ψe*psi_s(P$8)*λ/SQRT($C14)/cb_Ktr_db_1.5_*(P$8/10)</f>
        <v>73.902737917105938</v>
      </c>
      <c r="Q14" s="8" cm="1">
        <f t="array" ref="Q14">0.28*fy2_*頂層ψt*ψe*psi_s(Q$8)*λ/SQRT($C14)/cb_Ktr_db_1.5_*(Q$8/10)</f>
        <v>90.957215897976539</v>
      </c>
      <c r="R14" s="8" cm="1">
        <f t="array" ref="R14">0.28*fy2_*頂層ψt*ψe*psi_s(R$8)*λ/SQRT($C14)/cb_Ktr_db_1.5_*(R$8/10)</f>
        <v>108.01169387884714</v>
      </c>
      <c r="S14" s="8" cm="1">
        <f t="array" ref="S14">0.28*fy2_*頂層ψt*ψe*psi_s(S$8)*λ/SQRT($C14)/cb_Ktr_db_1.5_*(S$8/10)</f>
        <v>156.33271482464718</v>
      </c>
      <c r="T14" s="8" cm="1">
        <f t="array" ref="T14">0.28*fy2_*頂層ψt*ψe*psi_s(T$8)*λ/SQRT($C14)/cb_Ktr_db_1.5_*(T$8/10)</f>
        <v>177.65081230073542</v>
      </c>
      <c r="U14" s="8" cm="1">
        <f t="array" ref="U14">0.28*fy2_*頂層ψt*ψe*psi_s(U$8)*λ/SQRT($C14)/cb_Ktr_db_1.5_*(U$8/10)</f>
        <v>206.07494226885308</v>
      </c>
      <c r="V14" s="8" cm="1">
        <f t="array" ref="V14">0.28*fy2_*頂層ψt*ψe*psi_s(V$8)*λ/SQRT($C14)/cb_Ktr_db_1.5_*(V$8/10)</f>
        <v>227.39303974494135</v>
      </c>
      <c r="W14" s="8" cm="1">
        <f t="array" ref="W14">0.28*fy2_*頂層ψt*ψe*psi_s(W$8)*λ/SQRT($C14)/cb_Ktr_db_1.5_*(W$8/10)</f>
        <v>255.817169713059</v>
      </c>
    </row>
    <row r="15" spans="1:23" x14ac:dyDescent="0.3">
      <c r="A15" s="12"/>
      <c r="B15" s="12"/>
      <c r="C15" s="10">
        <v>350</v>
      </c>
      <c r="D15" s="8" cm="1">
        <f t="array" ref="D15">0.28*fy2_*非頂層ψt*ψe*psi_s(D$8)*λ/SQRT($C15)/cb_Ktr_db_1.5_*(D$8/10)</f>
        <v>50.846629448000023</v>
      </c>
      <c r="E15" s="8" cm="1">
        <f t="array" ref="E15">0.28*fy2_*非頂層ψt*ψe*psi_s(E$8)*λ/SQRT($C15)/cb_Ktr_db_1.5_*(E$8/10)</f>
        <v>62.580467012923101</v>
      </c>
      <c r="F15" s="8" cm="1">
        <f t="array" ref="F15">0.28*fy2_*非頂層ψt*ψe*psi_s(F$8)*λ/SQRT($C15)/cb_Ktr_db_1.5_*(F$8/10)</f>
        <v>74.314304577846173</v>
      </c>
      <c r="G15" s="8" cm="1">
        <f t="array" ref="G15">0.28*fy2_*非頂層ψt*ψe*psi_s(G$8)*λ/SQRT($C15)/cb_Ktr_db_1.5_*(G$8/10)</f>
        <v>107.56017767846159</v>
      </c>
      <c r="H15" s="8" cm="1">
        <f t="array" ref="H15">0.28*fy2_*非頂層ψt*ψe*psi_s(H$8)*λ/SQRT($C15)/cb_Ktr_db_1.5_*(H$8/10)</f>
        <v>122.22747463461543</v>
      </c>
      <c r="I15" s="8" cm="1">
        <f t="array" ref="I15">0.28*fy2_*非頂層ψt*ψe*psi_s(I$8)*λ/SQRT($C15)/cb_Ktr_db_1.5_*(I$8/10)</f>
        <v>141.7838705761539</v>
      </c>
      <c r="J15" s="8" cm="1">
        <f t="array" ref="J15">0.28*fy2_*非頂層ψt*ψe*psi_s(J$8)*λ/SQRT($C15)/cb_Ktr_db_1.5_*(J$8/10)</f>
        <v>156.45116753230775</v>
      </c>
      <c r="K15" s="8" cm="1">
        <f t="array" ref="K15">0.28*fy2_*非頂層ψt*ψe*psi_s(K$8)*λ/SQRT($C15)/cb_Ktr_db_1.5_*(K$8/10)</f>
        <v>176.00756347384623</v>
      </c>
      <c r="M15" s="12"/>
      <c r="N15" s="12"/>
      <c r="O15" s="10">
        <v>350</v>
      </c>
      <c r="P15" s="8" cm="1">
        <f t="array" ref="P15">0.28*fy2_*頂層ψt*ψe*psi_s(P$8)*λ/SQRT($C15)/cb_Ktr_db_1.5_*(P$8/10)</f>
        <v>66.100618282400035</v>
      </c>
      <c r="Q15" s="8" cm="1">
        <f t="array" ref="Q15">0.28*fy2_*頂層ψt*ψe*psi_s(Q$8)*λ/SQRT($C15)/cb_Ktr_db_1.5_*(Q$8/10)</f>
        <v>81.35460711680004</v>
      </c>
      <c r="R15" s="8" cm="1">
        <f t="array" ref="R15">0.28*fy2_*頂層ψt*ψe*psi_s(R$8)*λ/SQRT($C15)/cb_Ktr_db_1.5_*(R$8/10)</f>
        <v>96.608595951200044</v>
      </c>
      <c r="S15" s="8" cm="1">
        <f t="array" ref="S15">0.28*fy2_*頂層ψt*ψe*psi_s(S$8)*λ/SQRT($C15)/cb_Ktr_db_1.5_*(S$8/10)</f>
        <v>139.82823098200006</v>
      </c>
      <c r="T15" s="8" cm="1">
        <f t="array" ref="T15">0.28*fy2_*頂層ψt*ψe*psi_s(T$8)*λ/SQRT($C15)/cb_Ktr_db_1.5_*(T$8/10)</f>
        <v>158.89571702500007</v>
      </c>
      <c r="U15" s="8" cm="1">
        <f t="array" ref="U15">0.28*fy2_*頂層ψt*ψe*psi_s(U$8)*λ/SQRT($C15)/cb_Ktr_db_1.5_*(U$8/10)</f>
        <v>184.31903174900006</v>
      </c>
      <c r="V15" s="8" cm="1">
        <f t="array" ref="V15">0.28*fy2_*頂層ψt*ψe*psi_s(V$8)*λ/SQRT($C15)/cb_Ktr_db_1.5_*(V$8/10)</f>
        <v>203.38651779200009</v>
      </c>
      <c r="W15" s="8" cm="1">
        <f t="array" ref="W15">0.28*fy2_*頂層ψt*ψe*psi_s(W$8)*λ/SQRT($C15)/cb_Ktr_db_1.5_*(W$8/10)</f>
        <v>228.80983251600011</v>
      </c>
    </row>
    <row r="16" spans="1:23" x14ac:dyDescent="0.3">
      <c r="A16" s="12"/>
      <c r="B16" s="12"/>
      <c r="C16" s="10">
        <v>420</v>
      </c>
      <c r="D16" s="8" cm="1">
        <f t="array" ref="D16">0.28*fy2_*非頂層ψt*ψe*psi_s(D$8)*λ/SQRT($C16)/cb_Ktr_db_1.5_*(D$8/10)</f>
        <v>46.416409869626776</v>
      </c>
      <c r="E16" s="8" cm="1">
        <f t="array" ref="E16">0.28*fy2_*非頂層ψt*ψe*psi_s(E$8)*λ/SQRT($C16)/cb_Ktr_db_1.5_*(E$8/10)</f>
        <v>57.127889070309884</v>
      </c>
      <c r="F16" s="8" cm="1">
        <f t="array" ref="F16">0.28*fy2_*非頂層ψt*ψe*psi_s(F$8)*λ/SQRT($C16)/cb_Ktr_db_1.5_*(F$8/10)</f>
        <v>67.839368270992978</v>
      </c>
      <c r="G16" s="8" cm="1">
        <f t="array" ref="G16">0.28*fy2_*非頂層ψt*ψe*psi_s(G$8)*λ/SQRT($C16)/cb_Ktr_db_1.5_*(G$8/10)</f>
        <v>98.188559339595102</v>
      </c>
      <c r="H16" s="8" cm="1">
        <f t="array" ref="H16">0.28*fy2_*非頂層ψt*ψe*psi_s(H$8)*λ/SQRT($C16)/cb_Ktr_db_1.5_*(H$8/10)</f>
        <v>111.57790834044897</v>
      </c>
      <c r="I16" s="8" cm="1">
        <f t="array" ref="I16">0.28*fy2_*非頂層ψt*ψe*psi_s(I$8)*λ/SQRT($C16)/cb_Ktr_db_1.5_*(I$8/10)</f>
        <v>129.43037367492082</v>
      </c>
      <c r="J16" s="8" cm="1">
        <f t="array" ref="J16">0.28*fy2_*非頂層ψt*ψe*psi_s(J$8)*λ/SQRT($C16)/cb_Ktr_db_1.5_*(J$8/10)</f>
        <v>142.8197226757747</v>
      </c>
      <c r="K16" s="8" cm="1">
        <f t="array" ref="K16">0.28*fy2_*非頂層ψt*ψe*psi_s(K$8)*λ/SQRT($C16)/cb_Ktr_db_1.5_*(K$8/10)</f>
        <v>160.67218801024651</v>
      </c>
      <c r="M16" s="12"/>
      <c r="N16" s="12"/>
      <c r="O16" s="10">
        <v>420</v>
      </c>
      <c r="P16" s="8" cm="1">
        <f t="array" ref="P16">0.28*fy2_*頂層ψt*ψe*psi_s(P$8)*λ/SQRT($C16)/cb_Ktr_db_1.5_*(P$8/10)</f>
        <v>60.341332830514823</v>
      </c>
      <c r="Q16" s="8" cm="1">
        <f t="array" ref="Q16">0.28*fy2_*頂層ψt*ψe*psi_s(Q$8)*λ/SQRT($C16)/cb_Ktr_db_1.5_*(Q$8/10)</f>
        <v>74.266255791402855</v>
      </c>
      <c r="R16" s="8" cm="1">
        <f t="array" ref="R16">0.28*fy2_*頂層ψt*ψe*psi_s(R$8)*λ/SQRT($C16)/cb_Ktr_db_1.5_*(R$8/10)</f>
        <v>88.191178752290881</v>
      </c>
      <c r="S16" s="8" cm="1">
        <f t="array" ref="S16">0.28*fy2_*頂層ψt*ψe*psi_s(S$8)*λ/SQRT($C16)/cb_Ktr_db_1.5_*(S$8/10)</f>
        <v>127.64512714147365</v>
      </c>
      <c r="T16" s="8" cm="1">
        <f t="array" ref="T16">0.28*fy2_*頂層ψt*ψe*psi_s(T$8)*λ/SQRT($C16)/cb_Ktr_db_1.5_*(T$8/10)</f>
        <v>145.05128084258368</v>
      </c>
      <c r="U16" s="8" cm="1">
        <f t="array" ref="U16">0.28*fy2_*頂層ψt*ψe*psi_s(U$8)*λ/SQRT($C16)/cb_Ktr_db_1.5_*(U$8/10)</f>
        <v>168.25948577739706</v>
      </c>
      <c r="V16" s="8" cm="1">
        <f t="array" ref="V16">0.28*fy2_*頂層ψt*ψe*psi_s(V$8)*λ/SQRT($C16)/cb_Ktr_db_1.5_*(V$8/10)</f>
        <v>185.66563947850713</v>
      </c>
      <c r="W16" s="8" cm="1">
        <f t="array" ref="W16">0.28*fy2_*頂層ψt*ψe*psi_s(W$8)*λ/SQRT($C16)/cb_Ktr_db_1.5_*(W$8/10)</f>
        <v>208.87384441332051</v>
      </c>
    </row>
    <row r="17" spans="1:23" x14ac:dyDescent="0.3">
      <c r="A17" s="12" t="s">
        <v>14</v>
      </c>
      <c r="B17" s="12">
        <f>fy1_</f>
        <v>4200</v>
      </c>
      <c r="C17" s="10">
        <v>210</v>
      </c>
      <c r="D17" s="8" cm="1">
        <f t="array" ref="D17">0.28*fy1_*非頂層ψt*ψe*psi_s(D$8)*λ/SQRT($C17)/cb_Ktr_db_2.5_*(D$8/10)</f>
        <v>33.759111267922918</v>
      </c>
      <c r="E17" s="8" cm="1">
        <f t="array" ref="E17">0.28*fy1_*非頂層ψt*ψe*psi_s(E$8)*λ/SQRT($C17)/cb_Ktr_db_2.5_*(E$8/10)</f>
        <v>41.549675406674368</v>
      </c>
      <c r="F17" s="8" cm="1">
        <f t="array" ref="F17">0.28*fy1_*非頂層ψt*ψe*psi_s(F$8)*λ/SQRT($C17)/cb_Ktr_db_2.5_*(F$8/10)</f>
        <v>49.340239545425803</v>
      </c>
      <c r="G17" s="8" cm="1">
        <f t="array" ref="G17">0.28*fy1_*非頂層ψt*ψe*psi_s(G$8)*λ/SQRT($C17)/cb_Ktr_db_2.5_*(G$8/10)</f>
        <v>71.413504605221561</v>
      </c>
      <c r="H17" s="8" cm="1">
        <f t="array" ref="H17">0.28*fy1_*非頂層ψt*ψe*psi_s(H$8)*λ/SQRT($C17)/cb_Ktr_db_2.5_*(H$8/10)</f>
        <v>81.151709778660859</v>
      </c>
      <c r="I17" s="8" cm="1">
        <f t="array" ref="I17">0.28*fy1_*非頂層ψt*ψe*psi_s(I$8)*λ/SQRT($C17)/cb_Ktr_db_2.5_*(I$8/10)</f>
        <v>94.135983343246593</v>
      </c>
      <c r="J17" s="8" cm="1">
        <f t="array" ref="J17">0.28*fy1_*非頂層ψt*ψe*psi_s(J$8)*λ/SQRT($C17)/cb_Ktr_db_2.5_*(J$8/10)</f>
        <v>103.8741885166859</v>
      </c>
      <c r="K17" s="8" cm="1">
        <f t="array" ref="K17">0.28*fy1_*非頂層ψt*ψe*psi_s(K$8)*λ/SQRT($C17)/cb_Ktr_db_2.5_*(K$8/10)</f>
        <v>116.85846208127164</v>
      </c>
      <c r="M17" s="12" t="s">
        <v>14</v>
      </c>
      <c r="N17" s="12">
        <f>fy1_</f>
        <v>4200</v>
      </c>
      <c r="O17" s="10">
        <v>210</v>
      </c>
      <c r="P17" s="8" cm="1">
        <f t="array" ref="P17">0.28*fy1_*頂層ψt*ψe*psi_s(P$8)*λ/SQRT($C17)/cb_Ktr_db_2.5_*(P$8/10)</f>
        <v>43.886844648299792</v>
      </c>
      <c r="Q17" s="8" cm="1">
        <f t="array" ref="Q17">0.28*fy1_*頂層ψt*ψe*psi_s(Q$8)*λ/SQRT($C17)/cb_Ktr_db_2.5_*(Q$8/10)</f>
        <v>54.014578028676674</v>
      </c>
      <c r="R17" s="8" cm="1">
        <f t="array" ref="R17">0.28*fy1_*頂層ψt*ψe*psi_s(R$8)*λ/SQRT($C17)/cb_Ktr_db_2.5_*(R$8/10)</f>
        <v>64.142311409053548</v>
      </c>
      <c r="S17" s="8" cm="1">
        <f t="array" ref="S17">0.28*fy1_*頂層ψt*ψe*psi_s(S$8)*λ/SQRT($C17)/cb_Ktr_db_2.5_*(S$8/10)</f>
        <v>92.837555986788033</v>
      </c>
      <c r="T17" s="8" cm="1">
        <f t="array" ref="T17">0.28*fy1_*頂層ψt*ψe*psi_s(T$8)*λ/SQRT($C17)/cb_Ktr_db_2.5_*(T$8/10)</f>
        <v>105.49722271225912</v>
      </c>
      <c r="U17" s="8" cm="1">
        <f t="array" ref="U17">0.28*fy1_*頂層ψt*ψe*psi_s(U$8)*λ/SQRT($C17)/cb_Ktr_db_2.5_*(U$8/10)</f>
        <v>122.37677834622058</v>
      </c>
      <c r="V17" s="8" cm="1">
        <f t="array" ref="V17">0.28*fy1_*頂層ψt*ψe*psi_s(V$8)*λ/SQRT($C17)/cb_Ktr_db_2.5_*(V$8/10)</f>
        <v>135.03644507169167</v>
      </c>
      <c r="W17" s="8" cm="1">
        <f t="array" ref="W17">0.28*fy1_*頂層ψt*ψe*psi_s(W$8)*λ/SQRT($C17)/cb_Ktr_db_2.5_*(W$8/10)</f>
        <v>151.91600070565315</v>
      </c>
    </row>
    <row r="18" spans="1:23" x14ac:dyDescent="0.3">
      <c r="A18" s="12"/>
      <c r="B18" s="12"/>
      <c r="C18" s="10">
        <v>245</v>
      </c>
      <c r="D18" s="8" cm="1">
        <f t="array" ref="D18">0.28*fy1_*非頂層ψt*ψe*psi_s(D$8)*λ/SQRT($C18)/cb_Ktr_db_2.5_*(D$8/10)</f>
        <v>31.254863762301063</v>
      </c>
      <c r="E18" s="8" cm="1">
        <f t="array" ref="E18">0.28*fy1_*非頂層ψt*ψe*psi_s(E$8)*λ/SQRT($C18)/cb_Ktr_db_2.5_*(E$8/10)</f>
        <v>38.467524630524387</v>
      </c>
      <c r="F18" s="8" cm="1">
        <f t="array" ref="F18">0.28*fy1_*非頂層ψt*ψe*psi_s(F$8)*λ/SQRT($C18)/cb_Ktr_db_2.5_*(F$8/10)</f>
        <v>45.680185498747704</v>
      </c>
      <c r="G18" s="8" cm="1">
        <f t="array" ref="G18">0.28*fy1_*非頂層ψt*ψe*psi_s(G$8)*λ/SQRT($C18)/cb_Ktr_db_2.5_*(G$8/10)</f>
        <v>66.116057958713782</v>
      </c>
      <c r="H18" s="8" cm="1">
        <f t="array" ref="H18">0.28*fy1_*非頂層ψt*ψe*psi_s(H$8)*λ/SQRT($C18)/cb_Ktr_db_2.5_*(H$8/10)</f>
        <v>75.131884043992926</v>
      </c>
      <c r="I18" s="8" cm="1">
        <f t="array" ref="I18">0.28*fy1_*非頂層ψt*ψe*psi_s(I$8)*λ/SQRT($C18)/cb_Ktr_db_2.5_*(I$8/10)</f>
        <v>87.152985491031785</v>
      </c>
      <c r="J18" s="8" cm="1">
        <f t="array" ref="J18">0.28*fy1_*非頂層ψt*ψe*psi_s(J$8)*λ/SQRT($C18)/cb_Ktr_db_2.5_*(J$8/10)</f>
        <v>96.168811576310944</v>
      </c>
      <c r="K18" s="8" cm="1">
        <f t="array" ref="K18">0.28*fy1_*非頂層ψt*ψe*psi_s(K$8)*λ/SQRT($C18)/cb_Ktr_db_2.5_*(K$8/10)</f>
        <v>108.18991302334982</v>
      </c>
      <c r="M18" s="12"/>
      <c r="N18" s="12"/>
      <c r="O18" s="10">
        <v>245</v>
      </c>
      <c r="P18" s="8" cm="1">
        <f t="array" ref="P18">0.28*fy1_*頂層ψt*ψe*psi_s(P$8)*λ/SQRT($C18)/cb_Ktr_db_2.5_*(P$8/10)</f>
        <v>40.631322890991378</v>
      </c>
      <c r="Q18" s="8" cm="1">
        <f t="array" ref="Q18">0.28*fy1_*頂層ψt*ψe*psi_s(Q$8)*λ/SQRT($C18)/cb_Ktr_db_2.5_*(Q$8/10)</f>
        <v>50.007782019681692</v>
      </c>
      <c r="R18" s="8" cm="1">
        <f t="array" ref="R18">0.28*fy1_*頂層ψt*ψe*psi_s(R$8)*λ/SQRT($C18)/cb_Ktr_db_2.5_*(R$8/10)</f>
        <v>59.384241148372006</v>
      </c>
      <c r="S18" s="8" cm="1">
        <f t="array" ref="S18">0.28*fy1_*頂層ψt*ψe*psi_s(S$8)*λ/SQRT($C18)/cb_Ktr_db_2.5_*(S$8/10)</f>
        <v>85.950875346327905</v>
      </c>
      <c r="T18" s="8" cm="1">
        <f t="array" ref="T18">0.28*fy1_*頂層ψt*ψe*psi_s(T$8)*λ/SQRT($C18)/cb_Ktr_db_2.5_*(T$8/10)</f>
        <v>97.671449257190801</v>
      </c>
      <c r="U18" s="8" cm="1">
        <f t="array" ref="U18">0.28*fy1_*頂層ψt*ψe*psi_s(U$8)*λ/SQRT($C18)/cb_Ktr_db_2.5_*(U$8/10)</f>
        <v>113.29888113834133</v>
      </c>
      <c r="V18" s="8" cm="1">
        <f t="array" ref="V18">0.28*fy1_*頂層ψt*ψe*psi_s(V$8)*λ/SQRT($C18)/cb_Ktr_db_2.5_*(V$8/10)</f>
        <v>125.01945504920423</v>
      </c>
      <c r="W18" s="8" cm="1">
        <f t="array" ref="W18">0.28*fy1_*頂層ψt*ψe*psi_s(W$8)*λ/SQRT($C18)/cb_Ktr_db_2.5_*(W$8/10)</f>
        <v>140.64688693035475</v>
      </c>
    </row>
    <row r="19" spans="1:23" x14ac:dyDescent="0.3">
      <c r="A19" s="12"/>
      <c r="B19" s="12"/>
      <c r="C19" s="10">
        <v>280</v>
      </c>
      <c r="D19" s="8" cm="1">
        <f t="array" ref="D19">0.28*fy1_*非頂層ψt*ψe*psi_s(D$8)*λ/SQRT($C19)/cb_Ktr_db_2.5_*(D$8/10)</f>
        <v>29.236247967206737</v>
      </c>
      <c r="E19" s="8" cm="1">
        <f t="array" ref="E19">0.28*fy1_*非頂層ψt*ψe*psi_s(E$8)*λ/SQRT($C19)/cb_Ktr_db_2.5_*(E$8/10)</f>
        <v>35.98307442117752</v>
      </c>
      <c r="F19" s="8" cm="1">
        <f t="array" ref="F19">0.28*fy1_*非頂層ψt*ψe*psi_s(F$8)*λ/SQRT($C19)/cb_Ktr_db_2.5_*(F$8/10)</f>
        <v>42.729900875148303</v>
      </c>
      <c r="G19" s="8" cm="1">
        <f t="array" ref="G19">0.28*fy1_*非頂層ψt*ψe*psi_s(G$8)*λ/SQRT($C19)/cb_Ktr_db_2.5_*(G$8/10)</f>
        <v>61.845909161398879</v>
      </c>
      <c r="H19" s="8" cm="1">
        <f t="array" ref="H19">0.28*fy1_*非頂層ψt*ψe*psi_s(H$8)*λ/SQRT($C19)/cb_Ktr_db_2.5_*(H$8/10)</f>
        <v>70.279442228862351</v>
      </c>
      <c r="I19" s="8" cm="1">
        <f t="array" ref="I19">0.28*fy1_*非頂層ψt*ψe*psi_s(I$8)*λ/SQRT($C19)/cb_Ktr_db_2.5_*(I$8/10)</f>
        <v>81.524152985480328</v>
      </c>
      <c r="J19" s="8" cm="1">
        <f t="array" ref="J19">0.28*fy1_*非頂層ψt*ψe*psi_s(J$8)*λ/SQRT($C19)/cb_Ktr_db_2.5_*(J$8/10)</f>
        <v>89.957686052943814</v>
      </c>
      <c r="K19" s="8" cm="1">
        <f t="array" ref="K19">0.28*fy1_*非頂層ψt*ψe*psi_s(K$8)*λ/SQRT($C19)/cb_Ktr_db_2.5_*(K$8/10)</f>
        <v>101.20239680956179</v>
      </c>
      <c r="M19" s="12"/>
      <c r="N19" s="12"/>
      <c r="O19" s="10">
        <v>280</v>
      </c>
      <c r="P19" s="8" cm="1">
        <f t="array" ref="P19">0.28*fy1_*頂層ψt*ψe*psi_s(P$8)*λ/SQRT($C19)/cb_Ktr_db_2.5_*(P$8/10)</f>
        <v>38.007122357368758</v>
      </c>
      <c r="Q19" s="8" cm="1">
        <f t="array" ref="Q19">0.28*fy1_*頂層ψt*ψe*psi_s(Q$8)*λ/SQRT($C19)/cb_Ktr_db_2.5_*(Q$8/10)</f>
        <v>46.777996747530779</v>
      </c>
      <c r="R19" s="8" cm="1">
        <f t="array" ref="R19">0.28*fy1_*頂層ψt*ψe*psi_s(R$8)*λ/SQRT($C19)/cb_Ktr_db_2.5_*(R$8/10)</f>
        <v>55.548871137692799</v>
      </c>
      <c r="S19" s="8" cm="1">
        <f t="array" ref="S19">0.28*fy1_*頂層ψt*ψe*psi_s(S$8)*λ/SQRT($C19)/cb_Ktr_db_2.5_*(S$8/10)</f>
        <v>80.399681909818526</v>
      </c>
      <c r="T19" s="8" cm="1">
        <f t="array" ref="T19">0.28*fy1_*頂層ψt*ψe*psi_s(T$8)*λ/SQRT($C19)/cb_Ktr_db_2.5_*(T$8/10)</f>
        <v>91.363274897521052</v>
      </c>
      <c r="U19" s="8" cm="1">
        <f t="array" ref="U19">0.28*fy1_*頂層ψt*ψe*psi_s(U$8)*λ/SQRT($C19)/cb_Ktr_db_2.5_*(U$8/10)</f>
        <v>105.98139888112442</v>
      </c>
      <c r="V19" s="8" cm="1">
        <f t="array" ref="V19">0.28*fy1_*頂層ψt*ψe*psi_s(V$8)*λ/SQRT($C19)/cb_Ktr_db_2.5_*(V$8/10)</f>
        <v>116.94499186882695</v>
      </c>
      <c r="W19" s="8" cm="1">
        <f t="array" ref="W19">0.28*fy1_*頂層ψt*ψe*psi_s(W$8)*λ/SQRT($C19)/cb_Ktr_db_2.5_*(W$8/10)</f>
        <v>131.56311585243031</v>
      </c>
    </row>
    <row r="20" spans="1:23" x14ac:dyDescent="0.3">
      <c r="A20" s="12"/>
      <c r="B20" s="12"/>
      <c r="C20" s="10">
        <v>350</v>
      </c>
      <c r="D20" s="8" cm="1">
        <f t="array" ref="D20">0.28*fy1_*非頂層ψt*ψe*psi_s(D$8)*λ/SQRT($C20)/cb_Ktr_db_2.5_*(D$8/10)</f>
        <v>26.149695144685719</v>
      </c>
      <c r="E20" s="8" cm="1">
        <f t="array" ref="E20">0.28*fy1_*非頂層ψt*ψe*psi_s(E$8)*λ/SQRT($C20)/cb_Ktr_db_2.5_*(E$8/10)</f>
        <v>32.184240178074731</v>
      </c>
      <c r="F20" s="8" cm="1">
        <f t="array" ref="F20">0.28*fy1_*非頂層ψt*ψe*psi_s(F$8)*λ/SQRT($C20)/cb_Ktr_db_2.5_*(F$8/10)</f>
        <v>38.218785211463739</v>
      </c>
      <c r="G20" s="8" cm="1">
        <f t="array" ref="G20">0.28*fy1_*非頂層ψt*ψe*psi_s(G$8)*λ/SQRT($C20)/cb_Ktr_db_2.5_*(G$8/10)</f>
        <v>55.316662806065949</v>
      </c>
      <c r="H20" s="8" cm="1">
        <f t="array" ref="H20">0.28*fy1_*非頂層ψt*ψe*psi_s(H$8)*λ/SQRT($C20)/cb_Ktr_db_2.5_*(H$8/10)</f>
        <v>62.85984409780221</v>
      </c>
      <c r="I20" s="8" cm="1">
        <f t="array" ref="I20">0.28*fy1_*非頂層ψt*ψe*psi_s(I$8)*λ/SQRT($C20)/cb_Ktr_db_2.5_*(I$8/10)</f>
        <v>72.917419153450567</v>
      </c>
      <c r="J20" s="8" cm="1">
        <f t="array" ref="J20">0.28*fy1_*非頂層ψt*ψe*psi_s(J$8)*λ/SQRT($C20)/cb_Ktr_db_2.5_*(J$8/10)</f>
        <v>80.460600445186842</v>
      </c>
      <c r="K20" s="8" cm="1">
        <f t="array" ref="K20">0.28*fy1_*非頂層ψt*ψe*psi_s(K$8)*λ/SQRT($C20)/cb_Ktr_db_2.5_*(K$8/10)</f>
        <v>90.518175500835184</v>
      </c>
      <c r="M20" s="12"/>
      <c r="N20" s="12"/>
      <c r="O20" s="10">
        <v>350</v>
      </c>
      <c r="P20" s="8" cm="1">
        <f t="array" ref="P20">0.28*fy1_*頂層ψt*ψe*psi_s(P$8)*λ/SQRT($C20)/cb_Ktr_db_2.5_*(P$8/10)</f>
        <v>33.994603688091431</v>
      </c>
      <c r="Q20" s="8" cm="1">
        <f t="array" ref="Q20">0.28*fy1_*頂層ψt*ψe*psi_s(Q$8)*λ/SQRT($C20)/cb_Ktr_db_2.5_*(Q$8/10)</f>
        <v>41.839512231497146</v>
      </c>
      <c r="R20" s="8" cm="1">
        <f t="array" ref="R20">0.28*fy1_*頂層ψt*ψe*psi_s(R$8)*λ/SQRT($C20)/cb_Ktr_db_2.5_*(R$8/10)</f>
        <v>49.684420774902854</v>
      </c>
      <c r="S20" s="8" cm="1">
        <f t="array" ref="S20">0.28*fy1_*頂層ψt*ψe*psi_s(S$8)*λ/SQRT($C20)/cb_Ktr_db_2.5_*(S$8/10)</f>
        <v>71.911661647885737</v>
      </c>
      <c r="T20" s="8" cm="1">
        <f t="array" ref="T20">0.28*fy1_*頂層ψt*ψe*psi_s(T$8)*λ/SQRT($C20)/cb_Ktr_db_2.5_*(T$8/10)</f>
        <v>81.717797327142875</v>
      </c>
      <c r="U20" s="8" cm="1">
        <f t="array" ref="U20">0.28*fy1_*頂層ψt*ψe*psi_s(U$8)*λ/SQRT($C20)/cb_Ktr_db_2.5_*(U$8/10)</f>
        <v>94.792644899485737</v>
      </c>
      <c r="V20" s="8" cm="1">
        <f t="array" ref="V20">0.28*fy1_*頂層ψt*ψe*psi_s(V$8)*λ/SQRT($C20)/cb_Ktr_db_2.5_*(V$8/10)</f>
        <v>104.59878057874289</v>
      </c>
      <c r="W20" s="8" cm="1">
        <f t="array" ref="W20">0.28*fy1_*頂層ψt*ψe*psi_s(W$8)*λ/SQRT($C20)/cb_Ktr_db_2.5_*(W$8/10)</f>
        <v>117.67362815108575</v>
      </c>
    </row>
    <row r="21" spans="1:23" x14ac:dyDescent="0.3">
      <c r="A21" s="12"/>
      <c r="B21" s="12"/>
      <c r="C21" s="10">
        <v>420</v>
      </c>
      <c r="D21" s="8" cm="1">
        <f t="array" ref="D21">0.28*fy1_*非頂層ψt*ψe*psi_s(D$8)*λ/SQRT($C21)/cb_Ktr_db_2.5_*(D$8/10)</f>
        <v>23.871296504379487</v>
      </c>
      <c r="E21" s="8" cm="1">
        <f t="array" ref="E21">0.28*fy1_*非頂層ψt*ψe*psi_s(E$8)*λ/SQRT($C21)/cb_Ktr_db_2.5_*(E$8/10)</f>
        <v>29.380057236159367</v>
      </c>
      <c r="F21" s="8" cm="1">
        <f t="array" ref="F21">0.28*fy1_*非頂層ψt*ψe*psi_s(F$8)*λ/SQRT($C21)/cb_Ktr_db_2.5_*(F$8/10)</f>
        <v>34.888817967939247</v>
      </c>
      <c r="G21" s="8" cm="1">
        <f t="array" ref="G21">0.28*fy1_*非頂層ψt*ψe*psi_s(G$8)*λ/SQRT($C21)/cb_Ktr_db_2.5_*(G$8/10)</f>
        <v>50.49697337464891</v>
      </c>
      <c r="H21" s="8" cm="1">
        <f t="array" ref="H21">0.28*fy1_*非頂層ψt*ψe*psi_s(H$8)*λ/SQRT($C21)/cb_Ktr_db_2.5_*(H$8/10)</f>
        <v>57.382924289373761</v>
      </c>
      <c r="I21" s="8" cm="1">
        <f t="array" ref="I21">0.28*fy1_*非頂層ψt*ψe*psi_s(I$8)*λ/SQRT($C21)/cb_Ktr_db_2.5_*(I$8/10)</f>
        <v>66.564192175673554</v>
      </c>
      <c r="J21" s="8" cm="1">
        <f t="array" ref="J21">0.28*fy1_*非頂層ψt*ψe*psi_s(J$8)*λ/SQRT($C21)/cb_Ktr_db_2.5_*(J$8/10)</f>
        <v>73.450143090398413</v>
      </c>
      <c r="K21" s="8" cm="1">
        <f t="array" ref="K21">0.28*fy1_*非頂層ψt*ψe*psi_s(K$8)*λ/SQRT($C21)/cb_Ktr_db_2.5_*(K$8/10)</f>
        <v>82.63141097669822</v>
      </c>
      <c r="M21" s="12"/>
      <c r="N21" s="12"/>
      <c r="O21" s="10">
        <v>420</v>
      </c>
      <c r="P21" s="8" cm="1">
        <f t="array" ref="P21">0.28*fy1_*頂層ψt*ψe*psi_s(P$8)*λ/SQRT($C21)/cb_Ktr_db_2.5_*(P$8/10)</f>
        <v>31.032685455693326</v>
      </c>
      <c r="Q21" s="8" cm="1">
        <f t="array" ref="Q21">0.28*fy1_*頂層ψt*ψe*psi_s(Q$8)*λ/SQRT($C21)/cb_Ktr_db_2.5_*(Q$8/10)</f>
        <v>38.194074407007172</v>
      </c>
      <c r="R21" s="8" cm="1">
        <f t="array" ref="R21">0.28*fy1_*頂層ψt*ψe*psi_s(R$8)*λ/SQRT($C21)/cb_Ktr_db_2.5_*(R$8/10)</f>
        <v>45.355463358321011</v>
      </c>
      <c r="S21" s="8" cm="1">
        <f t="array" ref="S21">0.28*fy1_*頂層ψt*ψe*psi_s(S$8)*λ/SQRT($C21)/cb_Ktr_db_2.5_*(S$8/10)</f>
        <v>65.646065387043564</v>
      </c>
      <c r="T21" s="8" cm="1">
        <f t="array" ref="T21">0.28*fy1_*頂層ψt*ψe*psi_s(T$8)*λ/SQRT($C21)/cb_Ktr_db_2.5_*(T$8/10)</f>
        <v>74.597801576185873</v>
      </c>
      <c r="U21" s="8" cm="1">
        <f t="array" ref="U21">0.28*fy1_*頂層ψt*ψe*psi_s(U$8)*λ/SQRT($C21)/cb_Ktr_db_2.5_*(U$8/10)</f>
        <v>86.533449828375609</v>
      </c>
      <c r="V21" s="8" cm="1">
        <f t="array" ref="V21">0.28*fy1_*頂層ψt*ψe*psi_s(V$8)*λ/SQRT($C21)/cb_Ktr_db_2.5_*(V$8/10)</f>
        <v>95.485186017517918</v>
      </c>
      <c r="W21" s="8" cm="1">
        <f t="array" ref="W21">0.28*fy1_*頂層ψt*ψe*psi_s(W$8)*λ/SQRT($C21)/cb_Ktr_db_2.5_*(W$8/10)</f>
        <v>107.42083426970765</v>
      </c>
    </row>
    <row r="22" spans="1:23" x14ac:dyDescent="0.3">
      <c r="A22" s="12"/>
      <c r="B22" s="12">
        <f>fy2_</f>
        <v>4900</v>
      </c>
      <c r="C22" s="10">
        <v>280</v>
      </c>
      <c r="D22" s="8" cm="1">
        <f t="array" ref="D22">0.28*fy2_*非頂層ψt*ψe*psi_s(D$8)*λ/SQRT($C22)/cb_Ktr_db_2.5_*(D$8/10)</f>
        <v>34.108955961741195</v>
      </c>
      <c r="E22" s="8" cm="1">
        <f t="array" ref="E22">0.28*fy2_*非頂層ψt*ψe*psi_s(E$8)*λ/SQRT($C22)/cb_Ktr_db_2.5_*(E$8/10)</f>
        <v>41.98025349137378</v>
      </c>
      <c r="F22" s="8" cm="1">
        <f t="array" ref="F22">0.28*fy2_*非頂層ψt*ψe*psi_s(F$8)*λ/SQRT($C22)/cb_Ktr_db_2.5_*(F$8/10)</f>
        <v>49.851551021006358</v>
      </c>
      <c r="G22" s="8" cm="1">
        <f t="array" ref="G22">0.28*fy2_*非頂層ψt*ψe*psi_s(G$8)*λ/SQRT($C22)/cb_Ktr_db_2.5_*(G$8/10)</f>
        <v>72.153560688298697</v>
      </c>
      <c r="H22" s="8" cm="1">
        <f t="array" ref="H22">0.28*fy2_*非頂層ψt*ψe*psi_s(H$8)*λ/SQRT($C22)/cb_Ktr_db_2.5_*(H$8/10)</f>
        <v>81.992682600339435</v>
      </c>
      <c r="I22" s="8" cm="1">
        <f t="array" ref="I22">0.28*fy2_*非頂層ψt*ψe*psi_s(I$8)*λ/SQRT($C22)/cb_Ktr_db_2.5_*(I$8/10)</f>
        <v>95.11151181639373</v>
      </c>
      <c r="J22" s="8" cm="1">
        <f t="array" ref="J22">0.28*fy2_*非頂層ψt*ψe*psi_s(J$8)*λ/SQRT($C22)/cb_Ktr_db_2.5_*(J$8/10)</f>
        <v>104.95063372843447</v>
      </c>
      <c r="K22" s="8" cm="1">
        <f t="array" ref="K22">0.28*fy2_*非頂層ψt*ψe*psi_s(K$8)*λ/SQRT($C22)/cb_Ktr_db_2.5_*(K$8/10)</f>
        <v>118.06946294448878</v>
      </c>
      <c r="M22" s="12"/>
      <c r="N22" s="12">
        <f>fy2_</f>
        <v>4900</v>
      </c>
      <c r="O22" s="10">
        <v>280</v>
      </c>
      <c r="P22" s="8" cm="1">
        <f t="array" ref="P22">0.28*fy2_*頂層ψt*ψe*psi_s(P$8)*λ/SQRT($C22)/cb_Ktr_db_2.5_*(P$8/10)</f>
        <v>44.341642750263567</v>
      </c>
      <c r="Q22" s="8" cm="1">
        <f t="array" ref="Q22">0.28*fy2_*頂層ψt*ψe*psi_s(Q$8)*λ/SQRT($C22)/cb_Ktr_db_2.5_*(Q$8/10)</f>
        <v>54.574329538785925</v>
      </c>
      <c r="R22" s="8" cm="1">
        <f t="array" ref="R22">0.28*fy2_*頂層ψt*ψe*psi_s(R$8)*λ/SQRT($C22)/cb_Ktr_db_2.5_*(R$8/10)</f>
        <v>64.807016327308276</v>
      </c>
      <c r="S22" s="8" cm="1">
        <f t="array" ref="S22">0.28*fy2_*頂層ψt*ψe*psi_s(S$8)*λ/SQRT($C22)/cb_Ktr_db_2.5_*(S$8/10)</f>
        <v>93.799628894788299</v>
      </c>
      <c r="T22" s="8" cm="1">
        <f t="array" ref="T22">0.28*fy2_*頂層ψt*ψe*psi_s(T$8)*λ/SQRT($C22)/cb_Ktr_db_2.5_*(T$8/10)</f>
        <v>106.59048738044123</v>
      </c>
      <c r="U22" s="8" cm="1">
        <f t="array" ref="U22">0.28*fy2_*頂層ψt*ψe*psi_s(U$8)*λ/SQRT($C22)/cb_Ktr_db_2.5_*(U$8/10)</f>
        <v>123.64496536131183</v>
      </c>
      <c r="V22" s="8" cm="1">
        <f t="array" ref="V22">0.28*fy2_*頂層ψt*ψe*psi_s(V$8)*λ/SQRT($C22)/cb_Ktr_db_2.5_*(V$8/10)</f>
        <v>136.43582384696478</v>
      </c>
      <c r="W22" s="8" cm="1">
        <f t="array" ref="W22">0.28*fy2_*頂層ψt*ψe*psi_s(W$8)*λ/SQRT($C22)/cb_Ktr_db_2.5_*(W$8/10)</f>
        <v>153.4903018278354</v>
      </c>
    </row>
    <row r="23" spans="1:23" x14ac:dyDescent="0.3">
      <c r="A23" s="12"/>
      <c r="B23" s="12"/>
      <c r="C23" s="10">
        <v>350</v>
      </c>
      <c r="D23" s="8" cm="1">
        <f t="array" ref="D23">0.28*fy2_*非頂層ψt*ψe*psi_s(D$8)*λ/SQRT($C23)/cb_Ktr_db_2.5_*(D$8/10)</f>
        <v>30.507977668800013</v>
      </c>
      <c r="E23" s="8" cm="1">
        <f t="array" ref="E23">0.28*fy2_*非頂層ψt*ψe*psi_s(E$8)*λ/SQRT($C23)/cb_Ktr_db_2.5_*(E$8/10)</f>
        <v>37.548280207753862</v>
      </c>
      <c r="F23" s="8" cm="1">
        <f t="array" ref="F23">0.28*fy2_*非頂層ψt*ψe*psi_s(F$8)*λ/SQRT($C23)/cb_Ktr_db_2.5_*(F$8/10)</f>
        <v>44.588582746707708</v>
      </c>
      <c r="G23" s="8" cm="1">
        <f t="array" ref="G23">0.28*fy2_*非頂層ψt*ψe*psi_s(G$8)*λ/SQRT($C23)/cb_Ktr_db_2.5_*(G$8/10)</f>
        <v>64.536106607076945</v>
      </c>
      <c r="H23" s="8" cm="1">
        <f t="array" ref="H23">0.28*fy2_*非頂層ψt*ψe*psi_s(H$8)*λ/SQRT($C23)/cb_Ktr_db_2.5_*(H$8/10)</f>
        <v>73.336484780769254</v>
      </c>
      <c r="I23" s="8" cm="1">
        <f t="array" ref="I23">0.28*fy2_*非頂層ψt*ψe*psi_s(I$8)*λ/SQRT($C23)/cb_Ktr_db_2.5_*(I$8/10)</f>
        <v>85.070322345692333</v>
      </c>
      <c r="J23" s="8" cm="1">
        <f t="array" ref="J23">0.28*fy2_*非頂層ψt*ψe*psi_s(J$8)*λ/SQRT($C23)/cb_Ktr_db_2.5_*(J$8/10)</f>
        <v>93.870700519384656</v>
      </c>
      <c r="K23" s="8" cm="1">
        <f t="array" ref="K23">0.28*fy2_*非頂層ψt*ψe*psi_s(K$8)*λ/SQRT($C23)/cb_Ktr_db_2.5_*(K$8/10)</f>
        <v>105.60453808430773</v>
      </c>
      <c r="M23" s="12"/>
      <c r="N23" s="12"/>
      <c r="O23" s="10">
        <v>350</v>
      </c>
      <c r="P23" s="8" cm="1">
        <f t="array" ref="P23">0.28*fy2_*頂層ψt*ψe*psi_s(P$8)*λ/SQRT($C23)/cb_Ktr_db_2.5_*(P$8/10)</f>
        <v>39.660370969440024</v>
      </c>
      <c r="Q23" s="8" cm="1">
        <f t="array" ref="Q23">0.28*fy2_*頂層ψt*ψe*psi_s(Q$8)*λ/SQRT($C23)/cb_Ktr_db_2.5_*(Q$8/10)</f>
        <v>48.812764270080031</v>
      </c>
      <c r="R23" s="8" cm="1">
        <f t="array" ref="R23">0.28*fy2_*頂層ψt*ψe*psi_s(R$8)*λ/SQRT($C23)/cb_Ktr_db_2.5_*(R$8/10)</f>
        <v>57.965157570720031</v>
      </c>
      <c r="S23" s="8" cm="1">
        <f t="array" ref="S23">0.28*fy2_*頂層ψt*ψe*psi_s(S$8)*λ/SQRT($C23)/cb_Ktr_db_2.5_*(S$8/10)</f>
        <v>83.896938589200047</v>
      </c>
      <c r="T23" s="8" cm="1">
        <f t="array" ref="T23">0.28*fy2_*頂層ψt*ψe*psi_s(T$8)*λ/SQRT($C23)/cb_Ktr_db_2.5_*(T$8/10)</f>
        <v>95.33743021500004</v>
      </c>
      <c r="U23" s="8" cm="1">
        <f t="array" ref="U23">0.28*fy2_*頂層ψt*ψe*psi_s(U$8)*λ/SQRT($C23)/cb_Ktr_db_2.5_*(U$8/10)</f>
        <v>110.59141904940005</v>
      </c>
      <c r="V23" s="8" cm="1">
        <f t="array" ref="V23">0.28*fy2_*頂層ψt*ψe*psi_s(V$8)*λ/SQRT($C23)/cb_Ktr_db_2.5_*(V$8/10)</f>
        <v>122.03191067520007</v>
      </c>
      <c r="W23" s="8" cm="1">
        <f t="array" ref="W23">0.28*fy2_*頂層ψt*ψe*psi_s(W$8)*λ/SQRT($C23)/cb_Ktr_db_2.5_*(W$8/10)</f>
        <v>137.28589950960009</v>
      </c>
    </row>
    <row r="24" spans="1:23" x14ac:dyDescent="0.3">
      <c r="A24" s="12"/>
      <c r="B24" s="12"/>
      <c r="C24" s="10">
        <v>420</v>
      </c>
      <c r="D24" s="8" cm="1">
        <f t="array" ref="D24">0.28*fy2_*非頂層ψt*ψe*psi_s(D$8)*λ/SQRT($C24)/cb_Ktr_db_2.5_*(D$8/10)</f>
        <v>27.849845921776069</v>
      </c>
      <c r="E24" s="8" cm="1">
        <f t="array" ref="E24">0.28*fy2_*非頂層ψt*ψe*psi_s(E$8)*λ/SQRT($C24)/cb_Ktr_db_2.5_*(E$8/10)</f>
        <v>34.276733442185929</v>
      </c>
      <c r="F24" s="8" cm="1">
        <f t="array" ref="F24">0.28*fy2_*非頂層ψt*ψe*psi_s(F$8)*λ/SQRT($C24)/cb_Ktr_db_2.5_*(F$8/10)</f>
        <v>40.703620962595785</v>
      </c>
      <c r="G24" s="8" cm="1">
        <f t="array" ref="G24">0.28*fy2_*非頂層ψt*ψe*psi_s(G$8)*λ/SQRT($C24)/cb_Ktr_db_2.5_*(G$8/10)</f>
        <v>58.91313560375707</v>
      </c>
      <c r="H24" s="8" cm="1">
        <f t="array" ref="H24">0.28*fy2_*非頂層ψt*ψe*psi_s(H$8)*λ/SQRT($C24)/cb_Ktr_db_2.5_*(H$8/10)</f>
        <v>66.946745004269388</v>
      </c>
      <c r="I24" s="8" cm="1">
        <f t="array" ref="I24">0.28*fy2_*非頂層ψt*ψe*psi_s(I$8)*λ/SQRT($C24)/cb_Ktr_db_2.5_*(I$8/10)</f>
        <v>77.658224204952489</v>
      </c>
      <c r="J24" s="8" cm="1">
        <f t="array" ref="J24">0.28*fy2_*非頂層ψt*ψe*psi_s(J$8)*λ/SQRT($C24)/cb_Ktr_db_2.5_*(J$8/10)</f>
        <v>85.691833605464822</v>
      </c>
      <c r="K24" s="8" cm="1">
        <f t="array" ref="K24">0.28*fy2_*非頂層ψt*ψe*psi_s(K$8)*λ/SQRT($C24)/cb_Ktr_db_2.5_*(K$8/10)</f>
        <v>96.403312806147923</v>
      </c>
      <c r="M24" s="12"/>
      <c r="N24" s="12"/>
      <c r="O24" s="10">
        <v>420</v>
      </c>
      <c r="P24" s="8" cm="1">
        <f t="array" ref="P24">0.28*fy2_*頂層ψt*ψe*psi_s(P$8)*λ/SQRT($C24)/cb_Ktr_db_2.5_*(P$8/10)</f>
        <v>36.204799698308889</v>
      </c>
      <c r="Q24" s="8" cm="1">
        <f t="array" ref="Q24">0.28*fy2_*頂層ψt*ψe*psi_s(Q$8)*λ/SQRT($C24)/cb_Ktr_db_2.5_*(Q$8/10)</f>
        <v>44.559753474841713</v>
      </c>
      <c r="R24" s="8" cm="1">
        <f t="array" ref="R24">0.28*fy2_*頂層ψt*ψe*psi_s(R$8)*λ/SQRT($C24)/cb_Ktr_db_2.5_*(R$8/10)</f>
        <v>52.91470725137453</v>
      </c>
      <c r="S24" s="8" cm="1">
        <f t="array" ref="S24">0.28*fy2_*頂層ψt*ψe*psi_s(S$8)*λ/SQRT($C24)/cb_Ktr_db_2.5_*(S$8/10)</f>
        <v>76.587076284884191</v>
      </c>
      <c r="T24" s="8" cm="1">
        <f t="array" ref="T24">0.28*fy2_*頂層ψt*ψe*psi_s(T$8)*λ/SQRT($C24)/cb_Ktr_db_2.5_*(T$8/10)</f>
        <v>87.030768505550213</v>
      </c>
      <c r="U24" s="8" cm="1">
        <f t="array" ref="U24">0.28*fy2_*頂層ψt*ψe*psi_s(U$8)*λ/SQRT($C24)/cb_Ktr_db_2.5_*(U$8/10)</f>
        <v>100.95569146643824</v>
      </c>
      <c r="V24" s="8" cm="1">
        <f t="array" ref="V24">0.28*fy2_*頂層ψt*ψe*psi_s(V$8)*λ/SQRT($C24)/cb_Ktr_db_2.5_*(V$8/10)</f>
        <v>111.39938368710428</v>
      </c>
      <c r="W24" s="8" cm="1">
        <f t="array" ref="W24">0.28*fy2_*頂層ψt*ψe*psi_s(W$8)*λ/SQRT($C24)/cb_Ktr_db_2.5_*(W$8/10)</f>
        <v>125.32430664799232</v>
      </c>
    </row>
    <row r="26" spans="1:23" x14ac:dyDescent="0.3">
      <c r="A26" s="12" t="s">
        <v>24</v>
      </c>
      <c r="B26" s="12"/>
      <c r="C26" s="12"/>
      <c r="D26" s="12"/>
      <c r="E26" s="12"/>
      <c r="F26" s="12"/>
      <c r="G26" s="12"/>
      <c r="H26" s="12"/>
      <c r="I26" s="13"/>
      <c r="J26" s="12"/>
      <c r="K26" s="12"/>
      <c r="M26" s="12" t="s">
        <v>25</v>
      </c>
      <c r="N26" s="12"/>
      <c r="O26" s="12"/>
      <c r="P26" s="12"/>
      <c r="Q26" s="12"/>
      <c r="R26" s="12"/>
      <c r="S26" s="12"/>
      <c r="T26" s="12"/>
      <c r="U26" s="13"/>
      <c r="V26" s="12"/>
      <c r="W26" s="12"/>
    </row>
    <row r="27" spans="1:23" ht="17.399999999999999" x14ac:dyDescent="0.3">
      <c r="A27" s="3" t="s">
        <v>12</v>
      </c>
      <c r="B27" s="3"/>
      <c r="C27" s="3"/>
      <c r="D27" s="3"/>
      <c r="E27" s="3"/>
      <c r="F27" s="3"/>
      <c r="G27" s="3"/>
      <c r="H27" s="6"/>
      <c r="I27" s="7"/>
      <c r="J27" s="16" t="s">
        <v>8</v>
      </c>
      <c r="K27" s="17"/>
      <c r="M27" s="3" t="s">
        <v>12</v>
      </c>
      <c r="N27" s="3"/>
      <c r="O27" s="3"/>
      <c r="P27" s="3"/>
      <c r="Q27" s="3"/>
      <c r="R27" s="3"/>
      <c r="S27" s="3"/>
      <c r="T27" s="6"/>
      <c r="U27" s="7"/>
      <c r="V27" s="16" t="s">
        <v>8</v>
      </c>
      <c r="W27" s="17"/>
    </row>
    <row r="28" spans="1:23" x14ac:dyDescent="0.3">
      <c r="A28" s="14" t="s">
        <v>9</v>
      </c>
      <c r="B28" s="14" t="s">
        <v>10</v>
      </c>
      <c r="C28" s="14" t="s">
        <v>11</v>
      </c>
      <c r="D28" s="14" t="str">
        <f>"頂筋修正因子 (α = "&amp;TEXT(非頂層ψt, "0.0")&amp;")"</f>
        <v>頂筋修正因子 (α = 1.0)</v>
      </c>
      <c r="E28" s="14"/>
      <c r="F28" s="14"/>
      <c r="G28" s="14"/>
      <c r="H28" s="14"/>
      <c r="I28" s="15"/>
      <c r="J28" s="14"/>
      <c r="K28" s="14"/>
      <c r="M28" s="14" t="s">
        <v>9</v>
      </c>
      <c r="N28" s="14" t="s">
        <v>10</v>
      </c>
      <c r="O28" s="14" t="s">
        <v>11</v>
      </c>
      <c r="P28" s="14" t="str">
        <f>"頂筋修正因子 (α = "&amp;頂層ψt&amp;")"</f>
        <v>頂筋修正因子 (α = 1.3)</v>
      </c>
      <c r="Q28" s="14"/>
      <c r="R28" s="14"/>
      <c r="S28" s="14"/>
      <c r="T28" s="14"/>
      <c r="U28" s="15"/>
      <c r="V28" s="14"/>
      <c r="W28" s="14"/>
    </row>
    <row r="29" spans="1:23" x14ac:dyDescent="0.3">
      <c r="A29" s="14"/>
      <c r="B29" s="14"/>
      <c r="C29" s="14"/>
      <c r="D29" s="10" t="s">
        <v>0</v>
      </c>
      <c r="E29" s="10" t="s">
        <v>1</v>
      </c>
      <c r="F29" s="10" t="s">
        <v>2</v>
      </c>
      <c r="G29" s="10" t="s">
        <v>3</v>
      </c>
      <c r="H29" s="10" t="s">
        <v>4</v>
      </c>
      <c r="I29" s="10" t="s">
        <v>5</v>
      </c>
      <c r="J29" s="10" t="s">
        <v>6</v>
      </c>
      <c r="K29" s="10" t="s">
        <v>7</v>
      </c>
      <c r="M29" s="14"/>
      <c r="N29" s="14"/>
      <c r="O29" s="14"/>
      <c r="P29" s="10" t="s">
        <v>0</v>
      </c>
      <c r="Q29" s="10" t="s">
        <v>1</v>
      </c>
      <c r="R29" s="10" t="s">
        <v>2</v>
      </c>
      <c r="S29" s="10" t="s">
        <v>3</v>
      </c>
      <c r="T29" s="10" t="s">
        <v>4</v>
      </c>
      <c r="U29" s="10" t="s">
        <v>5</v>
      </c>
      <c r="V29" s="10" t="s">
        <v>6</v>
      </c>
      <c r="W29" s="10" t="s">
        <v>7</v>
      </c>
    </row>
    <row r="30" spans="1:23" x14ac:dyDescent="0.3">
      <c r="A30" s="14"/>
      <c r="B30" s="14"/>
      <c r="C30" s="14"/>
      <c r="D30" s="4">
        <v>13</v>
      </c>
      <c r="E30" s="5">
        <v>16</v>
      </c>
      <c r="F30" s="5">
        <v>19</v>
      </c>
      <c r="G30" s="5">
        <v>22</v>
      </c>
      <c r="H30" s="5">
        <v>25</v>
      </c>
      <c r="I30" s="5">
        <v>29</v>
      </c>
      <c r="J30" s="5">
        <v>32</v>
      </c>
      <c r="K30" s="5">
        <v>36</v>
      </c>
      <c r="M30" s="14"/>
      <c r="N30" s="14"/>
      <c r="O30" s="14"/>
      <c r="P30" s="4">
        <v>13</v>
      </c>
      <c r="Q30" s="5">
        <v>16</v>
      </c>
      <c r="R30" s="5">
        <v>19</v>
      </c>
      <c r="S30" s="5">
        <v>22</v>
      </c>
      <c r="T30" s="5">
        <v>25</v>
      </c>
      <c r="U30" s="5">
        <v>29</v>
      </c>
      <c r="V30" s="5">
        <v>32</v>
      </c>
      <c r="W30" s="5">
        <v>36</v>
      </c>
    </row>
    <row r="31" spans="1:23" x14ac:dyDescent="0.3">
      <c r="A31" s="12" t="s">
        <v>13</v>
      </c>
      <c r="B31" s="12">
        <f>fy1_</f>
        <v>4200</v>
      </c>
      <c r="C31" s="10">
        <v>210</v>
      </c>
      <c r="D31" s="8">
        <f>D9*1.3</f>
        <v>73.144741080499657</v>
      </c>
      <c r="E31" s="8">
        <f t="shared" ref="E31:K31" si="0">E9*1.3</f>
        <v>90.024296714461116</v>
      </c>
      <c r="F31" s="8">
        <f t="shared" si="0"/>
        <v>106.90385234842257</v>
      </c>
      <c r="G31" s="8">
        <f t="shared" si="0"/>
        <v>154.72925997798006</v>
      </c>
      <c r="H31" s="8">
        <f t="shared" si="0"/>
        <v>175.82870452043187</v>
      </c>
      <c r="I31" s="8">
        <f t="shared" si="0"/>
        <v>203.96129724370095</v>
      </c>
      <c r="J31" s="8">
        <f t="shared" si="0"/>
        <v>225.06074178615282</v>
      </c>
      <c r="K31" s="8">
        <f t="shared" si="0"/>
        <v>253.1933345094219</v>
      </c>
      <c r="M31" s="12" t="s">
        <v>13</v>
      </c>
      <c r="N31" s="12">
        <f>fy1_</f>
        <v>4200</v>
      </c>
      <c r="O31" s="10">
        <v>210</v>
      </c>
      <c r="P31" s="8">
        <f>P9*1.3</f>
        <v>95.088163404649563</v>
      </c>
      <c r="Q31" s="8">
        <f t="shared" ref="Q31:W31" si="1">Q9*1.3</f>
        <v>117.03158572879946</v>
      </c>
      <c r="R31" s="8">
        <f t="shared" si="1"/>
        <v>138.97500805294936</v>
      </c>
      <c r="S31" s="8">
        <f t="shared" si="1"/>
        <v>201.14803797137407</v>
      </c>
      <c r="T31" s="8">
        <f t="shared" si="1"/>
        <v>228.57731587656141</v>
      </c>
      <c r="U31" s="8">
        <f t="shared" si="1"/>
        <v>265.14968641681122</v>
      </c>
      <c r="V31" s="8">
        <f t="shared" si="1"/>
        <v>292.57896432199863</v>
      </c>
      <c r="W31" s="8">
        <f t="shared" si="1"/>
        <v>329.15133486224846</v>
      </c>
    </row>
    <row r="32" spans="1:23" x14ac:dyDescent="0.3">
      <c r="A32" s="12"/>
      <c r="B32" s="12"/>
      <c r="C32" s="10">
        <v>245</v>
      </c>
      <c r="D32" s="8">
        <f t="shared" ref="D32:K32" si="2">D10*1.3</f>
        <v>67.718871484985641</v>
      </c>
      <c r="E32" s="8">
        <f t="shared" si="2"/>
        <v>83.346303366136169</v>
      </c>
      <c r="F32" s="8">
        <f t="shared" si="2"/>
        <v>98.973735247286683</v>
      </c>
      <c r="G32" s="8">
        <f t="shared" si="2"/>
        <v>143.25145891054652</v>
      </c>
      <c r="H32" s="8">
        <f t="shared" si="2"/>
        <v>162.78574876198468</v>
      </c>
      <c r="I32" s="8">
        <f t="shared" si="2"/>
        <v>188.83146856390221</v>
      </c>
      <c r="J32" s="8">
        <f t="shared" si="2"/>
        <v>208.36575841534037</v>
      </c>
      <c r="K32" s="8">
        <f t="shared" si="2"/>
        <v>234.41147821725795</v>
      </c>
      <c r="M32" s="12"/>
      <c r="N32" s="12"/>
      <c r="O32" s="10">
        <v>245</v>
      </c>
      <c r="P32" s="8">
        <f t="shared" ref="P32:W32" si="3">P10*1.3</f>
        <v>88.034532930481319</v>
      </c>
      <c r="Q32" s="8">
        <f t="shared" si="3"/>
        <v>108.35019437597701</v>
      </c>
      <c r="R32" s="8">
        <f t="shared" si="3"/>
        <v>128.66585582147266</v>
      </c>
      <c r="S32" s="8">
        <f t="shared" si="3"/>
        <v>186.22689658371047</v>
      </c>
      <c r="T32" s="8">
        <f t="shared" si="3"/>
        <v>211.62147339058006</v>
      </c>
      <c r="U32" s="8">
        <f t="shared" si="3"/>
        <v>245.48090913307288</v>
      </c>
      <c r="V32" s="8">
        <f t="shared" si="3"/>
        <v>270.87548593994251</v>
      </c>
      <c r="W32" s="8">
        <f t="shared" si="3"/>
        <v>304.7349216824353</v>
      </c>
    </row>
    <row r="33" spans="1:23" x14ac:dyDescent="0.3">
      <c r="A33" s="12"/>
      <c r="B33" s="12"/>
      <c r="C33" s="10">
        <v>280</v>
      </c>
      <c r="D33" s="8">
        <f t="shared" ref="D33:K33" si="4">D11*1.3</f>
        <v>63.345203928947932</v>
      </c>
      <c r="E33" s="8">
        <f t="shared" si="4"/>
        <v>77.963327912551307</v>
      </c>
      <c r="F33" s="8">
        <f t="shared" si="4"/>
        <v>92.581451896154661</v>
      </c>
      <c r="G33" s="8">
        <f t="shared" si="4"/>
        <v>133.99946984969756</v>
      </c>
      <c r="H33" s="8">
        <f t="shared" si="4"/>
        <v>152.27212482920174</v>
      </c>
      <c r="I33" s="8">
        <f t="shared" si="4"/>
        <v>176.63566480187404</v>
      </c>
      <c r="J33" s="8">
        <f t="shared" si="4"/>
        <v>194.90831978137825</v>
      </c>
      <c r="K33" s="8">
        <f t="shared" si="4"/>
        <v>219.27185975405052</v>
      </c>
      <c r="M33" s="12"/>
      <c r="N33" s="12"/>
      <c r="O33" s="10">
        <v>280</v>
      </c>
      <c r="P33" s="8">
        <f t="shared" ref="P33:W33" si="5">P11*1.3</f>
        <v>82.348765107632317</v>
      </c>
      <c r="Q33" s="8">
        <f t="shared" si="5"/>
        <v>101.3523262863167</v>
      </c>
      <c r="R33" s="8">
        <f t="shared" si="5"/>
        <v>120.35588746500106</v>
      </c>
      <c r="S33" s="8">
        <f t="shared" si="5"/>
        <v>174.19931080460682</v>
      </c>
      <c r="T33" s="8">
        <f t="shared" si="5"/>
        <v>197.95376227796228</v>
      </c>
      <c r="U33" s="8">
        <f t="shared" si="5"/>
        <v>229.62636424243624</v>
      </c>
      <c r="V33" s="8">
        <f t="shared" si="5"/>
        <v>253.38081571579173</v>
      </c>
      <c r="W33" s="8">
        <f t="shared" si="5"/>
        <v>285.05341768026568</v>
      </c>
    </row>
    <row r="34" spans="1:23" x14ac:dyDescent="0.3">
      <c r="A34" s="12"/>
      <c r="B34" s="12"/>
      <c r="C34" s="10">
        <v>350</v>
      </c>
      <c r="D34" s="8">
        <f t="shared" ref="D34:K34" si="6">D12*1.3</f>
        <v>56.657672813485732</v>
      </c>
      <c r="E34" s="8">
        <f t="shared" si="6"/>
        <v>69.732520385828593</v>
      </c>
      <c r="F34" s="8">
        <f t="shared" si="6"/>
        <v>82.80736795817144</v>
      </c>
      <c r="G34" s="8">
        <f t="shared" si="6"/>
        <v>119.85276941314289</v>
      </c>
      <c r="H34" s="8">
        <f t="shared" si="6"/>
        <v>136.19632887857148</v>
      </c>
      <c r="I34" s="8">
        <f t="shared" si="6"/>
        <v>157.98774149914289</v>
      </c>
      <c r="J34" s="8">
        <f t="shared" si="6"/>
        <v>174.33130096457148</v>
      </c>
      <c r="K34" s="8">
        <f t="shared" si="6"/>
        <v>196.12271358514292</v>
      </c>
      <c r="M34" s="12"/>
      <c r="N34" s="12"/>
      <c r="O34" s="10">
        <v>350</v>
      </c>
      <c r="P34" s="8">
        <f t="shared" ref="P34:W34" si="7">P12*1.3</f>
        <v>73.65497465753144</v>
      </c>
      <c r="Q34" s="8">
        <f t="shared" si="7"/>
        <v>90.652276501577163</v>
      </c>
      <c r="R34" s="8">
        <f t="shared" si="7"/>
        <v>107.64957834562287</v>
      </c>
      <c r="S34" s="8">
        <f t="shared" si="7"/>
        <v>155.80860023708576</v>
      </c>
      <c r="T34" s="8">
        <f t="shared" si="7"/>
        <v>177.05522754214289</v>
      </c>
      <c r="U34" s="8">
        <f t="shared" si="7"/>
        <v>205.38406394888577</v>
      </c>
      <c r="V34" s="8">
        <f t="shared" si="7"/>
        <v>226.63069125394293</v>
      </c>
      <c r="W34" s="8">
        <f t="shared" si="7"/>
        <v>254.95952766068578</v>
      </c>
    </row>
    <row r="35" spans="1:23" x14ac:dyDescent="0.3">
      <c r="A35" s="12"/>
      <c r="B35" s="12"/>
      <c r="C35" s="10">
        <v>420</v>
      </c>
      <c r="D35" s="8">
        <f t="shared" ref="D35:K35" si="8">D13*1.3</f>
        <v>51.721142426155552</v>
      </c>
      <c r="E35" s="8">
        <f t="shared" si="8"/>
        <v>63.656790678345295</v>
      </c>
      <c r="F35" s="8">
        <f t="shared" si="8"/>
        <v>75.592438930535039</v>
      </c>
      <c r="G35" s="8">
        <f t="shared" si="8"/>
        <v>109.41010897840597</v>
      </c>
      <c r="H35" s="8">
        <f t="shared" si="8"/>
        <v>124.32966929364314</v>
      </c>
      <c r="I35" s="8">
        <f t="shared" si="8"/>
        <v>144.22241638062604</v>
      </c>
      <c r="J35" s="8">
        <f t="shared" si="8"/>
        <v>159.14197669586321</v>
      </c>
      <c r="K35" s="8">
        <f t="shared" si="8"/>
        <v>179.0347237828461</v>
      </c>
      <c r="M35" s="12"/>
      <c r="N35" s="12"/>
      <c r="O35" s="10">
        <v>420</v>
      </c>
      <c r="P35" s="8">
        <f t="shared" ref="P35:W35" si="9">P13*1.3</f>
        <v>67.237485154002215</v>
      </c>
      <c r="Q35" s="8">
        <f t="shared" si="9"/>
        <v>82.753827881848878</v>
      </c>
      <c r="R35" s="8">
        <f t="shared" si="9"/>
        <v>98.270170609695541</v>
      </c>
      <c r="S35" s="8">
        <f t="shared" si="9"/>
        <v>142.23314167192774</v>
      </c>
      <c r="T35" s="8">
        <f t="shared" si="9"/>
        <v>161.62857008173606</v>
      </c>
      <c r="U35" s="8">
        <f t="shared" si="9"/>
        <v>187.48914129481383</v>
      </c>
      <c r="V35" s="8">
        <f t="shared" si="9"/>
        <v>206.88456970462218</v>
      </c>
      <c r="W35" s="8">
        <f t="shared" si="9"/>
        <v>232.74514091769993</v>
      </c>
    </row>
    <row r="36" spans="1:23" x14ac:dyDescent="0.3">
      <c r="A36" s="12"/>
      <c r="B36" s="12">
        <f>fy2_</f>
        <v>4900</v>
      </c>
      <c r="C36" s="10">
        <v>280</v>
      </c>
      <c r="D36" s="8">
        <f t="shared" ref="D36:K36" si="10">D14*1.3</f>
        <v>73.902737917105938</v>
      </c>
      <c r="E36" s="8">
        <f t="shared" si="10"/>
        <v>90.957215897976525</v>
      </c>
      <c r="F36" s="8">
        <f t="shared" si="10"/>
        <v>108.01169387884713</v>
      </c>
      <c r="G36" s="8">
        <f t="shared" si="10"/>
        <v>156.33271482464718</v>
      </c>
      <c r="H36" s="8">
        <f t="shared" si="10"/>
        <v>177.65081230073542</v>
      </c>
      <c r="I36" s="8">
        <f t="shared" si="10"/>
        <v>206.07494226885305</v>
      </c>
      <c r="J36" s="8">
        <f t="shared" si="10"/>
        <v>227.39303974494135</v>
      </c>
      <c r="K36" s="8">
        <f t="shared" si="10"/>
        <v>255.817169713059</v>
      </c>
      <c r="M36" s="12"/>
      <c r="N36" s="12">
        <f>fy2_</f>
        <v>4900</v>
      </c>
      <c r="O36" s="10">
        <v>280</v>
      </c>
      <c r="P36" s="8">
        <f t="shared" ref="P36:W36" si="11">P14*1.3</f>
        <v>96.073559292237718</v>
      </c>
      <c r="Q36" s="8">
        <f t="shared" si="11"/>
        <v>118.2443806673695</v>
      </c>
      <c r="R36" s="8">
        <f t="shared" si="11"/>
        <v>140.41520204250128</v>
      </c>
      <c r="S36" s="8">
        <f t="shared" si="11"/>
        <v>203.23252927204135</v>
      </c>
      <c r="T36" s="8">
        <f t="shared" si="11"/>
        <v>230.94605599095607</v>
      </c>
      <c r="U36" s="8">
        <f t="shared" si="11"/>
        <v>267.897424949509</v>
      </c>
      <c r="V36" s="8">
        <f t="shared" si="11"/>
        <v>295.61095166842375</v>
      </c>
      <c r="W36" s="8">
        <f t="shared" si="11"/>
        <v>332.56232062697671</v>
      </c>
    </row>
    <row r="37" spans="1:23" x14ac:dyDescent="0.3">
      <c r="A37" s="12"/>
      <c r="B37" s="12"/>
      <c r="C37" s="10">
        <v>350</v>
      </c>
      <c r="D37" s="8">
        <f t="shared" ref="D37:K37" si="12">D15*1.3</f>
        <v>66.100618282400035</v>
      </c>
      <c r="E37" s="8">
        <f t="shared" si="12"/>
        <v>81.35460711680004</v>
      </c>
      <c r="F37" s="8">
        <f t="shared" si="12"/>
        <v>96.60859595120003</v>
      </c>
      <c r="G37" s="8">
        <f t="shared" si="12"/>
        <v>139.82823098200006</v>
      </c>
      <c r="H37" s="8">
        <f t="shared" si="12"/>
        <v>158.89571702500007</v>
      </c>
      <c r="I37" s="8">
        <f t="shared" si="12"/>
        <v>184.31903174900009</v>
      </c>
      <c r="J37" s="8">
        <f t="shared" si="12"/>
        <v>203.38651779200009</v>
      </c>
      <c r="K37" s="8">
        <f t="shared" si="12"/>
        <v>228.80983251600011</v>
      </c>
      <c r="M37" s="12"/>
      <c r="N37" s="12"/>
      <c r="O37" s="10">
        <v>350</v>
      </c>
      <c r="P37" s="8">
        <f t="shared" ref="P37:W37" si="13">P15*1.3</f>
        <v>85.930803767120054</v>
      </c>
      <c r="Q37" s="8">
        <f t="shared" si="13"/>
        <v>105.76098925184006</v>
      </c>
      <c r="R37" s="8">
        <f t="shared" si="13"/>
        <v>125.59117473656006</v>
      </c>
      <c r="S37" s="8">
        <f t="shared" si="13"/>
        <v>181.77670027660008</v>
      </c>
      <c r="T37" s="8">
        <f t="shared" si="13"/>
        <v>206.56443213250009</v>
      </c>
      <c r="U37" s="8">
        <f t="shared" si="13"/>
        <v>239.61474127370008</v>
      </c>
      <c r="V37" s="8">
        <f t="shared" si="13"/>
        <v>264.40247312960014</v>
      </c>
      <c r="W37" s="8">
        <f t="shared" si="13"/>
        <v>297.45278227080018</v>
      </c>
    </row>
    <row r="38" spans="1:23" x14ac:dyDescent="0.3">
      <c r="A38" s="12"/>
      <c r="B38" s="12"/>
      <c r="C38" s="10">
        <v>420</v>
      </c>
      <c r="D38" s="8">
        <f t="shared" ref="D38:K38" si="14">D16*1.3</f>
        <v>60.341332830514808</v>
      </c>
      <c r="E38" s="8">
        <f t="shared" si="14"/>
        <v>74.266255791402855</v>
      </c>
      <c r="F38" s="8">
        <f t="shared" si="14"/>
        <v>88.191178752290881</v>
      </c>
      <c r="G38" s="8">
        <f t="shared" si="14"/>
        <v>127.64512714147364</v>
      </c>
      <c r="H38" s="8">
        <f t="shared" si="14"/>
        <v>145.05128084258368</v>
      </c>
      <c r="I38" s="8">
        <f t="shared" si="14"/>
        <v>168.25948577739706</v>
      </c>
      <c r="J38" s="8">
        <f t="shared" si="14"/>
        <v>185.6656394785071</v>
      </c>
      <c r="K38" s="8">
        <f t="shared" si="14"/>
        <v>208.87384441332048</v>
      </c>
      <c r="M38" s="12"/>
      <c r="N38" s="12"/>
      <c r="O38" s="10">
        <v>420</v>
      </c>
      <c r="P38" s="8">
        <f t="shared" ref="P38:W38" si="15">P16*1.3</f>
        <v>78.443732679669267</v>
      </c>
      <c r="Q38" s="8">
        <f t="shared" si="15"/>
        <v>96.546132528823719</v>
      </c>
      <c r="R38" s="8">
        <f t="shared" si="15"/>
        <v>114.64853237797814</v>
      </c>
      <c r="S38" s="8">
        <f t="shared" si="15"/>
        <v>165.93866528391575</v>
      </c>
      <c r="T38" s="8">
        <f t="shared" si="15"/>
        <v>188.56666509535879</v>
      </c>
      <c r="U38" s="8">
        <f t="shared" si="15"/>
        <v>218.73733151061617</v>
      </c>
      <c r="V38" s="8">
        <f t="shared" si="15"/>
        <v>241.36533132205929</v>
      </c>
      <c r="W38" s="8">
        <f t="shared" si="15"/>
        <v>271.53599773731668</v>
      </c>
    </row>
    <row r="39" spans="1:23" x14ac:dyDescent="0.3">
      <c r="A39" s="12" t="s">
        <v>14</v>
      </c>
      <c r="B39" s="12">
        <f>fy1_</f>
        <v>4200</v>
      </c>
      <c r="C39" s="10">
        <v>210</v>
      </c>
      <c r="D39" s="8">
        <f t="shared" ref="D39:K39" si="16">D17*1.3</f>
        <v>43.886844648299792</v>
      </c>
      <c r="E39" s="8">
        <f t="shared" si="16"/>
        <v>54.014578028676681</v>
      </c>
      <c r="F39" s="8">
        <f t="shared" si="16"/>
        <v>64.142311409053548</v>
      </c>
      <c r="G39" s="8">
        <f t="shared" si="16"/>
        <v>92.837555986788033</v>
      </c>
      <c r="H39" s="8">
        <f t="shared" si="16"/>
        <v>105.49722271225912</v>
      </c>
      <c r="I39" s="8">
        <f t="shared" si="16"/>
        <v>122.37677834622058</v>
      </c>
      <c r="J39" s="8">
        <f t="shared" si="16"/>
        <v>135.03644507169167</v>
      </c>
      <c r="K39" s="8">
        <f t="shared" si="16"/>
        <v>151.91600070565315</v>
      </c>
      <c r="M39" s="12" t="s">
        <v>14</v>
      </c>
      <c r="N39" s="12">
        <f>fy1_</f>
        <v>4200</v>
      </c>
      <c r="O39" s="10">
        <v>210</v>
      </c>
      <c r="P39" s="8">
        <f t="shared" ref="P39:W39" si="17">P17*1.3</f>
        <v>57.052898042789735</v>
      </c>
      <c r="Q39" s="8">
        <f t="shared" si="17"/>
        <v>70.218951437279685</v>
      </c>
      <c r="R39" s="8">
        <f t="shared" si="17"/>
        <v>83.385004831769621</v>
      </c>
      <c r="S39" s="8">
        <f t="shared" si="17"/>
        <v>120.68882278282445</v>
      </c>
      <c r="T39" s="8">
        <f t="shared" si="17"/>
        <v>137.14638952593685</v>
      </c>
      <c r="U39" s="8">
        <f t="shared" si="17"/>
        <v>159.08981185008676</v>
      </c>
      <c r="V39" s="8">
        <f t="shared" si="17"/>
        <v>175.54737859319917</v>
      </c>
      <c r="W39" s="8">
        <f t="shared" si="17"/>
        <v>197.49080091734911</v>
      </c>
    </row>
    <row r="40" spans="1:23" x14ac:dyDescent="0.3">
      <c r="A40" s="12"/>
      <c r="B40" s="12"/>
      <c r="C40" s="10">
        <v>245</v>
      </c>
      <c r="D40" s="8">
        <f t="shared" ref="D40:K40" si="18">D18*1.3</f>
        <v>40.631322890991385</v>
      </c>
      <c r="E40" s="8">
        <f t="shared" si="18"/>
        <v>50.007782019681706</v>
      </c>
      <c r="F40" s="8">
        <f t="shared" si="18"/>
        <v>59.38424114837202</v>
      </c>
      <c r="G40" s="8">
        <f t="shared" si="18"/>
        <v>85.950875346327919</v>
      </c>
      <c r="H40" s="8">
        <f t="shared" si="18"/>
        <v>97.671449257190801</v>
      </c>
      <c r="I40" s="8">
        <f t="shared" si="18"/>
        <v>113.29888113834133</v>
      </c>
      <c r="J40" s="8">
        <f t="shared" si="18"/>
        <v>125.01945504920423</v>
      </c>
      <c r="K40" s="8">
        <f t="shared" si="18"/>
        <v>140.64688693035475</v>
      </c>
      <c r="M40" s="12"/>
      <c r="N40" s="12"/>
      <c r="O40" s="10">
        <v>245</v>
      </c>
      <c r="P40" s="8">
        <f t="shared" ref="P40:W40" si="19">P18*1.3</f>
        <v>52.820719758288796</v>
      </c>
      <c r="Q40" s="8">
        <f t="shared" si="19"/>
        <v>65.010116625586207</v>
      </c>
      <c r="R40" s="8">
        <f t="shared" si="19"/>
        <v>77.199513492883611</v>
      </c>
      <c r="S40" s="8">
        <f t="shared" si="19"/>
        <v>111.73613795022628</v>
      </c>
      <c r="T40" s="8">
        <f t="shared" si="19"/>
        <v>126.97288403434804</v>
      </c>
      <c r="U40" s="8">
        <f t="shared" si="19"/>
        <v>147.28854547984372</v>
      </c>
      <c r="V40" s="8">
        <f t="shared" si="19"/>
        <v>162.52529156396551</v>
      </c>
      <c r="W40" s="8">
        <f t="shared" si="19"/>
        <v>182.84095300946117</v>
      </c>
    </row>
    <row r="41" spans="1:23" x14ac:dyDescent="0.3">
      <c r="A41" s="12"/>
      <c r="B41" s="12"/>
      <c r="C41" s="10">
        <v>280</v>
      </c>
      <c r="D41" s="8">
        <f t="shared" ref="D41:K41" si="20">D19*1.3</f>
        <v>38.007122357368758</v>
      </c>
      <c r="E41" s="8">
        <f t="shared" si="20"/>
        <v>46.777996747530779</v>
      </c>
      <c r="F41" s="8">
        <f t="shared" si="20"/>
        <v>55.548871137692792</v>
      </c>
      <c r="G41" s="8">
        <f t="shared" si="20"/>
        <v>80.39968190981854</v>
      </c>
      <c r="H41" s="8">
        <f t="shared" si="20"/>
        <v>91.363274897521066</v>
      </c>
      <c r="I41" s="8">
        <f t="shared" si="20"/>
        <v>105.98139888112443</v>
      </c>
      <c r="J41" s="8">
        <f t="shared" si="20"/>
        <v>116.94499186882696</v>
      </c>
      <c r="K41" s="8">
        <f t="shared" si="20"/>
        <v>131.56311585243034</v>
      </c>
      <c r="M41" s="12"/>
      <c r="N41" s="12"/>
      <c r="O41" s="10">
        <v>280</v>
      </c>
      <c r="P41" s="8">
        <f t="shared" ref="P41:W41" si="21">P19*1.3</f>
        <v>49.409259064579388</v>
      </c>
      <c r="Q41" s="8">
        <f t="shared" si="21"/>
        <v>60.811395771790011</v>
      </c>
      <c r="R41" s="8">
        <f t="shared" si="21"/>
        <v>72.213532479000648</v>
      </c>
      <c r="S41" s="8">
        <f t="shared" si="21"/>
        <v>104.51958648276408</v>
      </c>
      <c r="T41" s="8">
        <f t="shared" si="21"/>
        <v>118.77225736677737</v>
      </c>
      <c r="U41" s="8">
        <f t="shared" si="21"/>
        <v>137.77581854546176</v>
      </c>
      <c r="V41" s="8">
        <f t="shared" si="21"/>
        <v>152.02848942947503</v>
      </c>
      <c r="W41" s="8">
        <f t="shared" si="21"/>
        <v>171.03205060815941</v>
      </c>
    </row>
    <row r="42" spans="1:23" x14ac:dyDescent="0.3">
      <c r="A42" s="12"/>
      <c r="B42" s="12"/>
      <c r="C42" s="10">
        <v>350</v>
      </c>
      <c r="D42" s="8">
        <f t="shared" ref="D42:K42" si="22">D20*1.3</f>
        <v>33.994603688091438</v>
      </c>
      <c r="E42" s="8">
        <f t="shared" si="22"/>
        <v>41.839512231497153</v>
      </c>
      <c r="F42" s="8">
        <f t="shared" si="22"/>
        <v>49.684420774902861</v>
      </c>
      <c r="G42" s="8">
        <f t="shared" si="22"/>
        <v>71.911661647885737</v>
      </c>
      <c r="H42" s="8">
        <f t="shared" si="22"/>
        <v>81.717797327142875</v>
      </c>
      <c r="I42" s="8">
        <f t="shared" si="22"/>
        <v>94.792644899485737</v>
      </c>
      <c r="J42" s="8">
        <f t="shared" si="22"/>
        <v>104.5987805787429</v>
      </c>
      <c r="K42" s="8">
        <f t="shared" si="22"/>
        <v>117.67362815108574</v>
      </c>
      <c r="M42" s="12"/>
      <c r="N42" s="12"/>
      <c r="O42" s="10">
        <v>350</v>
      </c>
      <c r="P42" s="8">
        <f t="shared" ref="P42:W42" si="23">P20*1.3</f>
        <v>44.192984794518864</v>
      </c>
      <c r="Q42" s="8">
        <f t="shared" si="23"/>
        <v>54.39136590094629</v>
      </c>
      <c r="R42" s="8">
        <f t="shared" si="23"/>
        <v>64.589747007373717</v>
      </c>
      <c r="S42" s="8">
        <f t="shared" si="23"/>
        <v>93.485160142251459</v>
      </c>
      <c r="T42" s="8">
        <f t="shared" si="23"/>
        <v>106.23313652528574</v>
      </c>
      <c r="U42" s="8">
        <f t="shared" si="23"/>
        <v>123.23043836933147</v>
      </c>
      <c r="V42" s="8">
        <f t="shared" si="23"/>
        <v>135.97841475236575</v>
      </c>
      <c r="W42" s="8">
        <f t="shared" si="23"/>
        <v>152.97571659641147</v>
      </c>
    </row>
    <row r="43" spans="1:23" x14ac:dyDescent="0.3">
      <c r="A43" s="12"/>
      <c r="B43" s="12"/>
      <c r="C43" s="10">
        <v>420</v>
      </c>
      <c r="D43" s="8">
        <f t="shared" ref="D43:K43" si="24">D21*1.3</f>
        <v>31.032685455693333</v>
      </c>
      <c r="E43" s="8">
        <f t="shared" si="24"/>
        <v>38.194074407007179</v>
      </c>
      <c r="F43" s="8">
        <f t="shared" si="24"/>
        <v>45.355463358321025</v>
      </c>
      <c r="G43" s="8">
        <f t="shared" si="24"/>
        <v>65.646065387043592</v>
      </c>
      <c r="H43" s="8">
        <f t="shared" si="24"/>
        <v>74.597801576185887</v>
      </c>
      <c r="I43" s="8">
        <f t="shared" si="24"/>
        <v>86.533449828375623</v>
      </c>
      <c r="J43" s="8">
        <f t="shared" si="24"/>
        <v>95.485186017517947</v>
      </c>
      <c r="K43" s="8">
        <f t="shared" si="24"/>
        <v>107.42083426970768</v>
      </c>
      <c r="M43" s="12"/>
      <c r="N43" s="12"/>
      <c r="O43" s="10">
        <v>420</v>
      </c>
      <c r="P43" s="8">
        <f t="shared" ref="P43:W43" si="25">P21*1.3</f>
        <v>40.342491092401325</v>
      </c>
      <c r="Q43" s="8">
        <f t="shared" si="25"/>
        <v>49.652296729109324</v>
      </c>
      <c r="R43" s="8">
        <f t="shared" si="25"/>
        <v>58.962102365817316</v>
      </c>
      <c r="S43" s="8">
        <f t="shared" si="25"/>
        <v>85.339885003156638</v>
      </c>
      <c r="T43" s="8">
        <f t="shared" si="25"/>
        <v>96.977142049041632</v>
      </c>
      <c r="U43" s="8">
        <f t="shared" si="25"/>
        <v>112.49348477688829</v>
      </c>
      <c r="V43" s="8">
        <f t="shared" si="25"/>
        <v>124.1307418227733</v>
      </c>
      <c r="W43" s="8">
        <f t="shared" si="25"/>
        <v>139.64708455061995</v>
      </c>
    </row>
    <row r="44" spans="1:23" x14ac:dyDescent="0.3">
      <c r="A44" s="12"/>
      <c r="B44" s="12">
        <f>fy2_</f>
        <v>4900</v>
      </c>
      <c r="C44" s="10">
        <v>280</v>
      </c>
      <c r="D44" s="8">
        <f t="shared" ref="D44:K44" si="26">D22*1.3</f>
        <v>44.341642750263553</v>
      </c>
      <c r="E44" s="8">
        <f t="shared" si="26"/>
        <v>54.574329538785918</v>
      </c>
      <c r="F44" s="8">
        <f t="shared" si="26"/>
        <v>64.807016327308261</v>
      </c>
      <c r="G44" s="8">
        <f t="shared" si="26"/>
        <v>93.799628894788313</v>
      </c>
      <c r="H44" s="8">
        <f t="shared" si="26"/>
        <v>106.59048738044127</v>
      </c>
      <c r="I44" s="8">
        <f t="shared" si="26"/>
        <v>123.64496536131185</v>
      </c>
      <c r="J44" s="8">
        <f t="shared" si="26"/>
        <v>136.43582384696481</v>
      </c>
      <c r="K44" s="8">
        <f t="shared" si="26"/>
        <v>153.49030182783542</v>
      </c>
      <c r="M44" s="12"/>
      <c r="N44" s="12">
        <f>fy2_</f>
        <v>4900</v>
      </c>
      <c r="O44" s="10">
        <v>280</v>
      </c>
      <c r="P44" s="8">
        <f t="shared" ref="P44:W44" si="27">P22*1.3</f>
        <v>57.644135575342638</v>
      </c>
      <c r="Q44" s="8">
        <f t="shared" si="27"/>
        <v>70.946628400421702</v>
      </c>
      <c r="R44" s="8">
        <f t="shared" si="27"/>
        <v>84.249121225500758</v>
      </c>
      <c r="S44" s="8">
        <f t="shared" si="27"/>
        <v>121.9395175632248</v>
      </c>
      <c r="T44" s="8">
        <f t="shared" si="27"/>
        <v>138.56763359457361</v>
      </c>
      <c r="U44" s="8">
        <f t="shared" si="27"/>
        <v>160.7384549697054</v>
      </c>
      <c r="V44" s="8">
        <f t="shared" si="27"/>
        <v>177.36657100105421</v>
      </c>
      <c r="W44" s="8">
        <f t="shared" si="27"/>
        <v>199.53739237618603</v>
      </c>
    </row>
    <row r="45" spans="1:23" x14ac:dyDescent="0.3">
      <c r="A45" s="12"/>
      <c r="B45" s="12"/>
      <c r="C45" s="10">
        <v>350</v>
      </c>
      <c r="D45" s="8">
        <f t="shared" ref="D45:K45" si="28">D23*1.3</f>
        <v>39.660370969440017</v>
      </c>
      <c r="E45" s="8">
        <f t="shared" si="28"/>
        <v>48.812764270080024</v>
      </c>
      <c r="F45" s="8">
        <f t="shared" si="28"/>
        <v>57.965157570720024</v>
      </c>
      <c r="G45" s="8">
        <f t="shared" si="28"/>
        <v>83.896938589200033</v>
      </c>
      <c r="H45" s="8">
        <f t="shared" si="28"/>
        <v>95.33743021500004</v>
      </c>
      <c r="I45" s="8">
        <f t="shared" si="28"/>
        <v>110.59141904940003</v>
      </c>
      <c r="J45" s="8">
        <f t="shared" si="28"/>
        <v>122.03191067520005</v>
      </c>
      <c r="K45" s="8">
        <f t="shared" si="28"/>
        <v>137.28589950960006</v>
      </c>
      <c r="M45" s="12"/>
      <c r="N45" s="12"/>
      <c r="O45" s="10">
        <v>350</v>
      </c>
      <c r="P45" s="8">
        <f t="shared" ref="P45:W45" si="29">P23*1.3</f>
        <v>51.558482260272029</v>
      </c>
      <c r="Q45" s="8">
        <f t="shared" si="29"/>
        <v>63.456593551104042</v>
      </c>
      <c r="R45" s="8">
        <f t="shared" si="29"/>
        <v>75.354704841936041</v>
      </c>
      <c r="S45" s="8">
        <f t="shared" si="29"/>
        <v>109.06602016596007</v>
      </c>
      <c r="T45" s="8">
        <f t="shared" si="29"/>
        <v>123.93865927950006</v>
      </c>
      <c r="U45" s="8">
        <f t="shared" si="29"/>
        <v>143.76884476422006</v>
      </c>
      <c r="V45" s="8">
        <f t="shared" si="29"/>
        <v>158.64148387776009</v>
      </c>
      <c r="W45" s="8">
        <f t="shared" si="29"/>
        <v>178.47166936248013</v>
      </c>
    </row>
    <row r="46" spans="1:23" x14ac:dyDescent="0.3">
      <c r="A46" s="12"/>
      <c r="B46" s="12"/>
      <c r="C46" s="10">
        <v>420</v>
      </c>
      <c r="D46" s="8">
        <f t="shared" ref="D46:K46" si="30">D24*1.3</f>
        <v>36.204799698308889</v>
      </c>
      <c r="E46" s="8">
        <f t="shared" si="30"/>
        <v>44.559753474841706</v>
      </c>
      <c r="F46" s="8">
        <f t="shared" si="30"/>
        <v>52.914707251374523</v>
      </c>
      <c r="G46" s="8">
        <f t="shared" si="30"/>
        <v>76.587076284884191</v>
      </c>
      <c r="H46" s="8">
        <f t="shared" si="30"/>
        <v>87.030768505550213</v>
      </c>
      <c r="I46" s="8">
        <f t="shared" si="30"/>
        <v>100.95569146643824</v>
      </c>
      <c r="J46" s="8">
        <f t="shared" si="30"/>
        <v>111.39938368710428</v>
      </c>
      <c r="K46" s="8">
        <f t="shared" si="30"/>
        <v>125.3243066479923</v>
      </c>
      <c r="M46" s="12"/>
      <c r="N46" s="12"/>
      <c r="O46" s="10">
        <v>420</v>
      </c>
      <c r="P46" s="8">
        <f t="shared" ref="P46:W46" si="31">P24*1.3</f>
        <v>47.066239607801556</v>
      </c>
      <c r="Q46" s="8">
        <f t="shared" si="31"/>
        <v>57.92767951729423</v>
      </c>
      <c r="R46" s="8">
        <f t="shared" si="31"/>
        <v>68.789119426786897</v>
      </c>
      <c r="S46" s="8">
        <f t="shared" si="31"/>
        <v>99.563199170349449</v>
      </c>
      <c r="T46" s="8">
        <f t="shared" si="31"/>
        <v>113.13999905721528</v>
      </c>
      <c r="U46" s="8">
        <f t="shared" si="31"/>
        <v>131.24239890636971</v>
      </c>
      <c r="V46" s="8">
        <f t="shared" si="31"/>
        <v>144.81919879323556</v>
      </c>
      <c r="W46" s="8">
        <f t="shared" si="31"/>
        <v>162.92159864239002</v>
      </c>
    </row>
  </sheetData>
  <mergeCells count="48">
    <mergeCell ref="A39:A46"/>
    <mergeCell ref="B39:B43"/>
    <mergeCell ref="M39:M46"/>
    <mergeCell ref="N39:N43"/>
    <mergeCell ref="B44:B46"/>
    <mergeCell ref="N44:N46"/>
    <mergeCell ref="A31:A38"/>
    <mergeCell ref="B31:B35"/>
    <mergeCell ref="M31:M38"/>
    <mergeCell ref="N31:N35"/>
    <mergeCell ref="B36:B38"/>
    <mergeCell ref="N36:N38"/>
    <mergeCell ref="A26:K26"/>
    <mergeCell ref="M26:W26"/>
    <mergeCell ref="J27:K27"/>
    <mergeCell ref="V27:W27"/>
    <mergeCell ref="A28:A30"/>
    <mergeCell ref="B28:B30"/>
    <mergeCell ref="C28:C30"/>
    <mergeCell ref="D28:K28"/>
    <mergeCell ref="M28:M30"/>
    <mergeCell ref="N28:N30"/>
    <mergeCell ref="O28:O30"/>
    <mergeCell ref="P28:W28"/>
    <mergeCell ref="M9:M16"/>
    <mergeCell ref="N9:N13"/>
    <mergeCell ref="N14:N16"/>
    <mergeCell ref="M17:M24"/>
    <mergeCell ref="N17:N21"/>
    <mergeCell ref="N22:N24"/>
    <mergeCell ref="M4:W4"/>
    <mergeCell ref="V5:W5"/>
    <mergeCell ref="M6:M8"/>
    <mergeCell ref="N6:N8"/>
    <mergeCell ref="O6:O8"/>
    <mergeCell ref="P6:W6"/>
    <mergeCell ref="A9:A16"/>
    <mergeCell ref="B9:B13"/>
    <mergeCell ref="B14:B16"/>
    <mergeCell ref="A17:A24"/>
    <mergeCell ref="B17:B21"/>
    <mergeCell ref="B22:B24"/>
    <mergeCell ref="A4:K4"/>
    <mergeCell ref="D6:K6"/>
    <mergeCell ref="A6:A8"/>
    <mergeCell ref="B6:B8"/>
    <mergeCell ref="C6:C8"/>
    <mergeCell ref="J5:K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8</vt:i4>
      </vt:variant>
    </vt:vector>
  </HeadingPairs>
  <TitlesOfParts>
    <vt:vector size="9" baseType="lpstr">
      <vt:lpstr>表格</vt:lpstr>
      <vt:lpstr>cb_Ktr_db_1.5_</vt:lpstr>
      <vt:lpstr>cb_Ktr_db_2.5_</vt:lpstr>
      <vt:lpstr>fy1_</vt:lpstr>
      <vt:lpstr>fy2_</vt:lpstr>
      <vt:lpstr>λ</vt:lpstr>
      <vt:lpstr>ψe</vt:lpstr>
      <vt:lpstr>非頂層ψt</vt:lpstr>
      <vt:lpstr>頂層ψt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乃宥然</dc:creator>
  <cp:lastModifiedBy>乃宥然</cp:lastModifiedBy>
  <dcterms:created xsi:type="dcterms:W3CDTF">2022-08-11T00:50:29Z</dcterms:created>
  <dcterms:modified xsi:type="dcterms:W3CDTF">2022-08-11T12:27:11Z</dcterms:modified>
</cp:coreProperties>
</file>