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827" codeName="{37B6ACAC-4A07-160E-37E0-EFA003358AD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ementspublic\Documents\PAUL\VbaProject\20170226_LapLength\"/>
    </mc:Choice>
  </mc:AlternateContent>
  <bookViews>
    <workbookView xWindow="0" yWindow="0" windowWidth="23040" windowHeight="8988" activeTab="1" xr2:uid="{00000000-000D-0000-FFFF-FFFF00000000}"/>
  </bookViews>
  <sheets>
    <sheet name="搭接長度精細計算" sheetId="1" r:id="rId1"/>
    <sheet name="版本資訊" sheetId="3" r:id="rId2"/>
  </sheets>
  <functionGroups builtInGroupCount="19">
    <functionGroup name="Commands"/>
  </functionGroups>
  <calcPr calcId="171027" refMode="R1C1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3" l="1"/>
  <c r="B8" i="3"/>
</calcChain>
</file>

<file path=xl/sharedStrings.xml><?xml version="1.0" encoding="utf-8"?>
<sst xmlns="http://schemas.openxmlformats.org/spreadsheetml/2006/main" count="46" uniqueCount="45">
  <si>
    <t>UPDATE</t>
    <phoneticPr fontId="3" type="noConversion"/>
  </si>
  <si>
    <t>PROJECT</t>
    <phoneticPr fontId="3" type="noConversion"/>
  </si>
  <si>
    <t>SUBJECT</t>
    <phoneticPr fontId="3" type="noConversion"/>
  </si>
  <si>
    <t>Project</t>
    <phoneticPr fontId="3" type="noConversion"/>
  </si>
  <si>
    <t>Current version</t>
    <phoneticPr fontId="3" type="noConversion"/>
  </si>
  <si>
    <t>Latest version</t>
    <phoneticPr fontId="3" type="noConversion"/>
  </si>
  <si>
    <t xml:space="preserve"> </t>
  </si>
  <si>
    <t>Update: The update addresses these issues</t>
  </si>
  <si>
    <r>
      <rPr>
        <sz val="12"/>
        <color rgb="FFFF0000"/>
        <rFont val="微軟正黑體"/>
        <family val="2"/>
        <charset val="136"/>
      </rPr>
      <t>搭接長度精細計算</t>
    </r>
  </si>
  <si>
    <r>
      <t xml:space="preserve">Welcome to the version 1.11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</si>
  <si>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t xml:space="preserve">Welcome to the version 0.3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</si>
  <si>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優化參數化格式</t>
    </r>
  </si>
  <si>
    <r>
      <rPr>
        <sz val="12"/>
        <color theme="1"/>
        <rFont val="微軟正黑體"/>
        <family val="2"/>
        <charset val="136"/>
      </rPr>
      <t>避免使用到未修正的錯誤檔案，導致錯誤的結果，從此版本後新增自動檢查版本功能。</t>
    </r>
  </si>
  <si>
    <r>
      <t xml:space="preserve">Welcome to the version 1.12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</si>
  <si>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完成演算法</t>
    </r>
    <phoneticPr fontId="3" type="noConversion"/>
  </si>
  <si>
    <r>
      <rPr>
        <sz val="12"/>
        <color theme="1"/>
        <rFont val="微軟正黑體"/>
        <family val="2"/>
        <charset val="136"/>
      </rPr>
      <t>完成表格文字</t>
    </r>
    <phoneticPr fontId="3" type="noConversion"/>
  </si>
  <si>
    <r>
      <rPr>
        <sz val="12"/>
        <color theme="1"/>
        <rFont val="微軟正黑體"/>
        <family val="2"/>
        <charset val="136"/>
      </rPr>
      <t>開始重寫搭接長度精細計算</t>
    </r>
    <phoneticPr fontId="3" type="noConversion"/>
  </si>
  <si>
    <r>
      <rPr>
        <sz val="12"/>
        <color theme="1"/>
        <rFont val="微軟正黑體"/>
        <family val="2"/>
        <charset val="136"/>
      </rPr>
      <t>完成排列組合部分</t>
    </r>
    <phoneticPr fontId="3" type="noConversion"/>
  </si>
  <si>
    <r>
      <rPr>
        <sz val="12"/>
        <color theme="1"/>
        <rFont val="微軟正黑體"/>
        <family val="2"/>
        <charset val="136"/>
      </rPr>
      <t>速度快了</t>
    </r>
    <r>
      <rPr>
        <sz val="12"/>
        <color theme="1"/>
        <rFont val="Calibri"/>
        <family val="2"/>
      </rPr>
      <t xml:space="preserve"> 200 </t>
    </r>
    <r>
      <rPr>
        <sz val="12"/>
        <color theme="1"/>
        <rFont val="微軟正黑體"/>
        <family val="2"/>
        <charset val="136"/>
      </rPr>
      <t>倍以上</t>
    </r>
    <phoneticPr fontId="3" type="noConversion"/>
  </si>
  <si>
    <r>
      <t xml:space="preserve">Welcome to the version 0.2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  <phoneticPr fontId="3" type="noConversion"/>
  </si>
  <si>
    <r>
      <rPr>
        <sz val="12"/>
        <color theme="1"/>
        <rFont val="微軟正黑體"/>
        <family val="2"/>
        <charset val="136"/>
      </rPr>
      <t>搭接長度精細計算</t>
    </r>
    <phoneticPr fontId="3" type="noConversion"/>
  </si>
  <si>
    <r>
      <t xml:space="preserve">Welcome to the version 1.13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</si>
  <si>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調整表格格式</t>
    </r>
    <phoneticPr fontId="3" type="noConversion"/>
  </si>
  <si>
    <r>
      <rPr>
        <sz val="12"/>
        <color theme="1"/>
        <rFont val="微軟正黑體"/>
        <family val="2"/>
        <charset val="136"/>
      </rPr>
      <t>優化效能</t>
    </r>
    <phoneticPr fontId="3" type="noConversion"/>
  </si>
  <si>
    <r>
      <rPr>
        <sz val="12"/>
        <color theme="1"/>
        <rFont val="微軟正黑體"/>
        <family val="2"/>
        <charset val="136"/>
      </rPr>
      <t>紀錄輸入表格</t>
    </r>
    <phoneticPr fontId="3" type="noConversion"/>
  </si>
  <si>
    <r>
      <rPr>
        <sz val="12"/>
        <color theme="1"/>
        <rFont val="微軟正黑體"/>
        <family val="2"/>
        <charset val="136"/>
      </rPr>
      <t>修正錯誤</t>
    </r>
    <phoneticPr fontId="3" type="noConversion"/>
  </si>
  <si>
    <r>
      <rPr>
        <sz val="12"/>
        <color theme="1"/>
        <rFont val="微軟正黑體"/>
        <family val="2"/>
        <charset val="136"/>
      </rPr>
      <t>由於詳細計算法沒有收入簡算法可以修正的條件，所以</t>
    </r>
    <r>
      <rPr>
        <sz val="12"/>
        <color theme="1"/>
        <rFont val="Calibri"/>
        <family val="2"/>
      </rPr>
      <t>1db</t>
    </r>
    <r>
      <rPr>
        <sz val="12"/>
        <color theme="1"/>
        <rFont val="微軟正黑體"/>
        <family val="2"/>
        <charset val="136"/>
      </rPr>
      <t>長度會比簡算法長，所以用簡算法來訂定上限。可以參考第五章。</t>
    </r>
    <phoneticPr fontId="3" type="noConversion"/>
  </si>
  <si>
    <r>
      <rPr>
        <sz val="12"/>
        <color theme="1"/>
        <rFont val="微軟正黑體"/>
        <family val="2"/>
        <charset val="136"/>
      </rPr>
      <t>修改前</t>
    </r>
    <phoneticPr fontId="3" type="noConversion"/>
  </si>
  <si>
    <r>
      <rPr>
        <sz val="12"/>
        <color theme="1"/>
        <rFont val="微軟正黑體"/>
        <family val="2"/>
        <charset val="136"/>
      </rPr>
      <t>修改後</t>
    </r>
    <phoneticPr fontId="3" type="noConversion"/>
  </si>
  <si>
    <r>
      <t xml:space="preserve">Welcome to the version 1.14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</si>
  <si>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修改輸入的紀錄表格，讓使用者更方便輸入</t>
    </r>
    <phoneticPr fontId="3" type="noConversion"/>
  </si>
  <si>
    <r>
      <t xml:space="preserve">Welcome to the version 1.2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</si>
  <si>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名稱</t>
    </r>
  </si>
  <si>
    <r>
      <rPr>
        <sz val="12"/>
        <color theme="1"/>
        <rFont val="微軟正黑體"/>
        <family val="2"/>
        <charset val="136"/>
      </rPr>
      <t xml:space="preserve">梁寬
</t>
    </r>
    <r>
      <rPr>
        <sz val="12"/>
        <color theme="1"/>
        <rFont val="Calibri"/>
        <family val="2"/>
      </rPr>
      <t>cm</t>
    </r>
  </si>
  <si>
    <r>
      <rPr>
        <sz val="12"/>
        <color theme="1"/>
        <rFont val="微軟正黑體"/>
        <family val="2"/>
        <charset val="136"/>
      </rPr>
      <t xml:space="preserve">保護層
</t>
    </r>
    <r>
      <rPr>
        <sz val="12"/>
        <color theme="1"/>
        <rFont val="Calibri"/>
        <family val="2"/>
      </rPr>
      <t>cm</t>
    </r>
  </si>
  <si>
    <r>
      <rPr>
        <sz val="12"/>
        <color theme="1"/>
        <rFont val="微軟正黑體"/>
        <family val="2"/>
        <charset val="136"/>
      </rPr>
      <t xml:space="preserve">主筋強度
</t>
    </r>
    <r>
      <rPr>
        <sz val="12"/>
        <color theme="1"/>
        <rFont val="Calibri"/>
        <family val="2"/>
      </rPr>
      <t>fy</t>
    </r>
  </si>
  <si>
    <r>
      <rPr>
        <sz val="12"/>
        <color theme="1"/>
        <rFont val="微軟正黑體"/>
        <family val="2"/>
        <charset val="136"/>
      </rPr>
      <t xml:space="preserve">箍筋強度
</t>
    </r>
    <r>
      <rPr>
        <sz val="12"/>
        <color theme="1"/>
        <rFont val="Calibri"/>
        <family val="2"/>
      </rPr>
      <t>fyt</t>
    </r>
  </si>
  <si>
    <r>
      <rPr>
        <sz val="12"/>
        <color theme="1"/>
        <rFont val="微軟正黑體"/>
        <family val="2"/>
        <charset val="136"/>
      </rPr>
      <t xml:space="preserve">混凝土強度
</t>
    </r>
    <r>
      <rPr>
        <sz val="12"/>
        <color theme="1"/>
        <rFont val="Calibri"/>
        <family val="2"/>
      </rPr>
      <t>fc'</t>
    </r>
  </si>
  <si>
    <r>
      <rPr>
        <sz val="12"/>
        <color theme="1"/>
        <rFont val="微軟正黑體"/>
        <family val="2"/>
        <charset val="136"/>
      </rPr>
      <t xml:space="preserve">主筋直徑
</t>
    </r>
    <r>
      <rPr>
        <sz val="12"/>
        <color theme="1"/>
        <rFont val="Calibri"/>
        <family val="2"/>
      </rPr>
      <t>mm</t>
    </r>
  </si>
  <si>
    <r>
      <rPr>
        <sz val="12"/>
        <color theme="1"/>
        <rFont val="微軟正黑體"/>
        <family val="2"/>
        <charset val="136"/>
      </rPr>
      <t xml:space="preserve">箍筋直徑
</t>
    </r>
    <r>
      <rPr>
        <sz val="12"/>
        <color theme="1"/>
        <rFont val="Calibri"/>
        <family val="2"/>
      </rPr>
      <t>mm</t>
    </r>
  </si>
  <si>
    <r>
      <rPr>
        <sz val="12"/>
        <color theme="1"/>
        <rFont val="微軟正黑體"/>
        <family val="2"/>
        <charset val="136"/>
      </rPr>
      <t xml:space="preserve">箍筋間距
</t>
    </r>
    <r>
      <rPr>
        <sz val="12"/>
        <color theme="1"/>
        <rFont val="Calibri"/>
        <family val="2"/>
      </rPr>
      <t>cm</t>
    </r>
  </si>
  <si>
    <r>
      <rPr>
        <sz val="12"/>
        <color theme="1"/>
        <rFont val="微軟正黑體"/>
        <family val="2"/>
        <charset val="136"/>
      </rPr>
      <t>修正支數太少會造成</t>
    </r>
    <r>
      <rPr>
        <sz val="12"/>
        <color theme="1"/>
        <rFont val="Calibri"/>
        <family val="2"/>
      </rPr>
      <t xml:space="preserve"> error </t>
    </r>
    <r>
      <rPr>
        <sz val="12"/>
        <color theme="1"/>
        <rFont val="微軟正黑體"/>
        <family val="2"/>
        <charset val="136"/>
      </rPr>
      <t>的情況</t>
    </r>
    <phoneticPr fontId="3" type="noConversion"/>
  </si>
  <si>
    <r>
      <t xml:space="preserve">Welcome to the version 1.3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</si>
  <si>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rgb="FFFF0000"/>
        <rFont val="微軟正黑體"/>
        <family val="2"/>
        <charset val="136"/>
      </rPr>
      <t>小梁</t>
    </r>
    <phoneticPr fontId="3" type="noConversion"/>
  </si>
  <si>
    <t>修正只有一個寬度所造成的 error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</si>
</sst>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D&quot;0"/>
  </numFmts>
  <fonts count="13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u/>
      <sz val="12"/>
      <color theme="10"/>
      <name val="新細明體"/>
      <family val="2"/>
      <charset val="136"/>
      <scheme val="minor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006100"/>
      <name val="Calibri"/>
      <family val="2"/>
    </font>
    <font>
      <sz val="12"/>
      <color rgb="FFFF0000"/>
      <name val="微軟正黑體"/>
      <family val="2"/>
      <charset val="136"/>
    </font>
    <font>
      <u/>
      <sz val="12"/>
      <color theme="11"/>
      <name val="新細明體"/>
      <family val="2"/>
      <charset val="136"/>
      <scheme val="minor"/>
    </font>
    <font>
      <sz val="12"/>
      <color theme="1"/>
      <name val="細明體"/>
      <family val="3"/>
      <charset val="136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4" fillId="3" borderId="0" xfId="0" applyFont="1" applyFill="1" applyAlignment="1">
      <alignment horizontal="left" vertical="center"/>
    </xf>
    <xf numFmtId="0" fontId="6" fillId="3" borderId="0" xfId="0" applyNumberFormat="1" applyFont="1" applyFill="1" applyAlignment="1">
      <alignment horizontal="left" vertical="center"/>
    </xf>
    <xf numFmtId="0" fontId="7" fillId="3" borderId="0" xfId="2" applyFont="1" applyFill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1" xfId="3" applyFont="1" applyFill="1" applyBorder="1" applyAlignment="1">
      <alignment horizontal="left" vertical="center"/>
    </xf>
    <xf numFmtId="0" fontId="6" fillId="3" borderId="0" xfId="0" applyFont="1" applyFill="1" applyAlignment="1">
      <alignment horizontal="left" vertical="center"/>
    </xf>
    <xf numFmtId="0" fontId="4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9" fillId="2" borderId="0" xfId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9" fillId="2" borderId="0" xfId="1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76" fontId="9" fillId="2" borderId="0" xfId="1" applyNumberFormat="1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176" fontId="6" fillId="0" borderId="0" xfId="0" applyNumberFormat="1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NumberFormat="1" applyFont="1" applyBorder="1" applyAlignment="1">
      <alignment horizontal="center" vertical="center"/>
    </xf>
    <xf numFmtId="176" fontId="6" fillId="0" borderId="5" xfId="0" applyNumberFormat="1" applyFont="1" applyBorder="1" applyAlignment="1">
      <alignment horizontal="center" vertical="center"/>
    </xf>
    <xf numFmtId="0" fontId="6" fillId="0" borderId="6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NumberFormat="1" applyFont="1" applyBorder="1" applyAlignment="1">
      <alignment horizontal="center" vertical="center" wrapText="1"/>
    </xf>
    <xf numFmtId="176" fontId="4" fillId="0" borderId="8" xfId="0" applyNumberFormat="1" applyFont="1" applyBorder="1" applyAlignment="1">
      <alignment horizontal="center" vertical="center" wrapText="1"/>
    </xf>
    <xf numFmtId="0" fontId="4" fillId="0" borderId="9" xfId="0" applyNumberFormat="1" applyFont="1" applyBorder="1" applyAlignment="1">
      <alignment horizontal="center" vertical="center" wrapText="1"/>
    </xf>
    <xf numFmtId="0" fontId="4" fillId="3" borderId="0" xfId="3" applyFont="1" applyFill="1" applyAlignment="1">
      <alignment horizontal="left" vertical="center"/>
    </xf>
    <xf numFmtId="0" fontId="4" fillId="3" borderId="0" xfId="3" applyFont="1" applyFill="1" applyAlignment="1">
      <alignment horizontal="center" vertical="center"/>
    </xf>
    <xf numFmtId="0" fontId="4" fillId="4" borderId="0" xfId="3" applyFont="1" applyFill="1" applyAlignment="1">
      <alignment horizontal="center" vertical="center"/>
    </xf>
    <xf numFmtId="0" fontId="12" fillId="3" borderId="0" xfId="3" applyFont="1" applyFill="1" applyAlignment="1">
      <alignment horizontal="left" vertical="center"/>
    </xf>
  </cellXfs>
  <cellStyles count="6">
    <cellStyle name="一般" xfId="0" builtinId="0"/>
    <cellStyle name="一般 2" xfId="3" xr:uid="{00000000-0005-0000-0000-000001000000}"/>
    <cellStyle name="已瀏覽過的超連結" xfId="4" builtinId="9" hidden="1"/>
    <cellStyle name="已瀏覽過的超連結" xfId="5" builtinId="9" hidden="1"/>
    <cellStyle name="好" xfId="1" builtinId="26"/>
    <cellStyle name="超連結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0</xdr:rowOff>
    </xdr:from>
    <xdr:to>
      <xdr:col>4</xdr:col>
      <xdr:colOff>152400</xdr:colOff>
      <xdr:row>9</xdr:row>
      <xdr:rowOff>101600</xdr:rowOff>
    </xdr:to>
    <xdr:sp macro="[0]!COMBO.Main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057400" y="1333500"/>
          <a:ext cx="2057400" cy="9144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排列組合輸入的數值</a:t>
          </a:r>
        </a:p>
      </xdr:txBody>
    </xdr:sp>
    <xdr:clientData/>
  </xdr:twoCellAnchor>
  <xdr:twoCellAnchor>
    <xdr:from>
      <xdr:col>2</xdr:col>
      <xdr:colOff>0</xdr:colOff>
      <xdr:row>11</xdr:row>
      <xdr:rowOff>0</xdr:rowOff>
    </xdr:from>
    <xdr:to>
      <xdr:col>4</xdr:col>
      <xdr:colOff>152400</xdr:colOff>
      <xdr:row>15</xdr:row>
      <xdr:rowOff>101600</xdr:rowOff>
    </xdr:to>
    <xdr:sp macro="[0]!CALLENGTH.Main" textlink="">
      <xdr:nvSpPr>
        <xdr:cNvPr id="3" name="矩形 2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2057400" y="2552700"/>
          <a:ext cx="2057400" cy="9144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出圖</a:t>
          </a:r>
          <a:endParaRPr lang="zh-TW" altLang="zh-TW" sz="1400">
            <a:solidFill>
              <a:schemeClr val="lt1"/>
            </a:solidFill>
            <a:effectLst/>
            <a:latin typeface="微軟正黑體" panose="020B0604030504040204" pitchFamily="34" charset="-120"/>
            <a:ea typeface="微軟正黑體" panose="020B0604030504040204" pitchFamily="34" charset="-120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457200</xdr:colOff>
      <xdr:row>100</xdr:row>
      <xdr:rowOff>9525</xdr:rowOff>
    </xdr:from>
    <xdr:ext cx="9100185" cy="1152525"/>
    <xdr:pic>
      <xdr:nvPicPr>
        <xdr:cNvPr id="3" name="圖片 2">
          <a:extLst>
            <a:ext uri="{FF2B5EF4-FFF2-40B4-BE49-F238E27FC236}">
              <a16:creationId xmlns:a16="http://schemas.microsoft.com/office/drawing/2014/main" id="{A918C2DF-AE1E-4D5D-A38F-147448697F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" y="2223135"/>
          <a:ext cx="9100185" cy="1152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</xdr:col>
      <xdr:colOff>0</xdr:colOff>
      <xdr:row>54</xdr:row>
      <xdr:rowOff>0</xdr:rowOff>
    </xdr:from>
    <xdr:to>
      <xdr:col>15</xdr:col>
      <xdr:colOff>19050</xdr:colOff>
      <xdr:row>67</xdr:row>
      <xdr:rowOff>142875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C7E976B6-6623-439C-B15E-3562DE0513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" y="2209800"/>
          <a:ext cx="9725025" cy="274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38</xdr:row>
      <xdr:rowOff>0</xdr:rowOff>
    </xdr:from>
    <xdr:to>
      <xdr:col>14</xdr:col>
      <xdr:colOff>571500</xdr:colOff>
      <xdr:row>51</xdr:row>
      <xdr:rowOff>142875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446491D3-9F99-4548-B68C-53424D0F7B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" y="2209800"/>
          <a:ext cx="9610725" cy="274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457200</xdr:colOff>
      <xdr:row>45</xdr:row>
      <xdr:rowOff>28575</xdr:rowOff>
    </xdr:from>
    <xdr:to>
      <xdr:col>14</xdr:col>
      <xdr:colOff>647700</xdr:colOff>
      <xdr:row>51</xdr:row>
      <xdr:rowOff>171451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5898504-A498-48D2-BD3F-57B08B50E1AB}"/>
            </a:ext>
          </a:extLst>
        </xdr:cNvPr>
        <xdr:cNvSpPr/>
      </xdr:nvSpPr>
      <xdr:spPr>
        <a:xfrm>
          <a:off x="7496175" y="3848100"/>
          <a:ext cx="2857500" cy="1343026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561975</xdr:colOff>
      <xdr:row>61</xdr:row>
      <xdr:rowOff>28576</xdr:rowOff>
    </xdr:from>
    <xdr:to>
      <xdr:col>15</xdr:col>
      <xdr:colOff>85725</xdr:colOff>
      <xdr:row>67</xdr:row>
      <xdr:rowOff>190500</xdr:rowOff>
    </xdr:to>
    <xdr:sp macro="" textlink="">
      <xdr:nvSpPr>
        <xdr:cNvPr id="6" name="矩形 5">
          <a:extLst>
            <a:ext uri="{FF2B5EF4-FFF2-40B4-BE49-F238E27FC236}">
              <a16:creationId xmlns:a16="http://schemas.microsoft.com/office/drawing/2014/main" id="{E3D753E5-B6AC-41D8-AC8B-923AF9FA9AAC}"/>
            </a:ext>
          </a:extLst>
        </xdr:cNvPr>
        <xdr:cNvSpPr/>
      </xdr:nvSpPr>
      <xdr:spPr>
        <a:xfrm>
          <a:off x="7600950" y="7058026"/>
          <a:ext cx="2857500" cy="1362074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oneCellAnchor>
    <xdr:from>
      <xdr:col>1</xdr:col>
      <xdr:colOff>0</xdr:colOff>
      <xdr:row>19</xdr:row>
      <xdr:rowOff>0</xdr:rowOff>
    </xdr:from>
    <xdr:ext cx="5494020" cy="2270760"/>
    <xdr:pic>
      <xdr:nvPicPr>
        <xdr:cNvPr id="9" name="圖片 8">
          <a:extLst>
            <a:ext uri="{FF2B5EF4-FFF2-40B4-BE49-F238E27FC236}">
              <a16:creationId xmlns:a16="http://schemas.microsoft.com/office/drawing/2014/main" id="{127B77C4-CA21-4ADC-9F78-18BF3C72A0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1980" y="2179320"/>
          <a:ext cx="5494020" cy="22707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45720</xdr:colOff>
      <xdr:row>18</xdr:row>
      <xdr:rowOff>114300</xdr:rowOff>
    </xdr:from>
    <xdr:to>
      <xdr:col>9</xdr:col>
      <xdr:colOff>426720</xdr:colOff>
      <xdr:row>22</xdr:row>
      <xdr:rowOff>0</xdr:rowOff>
    </xdr:to>
    <xdr:sp macro="" textlink="">
      <xdr:nvSpPr>
        <xdr:cNvPr id="10" name="矩形 9">
          <a:extLst>
            <a:ext uri="{FF2B5EF4-FFF2-40B4-BE49-F238E27FC236}">
              <a16:creationId xmlns:a16="http://schemas.microsoft.com/office/drawing/2014/main" id="{6630AFFB-D426-4CA8-B365-09684E3BAB5A}"/>
            </a:ext>
          </a:extLst>
        </xdr:cNvPr>
        <xdr:cNvSpPr/>
      </xdr:nvSpPr>
      <xdr:spPr>
        <a:xfrm>
          <a:off x="647700" y="2095500"/>
          <a:ext cx="5532120" cy="678180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rgb="FF0070C0"/>
  </sheetPr>
  <dimension ref="A1:N100"/>
  <sheetViews>
    <sheetView workbookViewId="0">
      <selection activeCell="N10" sqref="N10"/>
    </sheetView>
  </sheetViews>
  <sheetFormatPr defaultColWidth="8.77734375" defaultRowHeight="15.6" x14ac:dyDescent="0.3"/>
  <cols>
    <col min="1" max="1" width="8.77734375" style="7"/>
    <col min="2" max="2" width="18.109375" style="7" bestFit="1" customWidth="1"/>
    <col min="3" max="6" width="12.44140625" style="7" customWidth="1"/>
    <col min="7" max="11" width="12.44140625" style="10" customWidth="1"/>
    <col min="12" max="13" width="12.44140625" style="12" customWidth="1"/>
    <col min="14" max="14" width="12.44140625" style="10" customWidth="1"/>
    <col min="15" max="16384" width="8.77734375" style="7"/>
  </cols>
  <sheetData>
    <row r="1" spans="1:14" x14ac:dyDescent="0.3">
      <c r="A1" s="7" t="s">
        <v>0</v>
      </c>
      <c r="B1" s="8">
        <v>43116</v>
      </c>
    </row>
    <row r="2" spans="1:14" x14ac:dyDescent="0.3">
      <c r="A2" s="7" t="s">
        <v>1</v>
      </c>
      <c r="B2" s="7" t="s">
        <v>20</v>
      </c>
    </row>
    <row r="3" spans="1:14" ht="16.2" thickBot="1" x14ac:dyDescent="0.35">
      <c r="A3" s="7" t="s">
        <v>2</v>
      </c>
    </row>
    <row r="4" spans="1:14" ht="31.8" thickBot="1" x14ac:dyDescent="0.35">
      <c r="F4" s="22" t="s">
        <v>32</v>
      </c>
      <c r="G4" s="23" t="s">
        <v>33</v>
      </c>
      <c r="H4" s="23" t="s">
        <v>34</v>
      </c>
      <c r="I4" s="23" t="s">
        <v>35</v>
      </c>
      <c r="J4" s="23" t="s">
        <v>36</v>
      </c>
      <c r="K4" s="23" t="s">
        <v>37</v>
      </c>
      <c r="L4" s="24" t="s">
        <v>38</v>
      </c>
      <c r="M4" s="24" t="s">
        <v>39</v>
      </c>
      <c r="N4" s="25" t="s">
        <v>40</v>
      </c>
    </row>
    <row r="5" spans="1:14" ht="16.2" thickTop="1" x14ac:dyDescent="0.3">
      <c r="F5" s="14" t="s">
        <v>43</v>
      </c>
      <c r="G5" s="15">
        <v>25</v>
      </c>
      <c r="H5" s="15">
        <v>4</v>
      </c>
      <c r="I5" s="15">
        <v>4200</v>
      </c>
      <c r="J5" s="15">
        <v>4200</v>
      </c>
      <c r="K5" s="15">
        <v>280</v>
      </c>
      <c r="L5" s="16">
        <v>22</v>
      </c>
      <c r="M5" s="16">
        <v>10</v>
      </c>
      <c r="N5" s="17">
        <v>10</v>
      </c>
    </row>
    <row r="6" spans="1:14" x14ac:dyDescent="0.3">
      <c r="F6" s="14"/>
      <c r="G6" s="15">
        <v>30</v>
      </c>
      <c r="H6" s="15"/>
      <c r="I6" s="15"/>
      <c r="J6" s="15"/>
      <c r="K6" s="15">
        <v>350</v>
      </c>
      <c r="L6" s="16">
        <v>25</v>
      </c>
      <c r="M6" s="16">
        <v>13</v>
      </c>
      <c r="N6" s="17">
        <v>15</v>
      </c>
    </row>
    <row r="7" spans="1:14" x14ac:dyDescent="0.3">
      <c r="D7" s="10"/>
      <c r="F7" s="14"/>
      <c r="G7" s="15">
        <v>35</v>
      </c>
      <c r="H7" s="15"/>
      <c r="I7" s="15"/>
      <c r="J7" s="15"/>
      <c r="K7" s="15">
        <v>420</v>
      </c>
      <c r="L7" s="16"/>
      <c r="M7" s="16"/>
      <c r="N7" s="17">
        <v>18</v>
      </c>
    </row>
    <row r="8" spans="1:14" x14ac:dyDescent="0.3">
      <c r="F8" s="14"/>
      <c r="G8" s="15">
        <v>40</v>
      </c>
      <c r="H8" s="15"/>
      <c r="I8" s="15"/>
      <c r="J8" s="15"/>
      <c r="K8" s="15">
        <v>490</v>
      </c>
      <c r="L8" s="16"/>
      <c r="M8" s="16"/>
      <c r="N8" s="17">
        <v>20</v>
      </c>
    </row>
    <row r="9" spans="1:14" x14ac:dyDescent="0.3">
      <c r="F9" s="14"/>
      <c r="G9" s="15">
        <v>50</v>
      </c>
      <c r="H9" s="15"/>
      <c r="I9" s="15"/>
      <c r="J9" s="15"/>
      <c r="K9" s="15"/>
      <c r="L9" s="16"/>
      <c r="M9" s="16"/>
      <c r="N9" s="17">
        <v>25</v>
      </c>
    </row>
    <row r="10" spans="1:14" x14ac:dyDescent="0.3">
      <c r="F10" s="14"/>
      <c r="G10" s="15">
        <v>80</v>
      </c>
      <c r="H10" s="15"/>
      <c r="I10" s="15"/>
      <c r="J10" s="15"/>
      <c r="K10" s="15"/>
      <c r="L10" s="16"/>
      <c r="M10" s="16"/>
      <c r="N10" s="17"/>
    </row>
    <row r="11" spans="1:14" x14ac:dyDescent="0.3">
      <c r="F11" s="14"/>
      <c r="G11" s="15">
        <v>85</v>
      </c>
      <c r="H11" s="15"/>
      <c r="I11" s="15"/>
      <c r="J11" s="15"/>
      <c r="K11" s="15"/>
      <c r="L11" s="16"/>
      <c r="M11" s="16"/>
      <c r="N11" s="17"/>
    </row>
    <row r="12" spans="1:14" x14ac:dyDescent="0.3">
      <c r="F12" s="14"/>
      <c r="G12" s="15"/>
      <c r="H12" s="15"/>
      <c r="I12" s="15"/>
      <c r="J12" s="15"/>
      <c r="K12" s="15"/>
      <c r="L12" s="16"/>
      <c r="M12" s="16"/>
      <c r="N12" s="17"/>
    </row>
    <row r="13" spans="1:14" x14ac:dyDescent="0.3">
      <c r="F13" s="14"/>
      <c r="G13" s="15"/>
      <c r="H13" s="15"/>
      <c r="I13" s="15"/>
      <c r="J13" s="15"/>
      <c r="K13" s="15"/>
      <c r="L13" s="16"/>
      <c r="M13" s="16"/>
      <c r="N13" s="17"/>
    </row>
    <row r="14" spans="1:14" x14ac:dyDescent="0.3">
      <c r="F14" s="14"/>
      <c r="G14" s="15"/>
      <c r="H14" s="15"/>
      <c r="I14" s="15"/>
      <c r="J14" s="15"/>
      <c r="K14" s="15"/>
      <c r="L14" s="16"/>
      <c r="M14" s="16"/>
      <c r="N14" s="17"/>
    </row>
    <row r="15" spans="1:14" x14ac:dyDescent="0.3">
      <c r="F15" s="14"/>
      <c r="G15" s="15"/>
      <c r="H15" s="15"/>
      <c r="I15" s="15"/>
      <c r="J15" s="15"/>
      <c r="K15" s="15"/>
      <c r="L15" s="16"/>
      <c r="M15" s="16"/>
      <c r="N15" s="17"/>
    </row>
    <row r="16" spans="1:14" x14ac:dyDescent="0.3">
      <c r="F16" s="14"/>
      <c r="G16" s="15"/>
      <c r="H16" s="15"/>
      <c r="I16" s="15"/>
      <c r="J16" s="15"/>
      <c r="K16" s="15"/>
      <c r="L16" s="16"/>
      <c r="M16" s="16"/>
      <c r="N16" s="17"/>
    </row>
    <row r="17" spans="6:14" x14ac:dyDescent="0.3">
      <c r="F17" s="14"/>
      <c r="G17" s="15"/>
      <c r="H17" s="15"/>
      <c r="I17" s="15"/>
      <c r="J17" s="15"/>
      <c r="K17" s="15"/>
      <c r="L17" s="16"/>
      <c r="M17" s="16"/>
      <c r="N17" s="17"/>
    </row>
    <row r="18" spans="6:14" x14ac:dyDescent="0.3">
      <c r="F18" s="14"/>
      <c r="G18" s="15"/>
      <c r="H18" s="15"/>
      <c r="I18" s="15"/>
      <c r="J18" s="15"/>
      <c r="K18" s="15"/>
      <c r="L18" s="16"/>
      <c r="M18" s="16"/>
      <c r="N18" s="17"/>
    </row>
    <row r="19" spans="6:14" ht="16.2" thickBot="1" x14ac:dyDescent="0.35">
      <c r="F19" s="18"/>
      <c r="G19" s="19"/>
      <c r="H19" s="19"/>
      <c r="I19" s="19"/>
      <c r="J19" s="19"/>
      <c r="K19" s="19"/>
      <c r="L19" s="20"/>
      <c r="M19" s="20"/>
      <c r="N19" s="21"/>
    </row>
    <row r="20" spans="6:14" s="9" customFormat="1" x14ac:dyDescent="0.3">
      <c r="G20" s="11"/>
      <c r="H20" s="11"/>
      <c r="I20" s="11"/>
      <c r="J20" s="11"/>
      <c r="K20" s="11"/>
      <c r="L20" s="13"/>
      <c r="M20" s="13"/>
      <c r="N20" s="11"/>
    </row>
    <row r="21" spans="6:14" x14ac:dyDescent="0.3">
      <c r="F21" s="7">
        <v>1</v>
      </c>
      <c r="H21" s="10">
        <v>4</v>
      </c>
      <c r="I21" s="10">
        <v>4200</v>
      </c>
      <c r="J21" s="10">
        <v>4200</v>
      </c>
      <c r="K21" s="10">
        <v>280</v>
      </c>
      <c r="L21" s="12">
        <v>22</v>
      </c>
      <c r="M21" s="12">
        <v>10</v>
      </c>
      <c r="N21" s="10">
        <v>10</v>
      </c>
    </row>
    <row r="22" spans="6:14" x14ac:dyDescent="0.3">
      <c r="F22" s="7">
        <v>2</v>
      </c>
      <c r="H22" s="10">
        <v>4</v>
      </c>
      <c r="I22" s="10">
        <v>4200</v>
      </c>
      <c r="J22" s="10">
        <v>4200</v>
      </c>
      <c r="K22" s="10">
        <v>280</v>
      </c>
      <c r="L22" s="12">
        <v>22</v>
      </c>
      <c r="M22" s="12">
        <v>10</v>
      </c>
      <c r="N22" s="10">
        <v>15</v>
      </c>
    </row>
    <row r="23" spans="6:14" x14ac:dyDescent="0.3">
      <c r="F23" s="7">
        <v>3</v>
      </c>
      <c r="H23" s="10">
        <v>4</v>
      </c>
      <c r="I23" s="10">
        <v>4200</v>
      </c>
      <c r="J23" s="10">
        <v>4200</v>
      </c>
      <c r="K23" s="10">
        <v>280</v>
      </c>
      <c r="L23" s="12">
        <v>22</v>
      </c>
      <c r="M23" s="12">
        <v>10</v>
      </c>
      <c r="N23" s="10">
        <v>18</v>
      </c>
    </row>
    <row r="24" spans="6:14" x14ac:dyDescent="0.3">
      <c r="F24" s="7">
        <v>4</v>
      </c>
      <c r="H24" s="10">
        <v>4</v>
      </c>
      <c r="I24" s="10">
        <v>4200</v>
      </c>
      <c r="J24" s="10">
        <v>4200</v>
      </c>
      <c r="K24" s="10">
        <v>280</v>
      </c>
      <c r="L24" s="12">
        <v>22</v>
      </c>
      <c r="M24" s="12">
        <v>10</v>
      </c>
      <c r="N24" s="10">
        <v>20</v>
      </c>
    </row>
    <row r="25" spans="6:14" x14ac:dyDescent="0.3">
      <c r="F25" s="7">
        <v>5</v>
      </c>
      <c r="H25" s="10">
        <v>4</v>
      </c>
      <c r="I25" s="10">
        <v>4200</v>
      </c>
      <c r="J25" s="10">
        <v>4200</v>
      </c>
      <c r="K25" s="10">
        <v>280</v>
      </c>
      <c r="L25" s="12">
        <v>22</v>
      </c>
      <c r="M25" s="12">
        <v>10</v>
      </c>
      <c r="N25" s="10">
        <v>25</v>
      </c>
    </row>
    <row r="26" spans="6:14" x14ac:dyDescent="0.3">
      <c r="F26" s="7">
        <v>6</v>
      </c>
      <c r="H26" s="10">
        <v>4</v>
      </c>
      <c r="I26" s="10">
        <v>4200</v>
      </c>
      <c r="J26" s="10">
        <v>4200</v>
      </c>
      <c r="K26" s="10">
        <v>280</v>
      </c>
      <c r="L26" s="12">
        <v>22</v>
      </c>
      <c r="M26" s="12">
        <v>13</v>
      </c>
      <c r="N26" s="10">
        <v>10</v>
      </c>
    </row>
    <row r="27" spans="6:14" x14ac:dyDescent="0.3">
      <c r="F27" s="7">
        <v>7</v>
      </c>
      <c r="H27" s="10">
        <v>4</v>
      </c>
      <c r="I27" s="10">
        <v>4200</v>
      </c>
      <c r="J27" s="10">
        <v>4200</v>
      </c>
      <c r="K27" s="10">
        <v>280</v>
      </c>
      <c r="L27" s="12">
        <v>22</v>
      </c>
      <c r="M27" s="12">
        <v>13</v>
      </c>
      <c r="N27" s="10">
        <v>15</v>
      </c>
    </row>
    <row r="28" spans="6:14" x14ac:dyDescent="0.3">
      <c r="F28" s="7">
        <v>8</v>
      </c>
      <c r="H28" s="10">
        <v>4</v>
      </c>
      <c r="I28" s="10">
        <v>4200</v>
      </c>
      <c r="J28" s="10">
        <v>4200</v>
      </c>
      <c r="K28" s="10">
        <v>280</v>
      </c>
      <c r="L28" s="12">
        <v>22</v>
      </c>
      <c r="M28" s="12">
        <v>13</v>
      </c>
      <c r="N28" s="10">
        <v>18</v>
      </c>
    </row>
    <row r="29" spans="6:14" x14ac:dyDescent="0.3">
      <c r="F29" s="7">
        <v>9</v>
      </c>
      <c r="H29" s="10">
        <v>4</v>
      </c>
      <c r="I29" s="10">
        <v>4200</v>
      </c>
      <c r="J29" s="10">
        <v>4200</v>
      </c>
      <c r="K29" s="10">
        <v>280</v>
      </c>
      <c r="L29" s="12">
        <v>22</v>
      </c>
      <c r="M29" s="12">
        <v>13</v>
      </c>
      <c r="N29" s="10">
        <v>20</v>
      </c>
    </row>
    <row r="30" spans="6:14" x14ac:dyDescent="0.3">
      <c r="F30" s="7">
        <v>10</v>
      </c>
      <c r="H30" s="10">
        <v>4</v>
      </c>
      <c r="I30" s="10">
        <v>4200</v>
      </c>
      <c r="J30" s="10">
        <v>4200</v>
      </c>
      <c r="K30" s="10">
        <v>280</v>
      </c>
      <c r="L30" s="12">
        <v>22</v>
      </c>
      <c r="M30" s="12">
        <v>13</v>
      </c>
      <c r="N30" s="10">
        <v>25</v>
      </c>
    </row>
    <row r="31" spans="6:14" x14ac:dyDescent="0.3">
      <c r="F31" s="7">
        <v>11</v>
      </c>
      <c r="H31" s="10">
        <v>4</v>
      </c>
      <c r="I31" s="10">
        <v>4200</v>
      </c>
      <c r="J31" s="10">
        <v>4200</v>
      </c>
      <c r="K31" s="10">
        <v>280</v>
      </c>
      <c r="L31" s="12">
        <v>25</v>
      </c>
      <c r="M31" s="12">
        <v>10</v>
      </c>
      <c r="N31" s="10">
        <v>10</v>
      </c>
    </row>
    <row r="32" spans="6:14" x14ac:dyDescent="0.3">
      <c r="F32" s="7">
        <v>12</v>
      </c>
      <c r="H32" s="10">
        <v>4</v>
      </c>
      <c r="I32" s="10">
        <v>4200</v>
      </c>
      <c r="J32" s="10">
        <v>4200</v>
      </c>
      <c r="K32" s="10">
        <v>280</v>
      </c>
      <c r="L32" s="12">
        <v>25</v>
      </c>
      <c r="M32" s="12">
        <v>10</v>
      </c>
      <c r="N32" s="10">
        <v>15</v>
      </c>
    </row>
    <row r="33" spans="6:14" x14ac:dyDescent="0.3">
      <c r="F33" s="7">
        <v>13</v>
      </c>
      <c r="H33" s="10">
        <v>4</v>
      </c>
      <c r="I33" s="10">
        <v>4200</v>
      </c>
      <c r="J33" s="10">
        <v>4200</v>
      </c>
      <c r="K33" s="10">
        <v>280</v>
      </c>
      <c r="L33" s="12">
        <v>25</v>
      </c>
      <c r="M33" s="12">
        <v>10</v>
      </c>
      <c r="N33" s="10">
        <v>18</v>
      </c>
    </row>
    <row r="34" spans="6:14" x14ac:dyDescent="0.3">
      <c r="F34" s="7">
        <v>14</v>
      </c>
      <c r="H34" s="10">
        <v>4</v>
      </c>
      <c r="I34" s="10">
        <v>4200</v>
      </c>
      <c r="J34" s="10">
        <v>4200</v>
      </c>
      <c r="K34" s="10">
        <v>280</v>
      </c>
      <c r="L34" s="12">
        <v>25</v>
      </c>
      <c r="M34" s="12">
        <v>10</v>
      </c>
      <c r="N34" s="10">
        <v>20</v>
      </c>
    </row>
    <row r="35" spans="6:14" x14ac:dyDescent="0.3">
      <c r="F35" s="7">
        <v>15</v>
      </c>
      <c r="H35" s="10">
        <v>4</v>
      </c>
      <c r="I35" s="10">
        <v>4200</v>
      </c>
      <c r="J35" s="10">
        <v>4200</v>
      </c>
      <c r="K35" s="10">
        <v>280</v>
      </c>
      <c r="L35" s="12">
        <v>25</v>
      </c>
      <c r="M35" s="12">
        <v>10</v>
      </c>
      <c r="N35" s="10">
        <v>25</v>
      </c>
    </row>
    <row r="36" spans="6:14" x14ac:dyDescent="0.3">
      <c r="F36" s="7">
        <v>16</v>
      </c>
      <c r="H36" s="10">
        <v>4</v>
      </c>
      <c r="I36" s="10">
        <v>4200</v>
      </c>
      <c r="J36" s="10">
        <v>4200</v>
      </c>
      <c r="K36" s="10">
        <v>280</v>
      </c>
      <c r="L36" s="12">
        <v>25</v>
      </c>
      <c r="M36" s="12">
        <v>13</v>
      </c>
      <c r="N36" s="10">
        <v>10</v>
      </c>
    </row>
    <row r="37" spans="6:14" x14ac:dyDescent="0.3">
      <c r="F37" s="7">
        <v>17</v>
      </c>
      <c r="H37" s="10">
        <v>4</v>
      </c>
      <c r="I37" s="10">
        <v>4200</v>
      </c>
      <c r="J37" s="10">
        <v>4200</v>
      </c>
      <c r="K37" s="10">
        <v>280</v>
      </c>
      <c r="L37" s="12">
        <v>25</v>
      </c>
      <c r="M37" s="12">
        <v>13</v>
      </c>
      <c r="N37" s="10">
        <v>15</v>
      </c>
    </row>
    <row r="38" spans="6:14" x14ac:dyDescent="0.3">
      <c r="F38" s="7">
        <v>18</v>
      </c>
      <c r="H38" s="10">
        <v>4</v>
      </c>
      <c r="I38" s="10">
        <v>4200</v>
      </c>
      <c r="J38" s="10">
        <v>4200</v>
      </c>
      <c r="K38" s="10">
        <v>280</v>
      </c>
      <c r="L38" s="12">
        <v>25</v>
      </c>
      <c r="M38" s="12">
        <v>13</v>
      </c>
      <c r="N38" s="10">
        <v>18</v>
      </c>
    </row>
    <row r="39" spans="6:14" x14ac:dyDescent="0.3">
      <c r="F39" s="7">
        <v>19</v>
      </c>
      <c r="H39" s="10">
        <v>4</v>
      </c>
      <c r="I39" s="10">
        <v>4200</v>
      </c>
      <c r="J39" s="10">
        <v>4200</v>
      </c>
      <c r="K39" s="10">
        <v>280</v>
      </c>
      <c r="L39" s="12">
        <v>25</v>
      </c>
      <c r="M39" s="12">
        <v>13</v>
      </c>
      <c r="N39" s="10">
        <v>20</v>
      </c>
    </row>
    <row r="40" spans="6:14" x14ac:dyDescent="0.3">
      <c r="F40" s="7">
        <v>20</v>
      </c>
      <c r="H40" s="10">
        <v>4</v>
      </c>
      <c r="I40" s="10">
        <v>4200</v>
      </c>
      <c r="J40" s="10">
        <v>4200</v>
      </c>
      <c r="K40" s="10">
        <v>280</v>
      </c>
      <c r="L40" s="12">
        <v>25</v>
      </c>
      <c r="M40" s="12">
        <v>13</v>
      </c>
      <c r="N40" s="10">
        <v>25</v>
      </c>
    </row>
    <row r="41" spans="6:14" x14ac:dyDescent="0.3">
      <c r="F41" s="7">
        <v>21</v>
      </c>
      <c r="H41" s="10">
        <v>4</v>
      </c>
      <c r="I41" s="10">
        <v>4200</v>
      </c>
      <c r="J41" s="10">
        <v>4200</v>
      </c>
      <c r="K41" s="10">
        <v>350</v>
      </c>
      <c r="L41" s="12">
        <v>22</v>
      </c>
      <c r="M41" s="12">
        <v>10</v>
      </c>
      <c r="N41" s="10">
        <v>10</v>
      </c>
    </row>
    <row r="42" spans="6:14" x14ac:dyDescent="0.3">
      <c r="F42" s="7">
        <v>22</v>
      </c>
      <c r="H42" s="10">
        <v>4</v>
      </c>
      <c r="I42" s="10">
        <v>4200</v>
      </c>
      <c r="J42" s="10">
        <v>4200</v>
      </c>
      <c r="K42" s="10">
        <v>350</v>
      </c>
      <c r="L42" s="12">
        <v>22</v>
      </c>
      <c r="M42" s="12">
        <v>10</v>
      </c>
      <c r="N42" s="10">
        <v>15</v>
      </c>
    </row>
    <row r="43" spans="6:14" x14ac:dyDescent="0.3">
      <c r="F43" s="7">
        <v>23</v>
      </c>
      <c r="H43" s="10">
        <v>4</v>
      </c>
      <c r="I43" s="10">
        <v>4200</v>
      </c>
      <c r="J43" s="10">
        <v>4200</v>
      </c>
      <c r="K43" s="10">
        <v>350</v>
      </c>
      <c r="L43" s="12">
        <v>22</v>
      </c>
      <c r="M43" s="12">
        <v>10</v>
      </c>
      <c r="N43" s="10">
        <v>18</v>
      </c>
    </row>
    <row r="44" spans="6:14" x14ac:dyDescent="0.3">
      <c r="F44" s="7">
        <v>24</v>
      </c>
      <c r="H44" s="10">
        <v>4</v>
      </c>
      <c r="I44" s="10">
        <v>4200</v>
      </c>
      <c r="J44" s="10">
        <v>4200</v>
      </c>
      <c r="K44" s="10">
        <v>350</v>
      </c>
      <c r="L44" s="12">
        <v>22</v>
      </c>
      <c r="M44" s="12">
        <v>10</v>
      </c>
      <c r="N44" s="10">
        <v>20</v>
      </c>
    </row>
    <row r="45" spans="6:14" x14ac:dyDescent="0.3">
      <c r="F45" s="7">
        <v>25</v>
      </c>
      <c r="H45" s="10">
        <v>4</v>
      </c>
      <c r="I45" s="10">
        <v>4200</v>
      </c>
      <c r="J45" s="10">
        <v>4200</v>
      </c>
      <c r="K45" s="10">
        <v>350</v>
      </c>
      <c r="L45" s="12">
        <v>22</v>
      </c>
      <c r="M45" s="12">
        <v>10</v>
      </c>
      <c r="N45" s="10">
        <v>25</v>
      </c>
    </row>
    <row r="46" spans="6:14" x14ac:dyDescent="0.3">
      <c r="F46" s="7">
        <v>26</v>
      </c>
      <c r="H46" s="10">
        <v>4</v>
      </c>
      <c r="I46" s="10">
        <v>4200</v>
      </c>
      <c r="J46" s="10">
        <v>4200</v>
      </c>
      <c r="K46" s="10">
        <v>350</v>
      </c>
      <c r="L46" s="12">
        <v>22</v>
      </c>
      <c r="M46" s="12">
        <v>13</v>
      </c>
      <c r="N46" s="10">
        <v>10</v>
      </c>
    </row>
    <row r="47" spans="6:14" x14ac:dyDescent="0.3">
      <c r="F47" s="7">
        <v>27</v>
      </c>
      <c r="H47" s="10">
        <v>4</v>
      </c>
      <c r="I47" s="10">
        <v>4200</v>
      </c>
      <c r="J47" s="10">
        <v>4200</v>
      </c>
      <c r="K47" s="10">
        <v>350</v>
      </c>
      <c r="L47" s="12">
        <v>22</v>
      </c>
      <c r="M47" s="12">
        <v>13</v>
      </c>
      <c r="N47" s="10">
        <v>15</v>
      </c>
    </row>
    <row r="48" spans="6:14" x14ac:dyDescent="0.3">
      <c r="F48" s="7">
        <v>28</v>
      </c>
      <c r="H48" s="10">
        <v>4</v>
      </c>
      <c r="I48" s="10">
        <v>4200</v>
      </c>
      <c r="J48" s="10">
        <v>4200</v>
      </c>
      <c r="K48" s="10">
        <v>350</v>
      </c>
      <c r="L48" s="12">
        <v>22</v>
      </c>
      <c r="M48" s="12">
        <v>13</v>
      </c>
      <c r="N48" s="10">
        <v>18</v>
      </c>
    </row>
    <row r="49" spans="6:14" x14ac:dyDescent="0.3">
      <c r="F49" s="7">
        <v>29</v>
      </c>
      <c r="H49" s="10">
        <v>4</v>
      </c>
      <c r="I49" s="10">
        <v>4200</v>
      </c>
      <c r="J49" s="10">
        <v>4200</v>
      </c>
      <c r="K49" s="10">
        <v>350</v>
      </c>
      <c r="L49" s="12">
        <v>22</v>
      </c>
      <c r="M49" s="12">
        <v>13</v>
      </c>
      <c r="N49" s="10">
        <v>20</v>
      </c>
    </row>
    <row r="50" spans="6:14" x14ac:dyDescent="0.3">
      <c r="F50" s="7">
        <v>30</v>
      </c>
      <c r="H50" s="10">
        <v>4</v>
      </c>
      <c r="I50" s="10">
        <v>4200</v>
      </c>
      <c r="J50" s="10">
        <v>4200</v>
      </c>
      <c r="K50" s="10">
        <v>350</v>
      </c>
      <c r="L50" s="12">
        <v>22</v>
      </c>
      <c r="M50" s="12">
        <v>13</v>
      </c>
      <c r="N50" s="10">
        <v>25</v>
      </c>
    </row>
    <row r="51" spans="6:14" x14ac:dyDescent="0.3">
      <c r="F51" s="7">
        <v>31</v>
      </c>
      <c r="H51" s="10">
        <v>4</v>
      </c>
      <c r="I51" s="10">
        <v>4200</v>
      </c>
      <c r="J51" s="10">
        <v>4200</v>
      </c>
      <c r="K51" s="10">
        <v>350</v>
      </c>
      <c r="L51" s="12">
        <v>25</v>
      </c>
      <c r="M51" s="12">
        <v>10</v>
      </c>
      <c r="N51" s="10">
        <v>10</v>
      </c>
    </row>
    <row r="52" spans="6:14" x14ac:dyDescent="0.3">
      <c r="F52" s="7">
        <v>32</v>
      </c>
      <c r="H52" s="10">
        <v>4</v>
      </c>
      <c r="I52" s="10">
        <v>4200</v>
      </c>
      <c r="J52" s="10">
        <v>4200</v>
      </c>
      <c r="K52" s="10">
        <v>350</v>
      </c>
      <c r="L52" s="12">
        <v>25</v>
      </c>
      <c r="M52" s="12">
        <v>10</v>
      </c>
      <c r="N52" s="10">
        <v>15</v>
      </c>
    </row>
    <row r="53" spans="6:14" x14ac:dyDescent="0.3">
      <c r="F53" s="7">
        <v>33</v>
      </c>
      <c r="H53" s="10">
        <v>4</v>
      </c>
      <c r="I53" s="10">
        <v>4200</v>
      </c>
      <c r="J53" s="10">
        <v>4200</v>
      </c>
      <c r="K53" s="10">
        <v>350</v>
      </c>
      <c r="L53" s="12">
        <v>25</v>
      </c>
      <c r="M53" s="12">
        <v>10</v>
      </c>
      <c r="N53" s="10">
        <v>18</v>
      </c>
    </row>
    <row r="54" spans="6:14" x14ac:dyDescent="0.3">
      <c r="F54" s="7">
        <v>34</v>
      </c>
      <c r="H54" s="10">
        <v>4</v>
      </c>
      <c r="I54" s="10">
        <v>4200</v>
      </c>
      <c r="J54" s="10">
        <v>4200</v>
      </c>
      <c r="K54" s="10">
        <v>350</v>
      </c>
      <c r="L54" s="12">
        <v>25</v>
      </c>
      <c r="M54" s="12">
        <v>10</v>
      </c>
      <c r="N54" s="10">
        <v>20</v>
      </c>
    </row>
    <row r="55" spans="6:14" x14ac:dyDescent="0.3">
      <c r="F55" s="7">
        <v>35</v>
      </c>
      <c r="H55" s="10">
        <v>4</v>
      </c>
      <c r="I55" s="10">
        <v>4200</v>
      </c>
      <c r="J55" s="10">
        <v>4200</v>
      </c>
      <c r="K55" s="10">
        <v>350</v>
      </c>
      <c r="L55" s="12">
        <v>25</v>
      </c>
      <c r="M55" s="12">
        <v>10</v>
      </c>
      <c r="N55" s="10">
        <v>25</v>
      </c>
    </row>
    <row r="56" spans="6:14" x14ac:dyDescent="0.3">
      <c r="F56" s="7">
        <v>36</v>
      </c>
      <c r="H56" s="10">
        <v>4</v>
      </c>
      <c r="I56" s="10">
        <v>4200</v>
      </c>
      <c r="J56" s="10">
        <v>4200</v>
      </c>
      <c r="K56" s="10">
        <v>350</v>
      </c>
      <c r="L56" s="12">
        <v>25</v>
      </c>
      <c r="M56" s="12">
        <v>13</v>
      </c>
      <c r="N56" s="10">
        <v>10</v>
      </c>
    </row>
    <row r="57" spans="6:14" x14ac:dyDescent="0.3">
      <c r="F57" s="7">
        <v>37</v>
      </c>
      <c r="H57" s="10">
        <v>4</v>
      </c>
      <c r="I57" s="10">
        <v>4200</v>
      </c>
      <c r="J57" s="10">
        <v>4200</v>
      </c>
      <c r="K57" s="10">
        <v>350</v>
      </c>
      <c r="L57" s="12">
        <v>25</v>
      </c>
      <c r="M57" s="12">
        <v>13</v>
      </c>
      <c r="N57" s="10">
        <v>15</v>
      </c>
    </row>
    <row r="58" spans="6:14" x14ac:dyDescent="0.3">
      <c r="F58" s="7">
        <v>38</v>
      </c>
      <c r="H58" s="10">
        <v>4</v>
      </c>
      <c r="I58" s="10">
        <v>4200</v>
      </c>
      <c r="J58" s="10">
        <v>4200</v>
      </c>
      <c r="K58" s="10">
        <v>350</v>
      </c>
      <c r="L58" s="12">
        <v>25</v>
      </c>
      <c r="M58" s="12">
        <v>13</v>
      </c>
      <c r="N58" s="10">
        <v>18</v>
      </c>
    </row>
    <row r="59" spans="6:14" x14ac:dyDescent="0.3">
      <c r="F59" s="7">
        <v>39</v>
      </c>
      <c r="H59" s="10">
        <v>4</v>
      </c>
      <c r="I59" s="10">
        <v>4200</v>
      </c>
      <c r="J59" s="10">
        <v>4200</v>
      </c>
      <c r="K59" s="10">
        <v>350</v>
      </c>
      <c r="L59" s="12">
        <v>25</v>
      </c>
      <c r="M59" s="12">
        <v>13</v>
      </c>
      <c r="N59" s="10">
        <v>20</v>
      </c>
    </row>
    <row r="60" spans="6:14" x14ac:dyDescent="0.3">
      <c r="F60" s="7">
        <v>40</v>
      </c>
      <c r="H60" s="10">
        <v>4</v>
      </c>
      <c r="I60" s="10">
        <v>4200</v>
      </c>
      <c r="J60" s="10">
        <v>4200</v>
      </c>
      <c r="K60" s="10">
        <v>350</v>
      </c>
      <c r="L60" s="12">
        <v>25</v>
      </c>
      <c r="M60" s="12">
        <v>13</v>
      </c>
      <c r="N60" s="10">
        <v>25</v>
      </c>
    </row>
    <row r="61" spans="6:14" x14ac:dyDescent="0.3">
      <c r="F61" s="7">
        <v>41</v>
      </c>
      <c r="H61" s="10">
        <v>4</v>
      </c>
      <c r="I61" s="10">
        <v>4200</v>
      </c>
      <c r="J61" s="10">
        <v>4200</v>
      </c>
      <c r="K61" s="10">
        <v>420</v>
      </c>
      <c r="L61" s="12">
        <v>22</v>
      </c>
      <c r="M61" s="12">
        <v>10</v>
      </c>
      <c r="N61" s="10">
        <v>10</v>
      </c>
    </row>
    <row r="62" spans="6:14" x14ac:dyDescent="0.3">
      <c r="F62" s="7">
        <v>42</v>
      </c>
      <c r="H62" s="10">
        <v>4</v>
      </c>
      <c r="I62" s="10">
        <v>4200</v>
      </c>
      <c r="J62" s="10">
        <v>4200</v>
      </c>
      <c r="K62" s="10">
        <v>420</v>
      </c>
      <c r="L62" s="12">
        <v>22</v>
      </c>
      <c r="M62" s="12">
        <v>10</v>
      </c>
      <c r="N62" s="10">
        <v>15</v>
      </c>
    </row>
    <row r="63" spans="6:14" x14ac:dyDescent="0.3">
      <c r="F63" s="7">
        <v>43</v>
      </c>
      <c r="H63" s="10">
        <v>4</v>
      </c>
      <c r="I63" s="10">
        <v>4200</v>
      </c>
      <c r="J63" s="10">
        <v>4200</v>
      </c>
      <c r="K63" s="10">
        <v>420</v>
      </c>
      <c r="L63" s="12">
        <v>22</v>
      </c>
      <c r="M63" s="12">
        <v>10</v>
      </c>
      <c r="N63" s="10">
        <v>18</v>
      </c>
    </row>
    <row r="64" spans="6:14" x14ac:dyDescent="0.3">
      <c r="F64" s="7">
        <v>44</v>
      </c>
      <c r="H64" s="10">
        <v>4</v>
      </c>
      <c r="I64" s="10">
        <v>4200</v>
      </c>
      <c r="J64" s="10">
        <v>4200</v>
      </c>
      <c r="K64" s="10">
        <v>420</v>
      </c>
      <c r="L64" s="12">
        <v>22</v>
      </c>
      <c r="M64" s="12">
        <v>10</v>
      </c>
      <c r="N64" s="10">
        <v>20</v>
      </c>
    </row>
    <row r="65" spans="6:14" x14ac:dyDescent="0.3">
      <c r="F65" s="7">
        <v>45</v>
      </c>
      <c r="H65" s="10">
        <v>4</v>
      </c>
      <c r="I65" s="10">
        <v>4200</v>
      </c>
      <c r="J65" s="10">
        <v>4200</v>
      </c>
      <c r="K65" s="10">
        <v>420</v>
      </c>
      <c r="L65" s="12">
        <v>22</v>
      </c>
      <c r="M65" s="12">
        <v>10</v>
      </c>
      <c r="N65" s="10">
        <v>25</v>
      </c>
    </row>
    <row r="66" spans="6:14" x14ac:dyDescent="0.3">
      <c r="F66" s="7">
        <v>46</v>
      </c>
      <c r="H66" s="10">
        <v>4</v>
      </c>
      <c r="I66" s="10">
        <v>4200</v>
      </c>
      <c r="J66" s="10">
        <v>4200</v>
      </c>
      <c r="K66" s="10">
        <v>420</v>
      </c>
      <c r="L66" s="12">
        <v>22</v>
      </c>
      <c r="M66" s="12">
        <v>13</v>
      </c>
      <c r="N66" s="10">
        <v>10</v>
      </c>
    </row>
    <row r="67" spans="6:14" x14ac:dyDescent="0.3">
      <c r="F67" s="7">
        <v>47</v>
      </c>
      <c r="H67" s="10">
        <v>4</v>
      </c>
      <c r="I67" s="10">
        <v>4200</v>
      </c>
      <c r="J67" s="10">
        <v>4200</v>
      </c>
      <c r="K67" s="10">
        <v>420</v>
      </c>
      <c r="L67" s="12">
        <v>22</v>
      </c>
      <c r="M67" s="12">
        <v>13</v>
      </c>
      <c r="N67" s="10">
        <v>15</v>
      </c>
    </row>
    <row r="68" spans="6:14" x14ac:dyDescent="0.3">
      <c r="F68" s="7">
        <v>48</v>
      </c>
      <c r="H68" s="10">
        <v>4</v>
      </c>
      <c r="I68" s="10">
        <v>4200</v>
      </c>
      <c r="J68" s="10">
        <v>4200</v>
      </c>
      <c r="K68" s="10">
        <v>420</v>
      </c>
      <c r="L68" s="12">
        <v>22</v>
      </c>
      <c r="M68" s="12">
        <v>13</v>
      </c>
      <c r="N68" s="10">
        <v>18</v>
      </c>
    </row>
    <row r="69" spans="6:14" x14ac:dyDescent="0.3">
      <c r="F69" s="7">
        <v>49</v>
      </c>
      <c r="H69" s="10">
        <v>4</v>
      </c>
      <c r="I69" s="10">
        <v>4200</v>
      </c>
      <c r="J69" s="10">
        <v>4200</v>
      </c>
      <c r="K69" s="10">
        <v>420</v>
      </c>
      <c r="L69" s="12">
        <v>22</v>
      </c>
      <c r="M69" s="12">
        <v>13</v>
      </c>
      <c r="N69" s="10">
        <v>20</v>
      </c>
    </row>
    <row r="70" spans="6:14" x14ac:dyDescent="0.3">
      <c r="F70" s="7">
        <v>50</v>
      </c>
      <c r="H70" s="10">
        <v>4</v>
      </c>
      <c r="I70" s="10">
        <v>4200</v>
      </c>
      <c r="J70" s="10">
        <v>4200</v>
      </c>
      <c r="K70" s="10">
        <v>420</v>
      </c>
      <c r="L70" s="12">
        <v>22</v>
      </c>
      <c r="M70" s="12">
        <v>13</v>
      </c>
      <c r="N70" s="10">
        <v>25</v>
      </c>
    </row>
    <row r="71" spans="6:14" x14ac:dyDescent="0.3">
      <c r="F71" s="7">
        <v>51</v>
      </c>
      <c r="H71" s="10">
        <v>4</v>
      </c>
      <c r="I71" s="10">
        <v>4200</v>
      </c>
      <c r="J71" s="10">
        <v>4200</v>
      </c>
      <c r="K71" s="10">
        <v>420</v>
      </c>
      <c r="L71" s="12">
        <v>25</v>
      </c>
      <c r="M71" s="12">
        <v>10</v>
      </c>
      <c r="N71" s="10">
        <v>10</v>
      </c>
    </row>
    <row r="72" spans="6:14" x14ac:dyDescent="0.3">
      <c r="F72" s="7">
        <v>52</v>
      </c>
      <c r="H72" s="10">
        <v>4</v>
      </c>
      <c r="I72" s="10">
        <v>4200</v>
      </c>
      <c r="J72" s="10">
        <v>4200</v>
      </c>
      <c r="K72" s="10">
        <v>420</v>
      </c>
      <c r="L72" s="12">
        <v>25</v>
      </c>
      <c r="M72" s="12">
        <v>10</v>
      </c>
      <c r="N72" s="10">
        <v>15</v>
      </c>
    </row>
    <row r="73" spans="6:14" x14ac:dyDescent="0.3">
      <c r="F73" s="7">
        <v>53</v>
      </c>
      <c r="H73" s="10">
        <v>4</v>
      </c>
      <c r="I73" s="10">
        <v>4200</v>
      </c>
      <c r="J73" s="10">
        <v>4200</v>
      </c>
      <c r="K73" s="10">
        <v>420</v>
      </c>
      <c r="L73" s="12">
        <v>25</v>
      </c>
      <c r="M73" s="12">
        <v>10</v>
      </c>
      <c r="N73" s="10">
        <v>18</v>
      </c>
    </row>
    <row r="74" spans="6:14" x14ac:dyDescent="0.3">
      <c r="F74" s="7">
        <v>54</v>
      </c>
      <c r="H74" s="10">
        <v>4</v>
      </c>
      <c r="I74" s="10">
        <v>4200</v>
      </c>
      <c r="J74" s="10">
        <v>4200</v>
      </c>
      <c r="K74" s="10">
        <v>420</v>
      </c>
      <c r="L74" s="12">
        <v>25</v>
      </c>
      <c r="M74" s="12">
        <v>10</v>
      </c>
      <c r="N74" s="10">
        <v>20</v>
      </c>
    </row>
    <row r="75" spans="6:14" x14ac:dyDescent="0.3">
      <c r="F75" s="7">
        <v>55</v>
      </c>
      <c r="H75" s="10">
        <v>4</v>
      </c>
      <c r="I75" s="10">
        <v>4200</v>
      </c>
      <c r="J75" s="10">
        <v>4200</v>
      </c>
      <c r="K75" s="10">
        <v>420</v>
      </c>
      <c r="L75" s="12">
        <v>25</v>
      </c>
      <c r="M75" s="12">
        <v>10</v>
      </c>
      <c r="N75" s="10">
        <v>25</v>
      </c>
    </row>
    <row r="76" spans="6:14" x14ac:dyDescent="0.3">
      <c r="F76" s="7">
        <v>56</v>
      </c>
      <c r="H76" s="10">
        <v>4</v>
      </c>
      <c r="I76" s="10">
        <v>4200</v>
      </c>
      <c r="J76" s="10">
        <v>4200</v>
      </c>
      <c r="K76" s="10">
        <v>420</v>
      </c>
      <c r="L76" s="12">
        <v>25</v>
      </c>
      <c r="M76" s="12">
        <v>13</v>
      </c>
      <c r="N76" s="10">
        <v>10</v>
      </c>
    </row>
    <row r="77" spans="6:14" x14ac:dyDescent="0.3">
      <c r="F77" s="7">
        <v>57</v>
      </c>
      <c r="H77" s="10">
        <v>4</v>
      </c>
      <c r="I77" s="10">
        <v>4200</v>
      </c>
      <c r="J77" s="10">
        <v>4200</v>
      </c>
      <c r="K77" s="10">
        <v>420</v>
      </c>
      <c r="L77" s="12">
        <v>25</v>
      </c>
      <c r="M77" s="12">
        <v>13</v>
      </c>
      <c r="N77" s="10">
        <v>15</v>
      </c>
    </row>
    <row r="78" spans="6:14" x14ac:dyDescent="0.3">
      <c r="F78" s="7">
        <v>58</v>
      </c>
      <c r="H78" s="10">
        <v>4</v>
      </c>
      <c r="I78" s="10">
        <v>4200</v>
      </c>
      <c r="J78" s="10">
        <v>4200</v>
      </c>
      <c r="K78" s="10">
        <v>420</v>
      </c>
      <c r="L78" s="12">
        <v>25</v>
      </c>
      <c r="M78" s="12">
        <v>13</v>
      </c>
      <c r="N78" s="10">
        <v>18</v>
      </c>
    </row>
    <row r="79" spans="6:14" x14ac:dyDescent="0.3">
      <c r="F79" s="7">
        <v>59</v>
      </c>
      <c r="H79" s="10">
        <v>4</v>
      </c>
      <c r="I79" s="10">
        <v>4200</v>
      </c>
      <c r="J79" s="10">
        <v>4200</v>
      </c>
      <c r="K79" s="10">
        <v>420</v>
      </c>
      <c r="L79" s="12">
        <v>25</v>
      </c>
      <c r="M79" s="12">
        <v>13</v>
      </c>
      <c r="N79" s="10">
        <v>20</v>
      </c>
    </row>
    <row r="80" spans="6:14" x14ac:dyDescent="0.3">
      <c r="F80" s="7">
        <v>60</v>
      </c>
      <c r="H80" s="10">
        <v>4</v>
      </c>
      <c r="I80" s="10">
        <v>4200</v>
      </c>
      <c r="J80" s="10">
        <v>4200</v>
      </c>
      <c r="K80" s="10">
        <v>420</v>
      </c>
      <c r="L80" s="12">
        <v>25</v>
      </c>
      <c r="M80" s="12">
        <v>13</v>
      </c>
      <c r="N80" s="10">
        <v>25</v>
      </c>
    </row>
    <row r="81" spans="6:14" x14ac:dyDescent="0.3">
      <c r="F81" s="7">
        <v>61</v>
      </c>
      <c r="H81" s="10">
        <v>4</v>
      </c>
      <c r="I81" s="10">
        <v>4200</v>
      </c>
      <c r="J81" s="10">
        <v>4200</v>
      </c>
      <c r="K81" s="10">
        <v>490</v>
      </c>
      <c r="L81" s="12">
        <v>22</v>
      </c>
      <c r="M81" s="12">
        <v>10</v>
      </c>
      <c r="N81" s="10">
        <v>10</v>
      </c>
    </row>
    <row r="82" spans="6:14" x14ac:dyDescent="0.3">
      <c r="F82" s="7">
        <v>62</v>
      </c>
      <c r="H82" s="10">
        <v>4</v>
      </c>
      <c r="I82" s="10">
        <v>4200</v>
      </c>
      <c r="J82" s="10">
        <v>4200</v>
      </c>
      <c r="K82" s="10">
        <v>490</v>
      </c>
      <c r="L82" s="12">
        <v>22</v>
      </c>
      <c r="M82" s="12">
        <v>10</v>
      </c>
      <c r="N82" s="10">
        <v>15</v>
      </c>
    </row>
    <row r="83" spans="6:14" x14ac:dyDescent="0.3">
      <c r="F83" s="7">
        <v>63</v>
      </c>
      <c r="H83" s="10">
        <v>4</v>
      </c>
      <c r="I83" s="10">
        <v>4200</v>
      </c>
      <c r="J83" s="10">
        <v>4200</v>
      </c>
      <c r="K83" s="10">
        <v>490</v>
      </c>
      <c r="L83" s="12">
        <v>22</v>
      </c>
      <c r="M83" s="12">
        <v>10</v>
      </c>
      <c r="N83" s="10">
        <v>18</v>
      </c>
    </row>
    <row r="84" spans="6:14" x14ac:dyDescent="0.3">
      <c r="F84" s="7">
        <v>64</v>
      </c>
      <c r="H84" s="10">
        <v>4</v>
      </c>
      <c r="I84" s="10">
        <v>4200</v>
      </c>
      <c r="J84" s="10">
        <v>4200</v>
      </c>
      <c r="K84" s="10">
        <v>490</v>
      </c>
      <c r="L84" s="12">
        <v>22</v>
      </c>
      <c r="M84" s="12">
        <v>10</v>
      </c>
      <c r="N84" s="10">
        <v>20</v>
      </c>
    </row>
    <row r="85" spans="6:14" x14ac:dyDescent="0.3">
      <c r="F85" s="7">
        <v>65</v>
      </c>
      <c r="H85" s="10">
        <v>4</v>
      </c>
      <c r="I85" s="10">
        <v>4200</v>
      </c>
      <c r="J85" s="10">
        <v>4200</v>
      </c>
      <c r="K85" s="10">
        <v>490</v>
      </c>
      <c r="L85" s="12">
        <v>22</v>
      </c>
      <c r="M85" s="12">
        <v>10</v>
      </c>
      <c r="N85" s="10">
        <v>25</v>
      </c>
    </row>
    <row r="86" spans="6:14" x14ac:dyDescent="0.3">
      <c r="F86" s="7">
        <v>66</v>
      </c>
      <c r="H86" s="10">
        <v>4</v>
      </c>
      <c r="I86" s="10">
        <v>4200</v>
      </c>
      <c r="J86" s="10">
        <v>4200</v>
      </c>
      <c r="K86" s="10">
        <v>490</v>
      </c>
      <c r="L86" s="12">
        <v>22</v>
      </c>
      <c r="M86" s="12">
        <v>13</v>
      </c>
      <c r="N86" s="10">
        <v>10</v>
      </c>
    </row>
    <row r="87" spans="6:14" x14ac:dyDescent="0.3">
      <c r="F87" s="7">
        <v>67</v>
      </c>
      <c r="H87" s="10">
        <v>4</v>
      </c>
      <c r="I87" s="10">
        <v>4200</v>
      </c>
      <c r="J87" s="10">
        <v>4200</v>
      </c>
      <c r="K87" s="10">
        <v>490</v>
      </c>
      <c r="L87" s="12">
        <v>22</v>
      </c>
      <c r="M87" s="12">
        <v>13</v>
      </c>
      <c r="N87" s="10">
        <v>15</v>
      </c>
    </row>
    <row r="88" spans="6:14" x14ac:dyDescent="0.3">
      <c r="F88" s="7">
        <v>68</v>
      </c>
      <c r="H88" s="10">
        <v>4</v>
      </c>
      <c r="I88" s="10">
        <v>4200</v>
      </c>
      <c r="J88" s="10">
        <v>4200</v>
      </c>
      <c r="K88" s="10">
        <v>490</v>
      </c>
      <c r="L88" s="12">
        <v>22</v>
      </c>
      <c r="M88" s="12">
        <v>13</v>
      </c>
      <c r="N88" s="10">
        <v>18</v>
      </c>
    </row>
    <row r="89" spans="6:14" x14ac:dyDescent="0.3">
      <c r="F89" s="7">
        <v>69</v>
      </c>
      <c r="H89" s="10">
        <v>4</v>
      </c>
      <c r="I89" s="10">
        <v>4200</v>
      </c>
      <c r="J89" s="10">
        <v>4200</v>
      </c>
      <c r="K89" s="10">
        <v>490</v>
      </c>
      <c r="L89" s="12">
        <v>22</v>
      </c>
      <c r="M89" s="12">
        <v>13</v>
      </c>
      <c r="N89" s="10">
        <v>20</v>
      </c>
    </row>
    <row r="90" spans="6:14" x14ac:dyDescent="0.3">
      <c r="F90" s="7">
        <v>70</v>
      </c>
      <c r="H90" s="10">
        <v>4</v>
      </c>
      <c r="I90" s="10">
        <v>4200</v>
      </c>
      <c r="J90" s="10">
        <v>4200</v>
      </c>
      <c r="K90" s="10">
        <v>490</v>
      </c>
      <c r="L90" s="12">
        <v>22</v>
      </c>
      <c r="M90" s="12">
        <v>13</v>
      </c>
      <c r="N90" s="10">
        <v>25</v>
      </c>
    </row>
    <row r="91" spans="6:14" x14ac:dyDescent="0.3">
      <c r="F91" s="7">
        <v>71</v>
      </c>
      <c r="H91" s="10">
        <v>4</v>
      </c>
      <c r="I91" s="10">
        <v>4200</v>
      </c>
      <c r="J91" s="10">
        <v>4200</v>
      </c>
      <c r="K91" s="10">
        <v>490</v>
      </c>
      <c r="L91" s="12">
        <v>25</v>
      </c>
      <c r="M91" s="12">
        <v>10</v>
      </c>
      <c r="N91" s="10">
        <v>10</v>
      </c>
    </row>
    <row r="92" spans="6:14" x14ac:dyDescent="0.3">
      <c r="F92" s="7">
        <v>72</v>
      </c>
      <c r="H92" s="10">
        <v>4</v>
      </c>
      <c r="I92" s="10">
        <v>4200</v>
      </c>
      <c r="J92" s="10">
        <v>4200</v>
      </c>
      <c r="K92" s="10">
        <v>490</v>
      </c>
      <c r="L92" s="12">
        <v>25</v>
      </c>
      <c r="M92" s="12">
        <v>10</v>
      </c>
      <c r="N92" s="10">
        <v>15</v>
      </c>
    </row>
    <row r="93" spans="6:14" x14ac:dyDescent="0.3">
      <c r="F93" s="7">
        <v>73</v>
      </c>
      <c r="H93" s="10">
        <v>4</v>
      </c>
      <c r="I93" s="10">
        <v>4200</v>
      </c>
      <c r="J93" s="10">
        <v>4200</v>
      </c>
      <c r="K93" s="10">
        <v>490</v>
      </c>
      <c r="L93" s="12">
        <v>25</v>
      </c>
      <c r="M93" s="12">
        <v>10</v>
      </c>
      <c r="N93" s="10">
        <v>18</v>
      </c>
    </row>
    <row r="94" spans="6:14" x14ac:dyDescent="0.3">
      <c r="F94" s="7">
        <v>74</v>
      </c>
      <c r="H94" s="10">
        <v>4</v>
      </c>
      <c r="I94" s="10">
        <v>4200</v>
      </c>
      <c r="J94" s="10">
        <v>4200</v>
      </c>
      <c r="K94" s="10">
        <v>490</v>
      </c>
      <c r="L94" s="12">
        <v>25</v>
      </c>
      <c r="M94" s="12">
        <v>10</v>
      </c>
      <c r="N94" s="10">
        <v>20</v>
      </c>
    </row>
    <row r="95" spans="6:14" x14ac:dyDescent="0.3">
      <c r="F95" s="7">
        <v>75</v>
      </c>
      <c r="H95" s="10">
        <v>4</v>
      </c>
      <c r="I95" s="10">
        <v>4200</v>
      </c>
      <c r="J95" s="10">
        <v>4200</v>
      </c>
      <c r="K95" s="10">
        <v>490</v>
      </c>
      <c r="L95" s="12">
        <v>25</v>
      </c>
      <c r="M95" s="12">
        <v>10</v>
      </c>
      <c r="N95" s="10">
        <v>25</v>
      </c>
    </row>
    <row r="96" spans="6:14" x14ac:dyDescent="0.3">
      <c r="F96" s="7">
        <v>76</v>
      </c>
      <c r="H96" s="10">
        <v>4</v>
      </c>
      <c r="I96" s="10">
        <v>4200</v>
      </c>
      <c r="J96" s="10">
        <v>4200</v>
      </c>
      <c r="K96" s="10">
        <v>490</v>
      </c>
      <c r="L96" s="12">
        <v>25</v>
      </c>
      <c r="M96" s="12">
        <v>13</v>
      </c>
      <c r="N96" s="10">
        <v>10</v>
      </c>
    </row>
    <row r="97" spans="6:14" x14ac:dyDescent="0.3">
      <c r="F97" s="7">
        <v>77</v>
      </c>
      <c r="H97" s="10">
        <v>4</v>
      </c>
      <c r="I97" s="10">
        <v>4200</v>
      </c>
      <c r="J97" s="10">
        <v>4200</v>
      </c>
      <c r="K97" s="10">
        <v>490</v>
      </c>
      <c r="L97" s="12">
        <v>25</v>
      </c>
      <c r="M97" s="12">
        <v>13</v>
      </c>
      <c r="N97" s="10">
        <v>15</v>
      </c>
    </row>
    <row r="98" spans="6:14" x14ac:dyDescent="0.3">
      <c r="F98" s="7">
        <v>78</v>
      </c>
      <c r="H98" s="10">
        <v>4</v>
      </c>
      <c r="I98" s="10">
        <v>4200</v>
      </c>
      <c r="J98" s="10">
        <v>4200</v>
      </c>
      <c r="K98" s="10">
        <v>490</v>
      </c>
      <c r="L98" s="12">
        <v>25</v>
      </c>
      <c r="M98" s="12">
        <v>13</v>
      </c>
      <c r="N98" s="10">
        <v>18</v>
      </c>
    </row>
    <row r="99" spans="6:14" x14ac:dyDescent="0.3">
      <c r="F99" s="7">
        <v>79</v>
      </c>
      <c r="H99" s="10">
        <v>4</v>
      </c>
      <c r="I99" s="10">
        <v>4200</v>
      </c>
      <c r="J99" s="10">
        <v>4200</v>
      </c>
      <c r="K99" s="10">
        <v>490</v>
      </c>
      <c r="L99" s="12">
        <v>25</v>
      </c>
      <c r="M99" s="12">
        <v>13</v>
      </c>
      <c r="N99" s="10">
        <v>20</v>
      </c>
    </row>
    <row r="100" spans="6:14" x14ac:dyDescent="0.3">
      <c r="F100" s="7">
        <v>80</v>
      </c>
      <c r="H100" s="10">
        <v>4</v>
      </c>
      <c r="I100" s="10">
        <v>4200</v>
      </c>
      <c r="J100" s="10">
        <v>4200</v>
      </c>
      <c r="K100" s="10">
        <v>490</v>
      </c>
      <c r="L100" s="12">
        <v>25</v>
      </c>
      <c r="M100" s="12">
        <v>13</v>
      </c>
      <c r="N100" s="10">
        <v>25</v>
      </c>
    </row>
  </sheetData>
  <sortState sortMethod="pinYin" ref="N5:N19">
    <sortCondition ref="N5"/>
  </sortState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3">
    <tabColor rgb="FF00B050"/>
  </sheetPr>
  <dimension ref="B2:O113"/>
  <sheetViews>
    <sheetView tabSelected="1" workbookViewId="0">
      <selection activeCell="C12" sqref="C12"/>
    </sheetView>
  </sheetViews>
  <sheetFormatPr defaultColWidth="8.77734375" defaultRowHeight="15.6" x14ac:dyDescent="0.3"/>
  <cols>
    <col min="1" max="1" width="8.77734375" style="1"/>
    <col min="2" max="2" width="13.6640625" style="1" customWidth="1"/>
    <col min="3" max="16384" width="8.77734375" style="1"/>
  </cols>
  <sheetData>
    <row r="2" spans="2:3" x14ac:dyDescent="0.3">
      <c r="B2" s="1" t="s">
        <v>3</v>
      </c>
      <c r="C2" s="6" t="s">
        <v>8</v>
      </c>
    </row>
    <row r="3" spans="2:3" x14ac:dyDescent="0.3">
      <c r="B3" s="1" t="s">
        <v>4</v>
      </c>
      <c r="C3" s="2">
        <v>1.4</v>
      </c>
    </row>
    <row r="4" spans="2:3" x14ac:dyDescent="0.3">
      <c r="B4" s="1" t="s">
        <v>5</v>
      </c>
      <c r="C4" s="2">
        <v>1.4</v>
      </c>
    </row>
    <row r="5" spans="2:3" x14ac:dyDescent="0.3">
      <c r="C5" s="1" t="s">
        <v>6</v>
      </c>
    </row>
    <row r="6" spans="2:3" x14ac:dyDescent="0.3">
      <c r="B6" s="3" t="s">
        <v>7</v>
      </c>
    </row>
    <row r="7" spans="2:3" s="26" customFormat="1" x14ac:dyDescent="0.3">
      <c r="B7" s="27"/>
    </row>
    <row r="8" spans="2:3" s="26" customFormat="1" x14ac:dyDescent="0.3">
      <c r="B8" s="1" t="str">
        <f>"Welcome to the version "&amp;C3&amp;" release of "&amp;C2&amp;". There are a number of significant updates in this version that we hope you will like, some of the key highlights include:"</f>
        <v>Welcome to the version 1.4 release of 搭接長度精細計算. There are a number of significant updates in this version that we hope you will like, some of the key highlights include:</v>
      </c>
    </row>
    <row r="9" spans="2:3" s="26" customFormat="1" x14ac:dyDescent="0.3">
      <c r="B9" s="27"/>
    </row>
    <row r="10" spans="2:3" s="26" customFormat="1" x14ac:dyDescent="0.3">
      <c r="B10" s="27">
        <v>1</v>
      </c>
      <c r="C10" s="26" t="s">
        <v>41</v>
      </c>
    </row>
    <row r="11" spans="2:3" s="26" customFormat="1" ht="16.2" x14ac:dyDescent="0.3">
      <c r="B11" s="27">
        <v>2</v>
      </c>
      <c r="C11" s="29" t="s">
        <v>44</v>
      </c>
    </row>
    <row r="12" spans="2:3" s="26" customFormat="1" x14ac:dyDescent="0.3">
      <c r="B12" s="27"/>
    </row>
    <row r="13" spans="2:3" s="5" customFormat="1" x14ac:dyDescent="0.3"/>
    <row r="14" spans="2:3" s="26" customFormat="1" x14ac:dyDescent="0.3">
      <c r="B14" s="26" t="str">
        <f>"The release notes are arranged in the following sections related to "&amp;$C$2&amp;" focus areas. Here are some further updates:"</f>
        <v>The release notes are arranged in the following sections related to 搭接長度精細計算 focus areas. Here are some further updates:</v>
      </c>
    </row>
    <row r="15" spans="2:3" s="5" customFormat="1" x14ac:dyDescent="0.3"/>
    <row r="16" spans="2:3" s="26" customFormat="1" x14ac:dyDescent="0.3">
      <c r="B16" s="1" t="s">
        <v>42</v>
      </c>
    </row>
    <row r="17" spans="2:3" s="26" customFormat="1" x14ac:dyDescent="0.3">
      <c r="B17" s="27"/>
    </row>
    <row r="18" spans="2:3" s="26" customFormat="1" x14ac:dyDescent="0.3">
      <c r="B18" s="27">
        <v>1</v>
      </c>
      <c r="C18" s="26" t="s">
        <v>30</v>
      </c>
    </row>
    <row r="19" spans="2:3" s="26" customFormat="1" x14ac:dyDescent="0.3">
      <c r="B19" s="27"/>
    </row>
    <row r="20" spans="2:3" s="26" customFormat="1" x14ac:dyDescent="0.3">
      <c r="B20" s="27"/>
    </row>
    <row r="21" spans="2:3" s="26" customFormat="1" x14ac:dyDescent="0.3">
      <c r="B21" s="27"/>
    </row>
    <row r="22" spans="2:3" s="26" customFormat="1" x14ac:dyDescent="0.3">
      <c r="B22" s="27"/>
    </row>
    <row r="23" spans="2:3" s="26" customFormat="1" x14ac:dyDescent="0.3">
      <c r="B23" s="27"/>
    </row>
    <row r="24" spans="2:3" s="26" customFormat="1" x14ac:dyDescent="0.3">
      <c r="B24" s="27"/>
    </row>
    <row r="25" spans="2:3" s="26" customFormat="1" x14ac:dyDescent="0.3">
      <c r="B25" s="27"/>
    </row>
    <row r="26" spans="2:3" s="26" customFormat="1" x14ac:dyDescent="0.3">
      <c r="B26" s="27"/>
    </row>
    <row r="27" spans="2:3" s="26" customFormat="1" x14ac:dyDescent="0.3">
      <c r="B27" s="27"/>
    </row>
    <row r="28" spans="2:3" s="26" customFormat="1" x14ac:dyDescent="0.3">
      <c r="B28" s="27"/>
    </row>
    <row r="29" spans="2:3" s="26" customFormat="1" x14ac:dyDescent="0.3">
      <c r="B29" s="27"/>
    </row>
    <row r="30" spans="2:3" s="26" customFormat="1" x14ac:dyDescent="0.3">
      <c r="B30" s="27"/>
    </row>
    <row r="31" spans="2:3" s="26" customFormat="1" x14ac:dyDescent="0.3">
      <c r="B31" s="27"/>
    </row>
    <row r="32" spans="2:3" s="26" customFormat="1" x14ac:dyDescent="0.3">
      <c r="B32" s="27"/>
    </row>
    <row r="33" spans="2:15" s="4" customFormat="1" x14ac:dyDescent="0.3"/>
    <row r="34" spans="2:15" x14ac:dyDescent="0.3">
      <c r="B34" s="1" t="s">
        <v>31</v>
      </c>
    </row>
    <row r="36" spans="2:15" s="26" customFormat="1" x14ac:dyDescent="0.3">
      <c r="B36" s="27">
        <v>1</v>
      </c>
      <c r="C36" s="26" t="s">
        <v>26</v>
      </c>
    </row>
    <row r="37" spans="2:15" s="26" customFormat="1" x14ac:dyDescent="0.3">
      <c r="B37" s="27"/>
    </row>
    <row r="38" spans="2:15" s="26" customFormat="1" x14ac:dyDescent="0.3">
      <c r="B38" s="28" t="s">
        <v>27</v>
      </c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</row>
    <row r="39" spans="2:15" s="26" customFormat="1" x14ac:dyDescent="0.3">
      <c r="B39" s="27"/>
    </row>
    <row r="40" spans="2:15" s="26" customFormat="1" x14ac:dyDescent="0.3">
      <c r="B40" s="27"/>
    </row>
    <row r="41" spans="2:15" s="26" customFormat="1" x14ac:dyDescent="0.3">
      <c r="B41" s="27"/>
    </row>
    <row r="42" spans="2:15" s="26" customFormat="1" x14ac:dyDescent="0.3">
      <c r="B42" s="27"/>
    </row>
    <row r="43" spans="2:15" s="26" customFormat="1" x14ac:dyDescent="0.3">
      <c r="B43" s="27"/>
    </row>
    <row r="44" spans="2:15" s="26" customFormat="1" x14ac:dyDescent="0.3">
      <c r="B44" s="27"/>
    </row>
    <row r="45" spans="2:15" s="26" customFormat="1" x14ac:dyDescent="0.3">
      <c r="B45" s="27"/>
    </row>
    <row r="46" spans="2:15" s="26" customFormat="1" x14ac:dyDescent="0.3">
      <c r="B46" s="27"/>
    </row>
    <row r="47" spans="2:15" s="26" customFormat="1" x14ac:dyDescent="0.3">
      <c r="B47" s="27"/>
    </row>
    <row r="48" spans="2:15" s="26" customFormat="1" x14ac:dyDescent="0.3">
      <c r="B48" s="27"/>
    </row>
    <row r="49" spans="2:15" s="26" customFormat="1" x14ac:dyDescent="0.3">
      <c r="B49" s="27"/>
    </row>
    <row r="50" spans="2:15" s="26" customFormat="1" x14ac:dyDescent="0.3">
      <c r="B50" s="27"/>
    </row>
    <row r="51" spans="2:15" s="26" customFormat="1" x14ac:dyDescent="0.3">
      <c r="B51" s="27"/>
    </row>
    <row r="52" spans="2:15" s="26" customFormat="1" x14ac:dyDescent="0.3">
      <c r="B52" s="27"/>
    </row>
    <row r="53" spans="2:15" s="26" customFormat="1" x14ac:dyDescent="0.3">
      <c r="B53" s="27"/>
    </row>
    <row r="54" spans="2:15" s="26" customFormat="1" x14ac:dyDescent="0.3">
      <c r="B54" s="28" t="s">
        <v>28</v>
      </c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</row>
    <row r="55" spans="2:15" s="26" customFormat="1" x14ac:dyDescent="0.3">
      <c r="B55" s="27"/>
    </row>
    <row r="56" spans="2:15" s="26" customFormat="1" x14ac:dyDescent="0.3">
      <c r="B56" s="27"/>
    </row>
    <row r="57" spans="2:15" s="26" customFormat="1" x14ac:dyDescent="0.3">
      <c r="B57" s="27"/>
    </row>
    <row r="58" spans="2:15" s="26" customFormat="1" x14ac:dyDescent="0.3">
      <c r="B58" s="27"/>
    </row>
    <row r="59" spans="2:15" s="26" customFormat="1" x14ac:dyDescent="0.3">
      <c r="B59" s="27"/>
    </row>
    <row r="60" spans="2:15" s="26" customFormat="1" x14ac:dyDescent="0.3">
      <c r="B60" s="27"/>
    </row>
    <row r="61" spans="2:15" s="26" customFormat="1" x14ac:dyDescent="0.3">
      <c r="B61" s="27"/>
    </row>
    <row r="62" spans="2:15" s="26" customFormat="1" x14ac:dyDescent="0.3">
      <c r="B62" s="27"/>
    </row>
    <row r="63" spans="2:15" s="26" customFormat="1" x14ac:dyDescent="0.3">
      <c r="B63" s="27"/>
    </row>
    <row r="64" spans="2:15" s="26" customFormat="1" x14ac:dyDescent="0.3">
      <c r="B64" s="27"/>
    </row>
    <row r="65" spans="2:3" s="26" customFormat="1" x14ac:dyDescent="0.3">
      <c r="B65" s="27"/>
    </row>
    <row r="66" spans="2:3" s="26" customFormat="1" x14ac:dyDescent="0.3">
      <c r="B66" s="27"/>
    </row>
    <row r="67" spans="2:3" s="26" customFormat="1" x14ac:dyDescent="0.3">
      <c r="B67" s="27"/>
    </row>
    <row r="68" spans="2:3" s="26" customFormat="1" x14ac:dyDescent="0.3">
      <c r="B68" s="27"/>
    </row>
    <row r="69" spans="2:3" s="26" customFormat="1" x14ac:dyDescent="0.3">
      <c r="B69" s="27"/>
    </row>
    <row r="70" spans="2:3" s="26" customFormat="1" x14ac:dyDescent="0.3">
      <c r="B70" s="27"/>
    </row>
    <row r="71" spans="2:3" s="26" customFormat="1" x14ac:dyDescent="0.3">
      <c r="B71" s="27"/>
    </row>
    <row r="72" spans="2:3" s="26" customFormat="1" x14ac:dyDescent="0.3">
      <c r="B72" s="27"/>
    </row>
    <row r="73" spans="2:3" s="4" customFormat="1" x14ac:dyDescent="0.3"/>
    <row r="74" spans="2:3" x14ac:dyDescent="0.3">
      <c r="B74" s="1" t="s">
        <v>29</v>
      </c>
    </row>
    <row r="76" spans="2:3" s="26" customFormat="1" x14ac:dyDescent="0.3">
      <c r="B76" s="27">
        <v>1</v>
      </c>
      <c r="C76" s="26" t="s">
        <v>23</v>
      </c>
    </row>
    <row r="77" spans="2:3" s="26" customFormat="1" x14ac:dyDescent="0.3">
      <c r="B77" s="27">
        <v>2</v>
      </c>
      <c r="C77" s="26" t="s">
        <v>24</v>
      </c>
    </row>
    <row r="78" spans="2:3" s="26" customFormat="1" x14ac:dyDescent="0.3">
      <c r="B78" s="27">
        <v>3</v>
      </c>
      <c r="C78" s="26" t="s">
        <v>25</v>
      </c>
    </row>
    <row r="79" spans="2:3" s="4" customFormat="1" x14ac:dyDescent="0.3"/>
    <row r="80" spans="2:3" x14ac:dyDescent="0.3">
      <c r="B80" s="1" t="s">
        <v>21</v>
      </c>
    </row>
    <row r="82" spans="2:3" s="26" customFormat="1" x14ac:dyDescent="0.3">
      <c r="B82" s="27">
        <v>1</v>
      </c>
      <c r="C82" s="26" t="s">
        <v>22</v>
      </c>
    </row>
    <row r="83" spans="2:3" s="26" customFormat="1" x14ac:dyDescent="0.3">
      <c r="B83" s="27">
        <v>2</v>
      </c>
      <c r="C83" s="26" t="s">
        <v>23</v>
      </c>
    </row>
    <row r="84" spans="2:3" s="4" customFormat="1" x14ac:dyDescent="0.3"/>
    <row r="85" spans="2:3" x14ac:dyDescent="0.3">
      <c r="B85" s="1" t="s">
        <v>13</v>
      </c>
    </row>
    <row r="87" spans="2:3" s="26" customFormat="1" x14ac:dyDescent="0.3">
      <c r="B87" s="27">
        <v>1</v>
      </c>
      <c r="C87" s="26" t="s">
        <v>14</v>
      </c>
    </row>
    <row r="88" spans="2:3" s="26" customFormat="1" x14ac:dyDescent="0.3">
      <c r="B88" s="27">
        <v>2</v>
      </c>
      <c r="C88" s="26" t="s">
        <v>15</v>
      </c>
    </row>
    <row r="89" spans="2:3" s="26" customFormat="1" x14ac:dyDescent="0.3">
      <c r="B89" s="27"/>
    </row>
    <row r="90" spans="2:3" s="4" customFormat="1" x14ac:dyDescent="0.3"/>
    <row r="91" spans="2:3" x14ac:dyDescent="0.3">
      <c r="B91" s="1" t="s">
        <v>9</v>
      </c>
    </row>
    <row r="93" spans="2:3" s="26" customFormat="1" x14ac:dyDescent="0.3">
      <c r="B93" s="27">
        <v>1</v>
      </c>
      <c r="C93" s="26" t="s">
        <v>16</v>
      </c>
    </row>
    <row r="94" spans="2:3" s="26" customFormat="1" x14ac:dyDescent="0.3">
      <c r="B94" s="27">
        <v>2</v>
      </c>
      <c r="C94" s="26" t="s">
        <v>17</v>
      </c>
    </row>
    <row r="95" spans="2:3" s="26" customFormat="1" x14ac:dyDescent="0.3">
      <c r="B95" s="27">
        <v>3</v>
      </c>
      <c r="C95" s="26" t="s">
        <v>18</v>
      </c>
    </row>
    <row r="96" spans="2:3" s="5" customFormat="1" x14ac:dyDescent="0.3"/>
    <row r="97" spans="2:3" x14ac:dyDescent="0.3">
      <c r="B97" s="1" t="s">
        <v>10</v>
      </c>
    </row>
    <row r="99" spans="2:3" s="26" customFormat="1" x14ac:dyDescent="0.3">
      <c r="B99" s="27">
        <v>1</v>
      </c>
      <c r="C99" s="26" t="s">
        <v>11</v>
      </c>
    </row>
    <row r="100" spans="2:3" s="26" customFormat="1" x14ac:dyDescent="0.3">
      <c r="B100" s="27"/>
    </row>
    <row r="101" spans="2:3" s="26" customFormat="1" x14ac:dyDescent="0.3">
      <c r="B101" s="27"/>
    </row>
    <row r="102" spans="2:3" s="26" customFormat="1" x14ac:dyDescent="0.3">
      <c r="B102" s="27"/>
    </row>
    <row r="103" spans="2:3" s="26" customFormat="1" x14ac:dyDescent="0.3">
      <c r="B103" s="27"/>
    </row>
    <row r="104" spans="2:3" s="26" customFormat="1" x14ac:dyDescent="0.3">
      <c r="B104" s="27"/>
    </row>
    <row r="105" spans="2:3" s="26" customFormat="1" x14ac:dyDescent="0.3">
      <c r="B105" s="27"/>
    </row>
    <row r="106" spans="2:3" s="26" customFormat="1" x14ac:dyDescent="0.3">
      <c r="B106" s="27"/>
    </row>
    <row r="107" spans="2:3" s="5" customFormat="1" x14ac:dyDescent="0.3"/>
    <row r="108" spans="2:3" s="26" customFormat="1" x14ac:dyDescent="0.3">
      <c r="B108" s="26" t="s">
        <v>19</v>
      </c>
    </row>
    <row r="109" spans="2:3" s="26" customFormat="1" x14ac:dyDescent="0.3"/>
    <row r="110" spans="2:3" s="26" customFormat="1" x14ac:dyDescent="0.3">
      <c r="B110" s="27">
        <v>1</v>
      </c>
      <c r="C110" s="26" t="s">
        <v>12</v>
      </c>
    </row>
    <row r="111" spans="2:3" s="26" customFormat="1" x14ac:dyDescent="0.3">
      <c r="B111" s="27"/>
    </row>
    <row r="112" spans="2:3" s="26" customFormat="1" x14ac:dyDescent="0.3">
      <c r="B112" s="27"/>
    </row>
    <row r="113" spans="2:2" s="26" customFormat="1" x14ac:dyDescent="0.3">
      <c r="B113" s="27"/>
    </row>
  </sheetData>
  <mergeCells count="2">
    <mergeCell ref="B54:O54"/>
    <mergeCell ref="B38:O38"/>
  </mergeCells>
  <phoneticPr fontId="3" type="noConversion"/>
  <hyperlinks>
    <hyperlink ref="B6" r:id="rId1" xr:uid="{00000000-0004-0000-0100-000000000000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搭接長度精細計算</vt:lpstr>
      <vt:lpstr>版本資訊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elementspublic</dc:creator>
  <cp:lastModifiedBy>elementspublic</cp:lastModifiedBy>
  <dcterms:created xsi:type="dcterms:W3CDTF">2018-01-16T07:39:24Z</dcterms:created>
  <dcterms:modified xsi:type="dcterms:W3CDTF">2018-01-30T11:23:52Z</dcterms:modified>
</cp:coreProperties>
</file>