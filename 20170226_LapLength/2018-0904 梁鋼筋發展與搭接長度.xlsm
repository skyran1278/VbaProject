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45" windowWidth="19395" windowHeight="7830" activeTab="3"/>
  </bookViews>
  <sheets>
    <sheet name="搭接長度計算表格" sheetId="19" r:id="rId1"/>
    <sheet name="計算表格" sheetId="2" r:id="rId2"/>
    <sheet name="圖說表格" sheetId="9" r:id="rId3"/>
    <sheet name="圖說表格(一)" sheetId="8" r:id="rId4"/>
  </sheets>
  <functionGroups builtInGroupCount="17"/>
  <definedNames>
    <definedName name="_xlnm.Print_Area" localSheetId="0">搭接長度計算表格!$A:$AD</definedName>
    <definedName name="_xlnm.Print_Titles" localSheetId="0">搭接長度計算表格!$1:$3</definedName>
  </definedNames>
  <calcPr calcId="145621"/>
</workbook>
</file>

<file path=xl/calcChain.xml><?xml version="1.0" encoding="utf-8"?>
<calcChain xmlns="http://schemas.openxmlformats.org/spreadsheetml/2006/main">
  <c r="AC545" i="19" l="1"/>
  <c r="AB545" i="19"/>
  <c r="AA545" i="19"/>
  <c r="Z545" i="19"/>
  <c r="Y545" i="19"/>
  <c r="X545" i="19"/>
  <c r="W545" i="19"/>
  <c r="V545" i="19"/>
  <c r="U545" i="19"/>
  <c r="T545" i="19"/>
  <c r="S545" i="19"/>
  <c r="R545" i="19"/>
  <c r="Q545" i="19"/>
  <c r="N545" i="19"/>
  <c r="M545" i="19"/>
  <c r="L545" i="19"/>
  <c r="AC544" i="19"/>
  <c r="AB544" i="19"/>
  <c r="AA544" i="19"/>
  <c r="Z544" i="19"/>
  <c r="Y544" i="19"/>
  <c r="X544" i="19"/>
  <c r="W544" i="19"/>
  <c r="V544" i="19"/>
  <c r="U544" i="19"/>
  <c r="S544" i="19"/>
  <c r="R544" i="19"/>
  <c r="Q544" i="19"/>
  <c r="P544" i="19"/>
  <c r="N544" i="19"/>
  <c r="M544" i="19"/>
  <c r="L544" i="19"/>
  <c r="I544" i="19"/>
  <c r="T544" i="19" s="1"/>
  <c r="AC543" i="19"/>
  <c r="AB543" i="19"/>
  <c r="AA543" i="19"/>
  <c r="Z543" i="19"/>
  <c r="Y543" i="19"/>
  <c r="X543" i="19"/>
  <c r="W543" i="19"/>
  <c r="V543" i="19"/>
  <c r="U543" i="19"/>
  <c r="T543" i="19"/>
  <c r="S543" i="19"/>
  <c r="R543" i="19"/>
  <c r="P543" i="19"/>
  <c r="O543" i="19"/>
  <c r="N543" i="19"/>
  <c r="L543" i="19"/>
  <c r="AC542" i="19"/>
  <c r="AB542" i="19"/>
  <c r="AA542" i="19"/>
  <c r="Z542" i="19"/>
  <c r="Y542" i="19"/>
  <c r="X542" i="19"/>
  <c r="W542" i="19"/>
  <c r="V542" i="19"/>
  <c r="U542" i="19"/>
  <c r="T542" i="19"/>
  <c r="S542" i="19"/>
  <c r="R542" i="19"/>
  <c r="P542" i="19"/>
  <c r="O542" i="19"/>
  <c r="N542" i="19"/>
  <c r="L542" i="19"/>
  <c r="I542" i="19"/>
  <c r="AC541" i="19"/>
  <c r="AB541" i="19"/>
  <c r="AA541" i="19"/>
  <c r="Z541" i="19"/>
  <c r="Y541" i="19"/>
  <c r="X541" i="19"/>
  <c r="W541" i="19"/>
  <c r="V541" i="19"/>
  <c r="U541" i="19"/>
  <c r="T541" i="19"/>
  <c r="S541" i="19"/>
  <c r="R541" i="19"/>
  <c r="Q541" i="19"/>
  <c r="P541" i="19"/>
  <c r="N541" i="19"/>
  <c r="M541" i="19"/>
  <c r="L541" i="19"/>
  <c r="AC540" i="19"/>
  <c r="AB540" i="19"/>
  <c r="AA540" i="19"/>
  <c r="Z540" i="19"/>
  <c r="Y540" i="19"/>
  <c r="X540" i="19"/>
  <c r="W540" i="19"/>
  <c r="V540" i="19"/>
  <c r="U540" i="19"/>
  <c r="T540" i="19"/>
  <c r="S540" i="19"/>
  <c r="R540" i="19"/>
  <c r="Q540" i="19"/>
  <c r="P540" i="19"/>
  <c r="N540" i="19"/>
  <c r="L540" i="19"/>
  <c r="I540" i="19"/>
  <c r="AC539" i="19"/>
  <c r="AB539" i="19"/>
  <c r="AA539" i="19"/>
  <c r="Z539" i="19"/>
  <c r="Y539" i="19"/>
  <c r="X539" i="19"/>
  <c r="W539" i="19"/>
  <c r="V539" i="19"/>
  <c r="U539" i="19"/>
  <c r="T539" i="19"/>
  <c r="S539" i="19"/>
  <c r="R539" i="19"/>
  <c r="P539" i="19"/>
  <c r="O539" i="19"/>
  <c r="N539" i="19"/>
  <c r="L539" i="19"/>
  <c r="AC538" i="19"/>
  <c r="AB538" i="19"/>
  <c r="AA538" i="19"/>
  <c r="Z538" i="19"/>
  <c r="Y538" i="19"/>
  <c r="X538" i="19"/>
  <c r="W538" i="19"/>
  <c r="V538" i="19"/>
  <c r="U538" i="19"/>
  <c r="T538" i="19"/>
  <c r="R538" i="19"/>
  <c r="P538" i="19"/>
  <c r="O538" i="19"/>
  <c r="N538" i="19"/>
  <c r="M538" i="19"/>
  <c r="L538" i="19"/>
  <c r="I538" i="19"/>
  <c r="AC537" i="19"/>
  <c r="AB537" i="19"/>
  <c r="AA537" i="19"/>
  <c r="Z537" i="19"/>
  <c r="Y537" i="19"/>
  <c r="X537" i="19"/>
  <c r="W537" i="19"/>
  <c r="V537" i="19"/>
  <c r="U537" i="19"/>
  <c r="T537" i="19"/>
  <c r="S537" i="19"/>
  <c r="R537" i="19"/>
  <c r="P537" i="19"/>
  <c r="N537" i="19"/>
  <c r="M537" i="19"/>
  <c r="L537" i="19"/>
  <c r="AC536" i="19"/>
  <c r="AB536" i="19"/>
  <c r="AA536" i="19"/>
  <c r="Z536" i="19"/>
  <c r="Y536" i="19"/>
  <c r="X536" i="19"/>
  <c r="W536" i="19"/>
  <c r="V536" i="19"/>
  <c r="U536" i="19"/>
  <c r="T536" i="19"/>
  <c r="S536" i="19"/>
  <c r="R536" i="19"/>
  <c r="P536" i="19"/>
  <c r="O536" i="19"/>
  <c r="N536" i="19"/>
  <c r="L536" i="19"/>
  <c r="I536" i="19"/>
  <c r="AC535" i="19"/>
  <c r="AB535" i="19"/>
  <c r="AA535" i="19"/>
  <c r="Z535" i="19"/>
  <c r="Y535" i="19"/>
  <c r="X535" i="19"/>
  <c r="W535" i="19"/>
  <c r="V535" i="19"/>
  <c r="U535" i="19"/>
  <c r="T535" i="19"/>
  <c r="S535" i="19"/>
  <c r="R535" i="19"/>
  <c r="P535" i="19"/>
  <c r="O535" i="19"/>
  <c r="N535" i="19"/>
  <c r="L535" i="19"/>
  <c r="AC534" i="19"/>
  <c r="AB534" i="19"/>
  <c r="AA534" i="19"/>
  <c r="Z534" i="19"/>
  <c r="Y534" i="19"/>
  <c r="X534" i="19"/>
  <c r="W534" i="19"/>
  <c r="V534" i="19"/>
  <c r="U534" i="19"/>
  <c r="T534" i="19"/>
  <c r="R534" i="19"/>
  <c r="P534" i="19"/>
  <c r="O534" i="19"/>
  <c r="N534" i="19"/>
  <c r="M534" i="19"/>
  <c r="L534" i="19"/>
  <c r="I534" i="19"/>
  <c r="AC533" i="19"/>
  <c r="AB533" i="19"/>
  <c r="AA533" i="19"/>
  <c r="Z533" i="19"/>
  <c r="Y533" i="19"/>
  <c r="X533" i="19"/>
  <c r="W533" i="19"/>
  <c r="V533" i="19"/>
  <c r="U533" i="19"/>
  <c r="T533" i="19"/>
  <c r="S533" i="19"/>
  <c r="R533" i="19"/>
  <c r="O533" i="19"/>
  <c r="N533" i="19"/>
  <c r="M533" i="19"/>
  <c r="L533" i="19"/>
  <c r="AC532" i="19"/>
  <c r="AB532" i="19"/>
  <c r="AA532" i="19"/>
  <c r="Z532" i="19"/>
  <c r="Y532" i="19"/>
  <c r="X532" i="19"/>
  <c r="W532" i="19"/>
  <c r="V532" i="19"/>
  <c r="U532" i="19"/>
  <c r="T532" i="19"/>
  <c r="S532" i="19"/>
  <c r="R532" i="19"/>
  <c r="P532" i="19"/>
  <c r="N532" i="19"/>
  <c r="M532" i="19"/>
  <c r="L532" i="19"/>
  <c r="I532" i="19"/>
  <c r="AC531" i="19"/>
  <c r="AB531" i="19"/>
  <c r="AA531" i="19"/>
  <c r="Z531" i="19"/>
  <c r="Y531" i="19"/>
  <c r="X531" i="19"/>
  <c r="W531" i="19"/>
  <c r="V531" i="19"/>
  <c r="U531" i="19"/>
  <c r="T531" i="19"/>
  <c r="S531" i="19"/>
  <c r="R531" i="19"/>
  <c r="P531" i="19"/>
  <c r="O531" i="19"/>
  <c r="N531" i="19"/>
  <c r="L531" i="19"/>
  <c r="AC530" i="19"/>
  <c r="AB530" i="19"/>
  <c r="AA530" i="19"/>
  <c r="Z530" i="19"/>
  <c r="Y530" i="19"/>
  <c r="X530" i="19"/>
  <c r="W530" i="19"/>
  <c r="V530" i="19"/>
  <c r="U530" i="19"/>
  <c r="S530" i="19"/>
  <c r="R530" i="19"/>
  <c r="P530" i="19"/>
  <c r="O530" i="19"/>
  <c r="N530" i="19"/>
  <c r="M530" i="19"/>
  <c r="L530" i="19"/>
  <c r="I530" i="19"/>
  <c r="T530" i="19" s="1"/>
  <c r="AC529" i="19"/>
  <c r="AB529" i="19"/>
  <c r="AA529" i="19"/>
  <c r="Z529" i="19"/>
  <c r="Y529" i="19"/>
  <c r="X529" i="19"/>
  <c r="W529" i="19"/>
  <c r="V529" i="19"/>
  <c r="U529" i="19"/>
  <c r="T529" i="19"/>
  <c r="S529" i="19"/>
  <c r="R529" i="19"/>
  <c r="O529" i="19"/>
  <c r="N529" i="19"/>
  <c r="M529" i="19"/>
  <c r="L529" i="19"/>
  <c r="AC528" i="19"/>
  <c r="AB528" i="19"/>
  <c r="AA528" i="19"/>
  <c r="Z528" i="19"/>
  <c r="Y528" i="19"/>
  <c r="X528" i="19"/>
  <c r="W528" i="19"/>
  <c r="V528" i="19"/>
  <c r="U528" i="19"/>
  <c r="T528" i="19"/>
  <c r="S528" i="19"/>
  <c r="R528" i="19"/>
  <c r="Q528" i="19"/>
  <c r="P528" i="19"/>
  <c r="N528" i="19"/>
  <c r="L528" i="19"/>
  <c r="I528" i="19"/>
  <c r="AC527" i="19"/>
  <c r="AB527" i="19"/>
  <c r="AA527" i="19"/>
  <c r="Z527" i="19"/>
  <c r="Y527" i="19"/>
  <c r="X527" i="19"/>
  <c r="W527" i="19"/>
  <c r="V527" i="19"/>
  <c r="U527" i="19"/>
  <c r="T527" i="19"/>
  <c r="S527" i="19"/>
  <c r="R527" i="19"/>
  <c r="P527" i="19"/>
  <c r="N527" i="19"/>
  <c r="M527" i="19"/>
  <c r="L527" i="19"/>
  <c r="AC526" i="19"/>
  <c r="AB526" i="19"/>
  <c r="AA526" i="19"/>
  <c r="Z526" i="19"/>
  <c r="Y526" i="19"/>
  <c r="X526" i="19"/>
  <c r="W526" i="19"/>
  <c r="V526" i="19"/>
  <c r="U526" i="19"/>
  <c r="S526" i="19"/>
  <c r="R526" i="19"/>
  <c r="Q526" i="19"/>
  <c r="P526" i="19"/>
  <c r="O526" i="19"/>
  <c r="N526" i="19"/>
  <c r="L526" i="19"/>
  <c r="I526" i="19"/>
  <c r="T526" i="19" s="1"/>
  <c r="AC525" i="19"/>
  <c r="AB525" i="19"/>
  <c r="AA525" i="19"/>
  <c r="Z525" i="19"/>
  <c r="Y525" i="19"/>
  <c r="X525" i="19"/>
  <c r="W525" i="19"/>
  <c r="V525" i="19"/>
  <c r="U525" i="19"/>
  <c r="T525" i="19"/>
  <c r="S525" i="19"/>
  <c r="R525" i="19"/>
  <c r="P525" i="19"/>
  <c r="O525" i="19"/>
  <c r="M525" i="19"/>
  <c r="L525" i="19"/>
  <c r="AC524" i="19"/>
  <c r="AB524" i="19"/>
  <c r="AA524" i="19"/>
  <c r="Z524" i="19"/>
  <c r="Y524" i="19"/>
  <c r="X524" i="19"/>
  <c r="W524" i="19"/>
  <c r="V524" i="19"/>
  <c r="U524" i="19"/>
  <c r="T524" i="19"/>
  <c r="S524" i="19"/>
  <c r="R524" i="19"/>
  <c r="P524" i="19"/>
  <c r="O524" i="19"/>
  <c r="N524" i="19"/>
  <c r="L524" i="19"/>
  <c r="I524" i="19"/>
  <c r="AC523" i="19"/>
  <c r="AB523" i="19"/>
  <c r="AA523" i="19"/>
  <c r="Z523" i="19"/>
  <c r="Y523" i="19"/>
  <c r="X523" i="19"/>
  <c r="W523" i="19"/>
  <c r="V523" i="19"/>
  <c r="U523" i="19"/>
  <c r="T523" i="19"/>
  <c r="S523" i="19"/>
  <c r="R523" i="19"/>
  <c r="Q523" i="19"/>
  <c r="N523" i="19"/>
  <c r="M523" i="19"/>
  <c r="L523" i="19"/>
  <c r="AC522" i="19"/>
  <c r="AB522" i="19"/>
  <c r="AA522" i="19"/>
  <c r="Z522" i="19"/>
  <c r="Y522" i="19"/>
  <c r="X522" i="19"/>
  <c r="W522" i="19"/>
  <c r="V522" i="19"/>
  <c r="U522" i="19"/>
  <c r="T522" i="19"/>
  <c r="S522" i="19"/>
  <c r="R522" i="19"/>
  <c r="Q522" i="19"/>
  <c r="P522" i="19"/>
  <c r="N522" i="19"/>
  <c r="L522" i="19"/>
  <c r="I522" i="19"/>
  <c r="AC521" i="19"/>
  <c r="AB521" i="19"/>
  <c r="AA521" i="19"/>
  <c r="Z521" i="19"/>
  <c r="Y521" i="19"/>
  <c r="X521" i="19"/>
  <c r="W521" i="19"/>
  <c r="V521" i="19"/>
  <c r="U521" i="19"/>
  <c r="T521" i="19"/>
  <c r="S521" i="19"/>
  <c r="R521" i="19"/>
  <c r="Q521" i="19"/>
  <c r="P521" i="19"/>
  <c r="O521" i="19"/>
  <c r="M521" i="19"/>
  <c r="L521" i="19"/>
  <c r="AC520" i="19"/>
  <c r="AB520" i="19"/>
  <c r="AA520" i="19"/>
  <c r="Z520" i="19"/>
  <c r="Y520" i="19"/>
  <c r="X520" i="19"/>
  <c r="W520" i="19"/>
  <c r="V520" i="19"/>
  <c r="U520" i="19"/>
  <c r="S520" i="19"/>
  <c r="R520" i="19"/>
  <c r="P520" i="19"/>
  <c r="O520" i="19"/>
  <c r="N520" i="19"/>
  <c r="M520" i="19"/>
  <c r="L520" i="19"/>
  <c r="I520" i="19"/>
  <c r="AC519" i="19"/>
  <c r="AB519" i="19"/>
  <c r="AA519" i="19"/>
  <c r="Z519" i="19"/>
  <c r="Y519" i="19"/>
  <c r="X519" i="19"/>
  <c r="W519" i="19"/>
  <c r="V519" i="19"/>
  <c r="U519" i="19"/>
  <c r="T519" i="19"/>
  <c r="S519" i="19"/>
  <c r="R519" i="19"/>
  <c r="Q519" i="19"/>
  <c r="O519" i="19"/>
  <c r="N519" i="19"/>
  <c r="M519" i="19"/>
  <c r="L519" i="19"/>
  <c r="AC518" i="19"/>
  <c r="AB518" i="19"/>
  <c r="AA518" i="19"/>
  <c r="Z518" i="19"/>
  <c r="Y518" i="19"/>
  <c r="X518" i="19"/>
  <c r="W518" i="19"/>
  <c r="V518" i="19"/>
  <c r="U518" i="19"/>
  <c r="T518" i="19"/>
  <c r="S518" i="19"/>
  <c r="R518" i="19"/>
  <c r="Q518" i="19"/>
  <c r="P518" i="19"/>
  <c r="M518" i="19"/>
  <c r="L518" i="19"/>
  <c r="I518" i="19"/>
  <c r="AC517" i="19"/>
  <c r="AB517" i="19"/>
  <c r="AA517" i="19"/>
  <c r="Z517" i="19"/>
  <c r="Y517" i="19"/>
  <c r="X517" i="19"/>
  <c r="W517" i="19"/>
  <c r="V517" i="19"/>
  <c r="U517" i="19"/>
  <c r="R517" i="19"/>
  <c r="Q517" i="19"/>
  <c r="P517" i="19"/>
  <c r="O517" i="19"/>
  <c r="N517" i="19"/>
  <c r="M517" i="19"/>
  <c r="L517" i="19"/>
  <c r="AC516" i="19"/>
  <c r="AB516" i="19"/>
  <c r="AA516" i="19"/>
  <c r="Z516" i="19"/>
  <c r="Y516" i="19"/>
  <c r="X516" i="19"/>
  <c r="W516" i="19"/>
  <c r="V516" i="19"/>
  <c r="U516" i="19"/>
  <c r="S516" i="19"/>
  <c r="R516" i="19"/>
  <c r="Q516" i="19"/>
  <c r="P516" i="19"/>
  <c r="O516" i="19"/>
  <c r="M516" i="19"/>
  <c r="L516" i="19"/>
  <c r="I516" i="19"/>
  <c r="T517" i="19" s="1"/>
  <c r="AC515" i="19"/>
  <c r="AB515" i="19"/>
  <c r="AA515" i="19"/>
  <c r="Z515" i="19"/>
  <c r="Y515" i="19"/>
  <c r="X515" i="19"/>
  <c r="W515" i="19"/>
  <c r="V515" i="19"/>
  <c r="U515" i="19"/>
  <c r="T515" i="19"/>
  <c r="S515" i="19"/>
  <c r="R515" i="19"/>
  <c r="Q515" i="19"/>
  <c r="O515" i="19"/>
  <c r="N515" i="19"/>
  <c r="M515" i="19"/>
  <c r="L515" i="19"/>
  <c r="AC514" i="19"/>
  <c r="AB514" i="19"/>
  <c r="AA514" i="19"/>
  <c r="Z514" i="19"/>
  <c r="Y514" i="19"/>
  <c r="X514" i="19"/>
  <c r="W514" i="19"/>
  <c r="V514" i="19"/>
  <c r="U514" i="19"/>
  <c r="T514" i="19"/>
  <c r="S514" i="19"/>
  <c r="R514" i="19"/>
  <c r="P514" i="19"/>
  <c r="O514" i="19"/>
  <c r="M514" i="19"/>
  <c r="L514" i="19"/>
  <c r="I514" i="19"/>
  <c r="AC513" i="19"/>
  <c r="AB513" i="19"/>
  <c r="AA513" i="19"/>
  <c r="Z513" i="19"/>
  <c r="Y513" i="19"/>
  <c r="X513" i="19"/>
  <c r="W513" i="19"/>
  <c r="V513" i="19"/>
  <c r="U513" i="19"/>
  <c r="T513" i="19"/>
  <c r="R513" i="19"/>
  <c r="Q513" i="19"/>
  <c r="O513" i="19"/>
  <c r="N513" i="19"/>
  <c r="M513" i="19"/>
  <c r="L513" i="19"/>
  <c r="AC512" i="19"/>
  <c r="AB512" i="19"/>
  <c r="AA512" i="19"/>
  <c r="Z512" i="19"/>
  <c r="Y512" i="19"/>
  <c r="X512" i="19"/>
  <c r="W512" i="19"/>
  <c r="V512" i="19"/>
  <c r="U512" i="19"/>
  <c r="T512" i="19"/>
  <c r="S512" i="19"/>
  <c r="R512" i="19"/>
  <c r="Q512" i="19"/>
  <c r="P512" i="19"/>
  <c r="O512" i="19"/>
  <c r="M512" i="19"/>
  <c r="L512" i="19"/>
  <c r="I512" i="19"/>
  <c r="AC511" i="19"/>
  <c r="AB511" i="19"/>
  <c r="AA511" i="19"/>
  <c r="Z511" i="19"/>
  <c r="Y511" i="19"/>
  <c r="X511" i="19"/>
  <c r="W511" i="19"/>
  <c r="V511" i="19"/>
  <c r="U511" i="19"/>
  <c r="T511" i="19"/>
  <c r="S511" i="19"/>
  <c r="R511" i="19"/>
  <c r="Q511" i="19"/>
  <c r="O511" i="19"/>
  <c r="N511" i="19"/>
  <c r="L511" i="19"/>
  <c r="AC510" i="19"/>
  <c r="AB510" i="19"/>
  <c r="AA510" i="19"/>
  <c r="Z510" i="19"/>
  <c r="Y510" i="19"/>
  <c r="X510" i="19"/>
  <c r="W510" i="19"/>
  <c r="V510" i="19"/>
  <c r="U510" i="19"/>
  <c r="T510" i="19"/>
  <c r="S510" i="19"/>
  <c r="R510" i="19"/>
  <c r="P510" i="19"/>
  <c r="O510" i="19"/>
  <c r="N510" i="19"/>
  <c r="M510" i="19"/>
  <c r="L510" i="19"/>
  <c r="I510" i="19"/>
  <c r="AC509" i="19"/>
  <c r="AB509" i="19"/>
  <c r="AA509" i="19"/>
  <c r="Z509" i="19"/>
  <c r="Y509" i="19"/>
  <c r="X509" i="19"/>
  <c r="W509" i="19"/>
  <c r="V509" i="19"/>
  <c r="U509" i="19"/>
  <c r="T509" i="19"/>
  <c r="S509" i="19"/>
  <c r="R509" i="19"/>
  <c r="Q509" i="19"/>
  <c r="O509" i="19"/>
  <c r="N509" i="19"/>
  <c r="L509" i="19"/>
  <c r="AC508" i="19"/>
  <c r="AB508" i="19"/>
  <c r="AA508" i="19"/>
  <c r="Z508" i="19"/>
  <c r="Y508" i="19"/>
  <c r="X508" i="19"/>
  <c r="W508" i="19"/>
  <c r="V508" i="19"/>
  <c r="U508" i="19"/>
  <c r="T508" i="19"/>
  <c r="S508" i="19"/>
  <c r="R508" i="19"/>
  <c r="P508" i="19"/>
  <c r="O508" i="19"/>
  <c r="L508" i="19"/>
  <c r="I508" i="19"/>
  <c r="AC507" i="19"/>
  <c r="AB507" i="19"/>
  <c r="AA507" i="19"/>
  <c r="Z507" i="19"/>
  <c r="Y507" i="19"/>
  <c r="X507" i="19"/>
  <c r="W507" i="19"/>
  <c r="V507" i="19"/>
  <c r="U507" i="19"/>
  <c r="T507" i="19"/>
  <c r="S507" i="19"/>
  <c r="R507" i="19"/>
  <c r="Q507" i="19"/>
  <c r="P507" i="19"/>
  <c r="O507" i="19"/>
  <c r="N507" i="19"/>
  <c r="L507" i="19"/>
  <c r="AC506" i="19"/>
  <c r="AB506" i="19"/>
  <c r="AA506" i="19"/>
  <c r="Z506" i="19"/>
  <c r="Y506" i="19"/>
  <c r="X506" i="19"/>
  <c r="W506" i="19"/>
  <c r="V506" i="19"/>
  <c r="U506" i="19"/>
  <c r="T506" i="19"/>
  <c r="S506" i="19"/>
  <c r="R506" i="19"/>
  <c r="P506" i="19"/>
  <c r="O506" i="19"/>
  <c r="N506" i="19"/>
  <c r="L506" i="19"/>
  <c r="I506" i="19"/>
  <c r="AC505" i="19"/>
  <c r="AB505" i="19"/>
  <c r="AA505" i="19"/>
  <c r="Z505" i="19"/>
  <c r="Y505" i="19"/>
  <c r="X505" i="19"/>
  <c r="W505" i="19"/>
  <c r="V505" i="19"/>
  <c r="U505" i="19"/>
  <c r="T505" i="19"/>
  <c r="S505" i="19"/>
  <c r="R505" i="19"/>
  <c r="Q505" i="19"/>
  <c r="P505" i="19"/>
  <c r="O505" i="19"/>
  <c r="N505" i="19"/>
  <c r="L505" i="19"/>
  <c r="AC504" i="19"/>
  <c r="AB504" i="19"/>
  <c r="AA504" i="19"/>
  <c r="Z504" i="19"/>
  <c r="Y504" i="19"/>
  <c r="X504" i="19"/>
  <c r="W504" i="19"/>
  <c r="V504" i="19"/>
  <c r="U504" i="19"/>
  <c r="T504" i="19"/>
  <c r="S504" i="19"/>
  <c r="R504" i="19"/>
  <c r="Q504" i="19"/>
  <c r="P504" i="19"/>
  <c r="N504" i="19"/>
  <c r="L504" i="19"/>
  <c r="I504" i="19"/>
  <c r="AC503" i="19"/>
  <c r="AB503" i="19"/>
  <c r="AA503" i="19"/>
  <c r="Z503" i="19"/>
  <c r="Y503" i="19"/>
  <c r="X503" i="19"/>
  <c r="W503" i="19"/>
  <c r="V503" i="19"/>
  <c r="U503" i="19"/>
  <c r="T503" i="19"/>
  <c r="S503" i="19"/>
  <c r="Q503" i="19"/>
  <c r="P503" i="19"/>
  <c r="O503" i="19"/>
  <c r="N503" i="19"/>
  <c r="L503" i="19"/>
  <c r="AC502" i="19"/>
  <c r="AB502" i="19"/>
  <c r="AA502" i="19"/>
  <c r="Z502" i="19"/>
  <c r="Y502" i="19"/>
  <c r="X502" i="19"/>
  <c r="W502" i="19"/>
  <c r="V502" i="19"/>
  <c r="U502" i="19"/>
  <c r="T502" i="19"/>
  <c r="R502" i="19"/>
  <c r="Q502" i="19"/>
  <c r="P502" i="19"/>
  <c r="O502" i="19"/>
  <c r="N502" i="19"/>
  <c r="L502" i="19"/>
  <c r="I502" i="19"/>
  <c r="AC501" i="19"/>
  <c r="AB501" i="19"/>
  <c r="AA501" i="19"/>
  <c r="Z501" i="19"/>
  <c r="Y501" i="19"/>
  <c r="X501" i="19"/>
  <c r="W501" i="19"/>
  <c r="V501" i="19"/>
  <c r="U501" i="19"/>
  <c r="T501" i="19"/>
  <c r="S501" i="19"/>
  <c r="R501" i="19"/>
  <c r="Q501" i="19"/>
  <c r="P501" i="19"/>
  <c r="O501" i="19"/>
  <c r="L501" i="19"/>
  <c r="AC500" i="19"/>
  <c r="AB500" i="19"/>
  <c r="AA500" i="19"/>
  <c r="Z500" i="19"/>
  <c r="Y500" i="19"/>
  <c r="X500" i="19"/>
  <c r="W500" i="19"/>
  <c r="V500" i="19"/>
  <c r="U500" i="19"/>
  <c r="T500" i="19"/>
  <c r="S500" i="19"/>
  <c r="R500" i="19"/>
  <c r="Q500" i="19"/>
  <c r="P500" i="19"/>
  <c r="N500" i="19"/>
  <c r="L500" i="19"/>
  <c r="I500" i="19"/>
  <c r="AC499" i="19"/>
  <c r="AB499" i="19"/>
  <c r="AA499" i="19"/>
  <c r="Z499" i="19"/>
  <c r="Y499" i="19"/>
  <c r="X499" i="19"/>
  <c r="W499" i="19"/>
  <c r="V499" i="19"/>
  <c r="U499" i="19"/>
  <c r="T499" i="19"/>
  <c r="S499" i="19"/>
  <c r="Q499" i="19"/>
  <c r="P499" i="19"/>
  <c r="O499" i="19"/>
  <c r="N499" i="19"/>
  <c r="M499" i="19"/>
  <c r="L499" i="19"/>
  <c r="AC498" i="19"/>
  <c r="AB498" i="19"/>
  <c r="AA498" i="19"/>
  <c r="Z498" i="19"/>
  <c r="Y498" i="19"/>
  <c r="X498" i="19"/>
  <c r="W498" i="19"/>
  <c r="V498" i="19"/>
  <c r="U498" i="19"/>
  <c r="T498" i="19"/>
  <c r="R498" i="19"/>
  <c r="Q498" i="19"/>
  <c r="P498" i="19"/>
  <c r="O498" i="19"/>
  <c r="N498" i="19"/>
  <c r="M498" i="19"/>
  <c r="L498" i="19"/>
  <c r="I498" i="19"/>
  <c r="AC497" i="19"/>
  <c r="AB497" i="19"/>
  <c r="AA497" i="19"/>
  <c r="Z497" i="19"/>
  <c r="Y497" i="19"/>
  <c r="X497" i="19"/>
  <c r="W497" i="19"/>
  <c r="V497" i="19"/>
  <c r="U497" i="19"/>
  <c r="T497" i="19"/>
  <c r="S497" i="19"/>
  <c r="R497" i="19"/>
  <c r="Q497" i="19"/>
  <c r="P497" i="19"/>
  <c r="O497" i="19"/>
  <c r="M497" i="19"/>
  <c r="L497" i="19"/>
  <c r="AC496" i="19"/>
  <c r="AB496" i="19"/>
  <c r="AA496" i="19"/>
  <c r="Z496" i="19"/>
  <c r="Y496" i="19"/>
  <c r="X496" i="19"/>
  <c r="W496" i="19"/>
  <c r="V496" i="19"/>
  <c r="U496" i="19"/>
  <c r="T496" i="19"/>
  <c r="S496" i="19"/>
  <c r="R496" i="19"/>
  <c r="Q496" i="19"/>
  <c r="P496" i="19"/>
  <c r="O496" i="19"/>
  <c r="N496" i="19"/>
  <c r="L496" i="19"/>
  <c r="I496" i="19"/>
  <c r="AC495" i="19"/>
  <c r="AB495" i="19"/>
  <c r="AA495" i="19"/>
  <c r="Z495" i="19"/>
  <c r="Y495" i="19"/>
  <c r="X495" i="19"/>
  <c r="W495" i="19"/>
  <c r="V495" i="19"/>
  <c r="U495" i="19"/>
  <c r="T495" i="19"/>
  <c r="S495" i="19"/>
  <c r="Q495" i="19"/>
  <c r="P495" i="19"/>
  <c r="O495" i="19"/>
  <c r="N495" i="19"/>
  <c r="M495" i="19"/>
  <c r="L495" i="19"/>
  <c r="AC494" i="19"/>
  <c r="AB494" i="19"/>
  <c r="AA494" i="19"/>
  <c r="Z494" i="19"/>
  <c r="Y494" i="19"/>
  <c r="X494" i="19"/>
  <c r="W494" i="19"/>
  <c r="V494" i="19"/>
  <c r="U494" i="19"/>
  <c r="T494" i="19"/>
  <c r="R494" i="19"/>
  <c r="Q494" i="19"/>
  <c r="P494" i="19"/>
  <c r="O494" i="19"/>
  <c r="N494" i="19"/>
  <c r="L494" i="19"/>
  <c r="I494" i="19"/>
  <c r="AC493" i="19"/>
  <c r="AB493" i="19"/>
  <c r="AA493" i="19"/>
  <c r="Z493" i="19"/>
  <c r="Y493" i="19"/>
  <c r="X493" i="19"/>
  <c r="W493" i="19"/>
  <c r="V493" i="19"/>
  <c r="U493" i="19"/>
  <c r="S493" i="19"/>
  <c r="R493" i="19"/>
  <c r="Q493" i="19"/>
  <c r="P493" i="19"/>
  <c r="O493" i="19"/>
  <c r="N493" i="19"/>
  <c r="L493" i="19"/>
  <c r="AC492" i="19"/>
  <c r="AB492" i="19"/>
  <c r="AA492" i="19"/>
  <c r="Z492" i="19"/>
  <c r="Y492" i="19"/>
  <c r="X492" i="19"/>
  <c r="W492" i="19"/>
  <c r="V492" i="19"/>
  <c r="U492" i="19"/>
  <c r="T492" i="19"/>
  <c r="R492" i="19"/>
  <c r="Q492" i="19"/>
  <c r="P492" i="19"/>
  <c r="O492" i="19"/>
  <c r="N492" i="19"/>
  <c r="L492" i="19"/>
  <c r="I492" i="19"/>
  <c r="T493" i="19" s="1"/>
  <c r="AC491" i="19"/>
  <c r="AB491" i="19"/>
  <c r="AA491" i="19"/>
  <c r="Z491" i="19"/>
  <c r="Y491" i="19"/>
  <c r="X491" i="19"/>
  <c r="W491" i="19"/>
  <c r="V491" i="19"/>
  <c r="U491" i="19"/>
  <c r="T491" i="19"/>
  <c r="S491" i="19"/>
  <c r="Q491" i="19"/>
  <c r="P491" i="19"/>
  <c r="O491" i="19"/>
  <c r="N491" i="19"/>
  <c r="L491" i="19"/>
  <c r="AC490" i="19"/>
  <c r="AB490" i="19"/>
  <c r="AA490" i="19"/>
  <c r="Z490" i="19"/>
  <c r="Y490" i="19"/>
  <c r="X490" i="19"/>
  <c r="W490" i="19"/>
  <c r="V490" i="19"/>
  <c r="U490" i="19"/>
  <c r="T490" i="19"/>
  <c r="S490" i="19"/>
  <c r="Q490" i="19"/>
  <c r="P490" i="19"/>
  <c r="O490" i="19"/>
  <c r="N490" i="19"/>
  <c r="L490" i="19"/>
  <c r="I490" i="19"/>
  <c r="AC489" i="19"/>
  <c r="AB489" i="19"/>
  <c r="AA489" i="19"/>
  <c r="Z489" i="19"/>
  <c r="Y489" i="19"/>
  <c r="X489" i="19"/>
  <c r="W489" i="19"/>
  <c r="V489" i="19"/>
  <c r="U489" i="19"/>
  <c r="T489" i="19"/>
  <c r="S489" i="19"/>
  <c r="R489" i="19"/>
  <c r="Q489" i="19"/>
  <c r="P489" i="19"/>
  <c r="O489" i="19"/>
  <c r="N489" i="19"/>
  <c r="L489" i="19"/>
  <c r="AC488" i="19"/>
  <c r="AB488" i="19"/>
  <c r="AA488" i="19"/>
  <c r="Z488" i="19"/>
  <c r="Y488" i="19"/>
  <c r="X488" i="19"/>
  <c r="W488" i="19"/>
  <c r="V488" i="19"/>
  <c r="U488" i="19"/>
  <c r="T488" i="19"/>
  <c r="R488" i="19"/>
  <c r="Q488" i="19"/>
  <c r="P488" i="19"/>
  <c r="O488" i="19"/>
  <c r="M488" i="19"/>
  <c r="L488" i="19"/>
  <c r="I488" i="19"/>
  <c r="AC487" i="19"/>
  <c r="AB487" i="19"/>
  <c r="AA487" i="19"/>
  <c r="Z487" i="19"/>
  <c r="Y487" i="19"/>
  <c r="X487" i="19"/>
  <c r="W487" i="19"/>
  <c r="V487" i="19"/>
  <c r="U487" i="19"/>
  <c r="T487" i="19"/>
  <c r="S487" i="19"/>
  <c r="R487" i="19"/>
  <c r="P487" i="19"/>
  <c r="O487" i="19"/>
  <c r="N487" i="19"/>
  <c r="L487" i="19"/>
  <c r="AC486" i="19"/>
  <c r="AB486" i="19"/>
  <c r="AA486" i="19"/>
  <c r="Z486" i="19"/>
  <c r="Y486" i="19"/>
  <c r="X486" i="19"/>
  <c r="W486" i="19"/>
  <c r="V486" i="19"/>
  <c r="U486" i="19"/>
  <c r="T486" i="19"/>
  <c r="Q486" i="19"/>
  <c r="P486" i="19"/>
  <c r="O486" i="19"/>
  <c r="N486" i="19"/>
  <c r="M486" i="19"/>
  <c r="L486" i="19"/>
  <c r="I486" i="19"/>
  <c r="AC485" i="19"/>
  <c r="AB485" i="19"/>
  <c r="AA485" i="19"/>
  <c r="Z485" i="19"/>
  <c r="Y485" i="19"/>
  <c r="X485" i="19"/>
  <c r="W485" i="19"/>
  <c r="V485" i="19"/>
  <c r="U485" i="19"/>
  <c r="T485" i="19"/>
  <c r="S485" i="19"/>
  <c r="R485" i="19"/>
  <c r="P485" i="19"/>
  <c r="O485" i="19"/>
  <c r="N485" i="19"/>
  <c r="L485" i="19"/>
  <c r="AC484" i="19"/>
  <c r="AB484" i="19"/>
  <c r="AA484" i="19"/>
  <c r="Z484" i="19"/>
  <c r="Y484" i="19"/>
  <c r="X484" i="19"/>
  <c r="W484" i="19"/>
  <c r="V484" i="19"/>
  <c r="U484" i="19"/>
  <c r="T484" i="19"/>
  <c r="S484" i="19"/>
  <c r="R484" i="19"/>
  <c r="Q484" i="19"/>
  <c r="P484" i="19"/>
  <c r="M484" i="19"/>
  <c r="L484" i="19"/>
  <c r="I484" i="19"/>
  <c r="AC483" i="19"/>
  <c r="AB483" i="19"/>
  <c r="AA483" i="19"/>
  <c r="Z483" i="19"/>
  <c r="Y483" i="19"/>
  <c r="X483" i="19"/>
  <c r="W483" i="19"/>
  <c r="V483" i="19"/>
  <c r="U483" i="19"/>
  <c r="T483" i="19"/>
  <c r="S483" i="19"/>
  <c r="R483" i="19"/>
  <c r="P483" i="19"/>
  <c r="O483" i="19"/>
  <c r="N483" i="19"/>
  <c r="L483" i="19"/>
  <c r="AC482" i="19"/>
  <c r="AB482" i="19"/>
  <c r="AA482" i="19"/>
  <c r="Z482" i="19"/>
  <c r="Y482" i="19"/>
  <c r="X482" i="19"/>
  <c r="W482" i="19"/>
  <c r="V482" i="19"/>
  <c r="U482" i="19"/>
  <c r="R482" i="19"/>
  <c r="Q482" i="19"/>
  <c r="P482" i="19"/>
  <c r="O482" i="19"/>
  <c r="N482" i="19"/>
  <c r="M482" i="19"/>
  <c r="L482" i="19"/>
  <c r="I482" i="19"/>
  <c r="AC481" i="19"/>
  <c r="AB481" i="19"/>
  <c r="AA481" i="19"/>
  <c r="Z481" i="19"/>
  <c r="Y481" i="19"/>
  <c r="X481" i="19"/>
  <c r="W481" i="19"/>
  <c r="V481" i="19"/>
  <c r="U481" i="19"/>
  <c r="T481" i="19"/>
  <c r="S481" i="19"/>
  <c r="R481" i="19"/>
  <c r="P481" i="19"/>
  <c r="O481" i="19"/>
  <c r="N481" i="19"/>
  <c r="L481" i="19"/>
  <c r="AC480" i="19"/>
  <c r="AB480" i="19"/>
  <c r="AA480" i="19"/>
  <c r="Z480" i="19"/>
  <c r="Y480" i="19"/>
  <c r="X480" i="19"/>
  <c r="W480" i="19"/>
  <c r="V480" i="19"/>
  <c r="U480" i="19"/>
  <c r="S480" i="19"/>
  <c r="R480" i="19"/>
  <c r="Q480" i="19"/>
  <c r="P480" i="19"/>
  <c r="N480" i="19"/>
  <c r="M480" i="19"/>
  <c r="L480" i="19"/>
  <c r="I480" i="19"/>
  <c r="AC479" i="19"/>
  <c r="AB479" i="19"/>
  <c r="AA479" i="19"/>
  <c r="Z479" i="19"/>
  <c r="Y479" i="19"/>
  <c r="X479" i="19"/>
  <c r="W479" i="19"/>
  <c r="V479" i="19"/>
  <c r="U479" i="19"/>
  <c r="T479" i="19"/>
  <c r="S479" i="19"/>
  <c r="R479" i="19"/>
  <c r="Q479" i="19"/>
  <c r="P479" i="19"/>
  <c r="O479" i="19"/>
  <c r="N479" i="19"/>
  <c r="L479" i="19"/>
  <c r="AC478" i="19"/>
  <c r="AB478" i="19"/>
  <c r="AA478" i="19"/>
  <c r="Z478" i="19"/>
  <c r="Y478" i="19"/>
  <c r="X478" i="19"/>
  <c r="W478" i="19"/>
  <c r="V478" i="19"/>
  <c r="U478" i="19"/>
  <c r="S478" i="19"/>
  <c r="R478" i="19"/>
  <c r="Q478" i="19"/>
  <c r="P478" i="19"/>
  <c r="O478" i="19"/>
  <c r="N478" i="19"/>
  <c r="M478" i="19"/>
  <c r="L478" i="19"/>
  <c r="I478" i="19"/>
  <c r="AC477" i="19"/>
  <c r="AB477" i="19"/>
  <c r="AA477" i="19"/>
  <c r="Z477" i="19"/>
  <c r="Y477" i="19"/>
  <c r="X477" i="19"/>
  <c r="W477" i="19"/>
  <c r="V477" i="19"/>
  <c r="U477" i="19"/>
  <c r="S477" i="19"/>
  <c r="R477" i="19"/>
  <c r="Q477" i="19"/>
  <c r="P477" i="19"/>
  <c r="O477" i="19"/>
  <c r="N477" i="19"/>
  <c r="L477" i="19"/>
  <c r="AC476" i="19"/>
  <c r="AB476" i="19"/>
  <c r="AA476" i="19"/>
  <c r="Z476" i="19"/>
  <c r="Y476" i="19"/>
  <c r="X476" i="19"/>
  <c r="W476" i="19"/>
  <c r="V476" i="19"/>
  <c r="U476" i="19"/>
  <c r="S476" i="19"/>
  <c r="R476" i="19"/>
  <c r="Q476" i="19"/>
  <c r="P476" i="19"/>
  <c r="O476" i="19"/>
  <c r="N476" i="19"/>
  <c r="M476" i="19"/>
  <c r="L476" i="19"/>
  <c r="I476" i="19"/>
  <c r="AD476" i="19" s="1"/>
  <c r="AC475" i="19"/>
  <c r="AB475" i="19"/>
  <c r="AA475" i="19"/>
  <c r="Z475" i="19"/>
  <c r="Y475" i="19"/>
  <c r="X475" i="19"/>
  <c r="W475" i="19"/>
  <c r="V475" i="19"/>
  <c r="U475" i="19"/>
  <c r="T475" i="19"/>
  <c r="S475" i="19"/>
  <c r="R475" i="19"/>
  <c r="Q475" i="19"/>
  <c r="O475" i="19"/>
  <c r="N475" i="19"/>
  <c r="L475" i="19"/>
  <c r="AC474" i="19"/>
  <c r="AB474" i="19"/>
  <c r="AA474" i="19"/>
  <c r="Z474" i="19"/>
  <c r="Y474" i="19"/>
  <c r="X474" i="19"/>
  <c r="W474" i="19"/>
  <c r="V474" i="19"/>
  <c r="U474" i="19"/>
  <c r="T474" i="19"/>
  <c r="S474" i="19"/>
  <c r="R474" i="19"/>
  <c r="Q474" i="19"/>
  <c r="P474" i="19"/>
  <c r="M474" i="19"/>
  <c r="L474" i="19"/>
  <c r="I474" i="19"/>
  <c r="AC473" i="19"/>
  <c r="AB473" i="19"/>
  <c r="AA473" i="19"/>
  <c r="Z473" i="19"/>
  <c r="Y473" i="19"/>
  <c r="X473" i="19"/>
  <c r="W473" i="19"/>
  <c r="V473" i="19"/>
  <c r="U473" i="19"/>
  <c r="S473" i="19"/>
  <c r="R473" i="19"/>
  <c r="P473" i="19"/>
  <c r="O473" i="19"/>
  <c r="N473" i="19"/>
  <c r="M473" i="19"/>
  <c r="L473" i="19"/>
  <c r="AC472" i="19"/>
  <c r="AB472" i="19"/>
  <c r="AA472" i="19"/>
  <c r="Z472" i="19"/>
  <c r="Y472" i="19"/>
  <c r="X472" i="19"/>
  <c r="W472" i="19"/>
  <c r="V472" i="19"/>
  <c r="U472" i="19"/>
  <c r="S472" i="19"/>
  <c r="R472" i="19"/>
  <c r="Q472" i="19"/>
  <c r="P472" i="19"/>
  <c r="O472" i="19"/>
  <c r="N472" i="19"/>
  <c r="M472" i="19"/>
  <c r="L472" i="19"/>
  <c r="I472" i="19"/>
  <c r="T473" i="19" s="1"/>
  <c r="AC471" i="19"/>
  <c r="AB471" i="19"/>
  <c r="AA471" i="19"/>
  <c r="Z471" i="19"/>
  <c r="Y471" i="19"/>
  <c r="X471" i="19"/>
  <c r="W471" i="19"/>
  <c r="V471" i="19"/>
  <c r="U471" i="19"/>
  <c r="T471" i="19"/>
  <c r="S471" i="19"/>
  <c r="R471" i="19"/>
  <c r="O471" i="19"/>
  <c r="N471" i="19"/>
  <c r="M471" i="19"/>
  <c r="L471" i="19"/>
  <c r="AC470" i="19"/>
  <c r="AB470" i="19"/>
  <c r="AA470" i="19"/>
  <c r="Z470" i="19"/>
  <c r="Y470" i="19"/>
  <c r="X470" i="19"/>
  <c r="W470" i="19"/>
  <c r="V470" i="19"/>
  <c r="U470" i="19"/>
  <c r="T470" i="19"/>
  <c r="S470" i="19"/>
  <c r="R470" i="19"/>
  <c r="Q470" i="19"/>
  <c r="P470" i="19"/>
  <c r="O470" i="19"/>
  <c r="M470" i="19"/>
  <c r="L470" i="19"/>
  <c r="I470" i="19"/>
  <c r="AC469" i="19"/>
  <c r="AB469" i="19"/>
  <c r="AA469" i="19"/>
  <c r="Z469" i="19"/>
  <c r="Y469" i="19"/>
  <c r="X469" i="19"/>
  <c r="W469" i="19"/>
  <c r="V469" i="19"/>
  <c r="U469" i="19"/>
  <c r="T469" i="19"/>
  <c r="S469" i="19"/>
  <c r="R469" i="19"/>
  <c r="O469" i="19"/>
  <c r="N469" i="19"/>
  <c r="M469" i="19"/>
  <c r="L469" i="19"/>
  <c r="AC468" i="19"/>
  <c r="AB468" i="19"/>
  <c r="AA468" i="19"/>
  <c r="Z468" i="19"/>
  <c r="Y468" i="19"/>
  <c r="X468" i="19"/>
  <c r="W468" i="19"/>
  <c r="V468" i="19"/>
  <c r="U468" i="19"/>
  <c r="S468" i="19"/>
  <c r="R468" i="19"/>
  <c r="Q468" i="19"/>
  <c r="P468" i="19"/>
  <c r="O468" i="19"/>
  <c r="M468" i="19"/>
  <c r="L468" i="19"/>
  <c r="I468" i="19"/>
  <c r="T468" i="19" s="1"/>
  <c r="AC467" i="19"/>
  <c r="AB467" i="19"/>
  <c r="AA467" i="19"/>
  <c r="Z467" i="19"/>
  <c r="Y467" i="19"/>
  <c r="X467" i="19"/>
  <c r="W467" i="19"/>
  <c r="V467" i="19"/>
  <c r="U467" i="19"/>
  <c r="T467" i="19"/>
  <c r="S467" i="19"/>
  <c r="R467" i="19"/>
  <c r="P467" i="19"/>
  <c r="O467" i="19"/>
  <c r="M467" i="19"/>
  <c r="L467" i="19"/>
  <c r="AC466" i="19"/>
  <c r="AB466" i="19"/>
  <c r="AA466" i="19"/>
  <c r="Z466" i="19"/>
  <c r="Y466" i="19"/>
  <c r="X466" i="19"/>
  <c r="W466" i="19"/>
  <c r="V466" i="19"/>
  <c r="U466" i="19"/>
  <c r="S466" i="19"/>
  <c r="R466" i="19"/>
  <c r="Q466" i="19"/>
  <c r="P466" i="19"/>
  <c r="O466" i="19"/>
  <c r="M466" i="19"/>
  <c r="L466" i="19"/>
  <c r="I466" i="19"/>
  <c r="AC465" i="19"/>
  <c r="AB465" i="19"/>
  <c r="AA465" i="19"/>
  <c r="Z465" i="19"/>
  <c r="Y465" i="19"/>
  <c r="X465" i="19"/>
  <c r="W465" i="19"/>
  <c r="V465" i="19"/>
  <c r="U465" i="19"/>
  <c r="T465" i="19"/>
  <c r="S465" i="19"/>
  <c r="R465" i="19"/>
  <c r="Q465" i="19"/>
  <c r="O465" i="19"/>
  <c r="N465" i="19"/>
  <c r="L465" i="19"/>
  <c r="AC464" i="19"/>
  <c r="AB464" i="19"/>
  <c r="AA464" i="19"/>
  <c r="Z464" i="19"/>
  <c r="Y464" i="19"/>
  <c r="X464" i="19"/>
  <c r="W464" i="19"/>
  <c r="V464" i="19"/>
  <c r="U464" i="19"/>
  <c r="S464" i="19"/>
  <c r="R464" i="19"/>
  <c r="Q464" i="19"/>
  <c r="P464" i="19"/>
  <c r="O464" i="19"/>
  <c r="M464" i="19"/>
  <c r="L464" i="19"/>
  <c r="I464" i="19"/>
  <c r="AC463" i="19"/>
  <c r="AB463" i="19"/>
  <c r="AA463" i="19"/>
  <c r="Z463" i="19"/>
  <c r="Y463" i="19"/>
  <c r="X463" i="19"/>
  <c r="W463" i="19"/>
  <c r="V463" i="19"/>
  <c r="U463" i="19"/>
  <c r="T463" i="19"/>
  <c r="S463" i="19"/>
  <c r="R463" i="19"/>
  <c r="Q463" i="19"/>
  <c r="P463" i="19"/>
  <c r="O463" i="19"/>
  <c r="L463" i="19"/>
  <c r="AC462" i="19"/>
  <c r="AB462" i="19"/>
  <c r="AA462" i="19"/>
  <c r="Z462" i="19"/>
  <c r="Y462" i="19"/>
  <c r="X462" i="19"/>
  <c r="W462" i="19"/>
  <c r="V462" i="19"/>
  <c r="U462" i="19"/>
  <c r="S462" i="19"/>
  <c r="R462" i="19"/>
  <c r="Q462" i="19"/>
  <c r="O462" i="19"/>
  <c r="N462" i="19"/>
  <c r="M462" i="19"/>
  <c r="L462" i="19"/>
  <c r="I462" i="19"/>
  <c r="T462" i="19" s="1"/>
  <c r="O544" i="19"/>
  <c r="O545" i="19"/>
  <c r="M543" i="19"/>
  <c r="M540" i="19"/>
  <c r="Q537" i="19"/>
  <c r="P533" i="19"/>
  <c r="O532" i="19"/>
  <c r="M528" i="19"/>
  <c r="N525" i="19"/>
  <c r="O522" i="19"/>
  <c r="Q514" i="19"/>
  <c r="P513" i="19"/>
  <c r="Q508" i="19"/>
  <c r="M508" i="19"/>
  <c r="S502" i="19"/>
  <c r="M500" i="19"/>
  <c r="M491" i="19"/>
  <c r="N488" i="19"/>
  <c r="Q485" i="19"/>
  <c r="O484" i="19"/>
  <c r="P475" i="19"/>
  <c r="N474" i="19"/>
  <c r="Q471" i="19"/>
  <c r="P469" i="19"/>
  <c r="N468" i="19"/>
  <c r="Q530" i="19"/>
  <c r="P511" i="19"/>
  <c r="M490" i="19"/>
  <c r="O474" i="19"/>
  <c r="N463" i="19"/>
  <c r="Q533" i="19"/>
  <c r="N512" i="19"/>
  <c r="R495" i="19"/>
  <c r="Q535" i="19"/>
  <c r="P515" i="19"/>
  <c r="N497" i="19"/>
  <c r="M477" i="19"/>
  <c r="S534" i="19"/>
  <c r="O518" i="19"/>
  <c r="M501" i="19"/>
  <c r="N484" i="19"/>
  <c r="P465" i="19"/>
  <c r="O528" i="19"/>
  <c r="P509" i="19"/>
  <c r="R486" i="19"/>
  <c r="N470" i="19"/>
  <c r="P545" i="19"/>
  <c r="Q527" i="19"/>
  <c r="N508" i="19"/>
  <c r="O480" i="19"/>
  <c r="Q532" i="19"/>
  <c r="Q506" i="19"/>
  <c r="M492" i="19"/>
  <c r="Q469" i="19"/>
  <c r="M531" i="19"/>
  <c r="S513" i="19"/>
  <c r="S494" i="19"/>
  <c r="M475" i="19"/>
  <c r="S482" i="19"/>
  <c r="M539" i="19"/>
  <c r="M524" i="19"/>
  <c r="M502" i="19"/>
  <c r="Q483" i="19"/>
  <c r="N466" i="19"/>
  <c r="Q538" i="19"/>
  <c r="O523" i="19"/>
  <c r="M507" i="19"/>
  <c r="Q543" i="19"/>
  <c r="M522" i="19"/>
  <c r="M504" i="19"/>
  <c r="S488" i="19"/>
  <c r="M542" i="19"/>
  <c r="P529" i="19"/>
  <c r="Q510" i="19"/>
  <c r="R491" i="19"/>
  <c r="P471" i="19"/>
  <c r="O537" i="19"/>
  <c r="N514" i="19"/>
  <c r="M496" i="19"/>
  <c r="Q481" i="19"/>
  <c r="N464" i="19"/>
  <c r="M536" i="19"/>
  <c r="N521" i="19"/>
  <c r="R499" i="19"/>
  <c r="O541" i="19"/>
  <c r="Q520" i="19"/>
  <c r="O500" i="19"/>
  <c r="M485" i="19"/>
  <c r="O540" i="19"/>
  <c r="Q525" i="19"/>
  <c r="M503" i="19"/>
  <c r="M487" i="19"/>
  <c r="Q467" i="19"/>
  <c r="T476" i="19" l="1"/>
  <c r="T516" i="19"/>
  <c r="AD544" i="19"/>
  <c r="AD543" i="19"/>
  <c r="AD545" i="19"/>
  <c r="AD540" i="19"/>
  <c r="AD541" i="19"/>
  <c r="AD537" i="19"/>
  <c r="AD532" i="19"/>
  <c r="AD530" i="19"/>
  <c r="AD533" i="19"/>
  <c r="AD528" i="19"/>
  <c r="AD525" i="19"/>
  <c r="AD522" i="19"/>
  <c r="AD521" i="19"/>
  <c r="T520" i="19"/>
  <c r="AD520" i="19" s="1"/>
  <c r="AD515" i="19"/>
  <c r="AD514" i="19"/>
  <c r="AD510" i="19"/>
  <c r="AD513" i="19"/>
  <c r="AD512" i="19"/>
  <c r="AD508" i="19"/>
  <c r="AD507" i="19"/>
  <c r="AD502" i="19"/>
  <c r="AD500" i="19"/>
  <c r="AD499" i="19"/>
  <c r="AD497" i="19"/>
  <c r="AD496" i="19"/>
  <c r="AD495" i="19"/>
  <c r="AD491" i="19"/>
  <c r="AD488" i="19"/>
  <c r="AD485" i="19"/>
  <c r="AD484" i="19"/>
  <c r="T482" i="19"/>
  <c r="AD482" i="19" s="1"/>
  <c r="T480" i="19"/>
  <c r="AD480" i="19" s="1"/>
  <c r="AD478" i="19"/>
  <c r="T478" i="19"/>
  <c r="AD475" i="19"/>
  <c r="AD474" i="19"/>
  <c r="T477" i="19"/>
  <c r="AD477" i="19" s="1"/>
  <c r="AD470" i="19"/>
  <c r="AD472" i="19"/>
  <c r="AD471" i="19"/>
  <c r="T472" i="19"/>
  <c r="AD468" i="19"/>
  <c r="AD469" i="19"/>
  <c r="T466" i="19"/>
  <c r="AD466" i="19" s="1"/>
  <c r="T464" i="19"/>
  <c r="AD464" i="19" s="1"/>
  <c r="AC461" i="19"/>
  <c r="AB461" i="19"/>
  <c r="AA461" i="19"/>
  <c r="Z461" i="19"/>
  <c r="Y461" i="19"/>
  <c r="X461" i="19"/>
  <c r="W461" i="19"/>
  <c r="V461" i="19"/>
  <c r="U461" i="19"/>
  <c r="T461" i="19"/>
  <c r="S461" i="19"/>
  <c r="R461" i="19"/>
  <c r="P461" i="19"/>
  <c r="O461" i="19"/>
  <c r="N461" i="19"/>
  <c r="L461" i="19"/>
  <c r="AC460" i="19"/>
  <c r="AB460" i="19"/>
  <c r="AA460" i="19"/>
  <c r="Z460" i="19"/>
  <c r="Y460" i="19"/>
  <c r="X460" i="19"/>
  <c r="W460" i="19"/>
  <c r="V460" i="19"/>
  <c r="U460" i="19"/>
  <c r="S460" i="19"/>
  <c r="R460" i="19"/>
  <c r="Q460" i="19"/>
  <c r="P460" i="19"/>
  <c r="O460" i="19"/>
  <c r="N460" i="19"/>
  <c r="M460" i="19"/>
  <c r="L460" i="19"/>
  <c r="I460" i="19"/>
  <c r="AC459" i="19"/>
  <c r="AB459" i="19"/>
  <c r="AA459" i="19"/>
  <c r="Z459" i="19"/>
  <c r="Y459" i="19"/>
  <c r="X459" i="19"/>
  <c r="W459" i="19"/>
  <c r="V459" i="19"/>
  <c r="U459" i="19"/>
  <c r="T459" i="19"/>
  <c r="S459" i="19"/>
  <c r="R459" i="19"/>
  <c r="P459" i="19"/>
  <c r="O459" i="19"/>
  <c r="N459" i="19"/>
  <c r="L459" i="19"/>
  <c r="AC458" i="19"/>
  <c r="AB458" i="19"/>
  <c r="AA458" i="19"/>
  <c r="Z458" i="19"/>
  <c r="Y458" i="19"/>
  <c r="X458" i="19"/>
  <c r="W458" i="19"/>
  <c r="V458" i="19"/>
  <c r="U458" i="19"/>
  <c r="T458" i="19"/>
  <c r="S458" i="19"/>
  <c r="R458" i="19"/>
  <c r="Q458" i="19"/>
  <c r="O458" i="19"/>
  <c r="N458" i="19"/>
  <c r="M458" i="19"/>
  <c r="L458" i="19"/>
  <c r="I458" i="19"/>
  <c r="AC457" i="19"/>
  <c r="AB457" i="19"/>
  <c r="AA457" i="19"/>
  <c r="Z457" i="19"/>
  <c r="Y457" i="19"/>
  <c r="X457" i="19"/>
  <c r="W457" i="19"/>
  <c r="V457" i="19"/>
  <c r="U457" i="19"/>
  <c r="T457" i="19"/>
  <c r="S457" i="19"/>
  <c r="R457" i="19"/>
  <c r="P457" i="19"/>
  <c r="O457" i="19"/>
  <c r="N457" i="19"/>
  <c r="L457" i="19"/>
  <c r="AC456" i="19"/>
  <c r="AB456" i="19"/>
  <c r="AA456" i="19"/>
  <c r="Z456" i="19"/>
  <c r="Y456" i="19"/>
  <c r="X456" i="19"/>
  <c r="W456" i="19"/>
  <c r="V456" i="19"/>
  <c r="U456" i="19"/>
  <c r="S456" i="19"/>
  <c r="R456" i="19"/>
  <c r="Q456" i="19"/>
  <c r="P456" i="19"/>
  <c r="O456" i="19"/>
  <c r="N456" i="19"/>
  <c r="M456" i="19"/>
  <c r="L456" i="19"/>
  <c r="I456" i="19"/>
  <c r="AD456" i="19" s="1"/>
  <c r="AC455" i="19"/>
  <c r="AB455" i="19"/>
  <c r="AA455" i="19"/>
  <c r="Z455" i="19"/>
  <c r="Y455" i="19"/>
  <c r="X455" i="19"/>
  <c r="W455" i="19"/>
  <c r="V455" i="19"/>
  <c r="U455" i="19"/>
  <c r="T455" i="19"/>
  <c r="S455" i="19"/>
  <c r="R455" i="19"/>
  <c r="P455" i="19"/>
  <c r="O455" i="19"/>
  <c r="N455" i="19"/>
  <c r="L455" i="19"/>
  <c r="AC454" i="19"/>
  <c r="AB454" i="19"/>
  <c r="AA454" i="19"/>
  <c r="Z454" i="19"/>
  <c r="Y454" i="19"/>
  <c r="X454" i="19"/>
  <c r="W454" i="19"/>
  <c r="V454" i="19"/>
  <c r="U454" i="19"/>
  <c r="T454" i="19"/>
  <c r="S454" i="19"/>
  <c r="R454" i="19"/>
  <c r="O454" i="19"/>
  <c r="N454" i="19"/>
  <c r="M454" i="19"/>
  <c r="L454" i="19"/>
  <c r="I454" i="19"/>
  <c r="AC453" i="19"/>
  <c r="AB453" i="19"/>
  <c r="AA453" i="19"/>
  <c r="Z453" i="19"/>
  <c r="Y453" i="19"/>
  <c r="X453" i="19"/>
  <c r="W453" i="19"/>
  <c r="V453" i="19"/>
  <c r="U453" i="19"/>
  <c r="T453" i="19"/>
  <c r="S453" i="19"/>
  <c r="R453" i="19"/>
  <c r="Q453" i="19"/>
  <c r="P453" i="19"/>
  <c r="O453" i="19"/>
  <c r="N453" i="19"/>
  <c r="L453" i="19"/>
  <c r="AC452" i="19"/>
  <c r="AB452" i="19"/>
  <c r="AA452" i="19"/>
  <c r="Z452" i="19"/>
  <c r="Y452" i="19"/>
  <c r="X452" i="19"/>
  <c r="W452" i="19"/>
  <c r="V452" i="19"/>
  <c r="U452" i="19"/>
  <c r="S452" i="19"/>
  <c r="R452" i="19"/>
  <c r="Q452" i="19"/>
  <c r="P452" i="19"/>
  <c r="O452" i="19"/>
  <c r="M452" i="19"/>
  <c r="L452" i="19"/>
  <c r="I452" i="19"/>
  <c r="T452" i="19" s="1"/>
  <c r="AC451" i="19"/>
  <c r="AB451" i="19"/>
  <c r="AA451" i="19"/>
  <c r="Z451" i="19"/>
  <c r="Y451" i="19"/>
  <c r="X451" i="19"/>
  <c r="W451" i="19"/>
  <c r="V451" i="19"/>
  <c r="U451" i="19"/>
  <c r="T451" i="19"/>
  <c r="S451" i="19"/>
  <c r="R451" i="19"/>
  <c r="P451" i="19"/>
  <c r="O451" i="19"/>
  <c r="N451" i="19"/>
  <c r="L451" i="19"/>
  <c r="AC450" i="19"/>
  <c r="AB450" i="19"/>
  <c r="AA450" i="19"/>
  <c r="Z450" i="19"/>
  <c r="Y450" i="19"/>
  <c r="X450" i="19"/>
  <c r="W450" i="19"/>
  <c r="V450" i="19"/>
  <c r="U450" i="19"/>
  <c r="S450" i="19"/>
  <c r="R450" i="19"/>
  <c r="P450" i="19"/>
  <c r="O450" i="19"/>
  <c r="N450" i="19"/>
  <c r="M450" i="19"/>
  <c r="L450" i="19"/>
  <c r="I450" i="19"/>
  <c r="AC449" i="19"/>
  <c r="AB449" i="19"/>
  <c r="AA449" i="19"/>
  <c r="Z449" i="19"/>
  <c r="Y449" i="19"/>
  <c r="X449" i="19"/>
  <c r="W449" i="19"/>
  <c r="V449" i="19"/>
  <c r="U449" i="19"/>
  <c r="T449" i="19"/>
  <c r="S449" i="19"/>
  <c r="R449" i="19"/>
  <c r="P449" i="19"/>
  <c r="O449" i="19"/>
  <c r="N449" i="19"/>
  <c r="L449" i="19"/>
  <c r="AC448" i="19"/>
  <c r="AB448" i="19"/>
  <c r="AA448" i="19"/>
  <c r="Z448" i="19"/>
  <c r="Y448" i="19"/>
  <c r="X448" i="19"/>
  <c r="W448" i="19"/>
  <c r="V448" i="19"/>
  <c r="U448" i="19"/>
  <c r="T448" i="19"/>
  <c r="S448" i="19"/>
  <c r="R448" i="19"/>
  <c r="Q448" i="19"/>
  <c r="P448" i="19"/>
  <c r="O448" i="19"/>
  <c r="L448" i="19"/>
  <c r="I448" i="19"/>
  <c r="AC447" i="19"/>
  <c r="AB447" i="19"/>
  <c r="AA447" i="19"/>
  <c r="Z447" i="19"/>
  <c r="Y447" i="19"/>
  <c r="X447" i="19"/>
  <c r="W447" i="19"/>
  <c r="V447" i="19"/>
  <c r="U447" i="19"/>
  <c r="T447" i="19"/>
  <c r="S447" i="19"/>
  <c r="R447" i="19"/>
  <c r="P447" i="19"/>
  <c r="N447" i="19"/>
  <c r="M447" i="19"/>
  <c r="L447" i="19"/>
  <c r="AC446" i="19"/>
  <c r="AB446" i="19"/>
  <c r="AA446" i="19"/>
  <c r="Z446" i="19"/>
  <c r="Y446" i="19"/>
  <c r="X446" i="19"/>
  <c r="W446" i="19"/>
  <c r="V446" i="19"/>
  <c r="U446" i="19"/>
  <c r="S446" i="19"/>
  <c r="R446" i="19"/>
  <c r="Q446" i="19"/>
  <c r="P446" i="19"/>
  <c r="O446" i="19"/>
  <c r="N446" i="19"/>
  <c r="L446" i="19"/>
  <c r="I446" i="19"/>
  <c r="T446" i="19" s="1"/>
  <c r="AC445" i="19"/>
  <c r="AB445" i="19"/>
  <c r="AA445" i="19"/>
  <c r="Z445" i="19"/>
  <c r="Y445" i="19"/>
  <c r="X445" i="19"/>
  <c r="W445" i="19"/>
  <c r="V445" i="19"/>
  <c r="U445" i="19"/>
  <c r="T445" i="19"/>
  <c r="S445" i="19"/>
  <c r="R445" i="19"/>
  <c r="P445" i="19"/>
  <c r="O445" i="19"/>
  <c r="M445" i="19"/>
  <c r="L445" i="19"/>
  <c r="AC444" i="19"/>
  <c r="AB444" i="19"/>
  <c r="AA444" i="19"/>
  <c r="Z444" i="19"/>
  <c r="Y444" i="19"/>
  <c r="X444" i="19"/>
  <c r="W444" i="19"/>
  <c r="V444" i="19"/>
  <c r="U444" i="19"/>
  <c r="S444" i="19"/>
  <c r="R444" i="19"/>
  <c r="Q444" i="19"/>
  <c r="P444" i="19"/>
  <c r="O444" i="19"/>
  <c r="N444" i="19"/>
  <c r="L444" i="19"/>
  <c r="I444" i="19"/>
  <c r="AC443" i="19"/>
  <c r="AB443" i="19"/>
  <c r="AA443" i="19"/>
  <c r="Z443" i="19"/>
  <c r="Y443" i="19"/>
  <c r="X443" i="19"/>
  <c r="W443" i="19"/>
  <c r="V443" i="19"/>
  <c r="U443" i="19"/>
  <c r="T443" i="19"/>
  <c r="S443" i="19"/>
  <c r="R443" i="19"/>
  <c r="Q443" i="19"/>
  <c r="P443" i="19"/>
  <c r="N443" i="19"/>
  <c r="L443" i="19"/>
  <c r="AC442" i="19"/>
  <c r="AB442" i="19"/>
  <c r="AA442" i="19"/>
  <c r="Z442" i="19"/>
  <c r="Y442" i="19"/>
  <c r="X442" i="19"/>
  <c r="W442" i="19"/>
  <c r="V442" i="19"/>
  <c r="U442" i="19"/>
  <c r="T442" i="19"/>
  <c r="S442" i="19"/>
  <c r="R442" i="19"/>
  <c r="Q442" i="19"/>
  <c r="O442" i="19"/>
  <c r="N442" i="19"/>
  <c r="L442" i="19"/>
  <c r="I442" i="19"/>
  <c r="AC441" i="19"/>
  <c r="AB441" i="19"/>
  <c r="AA441" i="19"/>
  <c r="Z441" i="19"/>
  <c r="Y441" i="19"/>
  <c r="X441" i="19"/>
  <c r="W441" i="19"/>
  <c r="V441" i="19"/>
  <c r="U441" i="19"/>
  <c r="T441" i="19"/>
  <c r="S441" i="19"/>
  <c r="R441" i="19"/>
  <c r="Q441" i="19"/>
  <c r="P441" i="19"/>
  <c r="O441" i="19"/>
  <c r="L441" i="19"/>
  <c r="AC440" i="19"/>
  <c r="AB440" i="19"/>
  <c r="AA440" i="19"/>
  <c r="Z440" i="19"/>
  <c r="Y440" i="19"/>
  <c r="X440" i="19"/>
  <c r="W440" i="19"/>
  <c r="V440" i="19"/>
  <c r="U440" i="19"/>
  <c r="S440" i="19"/>
  <c r="R440" i="19"/>
  <c r="Q440" i="19"/>
  <c r="P440" i="19"/>
  <c r="N440" i="19"/>
  <c r="M440" i="19"/>
  <c r="L440" i="19"/>
  <c r="I440" i="19"/>
  <c r="T440" i="19" s="1"/>
  <c r="AC439" i="19"/>
  <c r="AB439" i="19"/>
  <c r="AA439" i="19"/>
  <c r="Z439" i="19"/>
  <c r="Y439" i="19"/>
  <c r="X439" i="19"/>
  <c r="W439" i="19"/>
  <c r="V439" i="19"/>
  <c r="U439" i="19"/>
  <c r="T439" i="19"/>
  <c r="S439" i="19"/>
  <c r="R439" i="19"/>
  <c r="Q439" i="19"/>
  <c r="P439" i="19"/>
  <c r="O439" i="19"/>
  <c r="N439" i="19"/>
  <c r="L439" i="19"/>
  <c r="AC438" i="19"/>
  <c r="AB438" i="19"/>
  <c r="AA438" i="19"/>
  <c r="Z438" i="19"/>
  <c r="Y438" i="19"/>
  <c r="X438" i="19"/>
  <c r="W438" i="19"/>
  <c r="V438" i="19"/>
  <c r="U438" i="19"/>
  <c r="S438" i="19"/>
  <c r="R438" i="19"/>
  <c r="Q438" i="19"/>
  <c r="O438" i="19"/>
  <c r="N438" i="19"/>
  <c r="M438" i="19"/>
  <c r="L438" i="19"/>
  <c r="I438" i="19"/>
  <c r="AC437" i="19"/>
  <c r="AB437" i="19"/>
  <c r="AA437" i="19"/>
  <c r="Z437" i="19"/>
  <c r="Y437" i="19"/>
  <c r="X437" i="19"/>
  <c r="W437" i="19"/>
  <c r="V437" i="19"/>
  <c r="U437" i="19"/>
  <c r="T437" i="19"/>
  <c r="S437" i="19"/>
  <c r="R437" i="19"/>
  <c r="Q437" i="19"/>
  <c r="P437" i="19"/>
  <c r="O437" i="19"/>
  <c r="N437" i="19"/>
  <c r="L437" i="19"/>
  <c r="AC436" i="19"/>
  <c r="AB436" i="19"/>
  <c r="AA436" i="19"/>
  <c r="Z436" i="19"/>
  <c r="Y436" i="19"/>
  <c r="X436" i="19"/>
  <c r="W436" i="19"/>
  <c r="V436" i="19"/>
  <c r="U436" i="19"/>
  <c r="T436" i="19"/>
  <c r="S436" i="19"/>
  <c r="R436" i="19"/>
  <c r="Q436" i="19"/>
  <c r="P436" i="19"/>
  <c r="N436" i="19"/>
  <c r="L436" i="19"/>
  <c r="I436" i="19"/>
  <c r="AC435" i="19"/>
  <c r="AB435" i="19"/>
  <c r="AA435" i="19"/>
  <c r="Z435" i="19"/>
  <c r="Y435" i="19"/>
  <c r="X435" i="19"/>
  <c r="W435" i="19"/>
  <c r="V435" i="19"/>
  <c r="U435" i="19"/>
  <c r="T435" i="19"/>
  <c r="S435" i="19"/>
  <c r="R435" i="19"/>
  <c r="Q435" i="19"/>
  <c r="P435" i="19"/>
  <c r="O435" i="19"/>
  <c r="N435" i="19"/>
  <c r="L435" i="19"/>
  <c r="AC434" i="19"/>
  <c r="AB434" i="19"/>
  <c r="AA434" i="19"/>
  <c r="Z434" i="19"/>
  <c r="Y434" i="19"/>
  <c r="X434" i="19"/>
  <c r="W434" i="19"/>
  <c r="V434" i="19"/>
  <c r="U434" i="19"/>
  <c r="S434" i="19"/>
  <c r="R434" i="19"/>
  <c r="Q434" i="19"/>
  <c r="P434" i="19"/>
  <c r="O434" i="19"/>
  <c r="M434" i="19"/>
  <c r="L434" i="19"/>
  <c r="I434" i="19"/>
  <c r="T434" i="19" s="1"/>
  <c r="AC433" i="19"/>
  <c r="AB433" i="19"/>
  <c r="AA433" i="19"/>
  <c r="Z433" i="19"/>
  <c r="Y433" i="19"/>
  <c r="X433" i="19"/>
  <c r="W433" i="19"/>
  <c r="V433" i="19"/>
  <c r="U433" i="19"/>
  <c r="T433" i="19"/>
  <c r="S433" i="19"/>
  <c r="R433" i="19"/>
  <c r="Q433" i="19"/>
  <c r="P433" i="19"/>
  <c r="O433" i="19"/>
  <c r="N433" i="19"/>
  <c r="L433" i="19"/>
  <c r="AC432" i="19"/>
  <c r="AB432" i="19"/>
  <c r="AA432" i="19"/>
  <c r="Z432" i="19"/>
  <c r="Y432" i="19"/>
  <c r="X432" i="19"/>
  <c r="W432" i="19"/>
  <c r="V432" i="19"/>
  <c r="U432" i="19"/>
  <c r="T432" i="19"/>
  <c r="S432" i="19"/>
  <c r="R432" i="19"/>
  <c r="P432" i="19"/>
  <c r="O432" i="19"/>
  <c r="N432" i="19"/>
  <c r="L432" i="19"/>
  <c r="I432" i="19"/>
  <c r="AC431" i="19"/>
  <c r="AB431" i="19"/>
  <c r="AA431" i="19"/>
  <c r="Z431" i="19"/>
  <c r="Y431" i="19"/>
  <c r="X431" i="19"/>
  <c r="W431" i="19"/>
  <c r="V431" i="19"/>
  <c r="U431" i="19"/>
  <c r="T431" i="19"/>
  <c r="S431" i="19"/>
  <c r="R431" i="19"/>
  <c r="Q431" i="19"/>
  <c r="P431" i="19"/>
  <c r="O431" i="19"/>
  <c r="N431" i="19"/>
  <c r="L431" i="19"/>
  <c r="AC430" i="19"/>
  <c r="AB430" i="19"/>
  <c r="AA430" i="19"/>
  <c r="Z430" i="19"/>
  <c r="Y430" i="19"/>
  <c r="X430" i="19"/>
  <c r="W430" i="19"/>
  <c r="V430" i="19"/>
  <c r="U430" i="19"/>
  <c r="T430" i="19"/>
  <c r="S430" i="19"/>
  <c r="R430" i="19"/>
  <c r="Q430" i="19"/>
  <c r="P430" i="19"/>
  <c r="O430" i="19"/>
  <c r="M430" i="19"/>
  <c r="L430" i="19"/>
  <c r="I430" i="19"/>
  <c r="AC429" i="19"/>
  <c r="AB429" i="19"/>
  <c r="AA429" i="19"/>
  <c r="Z429" i="19"/>
  <c r="Y429" i="19"/>
  <c r="X429" i="19"/>
  <c r="W429" i="19"/>
  <c r="V429" i="19"/>
  <c r="U429" i="19"/>
  <c r="T429" i="19"/>
  <c r="S429" i="19"/>
  <c r="R429" i="19"/>
  <c r="Q429" i="19"/>
  <c r="P429" i="19"/>
  <c r="O429" i="19"/>
  <c r="L429" i="19"/>
  <c r="AC428" i="19"/>
  <c r="AB428" i="19"/>
  <c r="AA428" i="19"/>
  <c r="Z428" i="19"/>
  <c r="Y428" i="19"/>
  <c r="X428" i="19"/>
  <c r="W428" i="19"/>
  <c r="V428" i="19"/>
  <c r="U428" i="19"/>
  <c r="T428" i="19"/>
  <c r="S428" i="19"/>
  <c r="R428" i="19"/>
  <c r="P428" i="19"/>
  <c r="O428" i="19"/>
  <c r="N428" i="19"/>
  <c r="L428" i="19"/>
  <c r="I428" i="19"/>
  <c r="AC427" i="19"/>
  <c r="AB427" i="19"/>
  <c r="AA427" i="19"/>
  <c r="Z427" i="19"/>
  <c r="Y427" i="19"/>
  <c r="X427" i="19"/>
  <c r="W427" i="19"/>
  <c r="V427" i="19"/>
  <c r="U427" i="19"/>
  <c r="T427" i="19"/>
  <c r="S427" i="19"/>
  <c r="R427" i="19"/>
  <c r="Q427" i="19"/>
  <c r="P427" i="19"/>
  <c r="O427" i="19"/>
  <c r="N427" i="19"/>
  <c r="L427" i="19"/>
  <c r="AC426" i="19"/>
  <c r="AB426" i="19"/>
  <c r="AA426" i="19"/>
  <c r="Z426" i="19"/>
  <c r="Y426" i="19"/>
  <c r="X426" i="19"/>
  <c r="W426" i="19"/>
  <c r="V426" i="19"/>
  <c r="U426" i="19"/>
  <c r="T426" i="19"/>
  <c r="S426" i="19"/>
  <c r="R426" i="19"/>
  <c r="Q426" i="19"/>
  <c r="P426" i="19"/>
  <c r="M426" i="19"/>
  <c r="L426" i="19"/>
  <c r="I426" i="19"/>
  <c r="AC425" i="19"/>
  <c r="AB425" i="19"/>
  <c r="AA425" i="19"/>
  <c r="Z425" i="19"/>
  <c r="Y425" i="19"/>
  <c r="X425" i="19"/>
  <c r="W425" i="19"/>
  <c r="V425" i="19"/>
  <c r="U425" i="19"/>
  <c r="T425" i="19"/>
  <c r="S425" i="19"/>
  <c r="R425" i="19"/>
  <c r="Q425" i="19"/>
  <c r="P425" i="19"/>
  <c r="O425" i="19"/>
  <c r="L425" i="19"/>
  <c r="AC424" i="19"/>
  <c r="AB424" i="19"/>
  <c r="AA424" i="19"/>
  <c r="Z424" i="19"/>
  <c r="Y424" i="19"/>
  <c r="X424" i="19"/>
  <c r="W424" i="19"/>
  <c r="V424" i="19"/>
  <c r="U424" i="19"/>
  <c r="T424" i="19"/>
  <c r="S424" i="19"/>
  <c r="R424" i="19"/>
  <c r="Q424" i="19"/>
  <c r="P424" i="19"/>
  <c r="O424" i="19"/>
  <c r="N424" i="19"/>
  <c r="L424" i="19"/>
  <c r="I424" i="19"/>
  <c r="AC423" i="19"/>
  <c r="AB423" i="19"/>
  <c r="AA423" i="19"/>
  <c r="Z423" i="19"/>
  <c r="Y423" i="19"/>
  <c r="X423" i="19"/>
  <c r="W423" i="19"/>
  <c r="V423" i="19"/>
  <c r="U423" i="19"/>
  <c r="T423" i="19"/>
  <c r="S423" i="19"/>
  <c r="R423" i="19"/>
  <c r="Q423" i="19"/>
  <c r="P423" i="19"/>
  <c r="O423" i="19"/>
  <c r="N423" i="19"/>
  <c r="L423" i="19"/>
  <c r="AC422" i="19"/>
  <c r="AB422" i="19"/>
  <c r="AA422" i="19"/>
  <c r="Z422" i="19"/>
  <c r="Y422" i="19"/>
  <c r="X422" i="19"/>
  <c r="W422" i="19"/>
  <c r="V422" i="19"/>
  <c r="U422" i="19"/>
  <c r="T422" i="19"/>
  <c r="S422" i="19"/>
  <c r="R422" i="19"/>
  <c r="P422" i="19"/>
  <c r="N422" i="19"/>
  <c r="M422" i="19"/>
  <c r="L422" i="19"/>
  <c r="I422" i="19"/>
  <c r="AC421" i="19"/>
  <c r="AB421" i="19"/>
  <c r="AA421" i="19"/>
  <c r="Z421" i="19"/>
  <c r="Y421" i="19"/>
  <c r="X421" i="19"/>
  <c r="W421" i="19"/>
  <c r="V421" i="19"/>
  <c r="U421" i="19"/>
  <c r="S421" i="19"/>
  <c r="R421" i="19"/>
  <c r="Q421" i="19"/>
  <c r="P421" i="19"/>
  <c r="O421" i="19"/>
  <c r="N421" i="19"/>
  <c r="L421" i="19"/>
  <c r="AC420" i="19"/>
  <c r="AB420" i="19"/>
  <c r="AA420" i="19"/>
  <c r="Z420" i="19"/>
  <c r="Y420" i="19"/>
  <c r="X420" i="19"/>
  <c r="W420" i="19"/>
  <c r="V420" i="19"/>
  <c r="U420" i="19"/>
  <c r="T420" i="19"/>
  <c r="S420" i="19"/>
  <c r="R420" i="19"/>
  <c r="Q420" i="19"/>
  <c r="O420" i="19"/>
  <c r="N420" i="19"/>
  <c r="L420" i="19"/>
  <c r="I420" i="19"/>
  <c r="AC419" i="19"/>
  <c r="AB419" i="19"/>
  <c r="AA419" i="19"/>
  <c r="Z419" i="19"/>
  <c r="Y419" i="19"/>
  <c r="X419" i="19"/>
  <c r="W419" i="19"/>
  <c r="V419" i="19"/>
  <c r="U419" i="19"/>
  <c r="T419" i="19"/>
  <c r="S419" i="19"/>
  <c r="R419" i="19"/>
  <c r="Q419" i="19"/>
  <c r="P419" i="19"/>
  <c r="O419" i="19"/>
  <c r="N419" i="19"/>
  <c r="L419" i="19"/>
  <c r="AC418" i="19"/>
  <c r="AB418" i="19"/>
  <c r="AA418" i="19"/>
  <c r="Z418" i="19"/>
  <c r="Y418" i="19"/>
  <c r="X418" i="19"/>
  <c r="W418" i="19"/>
  <c r="V418" i="19"/>
  <c r="U418" i="19"/>
  <c r="T418" i="19"/>
  <c r="S418" i="19"/>
  <c r="R418" i="19"/>
  <c r="P418" i="19"/>
  <c r="O418" i="19"/>
  <c r="N418" i="19"/>
  <c r="L418" i="19"/>
  <c r="I418" i="19"/>
  <c r="AC417" i="19"/>
  <c r="AB417" i="19"/>
  <c r="AA417" i="19"/>
  <c r="Z417" i="19"/>
  <c r="Y417" i="19"/>
  <c r="X417" i="19"/>
  <c r="W417" i="19"/>
  <c r="V417" i="19"/>
  <c r="U417" i="19"/>
  <c r="R417" i="19"/>
  <c r="Q417" i="19"/>
  <c r="P417" i="19"/>
  <c r="O417" i="19"/>
  <c r="N417" i="19"/>
  <c r="M417" i="19"/>
  <c r="L417" i="19"/>
  <c r="AC416" i="19"/>
  <c r="AB416" i="19"/>
  <c r="AA416" i="19"/>
  <c r="Z416" i="19"/>
  <c r="X416" i="19"/>
  <c r="W416" i="19"/>
  <c r="V416" i="19"/>
  <c r="U416" i="19"/>
  <c r="T416" i="19"/>
  <c r="S416" i="19"/>
  <c r="R416" i="19"/>
  <c r="Q416" i="19"/>
  <c r="O416" i="19"/>
  <c r="N416" i="19"/>
  <c r="M416" i="19"/>
  <c r="L416" i="19"/>
  <c r="I416" i="19"/>
  <c r="T417" i="19" s="1"/>
  <c r="AC415" i="19"/>
  <c r="AB415" i="19"/>
  <c r="AA415" i="19"/>
  <c r="Z415" i="19"/>
  <c r="Y415" i="19"/>
  <c r="X415" i="19"/>
  <c r="W415" i="19"/>
  <c r="V415" i="19"/>
  <c r="U415" i="19"/>
  <c r="S415" i="19"/>
  <c r="R415" i="19"/>
  <c r="Q415" i="19"/>
  <c r="P415" i="19"/>
  <c r="O415" i="19"/>
  <c r="N415" i="19"/>
  <c r="L415" i="19"/>
  <c r="AC414" i="19"/>
  <c r="AB414" i="19"/>
  <c r="AA414" i="19"/>
  <c r="Z414" i="19"/>
  <c r="Y414" i="19"/>
  <c r="X414" i="19"/>
  <c r="W414" i="19"/>
  <c r="V414" i="19"/>
  <c r="U414" i="19"/>
  <c r="T414" i="19"/>
  <c r="S414" i="19"/>
  <c r="R414" i="19"/>
  <c r="Q414" i="19"/>
  <c r="P414" i="19"/>
  <c r="O414" i="19"/>
  <c r="L414" i="19"/>
  <c r="I414" i="19"/>
  <c r="Q461" i="19"/>
  <c r="Q454" i="19"/>
  <c r="N452" i="19"/>
  <c r="M448" i="19"/>
  <c r="Q449" i="19"/>
  <c r="O440" i="19"/>
  <c r="N434" i="19"/>
  <c r="Q432" i="19"/>
  <c r="M418" i="19"/>
  <c r="Q542" i="19"/>
  <c r="S538" i="19"/>
  <c r="Q539" i="19"/>
  <c r="Q536" i="19"/>
  <c r="Q534" i="19"/>
  <c r="M535" i="19"/>
  <c r="Q531" i="19"/>
  <c r="Q529" i="19"/>
  <c r="M526" i="19"/>
  <c r="O527" i="19"/>
  <c r="P523" i="19"/>
  <c r="Q524" i="19"/>
  <c r="N518" i="19"/>
  <c r="N516" i="19"/>
  <c r="S517" i="19"/>
  <c r="M511" i="19"/>
  <c r="M509" i="19"/>
  <c r="M506" i="19"/>
  <c r="O504" i="19"/>
  <c r="R503" i="19"/>
  <c r="N501" i="19"/>
  <c r="M494" i="19"/>
  <c r="S492" i="19"/>
  <c r="M493" i="19"/>
  <c r="R490" i="19"/>
  <c r="Q487" i="19"/>
  <c r="S486" i="19"/>
  <c r="M483" i="19"/>
  <c r="M481" i="19"/>
  <c r="Q473" i="19"/>
  <c r="N467" i="19"/>
  <c r="M465" i="19"/>
  <c r="P462" i="19"/>
  <c r="M463" i="19"/>
  <c r="Q450" i="19"/>
  <c r="N425" i="19"/>
  <c r="P454" i="19"/>
  <c r="O422" i="19"/>
  <c r="M489" i="19"/>
  <c r="M432" i="19"/>
  <c r="M479" i="19"/>
  <c r="N448" i="19"/>
  <c r="N430" i="19"/>
  <c r="M505" i="19"/>
  <c r="Q447" i="19"/>
  <c r="M420" i="19"/>
  <c r="O443" i="19"/>
  <c r="Q418" i="19"/>
  <c r="M449" i="19"/>
  <c r="Q428" i="19"/>
  <c r="M461" i="19"/>
  <c r="Q445" i="19"/>
  <c r="N426" i="19"/>
  <c r="M459" i="19"/>
  <c r="M444" i="19"/>
  <c r="M415" i="19"/>
  <c r="M435" i="19"/>
  <c r="M414" i="19"/>
  <c r="M442" i="19"/>
  <c r="M424" i="19"/>
  <c r="Q457" i="19"/>
  <c r="N441" i="19"/>
  <c r="M421" i="19"/>
  <c r="Q455" i="19"/>
  <c r="P438" i="19"/>
  <c r="P458" i="19"/>
  <c r="M429" i="19"/>
  <c r="S498" i="19"/>
  <c r="M439" i="19"/>
  <c r="P519" i="19"/>
  <c r="M451" i="19"/>
  <c r="O436" i="19"/>
  <c r="P416" i="19"/>
  <c r="AD542" i="19" l="1"/>
  <c r="AD539" i="19"/>
  <c r="AD538" i="19"/>
  <c r="AD535" i="19"/>
  <c r="AD534" i="19"/>
  <c r="AD536" i="19"/>
  <c r="AD531" i="19"/>
  <c r="AD527" i="19"/>
  <c r="AD526" i="19"/>
  <c r="AD529" i="19"/>
  <c r="AD524" i="19"/>
  <c r="AD523" i="19"/>
  <c r="AD518" i="19"/>
  <c r="AD519" i="19"/>
  <c r="AD517" i="19"/>
  <c r="AD516" i="19"/>
  <c r="AD511" i="19"/>
  <c r="AD506" i="19"/>
  <c r="AD509" i="19"/>
  <c r="AD505" i="19"/>
  <c r="AD503" i="19"/>
  <c r="AD504" i="19"/>
  <c r="AD498" i="19"/>
  <c r="AD501" i="19"/>
  <c r="AD494" i="19"/>
  <c r="AD490" i="19"/>
  <c r="AD493" i="19"/>
  <c r="AD492" i="19"/>
  <c r="AD486" i="19"/>
  <c r="AD489" i="19"/>
  <c r="AD487" i="19"/>
  <c r="AD483" i="19"/>
  <c r="AD481" i="19"/>
  <c r="AD479" i="19"/>
  <c r="AD473" i="19"/>
  <c r="AD467" i="19"/>
  <c r="AD463" i="19"/>
  <c r="AD462" i="19"/>
  <c r="AD465" i="19"/>
  <c r="AD458" i="19"/>
  <c r="T460" i="19"/>
  <c r="AD461" i="19"/>
  <c r="AD460" i="19"/>
  <c r="AD454" i="19"/>
  <c r="T456" i="19"/>
  <c r="AD452" i="19"/>
  <c r="T450" i="19"/>
  <c r="AD450" i="19" s="1"/>
  <c r="AD448" i="19"/>
  <c r="AD449" i="19"/>
  <c r="T444" i="19"/>
  <c r="AD444" i="19" s="1"/>
  <c r="AD440" i="19"/>
  <c r="T438" i="19"/>
  <c r="AD438" i="19" s="1"/>
  <c r="AD439" i="19"/>
  <c r="AD435" i="19"/>
  <c r="AD434" i="19"/>
  <c r="AD430" i="19"/>
  <c r="AD432" i="19"/>
  <c r="AD424" i="19"/>
  <c r="T421" i="19"/>
  <c r="AD421" i="19" s="1"/>
  <c r="AD418" i="19"/>
  <c r="AC411" i="19"/>
  <c r="AB411" i="19"/>
  <c r="AA411" i="19"/>
  <c r="Z411" i="19"/>
  <c r="Y411" i="19"/>
  <c r="X411" i="19"/>
  <c r="W411" i="19"/>
  <c r="V411" i="19"/>
  <c r="U411" i="19"/>
  <c r="T411" i="19"/>
  <c r="R411" i="19"/>
  <c r="P411" i="19"/>
  <c r="O411" i="19"/>
  <c r="N411" i="19"/>
  <c r="M411" i="19"/>
  <c r="L411" i="19"/>
  <c r="AC410" i="19"/>
  <c r="AB410" i="19"/>
  <c r="AA410" i="19"/>
  <c r="Z410" i="19"/>
  <c r="X410" i="19"/>
  <c r="W410" i="19"/>
  <c r="V410" i="19"/>
  <c r="U410" i="19"/>
  <c r="T410" i="19"/>
  <c r="R410" i="19"/>
  <c r="Q410" i="19"/>
  <c r="P410" i="19"/>
  <c r="O410" i="19"/>
  <c r="N410" i="19"/>
  <c r="M410" i="19"/>
  <c r="L410" i="19"/>
  <c r="I410" i="19"/>
  <c r="AC409" i="19"/>
  <c r="AB409" i="19"/>
  <c r="AA409" i="19"/>
  <c r="Z409" i="19"/>
  <c r="Y409" i="19"/>
  <c r="X409" i="19"/>
  <c r="W409" i="19"/>
  <c r="V409" i="19"/>
  <c r="U409" i="19"/>
  <c r="S409" i="19"/>
  <c r="R409" i="19"/>
  <c r="Q409" i="19"/>
  <c r="P409" i="19"/>
  <c r="O409" i="19"/>
  <c r="M409" i="19"/>
  <c r="L409" i="19"/>
  <c r="AC408" i="19"/>
  <c r="AB408" i="19"/>
  <c r="AA408" i="19"/>
  <c r="Z408" i="19"/>
  <c r="Y408" i="19"/>
  <c r="X408" i="19"/>
  <c r="W408" i="19"/>
  <c r="V408" i="19"/>
  <c r="U408" i="19"/>
  <c r="S408" i="19"/>
  <c r="R408" i="19"/>
  <c r="Q408" i="19"/>
  <c r="P408" i="19"/>
  <c r="O408" i="19"/>
  <c r="M408" i="19"/>
  <c r="L408" i="19"/>
  <c r="I408" i="19"/>
  <c r="AC407" i="19"/>
  <c r="AB407" i="19"/>
  <c r="AA407" i="19"/>
  <c r="Z407" i="19"/>
  <c r="Y407" i="19"/>
  <c r="X407" i="19"/>
  <c r="W407" i="19"/>
  <c r="V407" i="19"/>
  <c r="U407" i="19"/>
  <c r="T407" i="19"/>
  <c r="R407" i="19"/>
  <c r="P407" i="19"/>
  <c r="O407" i="19"/>
  <c r="N407" i="19"/>
  <c r="M407" i="19"/>
  <c r="L407" i="19"/>
  <c r="AC406" i="19"/>
  <c r="AB406" i="19"/>
  <c r="AA406" i="19"/>
  <c r="Z406" i="19"/>
  <c r="Y406" i="19"/>
  <c r="X406" i="19"/>
  <c r="W406" i="19"/>
  <c r="V406" i="19"/>
  <c r="U406" i="19"/>
  <c r="T406" i="19"/>
  <c r="R406" i="19"/>
  <c r="Q406" i="19"/>
  <c r="O406" i="19"/>
  <c r="N406" i="19"/>
  <c r="M406" i="19"/>
  <c r="L406" i="19"/>
  <c r="I406" i="19"/>
  <c r="AC405" i="19"/>
  <c r="AB405" i="19"/>
  <c r="AA405" i="19"/>
  <c r="Z405" i="19"/>
  <c r="X405" i="19"/>
  <c r="W405" i="19"/>
  <c r="V405" i="19"/>
  <c r="U405" i="19"/>
  <c r="T405" i="19"/>
  <c r="S405" i="19"/>
  <c r="R405" i="19"/>
  <c r="Q405" i="19"/>
  <c r="P405" i="19"/>
  <c r="O405" i="19"/>
  <c r="M405" i="19"/>
  <c r="L405" i="19"/>
  <c r="AC404" i="19"/>
  <c r="AB404" i="19"/>
  <c r="AA404" i="19"/>
  <c r="Z404" i="19"/>
  <c r="X404" i="19"/>
  <c r="W404" i="19"/>
  <c r="V404" i="19"/>
  <c r="U404" i="19"/>
  <c r="S404" i="19"/>
  <c r="R404" i="19"/>
  <c r="Q404" i="19"/>
  <c r="P404" i="19"/>
  <c r="O404" i="19"/>
  <c r="N404" i="19"/>
  <c r="M404" i="19"/>
  <c r="L404" i="19"/>
  <c r="I404" i="19"/>
  <c r="AC403" i="19"/>
  <c r="AB403" i="19"/>
  <c r="AA403" i="19"/>
  <c r="Z403" i="19"/>
  <c r="X403" i="19"/>
  <c r="W403" i="19"/>
  <c r="V403" i="19"/>
  <c r="U403" i="19"/>
  <c r="T403" i="19"/>
  <c r="R403" i="19"/>
  <c r="Q403" i="19"/>
  <c r="P403" i="19"/>
  <c r="O403" i="19"/>
  <c r="N403" i="19"/>
  <c r="M403" i="19"/>
  <c r="L403" i="19"/>
  <c r="AC402" i="19"/>
  <c r="AB402" i="19"/>
  <c r="AA402" i="19"/>
  <c r="Z402" i="19"/>
  <c r="Y402" i="19"/>
  <c r="X402" i="19"/>
  <c r="W402" i="19"/>
  <c r="V402" i="19"/>
  <c r="U402" i="19"/>
  <c r="T402" i="19"/>
  <c r="S402" i="19"/>
  <c r="R402" i="19"/>
  <c r="O402" i="19"/>
  <c r="N402" i="19"/>
  <c r="M402" i="19"/>
  <c r="L402" i="19"/>
  <c r="I402" i="19"/>
  <c r="AC401" i="19"/>
  <c r="AB401" i="19"/>
  <c r="AA401" i="19"/>
  <c r="Z401" i="19"/>
  <c r="X401" i="19"/>
  <c r="W401" i="19"/>
  <c r="V401" i="19"/>
  <c r="U401" i="19"/>
  <c r="S401" i="19"/>
  <c r="R401" i="19"/>
  <c r="Q401" i="19"/>
  <c r="P401" i="19"/>
  <c r="O401" i="19"/>
  <c r="N401" i="19"/>
  <c r="M401" i="19"/>
  <c r="L401" i="19"/>
  <c r="AC400" i="19"/>
  <c r="AB400" i="19"/>
  <c r="AA400" i="19"/>
  <c r="Z400" i="19"/>
  <c r="X400" i="19"/>
  <c r="W400" i="19"/>
  <c r="V400" i="19"/>
  <c r="U400" i="19"/>
  <c r="T400" i="19"/>
  <c r="R400" i="19"/>
  <c r="Q400" i="19"/>
  <c r="P400" i="19"/>
  <c r="O400" i="19"/>
  <c r="N400" i="19"/>
  <c r="M400" i="19"/>
  <c r="L400" i="19"/>
  <c r="I400" i="19"/>
  <c r="AC399" i="19"/>
  <c r="AB399" i="19"/>
  <c r="AA399" i="19"/>
  <c r="Z399" i="19"/>
  <c r="X399" i="19"/>
  <c r="W399" i="19"/>
  <c r="V399" i="19"/>
  <c r="U399" i="19"/>
  <c r="T399" i="19"/>
  <c r="S399" i="19"/>
  <c r="R399" i="19"/>
  <c r="P399" i="19"/>
  <c r="O399" i="19"/>
  <c r="N399" i="19"/>
  <c r="M399" i="19"/>
  <c r="L399" i="19"/>
  <c r="AC398" i="19"/>
  <c r="AB398" i="19"/>
  <c r="AA398" i="19"/>
  <c r="Z398" i="19"/>
  <c r="Y398" i="19"/>
  <c r="X398" i="19"/>
  <c r="W398" i="19"/>
  <c r="V398" i="19"/>
  <c r="U398" i="19"/>
  <c r="S398" i="19"/>
  <c r="R398" i="19"/>
  <c r="P398" i="19"/>
  <c r="O398" i="19"/>
  <c r="N398" i="19"/>
  <c r="M398" i="19"/>
  <c r="L398" i="19"/>
  <c r="I398" i="19"/>
  <c r="AC397" i="19"/>
  <c r="AB397" i="19"/>
  <c r="AA397" i="19"/>
  <c r="Z397" i="19"/>
  <c r="Y397" i="19"/>
  <c r="X397" i="19"/>
  <c r="W397" i="19"/>
  <c r="V397" i="19"/>
  <c r="U397" i="19"/>
  <c r="R397" i="19"/>
  <c r="Q397" i="19"/>
  <c r="P397" i="19"/>
  <c r="O397" i="19"/>
  <c r="N397" i="19"/>
  <c r="M397" i="19"/>
  <c r="L397" i="19"/>
  <c r="AC396" i="19"/>
  <c r="AB396" i="19"/>
  <c r="AA396" i="19"/>
  <c r="Z396" i="19"/>
  <c r="Y396" i="19"/>
  <c r="X396" i="19"/>
  <c r="W396" i="19"/>
  <c r="V396" i="19"/>
  <c r="U396" i="19"/>
  <c r="T396" i="19"/>
  <c r="R396" i="19"/>
  <c r="Q396" i="19"/>
  <c r="P396" i="19"/>
  <c r="O396" i="19"/>
  <c r="N396" i="19"/>
  <c r="M396" i="19"/>
  <c r="L396" i="19"/>
  <c r="I396" i="19"/>
  <c r="AC395" i="19"/>
  <c r="AB395" i="19"/>
  <c r="AA395" i="19"/>
  <c r="Z395" i="19"/>
  <c r="X395" i="19"/>
  <c r="W395" i="19"/>
  <c r="V395" i="19"/>
  <c r="U395" i="19"/>
  <c r="T395" i="19"/>
  <c r="S395" i="19"/>
  <c r="R395" i="19"/>
  <c r="P395" i="19"/>
  <c r="O395" i="19"/>
  <c r="N395" i="19"/>
  <c r="M395" i="19"/>
  <c r="L395" i="19"/>
  <c r="AC394" i="19"/>
  <c r="AA394" i="19"/>
  <c r="Z394" i="19"/>
  <c r="Y394" i="19"/>
  <c r="X394" i="19"/>
  <c r="W394" i="19"/>
  <c r="V394" i="19"/>
  <c r="U394" i="19"/>
  <c r="S394" i="19"/>
  <c r="R394" i="19"/>
  <c r="Q394" i="19"/>
  <c r="P394" i="19"/>
  <c r="O394" i="19"/>
  <c r="N394" i="19"/>
  <c r="M394" i="19"/>
  <c r="L394" i="19"/>
  <c r="I394" i="19"/>
  <c r="AC393" i="19"/>
  <c r="AB393" i="19"/>
  <c r="AA393" i="19"/>
  <c r="Z393" i="19"/>
  <c r="X393" i="19"/>
  <c r="W393" i="19"/>
  <c r="V393" i="19"/>
  <c r="U393" i="19"/>
  <c r="T393" i="19"/>
  <c r="R393" i="19"/>
  <c r="Q393" i="19"/>
  <c r="P393" i="19"/>
  <c r="O393" i="19"/>
  <c r="N393" i="19"/>
  <c r="M393" i="19"/>
  <c r="L393" i="19"/>
  <c r="AC392" i="19"/>
  <c r="AB392" i="19"/>
  <c r="AA392" i="19"/>
  <c r="Z392" i="19"/>
  <c r="Y392" i="19"/>
  <c r="X392" i="19"/>
  <c r="W392" i="19"/>
  <c r="V392" i="19"/>
  <c r="U392" i="19"/>
  <c r="T392" i="19"/>
  <c r="Q392" i="19"/>
  <c r="P392" i="19"/>
  <c r="O392" i="19"/>
  <c r="N392" i="19"/>
  <c r="M392" i="19"/>
  <c r="L392" i="19"/>
  <c r="I392" i="19"/>
  <c r="AC391" i="19"/>
  <c r="AB391" i="19"/>
  <c r="AA391" i="19"/>
  <c r="Z391" i="19"/>
  <c r="X391" i="19"/>
  <c r="W391" i="19"/>
  <c r="V391" i="19"/>
  <c r="U391" i="19"/>
  <c r="T391" i="19"/>
  <c r="R391" i="19"/>
  <c r="Q391" i="19"/>
  <c r="P391" i="19"/>
  <c r="O391" i="19"/>
  <c r="N391" i="19"/>
  <c r="M391" i="19"/>
  <c r="L391" i="19"/>
  <c r="AC390" i="19"/>
  <c r="AA390" i="19"/>
  <c r="Z390" i="19"/>
  <c r="Y390" i="19"/>
  <c r="X390" i="19"/>
  <c r="W390" i="19"/>
  <c r="V390" i="19"/>
  <c r="U390" i="19"/>
  <c r="T390" i="19"/>
  <c r="S390" i="19"/>
  <c r="R390" i="19"/>
  <c r="Q390" i="19"/>
  <c r="O390" i="19"/>
  <c r="N390" i="19"/>
  <c r="M390" i="19"/>
  <c r="L390" i="19"/>
  <c r="I390" i="19"/>
  <c r="AC389" i="19"/>
  <c r="AB389" i="19"/>
  <c r="AA389" i="19"/>
  <c r="Z389" i="19"/>
  <c r="X389" i="19"/>
  <c r="W389" i="19"/>
  <c r="V389" i="19"/>
  <c r="T389" i="19"/>
  <c r="S389" i="19"/>
  <c r="R389" i="19"/>
  <c r="Q389" i="19"/>
  <c r="P389" i="19"/>
  <c r="O389" i="19"/>
  <c r="N389" i="19"/>
  <c r="M389" i="19"/>
  <c r="L389" i="19"/>
  <c r="AC388" i="19"/>
  <c r="AB388" i="19"/>
  <c r="AA388" i="19"/>
  <c r="Z388" i="19"/>
  <c r="Y388" i="19"/>
  <c r="X388" i="19"/>
  <c r="W388" i="19"/>
  <c r="V388" i="19"/>
  <c r="U388" i="19"/>
  <c r="S388" i="19"/>
  <c r="Q388" i="19"/>
  <c r="P388" i="19"/>
  <c r="O388" i="19"/>
  <c r="N388" i="19"/>
  <c r="M388" i="19"/>
  <c r="L388" i="19"/>
  <c r="I388" i="19"/>
  <c r="AC387" i="19"/>
  <c r="AB387" i="19"/>
  <c r="AA387" i="19"/>
  <c r="Z387" i="19"/>
  <c r="Y387" i="19"/>
  <c r="X387" i="19"/>
  <c r="W387" i="19"/>
  <c r="V387" i="19"/>
  <c r="T387" i="19"/>
  <c r="R387" i="19"/>
  <c r="Q387" i="19"/>
  <c r="P387" i="19"/>
  <c r="O387" i="19"/>
  <c r="N387" i="19"/>
  <c r="M387" i="19"/>
  <c r="L387" i="19"/>
  <c r="AC386" i="19"/>
  <c r="AB386" i="19"/>
  <c r="AA386" i="19"/>
  <c r="Z386" i="19"/>
  <c r="Y386" i="19"/>
  <c r="X386" i="19"/>
  <c r="W386" i="19"/>
  <c r="V386" i="19"/>
  <c r="U386" i="19"/>
  <c r="S386" i="19"/>
  <c r="R386" i="19"/>
  <c r="Q386" i="19"/>
  <c r="O386" i="19"/>
  <c r="N386" i="19"/>
  <c r="M386" i="19"/>
  <c r="L386" i="19"/>
  <c r="I386" i="19"/>
  <c r="S387" i="19" s="1"/>
  <c r="AC385" i="19"/>
  <c r="AA385" i="19"/>
  <c r="Z385" i="19"/>
  <c r="Y385" i="19"/>
  <c r="X385" i="19"/>
  <c r="W385" i="19"/>
  <c r="V385" i="19"/>
  <c r="T385" i="19"/>
  <c r="S385" i="19"/>
  <c r="R385" i="19"/>
  <c r="Q385" i="19"/>
  <c r="P385" i="19"/>
  <c r="O385" i="19"/>
  <c r="N385" i="19"/>
  <c r="M385" i="19"/>
  <c r="L385" i="19"/>
  <c r="AC384" i="19"/>
  <c r="AA384" i="19"/>
  <c r="Z384" i="19"/>
  <c r="Y384" i="19"/>
  <c r="X384" i="19"/>
  <c r="W384" i="19"/>
  <c r="V384" i="19"/>
  <c r="U384" i="19"/>
  <c r="S384" i="19"/>
  <c r="R384" i="19"/>
  <c r="Q384" i="19"/>
  <c r="P384" i="19"/>
  <c r="O384" i="19"/>
  <c r="N384" i="19"/>
  <c r="M384" i="19"/>
  <c r="L384" i="19"/>
  <c r="I384" i="19"/>
  <c r="AC383" i="19"/>
  <c r="AB383" i="19"/>
  <c r="AA383" i="19"/>
  <c r="Z383" i="19"/>
  <c r="Y383" i="19"/>
  <c r="X383" i="19"/>
  <c r="W383" i="19"/>
  <c r="V383" i="19"/>
  <c r="S383" i="19"/>
  <c r="R383" i="19"/>
  <c r="Q383" i="19"/>
  <c r="P383" i="19"/>
  <c r="O383" i="19"/>
  <c r="N383" i="19"/>
  <c r="M383" i="19"/>
  <c r="L383" i="19"/>
  <c r="AC382" i="19"/>
  <c r="AB382" i="19"/>
  <c r="AA382" i="19"/>
  <c r="Z382" i="19"/>
  <c r="Y382" i="19"/>
  <c r="X382" i="19"/>
  <c r="W382" i="19"/>
  <c r="V382" i="19"/>
  <c r="U382" i="19"/>
  <c r="S382" i="19"/>
  <c r="R382" i="19"/>
  <c r="Q382" i="19"/>
  <c r="P382" i="19"/>
  <c r="N382" i="19"/>
  <c r="M382" i="19"/>
  <c r="L382" i="19"/>
  <c r="I382" i="19"/>
  <c r="AC381" i="19"/>
  <c r="AA381" i="19"/>
  <c r="Z381" i="19"/>
  <c r="X381" i="19"/>
  <c r="W381" i="19"/>
  <c r="V381" i="19"/>
  <c r="U381" i="19"/>
  <c r="T381" i="19"/>
  <c r="S381" i="19"/>
  <c r="R381" i="19"/>
  <c r="Q381" i="19"/>
  <c r="P381" i="19"/>
  <c r="O381" i="19"/>
  <c r="N381" i="19"/>
  <c r="M381" i="19"/>
  <c r="L381" i="19"/>
  <c r="AC380" i="19"/>
  <c r="AA380" i="19"/>
  <c r="Z380" i="19"/>
  <c r="Y380" i="19"/>
  <c r="X380" i="19"/>
  <c r="W380" i="19"/>
  <c r="V380" i="19"/>
  <c r="U380" i="19"/>
  <c r="T380" i="19"/>
  <c r="R380" i="19"/>
  <c r="Q380" i="19"/>
  <c r="P380" i="19"/>
  <c r="O380" i="19"/>
  <c r="N380" i="19"/>
  <c r="M380" i="19"/>
  <c r="L380" i="19"/>
  <c r="I380" i="19"/>
  <c r="AC379" i="19"/>
  <c r="AB379" i="19"/>
  <c r="AA379" i="19"/>
  <c r="Z379" i="19"/>
  <c r="Y379" i="19"/>
  <c r="X379" i="19"/>
  <c r="W379" i="19"/>
  <c r="V379" i="19"/>
  <c r="S379" i="19"/>
  <c r="R379" i="19"/>
  <c r="Q379" i="19"/>
  <c r="P379" i="19"/>
  <c r="O379" i="19"/>
  <c r="N379" i="19"/>
  <c r="M379" i="19"/>
  <c r="L379" i="19"/>
  <c r="AC378" i="19"/>
  <c r="AB378" i="19"/>
  <c r="AA378" i="19"/>
  <c r="Z378" i="19"/>
  <c r="Y378" i="19"/>
  <c r="X378" i="19"/>
  <c r="W378" i="19"/>
  <c r="V378" i="19"/>
  <c r="T378" i="19"/>
  <c r="S378" i="19"/>
  <c r="R378" i="19"/>
  <c r="Q378" i="19"/>
  <c r="P378" i="19"/>
  <c r="N378" i="19"/>
  <c r="M378" i="19"/>
  <c r="L378" i="19"/>
  <c r="I378" i="19"/>
  <c r="AC377" i="19"/>
  <c r="AB377" i="19"/>
  <c r="AA377" i="19"/>
  <c r="Z377" i="19"/>
  <c r="X377" i="19"/>
  <c r="W377" i="19"/>
  <c r="V377" i="19"/>
  <c r="T377" i="19"/>
  <c r="S377" i="19"/>
  <c r="R377" i="19"/>
  <c r="Q377" i="19"/>
  <c r="P377" i="19"/>
  <c r="O377" i="19"/>
  <c r="N377" i="19"/>
  <c r="M377" i="19"/>
  <c r="L377" i="19"/>
  <c r="AC376" i="19"/>
  <c r="AB376" i="19"/>
  <c r="AA376" i="19"/>
  <c r="Z376" i="19"/>
  <c r="Y376" i="19"/>
  <c r="X376" i="19"/>
  <c r="W376" i="19"/>
  <c r="V376" i="19"/>
  <c r="U376" i="19"/>
  <c r="T376" i="19"/>
  <c r="R376" i="19"/>
  <c r="Q376" i="19"/>
  <c r="P376" i="19"/>
  <c r="O376" i="19"/>
  <c r="N376" i="19"/>
  <c r="M376" i="19"/>
  <c r="L376" i="19"/>
  <c r="I376" i="19"/>
  <c r="AC375" i="19"/>
  <c r="AB375" i="19"/>
  <c r="Z375" i="19"/>
  <c r="Y375" i="19"/>
  <c r="X375" i="19"/>
  <c r="W375" i="19"/>
  <c r="V375" i="19"/>
  <c r="T375" i="19"/>
  <c r="S375" i="19"/>
  <c r="R375" i="19"/>
  <c r="Q375" i="19"/>
  <c r="P375" i="19"/>
  <c r="O375" i="19"/>
  <c r="N375" i="19"/>
  <c r="M375" i="19"/>
  <c r="L375" i="19"/>
  <c r="AC374" i="19"/>
  <c r="AA374" i="19"/>
  <c r="Z374" i="19"/>
  <c r="Y374" i="19"/>
  <c r="X374" i="19"/>
  <c r="W374" i="19"/>
  <c r="V374" i="19"/>
  <c r="T374" i="19"/>
  <c r="S374" i="19"/>
  <c r="R374" i="19"/>
  <c r="Q374" i="19"/>
  <c r="P374" i="19"/>
  <c r="O374" i="19"/>
  <c r="N374" i="19"/>
  <c r="M374" i="19"/>
  <c r="L374" i="19"/>
  <c r="I374" i="19"/>
  <c r="AC373" i="19"/>
  <c r="AB373" i="19"/>
  <c r="AA373" i="19"/>
  <c r="Z373" i="19"/>
  <c r="Y373" i="19"/>
  <c r="X373" i="19"/>
  <c r="V373" i="19"/>
  <c r="T373" i="19"/>
  <c r="S373" i="19"/>
  <c r="R373" i="19"/>
  <c r="Q373" i="19"/>
  <c r="P373" i="19"/>
  <c r="O373" i="19"/>
  <c r="N373" i="19"/>
  <c r="M373" i="19"/>
  <c r="L373" i="19"/>
  <c r="AC372" i="19"/>
  <c r="AB372" i="19"/>
  <c r="AA372" i="19"/>
  <c r="Z372" i="19"/>
  <c r="Y372" i="19"/>
  <c r="X372" i="19"/>
  <c r="W372" i="19"/>
  <c r="V372" i="19"/>
  <c r="U372" i="19"/>
  <c r="T372" i="19"/>
  <c r="R372" i="19"/>
  <c r="Q372" i="19"/>
  <c r="P372" i="19"/>
  <c r="N372" i="19"/>
  <c r="M372" i="19"/>
  <c r="L372" i="19"/>
  <c r="I372" i="19"/>
  <c r="AC371" i="19"/>
  <c r="AB371" i="19"/>
  <c r="Z371" i="19"/>
  <c r="Y371" i="19"/>
  <c r="X371" i="19"/>
  <c r="V371" i="19"/>
  <c r="U371" i="19"/>
  <c r="T371" i="19"/>
  <c r="S371" i="19"/>
  <c r="R371" i="19"/>
  <c r="Q371" i="19"/>
  <c r="P371" i="19"/>
  <c r="O371" i="19"/>
  <c r="N371" i="19"/>
  <c r="M371" i="19"/>
  <c r="L371" i="19"/>
  <c r="AC370" i="19"/>
  <c r="AA370" i="19"/>
  <c r="Z370" i="19"/>
  <c r="Y370" i="19"/>
  <c r="X370" i="19"/>
  <c r="W370" i="19"/>
  <c r="V370" i="19"/>
  <c r="U370" i="19"/>
  <c r="T370" i="19"/>
  <c r="S370" i="19"/>
  <c r="R370" i="19"/>
  <c r="Q370" i="19"/>
  <c r="O370" i="19"/>
  <c r="N370" i="19"/>
  <c r="M370" i="19"/>
  <c r="L370" i="19"/>
  <c r="I370" i="19"/>
  <c r="AC369" i="19"/>
  <c r="AB369" i="19"/>
  <c r="AA369" i="19"/>
  <c r="Z369" i="19"/>
  <c r="Y369" i="19"/>
  <c r="X369" i="19"/>
  <c r="V369" i="19"/>
  <c r="U369" i="19"/>
  <c r="S369" i="19"/>
  <c r="R369" i="19"/>
  <c r="Q369" i="19"/>
  <c r="P369" i="19"/>
  <c r="O369" i="19"/>
  <c r="N369" i="19"/>
  <c r="M369" i="19"/>
  <c r="L369" i="19"/>
  <c r="AC368" i="19"/>
  <c r="AB368" i="19"/>
  <c r="AA368" i="19"/>
  <c r="Z368" i="19"/>
  <c r="Y368" i="19"/>
  <c r="X368" i="19"/>
  <c r="W368" i="19"/>
  <c r="V368" i="19"/>
  <c r="U368" i="19"/>
  <c r="S368" i="19"/>
  <c r="R368" i="19"/>
  <c r="Q368" i="19"/>
  <c r="P368" i="19"/>
  <c r="N368" i="19"/>
  <c r="M368" i="19"/>
  <c r="L368" i="19"/>
  <c r="I368" i="19"/>
  <c r="AC367" i="19"/>
  <c r="AB367" i="19"/>
  <c r="AA367" i="19"/>
  <c r="Z367" i="19"/>
  <c r="Y367" i="19"/>
  <c r="X367" i="19"/>
  <c r="V367" i="19"/>
  <c r="U367" i="19"/>
  <c r="S367" i="19"/>
  <c r="R367" i="19"/>
  <c r="Q367" i="19"/>
  <c r="P367" i="19"/>
  <c r="O367" i="19"/>
  <c r="N367" i="19"/>
  <c r="M367" i="19"/>
  <c r="L367" i="19"/>
  <c r="AC366" i="19"/>
  <c r="AB366" i="19"/>
  <c r="AA366" i="19"/>
  <c r="Z366" i="19"/>
  <c r="Y366" i="19"/>
  <c r="X366" i="19"/>
  <c r="W366" i="19"/>
  <c r="V366" i="19"/>
  <c r="U366" i="19"/>
  <c r="T366" i="19"/>
  <c r="R366" i="19"/>
  <c r="Q366" i="19"/>
  <c r="O366" i="19"/>
  <c r="N366" i="19"/>
  <c r="M366" i="19"/>
  <c r="L366" i="19"/>
  <c r="I366" i="19"/>
  <c r="AC365" i="19"/>
  <c r="AB365" i="19"/>
  <c r="Z365" i="19"/>
  <c r="Y365" i="19"/>
  <c r="X365" i="19"/>
  <c r="W365" i="19"/>
  <c r="V365" i="19"/>
  <c r="U365" i="19"/>
  <c r="S365" i="19"/>
  <c r="R365" i="19"/>
  <c r="Q365" i="19"/>
  <c r="P365" i="19"/>
  <c r="O365" i="19"/>
  <c r="N365" i="19"/>
  <c r="M365" i="19"/>
  <c r="L365" i="19"/>
  <c r="AC364" i="19"/>
  <c r="AA364" i="19"/>
  <c r="Z364" i="19"/>
  <c r="Y364" i="19"/>
  <c r="X364" i="19"/>
  <c r="W364" i="19"/>
  <c r="V364" i="19"/>
  <c r="U364" i="19"/>
  <c r="S364" i="19"/>
  <c r="R364" i="19"/>
  <c r="Q364" i="19"/>
  <c r="P364" i="19"/>
  <c r="O364" i="19"/>
  <c r="N364" i="19"/>
  <c r="M364" i="19"/>
  <c r="L364" i="19"/>
  <c r="I364" i="19"/>
  <c r="AC363" i="19"/>
  <c r="AB363" i="19"/>
  <c r="AA363" i="19"/>
  <c r="Z363" i="19"/>
  <c r="Y363" i="19"/>
  <c r="X363" i="19"/>
  <c r="V363" i="19"/>
  <c r="U363" i="19"/>
  <c r="S363" i="19"/>
  <c r="R363" i="19"/>
  <c r="Q363" i="19"/>
  <c r="P363" i="19"/>
  <c r="O363" i="19"/>
  <c r="N363" i="19"/>
  <c r="M363" i="19"/>
  <c r="L363" i="19"/>
  <c r="AC362" i="19"/>
  <c r="AB362" i="19"/>
  <c r="AA362" i="19"/>
  <c r="Z362" i="19"/>
  <c r="Y362" i="19"/>
  <c r="X362" i="19"/>
  <c r="W362" i="19"/>
  <c r="V362" i="19"/>
  <c r="U362" i="19"/>
  <c r="T362" i="19"/>
  <c r="R362" i="19"/>
  <c r="Q362" i="19"/>
  <c r="P362" i="19"/>
  <c r="N362" i="19"/>
  <c r="M362" i="19"/>
  <c r="L362" i="19"/>
  <c r="I362" i="19"/>
  <c r="AC361" i="19"/>
  <c r="AB361" i="19"/>
  <c r="Z361" i="19"/>
  <c r="Y361" i="19"/>
  <c r="X361" i="19"/>
  <c r="W361" i="19"/>
  <c r="V361" i="19"/>
  <c r="T361" i="19"/>
  <c r="S361" i="19"/>
  <c r="R361" i="19"/>
  <c r="Q361" i="19"/>
  <c r="P361" i="19"/>
  <c r="O361" i="19"/>
  <c r="N361" i="19"/>
  <c r="M361" i="19"/>
  <c r="L361" i="19"/>
  <c r="AC360" i="19"/>
  <c r="AA360" i="19"/>
  <c r="Z360" i="19"/>
  <c r="Y360" i="19"/>
  <c r="X360" i="19"/>
  <c r="W360" i="19"/>
  <c r="V360" i="19"/>
  <c r="U360" i="19"/>
  <c r="T360" i="19"/>
  <c r="S360" i="19"/>
  <c r="R360" i="19"/>
  <c r="Q360" i="19"/>
  <c r="P360" i="19"/>
  <c r="N360" i="19"/>
  <c r="M360" i="19"/>
  <c r="L360" i="19"/>
  <c r="I360" i="19"/>
  <c r="AC359" i="19"/>
  <c r="AB359" i="19"/>
  <c r="AA359" i="19"/>
  <c r="Z359" i="19"/>
  <c r="Y359" i="19"/>
  <c r="X359" i="19"/>
  <c r="V359" i="19"/>
  <c r="U359" i="19"/>
  <c r="S359" i="19"/>
  <c r="R359" i="19"/>
  <c r="Q359" i="19"/>
  <c r="P359" i="19"/>
  <c r="O359" i="19"/>
  <c r="N359" i="19"/>
  <c r="M359" i="19"/>
  <c r="L359" i="19"/>
  <c r="AC358" i="19"/>
  <c r="AB358" i="19"/>
  <c r="AA358" i="19"/>
  <c r="Z358" i="19"/>
  <c r="Y358" i="19"/>
  <c r="X358" i="19"/>
  <c r="W358" i="19"/>
  <c r="V358" i="19"/>
  <c r="U358" i="19"/>
  <c r="S358" i="19"/>
  <c r="R358" i="19"/>
  <c r="Q358" i="19"/>
  <c r="P358" i="19"/>
  <c r="N358" i="19"/>
  <c r="M358" i="19"/>
  <c r="L358" i="19"/>
  <c r="I358" i="19"/>
  <c r="AC357" i="19"/>
  <c r="AB357" i="19"/>
  <c r="AA357" i="19"/>
  <c r="Z357" i="19"/>
  <c r="Y357" i="19"/>
  <c r="X357" i="19"/>
  <c r="W357" i="19"/>
  <c r="V357" i="19"/>
  <c r="S357" i="19"/>
  <c r="R357" i="19"/>
  <c r="Q357" i="19"/>
  <c r="P357" i="19"/>
  <c r="O357" i="19"/>
  <c r="N357" i="19"/>
  <c r="M357" i="19"/>
  <c r="L357" i="19"/>
  <c r="AC356" i="19"/>
  <c r="AB356" i="19"/>
  <c r="AA356" i="19"/>
  <c r="Z356" i="19"/>
  <c r="Y356" i="19"/>
  <c r="X356" i="19"/>
  <c r="W356" i="19"/>
  <c r="V356" i="19"/>
  <c r="U356" i="19"/>
  <c r="T356" i="19"/>
  <c r="R356" i="19"/>
  <c r="Q356" i="19"/>
  <c r="P356" i="19"/>
  <c r="N356" i="19"/>
  <c r="M356" i="19"/>
  <c r="L356" i="19"/>
  <c r="I356" i="19"/>
  <c r="AC355" i="19"/>
  <c r="AB355" i="19"/>
  <c r="AA355" i="19"/>
  <c r="Y355" i="19"/>
  <c r="X355" i="19"/>
  <c r="W355" i="19"/>
  <c r="V355" i="19"/>
  <c r="U355" i="19"/>
  <c r="S355" i="19"/>
  <c r="R355" i="19"/>
  <c r="Q355" i="19"/>
  <c r="P355" i="19"/>
  <c r="O355" i="19"/>
  <c r="N355" i="19"/>
  <c r="M355" i="19"/>
  <c r="L355" i="19"/>
  <c r="AC354" i="19"/>
  <c r="AA354" i="19"/>
  <c r="Z354" i="19"/>
  <c r="Y354" i="19"/>
  <c r="X354" i="19"/>
  <c r="W354" i="19"/>
  <c r="V354" i="19"/>
  <c r="U354" i="19"/>
  <c r="S354" i="19"/>
  <c r="R354" i="19"/>
  <c r="Q354" i="19"/>
  <c r="P354" i="19"/>
  <c r="O354" i="19"/>
  <c r="N354" i="19"/>
  <c r="M354" i="19"/>
  <c r="L354" i="19"/>
  <c r="I354" i="19"/>
  <c r="AC353" i="19"/>
  <c r="AB353" i="19"/>
  <c r="AA353" i="19"/>
  <c r="Z353" i="19"/>
  <c r="Y353" i="19"/>
  <c r="X353" i="19"/>
  <c r="W353" i="19"/>
  <c r="V353" i="19"/>
  <c r="U353" i="19"/>
  <c r="S353" i="19"/>
  <c r="R353" i="19"/>
  <c r="Q353" i="19"/>
  <c r="P353" i="19"/>
  <c r="O353" i="19"/>
  <c r="N353" i="19"/>
  <c r="M353" i="19"/>
  <c r="L353" i="19"/>
  <c r="AC352" i="19"/>
  <c r="AB352" i="19"/>
  <c r="AA352" i="19"/>
  <c r="Z352" i="19"/>
  <c r="Y352" i="19"/>
  <c r="X352" i="19"/>
  <c r="W352" i="19"/>
  <c r="V352" i="19"/>
  <c r="U352" i="19"/>
  <c r="T352" i="19"/>
  <c r="R352" i="19"/>
  <c r="Q352" i="19"/>
  <c r="P352" i="19"/>
  <c r="O352" i="19"/>
  <c r="N352" i="19"/>
  <c r="M352" i="19"/>
  <c r="L352" i="19"/>
  <c r="I352" i="19"/>
  <c r="AC351" i="19"/>
  <c r="AB351" i="19"/>
  <c r="AA351" i="19"/>
  <c r="Y351" i="19"/>
  <c r="X351" i="19"/>
  <c r="W351" i="19"/>
  <c r="V351" i="19"/>
  <c r="U351" i="19"/>
  <c r="T351" i="19"/>
  <c r="S351" i="19"/>
  <c r="R351" i="19"/>
  <c r="Q351" i="19"/>
  <c r="P351" i="19"/>
  <c r="O351" i="19"/>
  <c r="N351" i="19"/>
  <c r="M351" i="19"/>
  <c r="L351" i="19"/>
  <c r="AC350" i="19"/>
  <c r="AA350" i="19"/>
  <c r="Z350" i="19"/>
  <c r="Y350" i="19"/>
  <c r="X350" i="19"/>
  <c r="W350" i="19"/>
  <c r="V350" i="19"/>
  <c r="U350" i="19"/>
  <c r="T350" i="19"/>
  <c r="S350" i="19"/>
  <c r="R350" i="19"/>
  <c r="Q350" i="19"/>
  <c r="P350" i="19"/>
  <c r="O350" i="19"/>
  <c r="N350" i="19"/>
  <c r="M350" i="19"/>
  <c r="L350" i="19"/>
  <c r="I350" i="19"/>
  <c r="AC349" i="19"/>
  <c r="AB349" i="19"/>
  <c r="AA349" i="19"/>
  <c r="Z349" i="19"/>
  <c r="Y349" i="19"/>
  <c r="X349" i="19"/>
  <c r="V349" i="19"/>
  <c r="U349" i="19"/>
  <c r="S349" i="19"/>
  <c r="R349" i="19"/>
  <c r="Q349" i="19"/>
  <c r="P349" i="19"/>
  <c r="O349" i="19"/>
  <c r="N349" i="19"/>
  <c r="M349" i="19"/>
  <c r="L349" i="19"/>
  <c r="AC348" i="19"/>
  <c r="AB348" i="19"/>
  <c r="AA348" i="19"/>
  <c r="Z348" i="19"/>
  <c r="Y348" i="19"/>
  <c r="X348" i="19"/>
  <c r="W348" i="19"/>
  <c r="V348" i="19"/>
  <c r="U348" i="19"/>
  <c r="T348" i="19"/>
  <c r="R348" i="19"/>
  <c r="Q348" i="19"/>
  <c r="P348" i="19"/>
  <c r="O348" i="19"/>
  <c r="M348" i="19"/>
  <c r="L348" i="19"/>
  <c r="I348" i="19"/>
  <c r="AC347" i="19"/>
  <c r="AB347" i="19"/>
  <c r="AA347" i="19"/>
  <c r="Y347" i="19"/>
  <c r="X347" i="19"/>
  <c r="W347" i="19"/>
  <c r="V347" i="19"/>
  <c r="U347" i="19"/>
  <c r="S347" i="19"/>
  <c r="R347" i="19"/>
  <c r="Q347" i="19"/>
  <c r="P347" i="19"/>
  <c r="O347" i="19"/>
  <c r="N347" i="19"/>
  <c r="M347" i="19"/>
  <c r="L347" i="19"/>
  <c r="AC346" i="19"/>
  <c r="AA346" i="19"/>
  <c r="Z346" i="19"/>
  <c r="Y346" i="19"/>
  <c r="X346" i="19"/>
  <c r="W346" i="19"/>
  <c r="V346" i="19"/>
  <c r="U346" i="19"/>
  <c r="T346" i="19"/>
  <c r="S346" i="19"/>
  <c r="R346" i="19"/>
  <c r="Q346" i="19"/>
  <c r="P346" i="19"/>
  <c r="N346" i="19"/>
  <c r="M346" i="19"/>
  <c r="L346" i="19"/>
  <c r="I346" i="19"/>
  <c r="AC345" i="19"/>
  <c r="AB345" i="19"/>
  <c r="AA345" i="19"/>
  <c r="Z345" i="19"/>
  <c r="Y345" i="19"/>
  <c r="X345" i="19"/>
  <c r="V345" i="19"/>
  <c r="U345" i="19"/>
  <c r="T345" i="19"/>
  <c r="S345" i="19"/>
  <c r="R345" i="19"/>
  <c r="P345" i="19"/>
  <c r="O345" i="19"/>
  <c r="N345" i="19"/>
  <c r="M345" i="19"/>
  <c r="L345" i="19"/>
  <c r="AC344" i="19"/>
  <c r="AB344" i="19"/>
  <c r="AA344" i="19"/>
  <c r="Z344" i="19"/>
  <c r="Y344" i="19"/>
  <c r="X344" i="19"/>
  <c r="W344" i="19"/>
  <c r="V344" i="19"/>
  <c r="U344" i="19"/>
  <c r="S344" i="19"/>
  <c r="R344" i="19"/>
  <c r="Q344" i="19"/>
  <c r="P344" i="19"/>
  <c r="O344" i="19"/>
  <c r="M344" i="19"/>
  <c r="L344" i="19"/>
  <c r="I344" i="19"/>
  <c r="AC343" i="19"/>
  <c r="AB343" i="19"/>
  <c r="AA343" i="19"/>
  <c r="Z343" i="19"/>
  <c r="Y343" i="19"/>
  <c r="X343" i="19"/>
  <c r="W343" i="19"/>
  <c r="V343" i="19"/>
  <c r="U343" i="19"/>
  <c r="R343" i="19"/>
  <c r="Q343" i="19"/>
  <c r="P343" i="19"/>
  <c r="O343" i="19"/>
  <c r="N343" i="19"/>
  <c r="M343" i="19"/>
  <c r="L343" i="19"/>
  <c r="AC342" i="19"/>
  <c r="AB342" i="19"/>
  <c r="AA342" i="19"/>
  <c r="Z342" i="19"/>
  <c r="Y342" i="19"/>
  <c r="X342" i="19"/>
  <c r="W342" i="19"/>
  <c r="V342" i="19"/>
  <c r="U342" i="19"/>
  <c r="T342" i="19"/>
  <c r="R342" i="19"/>
  <c r="Q342" i="19"/>
  <c r="P342" i="19"/>
  <c r="N342" i="19"/>
  <c r="M342" i="19"/>
  <c r="L342" i="19"/>
  <c r="I342" i="19"/>
  <c r="AC341" i="19"/>
  <c r="AB341" i="19"/>
  <c r="AA341" i="19"/>
  <c r="Z341" i="19"/>
  <c r="Y341" i="19"/>
  <c r="X341" i="19"/>
  <c r="V341" i="19"/>
  <c r="U341" i="19"/>
  <c r="T341" i="19"/>
  <c r="S341" i="19"/>
  <c r="R341" i="19"/>
  <c r="P341" i="19"/>
  <c r="O341" i="19"/>
  <c r="N341" i="19"/>
  <c r="M341" i="19"/>
  <c r="L341" i="19"/>
  <c r="AC340" i="19"/>
  <c r="AB340" i="19"/>
  <c r="AA340" i="19"/>
  <c r="Z340" i="19"/>
  <c r="Y340" i="19"/>
  <c r="X340" i="19"/>
  <c r="V340" i="19"/>
  <c r="U340" i="19"/>
  <c r="S340" i="19"/>
  <c r="R340" i="19"/>
  <c r="Q340" i="19"/>
  <c r="P340" i="19"/>
  <c r="O340" i="19"/>
  <c r="N340" i="19"/>
  <c r="M340" i="19"/>
  <c r="L340" i="19"/>
  <c r="I340" i="19"/>
  <c r="AC339" i="19"/>
  <c r="AB339" i="19"/>
  <c r="AA339" i="19"/>
  <c r="Z339" i="19"/>
  <c r="Y339" i="19"/>
  <c r="X339" i="19"/>
  <c r="V339" i="19"/>
  <c r="U339" i="19"/>
  <c r="T339" i="19"/>
  <c r="R339" i="19"/>
  <c r="Q339" i="19"/>
  <c r="P339" i="19"/>
  <c r="O339" i="19"/>
  <c r="N339" i="19"/>
  <c r="M339" i="19"/>
  <c r="L339" i="19"/>
  <c r="AC338" i="19"/>
  <c r="AB338" i="19"/>
  <c r="AA338" i="19"/>
  <c r="Z338" i="19"/>
  <c r="Y338" i="19"/>
  <c r="X338" i="19"/>
  <c r="W338" i="19"/>
  <c r="V338" i="19"/>
  <c r="U338" i="19"/>
  <c r="T338" i="19"/>
  <c r="R338" i="19"/>
  <c r="Q338" i="19"/>
  <c r="P338" i="19"/>
  <c r="O338" i="19"/>
  <c r="M338" i="19"/>
  <c r="L338" i="19"/>
  <c r="I338" i="19"/>
  <c r="AC337" i="19"/>
  <c r="AB337" i="19"/>
  <c r="AA337" i="19"/>
  <c r="Z337" i="19"/>
  <c r="Y337" i="19"/>
  <c r="X337" i="19"/>
  <c r="V337" i="19"/>
  <c r="T337" i="19"/>
  <c r="S337" i="19"/>
  <c r="R337" i="19"/>
  <c r="Q337" i="19"/>
  <c r="P337" i="19"/>
  <c r="O337" i="19"/>
  <c r="N337" i="19"/>
  <c r="M337" i="19"/>
  <c r="L337" i="19"/>
  <c r="AC336" i="19"/>
  <c r="AB336" i="19"/>
  <c r="AA336" i="19"/>
  <c r="Z336" i="19"/>
  <c r="Y336" i="19"/>
  <c r="X336" i="19"/>
  <c r="V336" i="19"/>
  <c r="U336" i="19"/>
  <c r="T336" i="19"/>
  <c r="S336" i="19"/>
  <c r="Q336" i="19"/>
  <c r="P336" i="19"/>
  <c r="O336" i="19"/>
  <c r="N336" i="19"/>
  <c r="M336" i="19"/>
  <c r="L336" i="19"/>
  <c r="I336" i="19"/>
  <c r="AC335" i="19"/>
  <c r="AB335" i="19"/>
  <c r="AA335" i="19"/>
  <c r="Z335" i="19"/>
  <c r="Y335" i="19"/>
  <c r="X335" i="19"/>
  <c r="V335" i="19"/>
  <c r="U335" i="19"/>
  <c r="T335" i="19"/>
  <c r="S335" i="19"/>
  <c r="R335" i="19"/>
  <c r="Q335" i="19"/>
  <c r="P335" i="19"/>
  <c r="O335" i="19"/>
  <c r="M335" i="19"/>
  <c r="L335" i="19"/>
  <c r="AC334" i="19"/>
  <c r="AB334" i="19"/>
  <c r="AA334" i="19"/>
  <c r="Z334" i="19"/>
  <c r="Y334" i="19"/>
  <c r="X334" i="19"/>
  <c r="W334" i="19"/>
  <c r="V334" i="19"/>
  <c r="U334" i="19"/>
  <c r="S334" i="19"/>
  <c r="R334" i="19"/>
  <c r="Q334" i="19"/>
  <c r="P334" i="19"/>
  <c r="O334" i="19"/>
  <c r="M334" i="19"/>
  <c r="L334" i="19"/>
  <c r="I334" i="19"/>
  <c r="AC333" i="19"/>
  <c r="AB333" i="19"/>
  <c r="AA333" i="19"/>
  <c r="Z333" i="19"/>
  <c r="Y333" i="19"/>
  <c r="X333" i="19"/>
  <c r="W333" i="19"/>
  <c r="V333" i="19"/>
  <c r="T333" i="19"/>
  <c r="S333" i="19"/>
  <c r="Q333" i="19"/>
  <c r="P333" i="19"/>
  <c r="O333" i="19"/>
  <c r="N333" i="19"/>
  <c r="M333" i="19"/>
  <c r="L333" i="19"/>
  <c r="AC332" i="19"/>
  <c r="AB332" i="19"/>
  <c r="AA332" i="19"/>
  <c r="Z332" i="19"/>
  <c r="Y332" i="19"/>
  <c r="X332" i="19"/>
  <c r="W332" i="19"/>
  <c r="V332" i="19"/>
  <c r="U332" i="19"/>
  <c r="T332" i="19"/>
  <c r="S332" i="19"/>
  <c r="Q332" i="19"/>
  <c r="P332" i="19"/>
  <c r="O332" i="19"/>
  <c r="M332" i="19"/>
  <c r="L332" i="19"/>
  <c r="I332" i="19"/>
  <c r="AC331" i="19"/>
  <c r="AB331" i="19"/>
  <c r="AA331" i="19"/>
  <c r="Z331" i="19"/>
  <c r="Y331" i="19"/>
  <c r="X331" i="19"/>
  <c r="W331" i="19"/>
  <c r="V331" i="19"/>
  <c r="U331" i="19"/>
  <c r="T331" i="19"/>
  <c r="S331" i="19"/>
  <c r="R331" i="19"/>
  <c r="Q331" i="19"/>
  <c r="P331" i="19"/>
  <c r="M331" i="19"/>
  <c r="L331" i="19"/>
  <c r="AC330" i="19"/>
  <c r="AB330" i="19"/>
  <c r="AA330" i="19"/>
  <c r="Z330" i="19"/>
  <c r="Y330" i="19"/>
  <c r="X330" i="19"/>
  <c r="W330" i="19"/>
  <c r="V330" i="19"/>
  <c r="U330" i="19"/>
  <c r="S330" i="19"/>
  <c r="R330" i="19"/>
  <c r="Q330" i="19"/>
  <c r="P330" i="19"/>
  <c r="O330" i="19"/>
  <c r="N330" i="19"/>
  <c r="M330" i="19"/>
  <c r="L330" i="19"/>
  <c r="I330" i="19"/>
  <c r="AC329" i="19"/>
  <c r="AB329" i="19"/>
  <c r="AA329" i="19"/>
  <c r="Z329" i="19"/>
  <c r="Y329" i="19"/>
  <c r="X329" i="19"/>
  <c r="W329" i="19"/>
  <c r="V329" i="19"/>
  <c r="U329" i="19"/>
  <c r="T329" i="19"/>
  <c r="S329" i="19"/>
  <c r="Q329" i="19"/>
  <c r="P329" i="19"/>
  <c r="N329" i="19"/>
  <c r="M329" i="19"/>
  <c r="L329" i="19"/>
  <c r="AC328" i="19"/>
  <c r="AB328" i="19"/>
  <c r="AA328" i="19"/>
  <c r="Z328" i="19"/>
  <c r="Y328" i="19"/>
  <c r="X328" i="19"/>
  <c r="W328" i="19"/>
  <c r="V328" i="19"/>
  <c r="U328" i="19"/>
  <c r="T328" i="19"/>
  <c r="S328" i="19"/>
  <c r="R328" i="19"/>
  <c r="Q328" i="19"/>
  <c r="P328" i="19"/>
  <c r="O328" i="19"/>
  <c r="M328" i="19"/>
  <c r="L328" i="19"/>
  <c r="I328" i="19"/>
  <c r="AC327" i="19"/>
  <c r="AB327" i="19"/>
  <c r="AA327" i="19"/>
  <c r="Z327" i="19"/>
  <c r="Y327" i="19"/>
  <c r="X327" i="19"/>
  <c r="W327" i="19"/>
  <c r="V327" i="19"/>
  <c r="U327" i="19"/>
  <c r="T327" i="19"/>
  <c r="S327" i="19"/>
  <c r="R327" i="19"/>
  <c r="Q327" i="19"/>
  <c r="P327" i="19"/>
  <c r="M327" i="19"/>
  <c r="L327" i="19"/>
  <c r="AC326" i="19"/>
  <c r="AB326" i="19"/>
  <c r="AA326" i="19"/>
  <c r="Z326" i="19"/>
  <c r="Y326" i="19"/>
  <c r="X326" i="19"/>
  <c r="W326" i="19"/>
  <c r="V326" i="19"/>
  <c r="U326" i="19"/>
  <c r="S326" i="19"/>
  <c r="R326" i="19"/>
  <c r="Q326" i="19"/>
  <c r="O326" i="19"/>
  <c r="N326" i="19"/>
  <c r="M326" i="19"/>
  <c r="L326" i="19"/>
  <c r="I326" i="19"/>
  <c r="AC325" i="19"/>
  <c r="AB325" i="19"/>
  <c r="AA325" i="19"/>
  <c r="Z325" i="19"/>
  <c r="Y325" i="19"/>
  <c r="X325" i="19"/>
  <c r="W325" i="19"/>
  <c r="V325" i="19"/>
  <c r="U325" i="19"/>
  <c r="T325" i="19"/>
  <c r="S325" i="19"/>
  <c r="R325" i="19"/>
  <c r="Q325" i="19"/>
  <c r="P325" i="19"/>
  <c r="M325" i="19"/>
  <c r="L325" i="19"/>
  <c r="AC324" i="19"/>
  <c r="AB324" i="19"/>
  <c r="AA324" i="19"/>
  <c r="Z324" i="19"/>
  <c r="Y324" i="19"/>
  <c r="X324" i="19"/>
  <c r="W324" i="19"/>
  <c r="V324" i="19"/>
  <c r="U324" i="19"/>
  <c r="T324" i="19"/>
  <c r="S324" i="19"/>
  <c r="Q324" i="19"/>
  <c r="P324" i="19"/>
  <c r="O324" i="19"/>
  <c r="M324" i="19"/>
  <c r="L324" i="19"/>
  <c r="I324" i="19"/>
  <c r="AC323" i="19"/>
  <c r="AB323" i="19"/>
  <c r="AA323" i="19"/>
  <c r="Z323" i="19"/>
  <c r="Y323" i="19"/>
  <c r="X323" i="19"/>
  <c r="W323" i="19"/>
  <c r="V323" i="19"/>
  <c r="U323" i="19"/>
  <c r="T323" i="19"/>
  <c r="S323" i="19"/>
  <c r="Q323" i="19"/>
  <c r="P323" i="19"/>
  <c r="O323" i="19"/>
  <c r="M323" i="19"/>
  <c r="L323" i="19"/>
  <c r="AC322" i="19"/>
  <c r="AB322" i="19"/>
  <c r="AA322" i="19"/>
  <c r="Z322" i="19"/>
  <c r="Y322" i="19"/>
  <c r="X322" i="19"/>
  <c r="W322" i="19"/>
  <c r="V322" i="19"/>
  <c r="U322" i="19"/>
  <c r="T322" i="19"/>
  <c r="S322" i="19"/>
  <c r="R322" i="19"/>
  <c r="Q322" i="19"/>
  <c r="O322" i="19"/>
  <c r="N322" i="19"/>
  <c r="M322" i="19"/>
  <c r="L322" i="19"/>
  <c r="I322" i="19"/>
  <c r="AC321" i="19"/>
  <c r="AB321" i="19"/>
  <c r="AA321" i="19"/>
  <c r="Z321" i="19"/>
  <c r="Y321" i="19"/>
  <c r="X321" i="19"/>
  <c r="V321" i="19"/>
  <c r="U321" i="19"/>
  <c r="T321" i="19"/>
  <c r="S321" i="19"/>
  <c r="R321" i="19"/>
  <c r="Q321" i="19"/>
  <c r="P321" i="19"/>
  <c r="O321" i="19"/>
  <c r="M321" i="19"/>
  <c r="L321" i="19"/>
  <c r="AC320" i="19"/>
  <c r="AB320" i="19"/>
  <c r="AA320" i="19"/>
  <c r="Z320" i="19"/>
  <c r="Y320" i="19"/>
  <c r="W320" i="19"/>
  <c r="V320" i="19"/>
  <c r="U320" i="19"/>
  <c r="T320" i="19"/>
  <c r="S320" i="19"/>
  <c r="Q320" i="19"/>
  <c r="P320" i="19"/>
  <c r="O320" i="19"/>
  <c r="N320" i="19"/>
  <c r="M320" i="19"/>
  <c r="L320" i="19"/>
  <c r="I320" i="19"/>
  <c r="AC319" i="19"/>
  <c r="AB319" i="19"/>
  <c r="AA319" i="19"/>
  <c r="Z319" i="19"/>
  <c r="Y319" i="19"/>
  <c r="W319" i="19"/>
  <c r="V319" i="19"/>
  <c r="U319" i="19"/>
  <c r="T319" i="19"/>
  <c r="S319" i="19"/>
  <c r="Q319" i="19"/>
  <c r="P319" i="19"/>
  <c r="O319" i="19"/>
  <c r="N319" i="19"/>
  <c r="M319" i="19"/>
  <c r="L319" i="19"/>
  <c r="AC318" i="19"/>
  <c r="AB318" i="19"/>
  <c r="AA318" i="19"/>
  <c r="Z318" i="19"/>
  <c r="Y318" i="19"/>
  <c r="X318" i="19"/>
  <c r="W318" i="19"/>
  <c r="V318" i="19"/>
  <c r="U318" i="19"/>
  <c r="T318" i="19"/>
  <c r="S318" i="19"/>
  <c r="R318" i="19"/>
  <c r="Q318" i="19"/>
  <c r="O318" i="19"/>
  <c r="M318" i="19"/>
  <c r="L318" i="19"/>
  <c r="I318" i="19"/>
  <c r="AC317" i="19"/>
  <c r="AB317" i="19"/>
  <c r="AA317" i="19"/>
  <c r="Z317" i="19"/>
  <c r="Y317" i="19"/>
  <c r="V317" i="19"/>
  <c r="U317" i="19"/>
  <c r="T317" i="19"/>
  <c r="S317" i="19"/>
  <c r="R317" i="19"/>
  <c r="Q317" i="19"/>
  <c r="P317" i="19"/>
  <c r="O317" i="19"/>
  <c r="N317" i="19"/>
  <c r="M317" i="19"/>
  <c r="L317" i="19"/>
  <c r="AC316" i="19"/>
  <c r="AB316" i="19"/>
  <c r="AA316" i="19"/>
  <c r="Z316" i="19"/>
  <c r="Y316" i="19"/>
  <c r="W316" i="19"/>
  <c r="V316" i="19"/>
  <c r="U316" i="19"/>
  <c r="T316" i="19"/>
  <c r="S316" i="19"/>
  <c r="Q316" i="19"/>
  <c r="P316" i="19"/>
  <c r="O316" i="19"/>
  <c r="N316" i="19"/>
  <c r="M316" i="19"/>
  <c r="L316" i="19"/>
  <c r="I316" i="19"/>
  <c r="AC315" i="19"/>
  <c r="AB315" i="19"/>
  <c r="AA315" i="19"/>
  <c r="Z315" i="19"/>
  <c r="Y315" i="19"/>
  <c r="W315" i="19"/>
  <c r="V315" i="19"/>
  <c r="U315" i="19"/>
  <c r="T315" i="19"/>
  <c r="S315" i="19"/>
  <c r="R315" i="19"/>
  <c r="Q315" i="19"/>
  <c r="P315" i="19"/>
  <c r="O315" i="19"/>
  <c r="M315" i="19"/>
  <c r="L315" i="19"/>
  <c r="AC314" i="19"/>
  <c r="AB314" i="19"/>
  <c r="AA314" i="19"/>
  <c r="Z314" i="19"/>
  <c r="Y314" i="19"/>
  <c r="X314" i="19"/>
  <c r="V314" i="19"/>
  <c r="U314" i="19"/>
  <c r="T314" i="19"/>
  <c r="S314" i="19"/>
  <c r="R314" i="19"/>
  <c r="Q314" i="19"/>
  <c r="P314" i="19"/>
  <c r="O314" i="19"/>
  <c r="M314" i="19"/>
  <c r="L314" i="19"/>
  <c r="I314" i="19"/>
  <c r="AC313" i="19"/>
  <c r="AA313" i="19"/>
  <c r="Z313" i="19"/>
  <c r="Y313" i="19"/>
  <c r="W313" i="19"/>
  <c r="V313" i="19"/>
  <c r="U313" i="19"/>
  <c r="T313" i="19"/>
  <c r="S313" i="19"/>
  <c r="R313" i="19"/>
  <c r="Q313" i="19"/>
  <c r="P313" i="19"/>
  <c r="O313" i="19"/>
  <c r="N313" i="19"/>
  <c r="M313" i="19"/>
  <c r="L313" i="19"/>
  <c r="AC312" i="19"/>
  <c r="AA312" i="19"/>
  <c r="Z312" i="19"/>
  <c r="Y312" i="19"/>
  <c r="X312" i="19"/>
  <c r="W312" i="19"/>
  <c r="V312" i="19"/>
  <c r="U312" i="19"/>
  <c r="T312" i="19"/>
  <c r="S312" i="19"/>
  <c r="Q312" i="19"/>
  <c r="P312" i="19"/>
  <c r="O312" i="19"/>
  <c r="N312" i="19"/>
  <c r="M312" i="19"/>
  <c r="L312" i="19"/>
  <c r="I312" i="19"/>
  <c r="AC311" i="19"/>
  <c r="AB311" i="19"/>
  <c r="AA311" i="19"/>
  <c r="Z311" i="19"/>
  <c r="X311" i="19"/>
  <c r="W311" i="19"/>
  <c r="V311" i="19"/>
  <c r="U311" i="19"/>
  <c r="T311" i="19"/>
  <c r="S311" i="19"/>
  <c r="R311" i="19"/>
  <c r="Q311" i="19"/>
  <c r="P311" i="19"/>
  <c r="O311" i="19"/>
  <c r="M311" i="19"/>
  <c r="L311" i="19"/>
  <c r="AC310" i="19"/>
  <c r="AB310" i="19"/>
  <c r="AA310" i="19"/>
  <c r="Z310" i="19"/>
  <c r="Y310" i="19"/>
  <c r="X310" i="19"/>
  <c r="V310" i="19"/>
  <c r="U310" i="19"/>
  <c r="T310" i="19"/>
  <c r="S310" i="19"/>
  <c r="R310" i="19"/>
  <c r="Q310" i="19"/>
  <c r="O310" i="19"/>
  <c r="N310" i="19"/>
  <c r="M310" i="19"/>
  <c r="L310" i="19"/>
  <c r="I310" i="19"/>
  <c r="AC309" i="19"/>
  <c r="AA309" i="19"/>
  <c r="Z309" i="19"/>
  <c r="Y309" i="19"/>
  <c r="X309" i="19"/>
  <c r="W309" i="19"/>
  <c r="V309" i="19"/>
  <c r="U309" i="19"/>
  <c r="T309" i="19"/>
  <c r="S309" i="19"/>
  <c r="R309" i="19"/>
  <c r="Q309" i="19"/>
  <c r="P309" i="19"/>
  <c r="O309" i="19"/>
  <c r="M309" i="19"/>
  <c r="L309" i="19"/>
  <c r="AC308" i="19"/>
  <c r="AA308" i="19"/>
  <c r="Z308" i="19"/>
  <c r="Y308" i="19"/>
  <c r="X308" i="19"/>
  <c r="W308" i="19"/>
  <c r="V308" i="19"/>
  <c r="U308" i="19"/>
  <c r="T308" i="19"/>
  <c r="S308" i="19"/>
  <c r="Q308" i="19"/>
  <c r="P308" i="19"/>
  <c r="O308" i="19"/>
  <c r="N308" i="19"/>
  <c r="M308" i="19"/>
  <c r="L308" i="19"/>
  <c r="I308" i="19"/>
  <c r="AC307" i="19"/>
  <c r="AB307" i="19"/>
  <c r="AA307" i="19"/>
  <c r="Z307" i="19"/>
  <c r="X307" i="19"/>
  <c r="W307" i="19"/>
  <c r="V307" i="19"/>
  <c r="U307" i="19"/>
  <c r="T307" i="19"/>
  <c r="S307" i="19"/>
  <c r="R307" i="19"/>
  <c r="Q307" i="19"/>
  <c r="P307" i="19"/>
  <c r="O307" i="19"/>
  <c r="M307" i="19"/>
  <c r="L307" i="19"/>
  <c r="AC306" i="19"/>
  <c r="AB306" i="19"/>
  <c r="AA306" i="19"/>
  <c r="Z306" i="19"/>
  <c r="Y306" i="19"/>
  <c r="X306" i="19"/>
  <c r="W306" i="19"/>
  <c r="V306" i="19"/>
  <c r="U306" i="19"/>
  <c r="T306" i="19"/>
  <c r="S306" i="19"/>
  <c r="R306" i="19"/>
  <c r="Q306" i="19"/>
  <c r="N306" i="19"/>
  <c r="M306" i="19"/>
  <c r="L306" i="19"/>
  <c r="I306" i="19"/>
  <c r="AC305" i="19"/>
  <c r="AA305" i="19"/>
  <c r="Z305" i="19"/>
  <c r="X305" i="19"/>
  <c r="W305" i="19"/>
  <c r="V305" i="19"/>
  <c r="U305" i="19"/>
  <c r="T305" i="19"/>
  <c r="S305" i="19"/>
  <c r="R305" i="19"/>
  <c r="Q305" i="19"/>
  <c r="P305" i="19"/>
  <c r="O305" i="19"/>
  <c r="N305" i="19"/>
  <c r="M305" i="19"/>
  <c r="L305" i="19"/>
  <c r="AC304" i="19"/>
  <c r="AA304" i="19"/>
  <c r="Z304" i="19"/>
  <c r="Y304" i="19"/>
  <c r="X304" i="19"/>
  <c r="W304" i="19"/>
  <c r="V304" i="19"/>
  <c r="U304" i="19"/>
  <c r="T304" i="19"/>
  <c r="S304" i="19"/>
  <c r="R304" i="19"/>
  <c r="Q304" i="19"/>
  <c r="P304" i="19"/>
  <c r="N304" i="19"/>
  <c r="M304" i="19"/>
  <c r="L304" i="19"/>
  <c r="I304" i="19"/>
  <c r="AC303" i="19"/>
  <c r="AB303" i="19"/>
  <c r="AA303" i="19"/>
  <c r="Z303" i="19"/>
  <c r="X303" i="19"/>
  <c r="W303" i="19"/>
  <c r="V303" i="19"/>
  <c r="U303" i="19"/>
  <c r="T303" i="19"/>
  <c r="S303" i="19"/>
  <c r="R303" i="19"/>
  <c r="Q303" i="19"/>
  <c r="O303" i="19"/>
  <c r="N303" i="19"/>
  <c r="M303" i="19"/>
  <c r="L303" i="19"/>
  <c r="AC302" i="19"/>
  <c r="AB302" i="19"/>
  <c r="AA302" i="19"/>
  <c r="Z302" i="19"/>
  <c r="X302" i="19"/>
  <c r="W302" i="19"/>
  <c r="V302" i="19"/>
  <c r="U302" i="19"/>
  <c r="T302" i="19"/>
  <c r="S302" i="19"/>
  <c r="R302" i="19"/>
  <c r="Q302" i="19"/>
  <c r="O302" i="19"/>
  <c r="N302" i="19"/>
  <c r="M302" i="19"/>
  <c r="L302" i="19"/>
  <c r="I302" i="19"/>
  <c r="AC301" i="19"/>
  <c r="AB301" i="19"/>
  <c r="AA301" i="19"/>
  <c r="Z301" i="19"/>
  <c r="X301" i="19"/>
  <c r="W301" i="19"/>
  <c r="V301" i="19"/>
  <c r="U301" i="19"/>
  <c r="T301" i="19"/>
  <c r="S301" i="19"/>
  <c r="R301" i="19"/>
  <c r="Q301" i="19"/>
  <c r="P301" i="19"/>
  <c r="O301" i="19"/>
  <c r="M301" i="19"/>
  <c r="L301" i="19"/>
  <c r="AC300" i="19"/>
  <c r="AB300" i="19"/>
  <c r="AA300" i="19"/>
  <c r="Z300" i="19"/>
  <c r="X300" i="19"/>
  <c r="W300" i="19"/>
  <c r="V300" i="19"/>
  <c r="U300" i="19"/>
  <c r="T300" i="19"/>
  <c r="S300" i="19"/>
  <c r="R300" i="19"/>
  <c r="Q300" i="19"/>
  <c r="P300" i="19"/>
  <c r="N300" i="19"/>
  <c r="M300" i="19"/>
  <c r="L300" i="19"/>
  <c r="I300" i="19"/>
  <c r="AC299" i="19"/>
  <c r="AB299" i="19"/>
  <c r="AA299" i="19"/>
  <c r="Z299" i="19"/>
  <c r="Y299" i="19"/>
  <c r="X299" i="19"/>
  <c r="W299" i="19"/>
  <c r="V299" i="19"/>
  <c r="U299" i="19"/>
  <c r="T299" i="19"/>
  <c r="S299" i="19"/>
  <c r="R299" i="19"/>
  <c r="Q299" i="19"/>
  <c r="O299" i="19"/>
  <c r="M299" i="19"/>
  <c r="L299" i="19"/>
  <c r="AC298" i="19"/>
  <c r="AB298" i="19"/>
  <c r="AA298" i="19"/>
  <c r="Z298" i="19"/>
  <c r="X298" i="19"/>
  <c r="W298" i="19"/>
  <c r="V298" i="19"/>
  <c r="U298" i="19"/>
  <c r="T298" i="19"/>
  <c r="S298" i="19"/>
  <c r="R298" i="19"/>
  <c r="P298" i="19"/>
  <c r="O298" i="19"/>
  <c r="N298" i="19"/>
  <c r="M298" i="19"/>
  <c r="L298" i="19"/>
  <c r="I298" i="19"/>
  <c r="AC297" i="19"/>
  <c r="AB297" i="19"/>
  <c r="AA297" i="19"/>
  <c r="Y297" i="19"/>
  <c r="X297" i="19"/>
  <c r="W297" i="19"/>
  <c r="V297" i="19"/>
  <c r="U297" i="19"/>
  <c r="T297" i="19"/>
  <c r="S297" i="19"/>
  <c r="R297" i="19"/>
  <c r="Q297" i="19"/>
  <c r="P297" i="19"/>
  <c r="O297" i="19"/>
  <c r="M297" i="19"/>
  <c r="L297" i="19"/>
  <c r="AC296" i="19"/>
  <c r="AA296" i="19"/>
  <c r="Z296" i="19"/>
  <c r="X296" i="19"/>
  <c r="W296" i="19"/>
  <c r="V296" i="19"/>
  <c r="U296" i="19"/>
  <c r="T296" i="19"/>
  <c r="S296" i="19"/>
  <c r="R296" i="19"/>
  <c r="Q296" i="19"/>
  <c r="P296" i="19"/>
  <c r="O296" i="19"/>
  <c r="N296" i="19"/>
  <c r="M296" i="19"/>
  <c r="L296" i="19"/>
  <c r="I296" i="19"/>
  <c r="AC295" i="19"/>
  <c r="AB295" i="19"/>
  <c r="AA295" i="19"/>
  <c r="Y295" i="19"/>
  <c r="X295" i="19"/>
  <c r="W295" i="19"/>
  <c r="V295" i="19"/>
  <c r="U295" i="19"/>
  <c r="T295" i="19"/>
  <c r="S295" i="19"/>
  <c r="R295" i="19"/>
  <c r="Q295" i="19"/>
  <c r="P295" i="19"/>
  <c r="O295" i="19"/>
  <c r="M295" i="19"/>
  <c r="L295" i="19"/>
  <c r="AC294" i="19"/>
  <c r="AB294" i="19"/>
  <c r="AA294" i="19"/>
  <c r="Z294" i="19"/>
  <c r="Y294" i="19"/>
  <c r="X294" i="19"/>
  <c r="W294" i="19"/>
  <c r="V294" i="19"/>
  <c r="U294" i="19"/>
  <c r="T294" i="19"/>
  <c r="R294" i="19"/>
  <c r="P294" i="19"/>
  <c r="O294" i="19"/>
  <c r="N294" i="19"/>
  <c r="M294" i="19"/>
  <c r="L294" i="19"/>
  <c r="I294" i="19"/>
  <c r="AC293" i="19"/>
  <c r="AB293" i="19"/>
  <c r="AA293" i="19"/>
  <c r="Y293" i="19"/>
  <c r="X293" i="19"/>
  <c r="V293" i="19"/>
  <c r="U293" i="19"/>
  <c r="T293" i="19"/>
  <c r="S293" i="19"/>
  <c r="R293" i="19"/>
  <c r="Q293" i="19"/>
  <c r="P293" i="19"/>
  <c r="O293" i="19"/>
  <c r="N293" i="19"/>
  <c r="M293" i="19"/>
  <c r="L293" i="19"/>
  <c r="AC292" i="19"/>
  <c r="AA292" i="19"/>
  <c r="Z292" i="19"/>
  <c r="Y292" i="19"/>
  <c r="X292" i="19"/>
  <c r="W292" i="19"/>
  <c r="V292" i="19"/>
  <c r="U292" i="19"/>
  <c r="T292" i="19"/>
  <c r="S292" i="19"/>
  <c r="R292" i="19"/>
  <c r="P292" i="19"/>
  <c r="O292" i="19"/>
  <c r="N292" i="19"/>
  <c r="M292" i="19"/>
  <c r="L292" i="19"/>
  <c r="I292" i="19"/>
  <c r="AC291" i="19"/>
  <c r="AB291" i="19"/>
  <c r="AA291" i="19"/>
  <c r="Y291" i="19"/>
  <c r="X291" i="19"/>
  <c r="W291" i="19"/>
  <c r="V291" i="19"/>
  <c r="U291" i="19"/>
  <c r="T291" i="19"/>
  <c r="S291" i="19"/>
  <c r="R291" i="19"/>
  <c r="P291" i="19"/>
  <c r="O291" i="19"/>
  <c r="N291" i="19"/>
  <c r="M291" i="19"/>
  <c r="L291" i="19"/>
  <c r="AC290" i="19"/>
  <c r="AB290" i="19"/>
  <c r="AA290" i="19"/>
  <c r="Z290" i="19"/>
  <c r="X290" i="19"/>
  <c r="W290" i="19"/>
  <c r="V290" i="19"/>
  <c r="U290" i="19"/>
  <c r="T290" i="19"/>
  <c r="R290" i="19"/>
  <c r="Q290" i="19"/>
  <c r="P290" i="19"/>
  <c r="O290" i="19"/>
  <c r="N290" i="19"/>
  <c r="M290" i="19"/>
  <c r="L290" i="19"/>
  <c r="I290" i="19"/>
  <c r="AC289" i="19"/>
  <c r="AB289" i="19"/>
  <c r="AA289" i="19"/>
  <c r="Z289" i="19"/>
  <c r="Y289" i="19"/>
  <c r="X289" i="19"/>
  <c r="V289" i="19"/>
  <c r="U289" i="19"/>
  <c r="T289" i="19"/>
  <c r="S289" i="19"/>
  <c r="R289" i="19"/>
  <c r="Q289" i="19"/>
  <c r="P289" i="19"/>
  <c r="O289" i="19"/>
  <c r="M289" i="19"/>
  <c r="L289" i="19"/>
  <c r="AC288" i="19"/>
  <c r="AB288" i="19"/>
  <c r="AA288" i="19"/>
  <c r="Z288" i="19"/>
  <c r="X288" i="19"/>
  <c r="W288" i="19"/>
  <c r="V288" i="19"/>
  <c r="U288" i="19"/>
  <c r="T288" i="19"/>
  <c r="S288" i="19"/>
  <c r="R288" i="19"/>
  <c r="P288" i="19"/>
  <c r="O288" i="19"/>
  <c r="N288" i="19"/>
  <c r="M288" i="19"/>
  <c r="L288" i="19"/>
  <c r="I288" i="19"/>
  <c r="AC287" i="19"/>
  <c r="AB287" i="19"/>
  <c r="AA287" i="19"/>
  <c r="Z287" i="19"/>
  <c r="Y287" i="19"/>
  <c r="X287" i="19"/>
  <c r="W287" i="19"/>
  <c r="V287" i="19"/>
  <c r="U287" i="19"/>
  <c r="T287" i="19"/>
  <c r="S287" i="19"/>
  <c r="R287" i="19"/>
  <c r="P287" i="19"/>
  <c r="O287" i="19"/>
  <c r="M287" i="19"/>
  <c r="L287" i="19"/>
  <c r="AC286" i="19"/>
  <c r="AB286" i="19"/>
  <c r="AA286" i="19"/>
  <c r="Z286" i="19"/>
  <c r="X286" i="19"/>
  <c r="W286" i="19"/>
  <c r="V286" i="19"/>
  <c r="U286" i="19"/>
  <c r="T286" i="19"/>
  <c r="S286" i="19"/>
  <c r="Q286" i="19"/>
  <c r="P286" i="19"/>
  <c r="O286" i="19"/>
  <c r="N286" i="19"/>
  <c r="M286" i="19"/>
  <c r="L286" i="19"/>
  <c r="I286" i="19"/>
  <c r="AC285" i="19"/>
  <c r="AB285" i="19"/>
  <c r="AA285" i="19"/>
  <c r="Y285" i="19"/>
  <c r="X285" i="19"/>
  <c r="W285" i="19"/>
  <c r="V285" i="19"/>
  <c r="U285" i="19"/>
  <c r="T285" i="19"/>
  <c r="S285" i="19"/>
  <c r="R285" i="19"/>
  <c r="Q285" i="19"/>
  <c r="P285" i="19"/>
  <c r="O285" i="19"/>
  <c r="M285" i="19"/>
  <c r="L285" i="19"/>
  <c r="AC284" i="19"/>
  <c r="AA284" i="19"/>
  <c r="Z284" i="19"/>
  <c r="X284" i="19"/>
  <c r="W284" i="19"/>
  <c r="V284" i="19"/>
  <c r="U284" i="19"/>
  <c r="T284" i="19"/>
  <c r="S284" i="19"/>
  <c r="R284" i="19"/>
  <c r="Q284" i="19"/>
  <c r="P284" i="19"/>
  <c r="O284" i="19"/>
  <c r="N284" i="19"/>
  <c r="M284" i="19"/>
  <c r="L284" i="19"/>
  <c r="I284" i="19"/>
  <c r="AC283" i="19"/>
  <c r="AB283" i="19"/>
  <c r="AA283" i="19"/>
  <c r="Y283" i="19"/>
  <c r="X283" i="19"/>
  <c r="W283" i="19"/>
  <c r="V283" i="19"/>
  <c r="U283" i="19"/>
  <c r="T283" i="19"/>
  <c r="S283" i="19"/>
  <c r="R283" i="19"/>
  <c r="Q283" i="19"/>
  <c r="P283" i="19"/>
  <c r="O283" i="19"/>
  <c r="M283" i="19"/>
  <c r="L283" i="19"/>
  <c r="AC282" i="19"/>
  <c r="AB282" i="19"/>
  <c r="AA282" i="19"/>
  <c r="Z282" i="19"/>
  <c r="Y282" i="19"/>
  <c r="X282" i="19"/>
  <c r="W282" i="19"/>
  <c r="V282" i="19"/>
  <c r="U282" i="19"/>
  <c r="S282" i="19"/>
  <c r="Q282" i="19"/>
  <c r="P282" i="19"/>
  <c r="O282" i="19"/>
  <c r="N282" i="19"/>
  <c r="M282" i="19"/>
  <c r="L282" i="19"/>
  <c r="I282" i="19"/>
  <c r="AC281" i="19"/>
  <c r="AB281" i="19"/>
  <c r="AA281" i="19"/>
  <c r="X281" i="19"/>
  <c r="W281" i="19"/>
  <c r="V281" i="19"/>
  <c r="U281" i="19"/>
  <c r="T281" i="19"/>
  <c r="S281" i="19"/>
  <c r="R281" i="19"/>
  <c r="Q281" i="19"/>
  <c r="P281" i="19"/>
  <c r="O281" i="19"/>
  <c r="N281" i="19"/>
  <c r="M281" i="19"/>
  <c r="L281" i="19"/>
  <c r="AC280" i="19"/>
  <c r="AA280" i="19"/>
  <c r="Z280" i="19"/>
  <c r="X280" i="19"/>
  <c r="W280" i="19"/>
  <c r="V280" i="19"/>
  <c r="U280" i="19"/>
  <c r="T280" i="19"/>
  <c r="S280" i="19"/>
  <c r="R280" i="19"/>
  <c r="Q280" i="19"/>
  <c r="P280" i="19"/>
  <c r="O280" i="19"/>
  <c r="N280" i="19"/>
  <c r="M280" i="19"/>
  <c r="L280" i="19"/>
  <c r="I280" i="19"/>
  <c r="AC279" i="19"/>
  <c r="AB279" i="19"/>
  <c r="AA279" i="19"/>
  <c r="Y279" i="19"/>
  <c r="X279" i="19"/>
  <c r="W279" i="19"/>
  <c r="V279" i="19"/>
  <c r="U279" i="19"/>
  <c r="T279" i="19"/>
  <c r="S279" i="19"/>
  <c r="R279" i="19"/>
  <c r="P279" i="19"/>
  <c r="O279" i="19"/>
  <c r="N279" i="19"/>
  <c r="M279" i="19"/>
  <c r="L279" i="19"/>
  <c r="AC278" i="19"/>
  <c r="AB278" i="19"/>
  <c r="AA278" i="19"/>
  <c r="Z278" i="19"/>
  <c r="X278" i="19"/>
  <c r="W278" i="19"/>
  <c r="V278" i="19"/>
  <c r="U278" i="19"/>
  <c r="S278" i="19"/>
  <c r="R278" i="19"/>
  <c r="Q278" i="19"/>
  <c r="P278" i="19"/>
  <c r="O278" i="19"/>
  <c r="N278" i="19"/>
  <c r="M278" i="19"/>
  <c r="L278" i="19"/>
  <c r="I278" i="19"/>
  <c r="AC277" i="19"/>
  <c r="AB277" i="19"/>
  <c r="AA277" i="19"/>
  <c r="Z277" i="19"/>
  <c r="X277" i="19"/>
  <c r="W277" i="19"/>
  <c r="V277" i="19"/>
  <c r="U277" i="19"/>
  <c r="T277" i="19"/>
  <c r="S277" i="19"/>
  <c r="R277" i="19"/>
  <c r="Q277" i="19"/>
  <c r="P277" i="19"/>
  <c r="O277" i="19"/>
  <c r="M277" i="19"/>
  <c r="L277" i="19"/>
  <c r="AC276" i="19"/>
  <c r="AB276" i="19"/>
  <c r="AA276" i="19"/>
  <c r="Z276" i="19"/>
  <c r="X276" i="19"/>
  <c r="W276" i="19"/>
  <c r="V276" i="19"/>
  <c r="U276" i="19"/>
  <c r="T276" i="19"/>
  <c r="S276" i="19"/>
  <c r="R276" i="19"/>
  <c r="Q276" i="19"/>
  <c r="P276" i="19"/>
  <c r="O276" i="19"/>
  <c r="N276" i="19"/>
  <c r="M276" i="19"/>
  <c r="L276" i="19"/>
  <c r="I276" i="19"/>
  <c r="AC275" i="19"/>
  <c r="AB275" i="19"/>
  <c r="AA275" i="19"/>
  <c r="Z275" i="19"/>
  <c r="Y275" i="19"/>
  <c r="X275" i="19"/>
  <c r="W275" i="19"/>
  <c r="V275" i="19"/>
  <c r="U275" i="19"/>
  <c r="T275" i="19"/>
  <c r="S275" i="19"/>
  <c r="R275" i="19"/>
  <c r="P275" i="19"/>
  <c r="O275" i="19"/>
  <c r="M275" i="19"/>
  <c r="L275" i="19"/>
  <c r="AC274" i="19"/>
  <c r="AB274" i="19"/>
  <c r="AA274" i="19"/>
  <c r="Z274" i="19"/>
  <c r="X274" i="19"/>
  <c r="W274" i="19"/>
  <c r="V274" i="19"/>
  <c r="U274" i="19"/>
  <c r="T274" i="19"/>
  <c r="S274" i="19"/>
  <c r="Q274" i="19"/>
  <c r="P274" i="19"/>
  <c r="O274" i="19"/>
  <c r="N274" i="19"/>
  <c r="M274" i="19"/>
  <c r="L274" i="19"/>
  <c r="I274" i="19"/>
  <c r="AC273" i="19"/>
  <c r="AB273" i="19"/>
  <c r="AA273" i="19"/>
  <c r="Y273" i="19"/>
  <c r="X273" i="19"/>
  <c r="W273" i="19"/>
  <c r="V273" i="19"/>
  <c r="U273" i="19"/>
  <c r="T273" i="19"/>
  <c r="S273" i="19"/>
  <c r="R273" i="19"/>
  <c r="Q273" i="19"/>
  <c r="P273" i="19"/>
  <c r="O273" i="19"/>
  <c r="M273" i="19"/>
  <c r="L273" i="19"/>
  <c r="AC272" i="19"/>
  <c r="AA272" i="19"/>
  <c r="Z272" i="19"/>
  <c r="X272" i="19"/>
  <c r="W272" i="19"/>
  <c r="V272" i="19"/>
  <c r="U272" i="19"/>
  <c r="T272" i="19"/>
  <c r="S272" i="19"/>
  <c r="R272" i="19"/>
  <c r="Q272" i="19"/>
  <c r="P272" i="19"/>
  <c r="O272" i="19"/>
  <c r="N272" i="19"/>
  <c r="M272" i="19"/>
  <c r="L272" i="19"/>
  <c r="I272" i="19"/>
  <c r="AC271" i="19"/>
  <c r="AB271" i="19"/>
  <c r="AA271" i="19"/>
  <c r="Y271" i="19"/>
  <c r="X271" i="19"/>
  <c r="W271" i="19"/>
  <c r="V271" i="19"/>
  <c r="U271" i="19"/>
  <c r="T271" i="19"/>
  <c r="S271" i="19"/>
  <c r="R271" i="19"/>
  <c r="Q271" i="19"/>
  <c r="P271" i="19"/>
  <c r="O271" i="19"/>
  <c r="M271" i="19"/>
  <c r="L271" i="19"/>
  <c r="AC270" i="19"/>
  <c r="AB270" i="19"/>
  <c r="AA270" i="19"/>
  <c r="Z270" i="19"/>
  <c r="Y270" i="19"/>
  <c r="X270" i="19"/>
  <c r="W270" i="19"/>
  <c r="V270" i="19"/>
  <c r="U270" i="19"/>
  <c r="S270" i="19"/>
  <c r="Q270" i="19"/>
  <c r="P270" i="19"/>
  <c r="O270" i="19"/>
  <c r="N270" i="19"/>
  <c r="M270" i="19"/>
  <c r="L270" i="19"/>
  <c r="I270" i="19"/>
  <c r="AC269" i="19"/>
  <c r="AB269" i="19"/>
  <c r="AA269" i="19"/>
  <c r="Y269" i="19"/>
  <c r="X269" i="19"/>
  <c r="V269" i="19"/>
  <c r="U269" i="19"/>
  <c r="T269" i="19"/>
  <c r="S269" i="19"/>
  <c r="R269" i="19"/>
  <c r="Q269" i="19"/>
  <c r="P269" i="19"/>
  <c r="O269" i="19"/>
  <c r="N269" i="19"/>
  <c r="M269" i="19"/>
  <c r="L269" i="19"/>
  <c r="AC268" i="19"/>
  <c r="AA268" i="19"/>
  <c r="Z268" i="19"/>
  <c r="Y268" i="19"/>
  <c r="X268" i="19"/>
  <c r="W268" i="19"/>
  <c r="V268" i="19"/>
  <c r="U268" i="19"/>
  <c r="T268" i="19"/>
  <c r="S268" i="19"/>
  <c r="R268" i="19"/>
  <c r="P268" i="19"/>
  <c r="O268" i="19"/>
  <c r="N268" i="19"/>
  <c r="M268" i="19"/>
  <c r="L268" i="19"/>
  <c r="I268" i="19"/>
  <c r="AC267" i="19"/>
  <c r="AB267" i="19"/>
  <c r="AA267" i="19"/>
  <c r="Y267" i="19"/>
  <c r="X267" i="19"/>
  <c r="W267" i="19"/>
  <c r="V267" i="19"/>
  <c r="U267" i="19"/>
  <c r="T267" i="19"/>
  <c r="S267" i="19"/>
  <c r="R267" i="19"/>
  <c r="Q267" i="19"/>
  <c r="O267" i="19"/>
  <c r="N267" i="19"/>
  <c r="M267" i="19"/>
  <c r="L267" i="19"/>
  <c r="AC266" i="19"/>
  <c r="AB266" i="19"/>
  <c r="AA266" i="19"/>
  <c r="Z266" i="19"/>
  <c r="Y266" i="19"/>
  <c r="W266" i="19"/>
  <c r="V266" i="19"/>
  <c r="U266" i="19"/>
  <c r="S266" i="19"/>
  <c r="R266" i="19"/>
  <c r="Q266" i="19"/>
  <c r="P266" i="19"/>
  <c r="O266" i="19"/>
  <c r="N266" i="19"/>
  <c r="M266" i="19"/>
  <c r="L266" i="19"/>
  <c r="I266" i="19"/>
  <c r="AC265" i="19"/>
  <c r="AB265" i="19"/>
  <c r="AA265" i="19"/>
  <c r="Z265" i="19"/>
  <c r="Y265" i="19"/>
  <c r="X265" i="19"/>
  <c r="V265" i="19"/>
  <c r="U265" i="19"/>
  <c r="T265" i="19"/>
  <c r="S265" i="19"/>
  <c r="R265" i="19"/>
  <c r="Q265" i="19"/>
  <c r="P265" i="19"/>
  <c r="O265" i="19"/>
  <c r="M265" i="19"/>
  <c r="L265" i="19"/>
  <c r="AC264" i="19"/>
  <c r="AB264" i="19"/>
  <c r="AA264" i="19"/>
  <c r="Z264" i="19"/>
  <c r="Y264" i="19"/>
  <c r="X264" i="19"/>
  <c r="V264" i="19"/>
  <c r="U264" i="19"/>
  <c r="T264" i="19"/>
  <c r="S264" i="19"/>
  <c r="R264" i="19"/>
  <c r="P264" i="19"/>
  <c r="O264" i="19"/>
  <c r="N264" i="19"/>
  <c r="M264" i="19"/>
  <c r="L264" i="19"/>
  <c r="I264" i="19"/>
  <c r="AC263" i="19"/>
  <c r="AB263" i="19"/>
  <c r="AA263" i="19"/>
  <c r="Z263" i="19"/>
  <c r="Y263" i="19"/>
  <c r="X263" i="19"/>
  <c r="W263" i="19"/>
  <c r="V263" i="19"/>
  <c r="U263" i="19"/>
  <c r="T263" i="19"/>
  <c r="S263" i="19"/>
  <c r="R263" i="19"/>
  <c r="Q263" i="19"/>
  <c r="O263" i="19"/>
  <c r="M263" i="19"/>
  <c r="L263" i="19"/>
  <c r="AC262" i="19"/>
  <c r="AB262" i="19"/>
  <c r="AA262" i="19"/>
  <c r="Z262" i="19"/>
  <c r="Y262" i="19"/>
  <c r="W262" i="19"/>
  <c r="V262" i="19"/>
  <c r="U262" i="19"/>
  <c r="T262" i="19"/>
  <c r="S262" i="19"/>
  <c r="R262" i="19"/>
  <c r="P262" i="19"/>
  <c r="O262" i="19"/>
  <c r="N262" i="19"/>
  <c r="M262" i="19"/>
  <c r="L262" i="19"/>
  <c r="I262" i="19"/>
  <c r="AC261" i="19"/>
  <c r="AB261" i="19"/>
  <c r="AA261" i="19"/>
  <c r="Y261" i="19"/>
  <c r="X261" i="19"/>
  <c r="W261" i="19"/>
  <c r="V261" i="19"/>
  <c r="U261" i="19"/>
  <c r="T261" i="19"/>
  <c r="S261" i="19"/>
  <c r="R261" i="19"/>
  <c r="Q261" i="19"/>
  <c r="P261" i="19"/>
  <c r="O261" i="19"/>
  <c r="M261" i="19"/>
  <c r="L261" i="19"/>
  <c r="AC260" i="19"/>
  <c r="AA260" i="19"/>
  <c r="Z260" i="19"/>
  <c r="Y260" i="19"/>
  <c r="X260" i="19"/>
  <c r="V260" i="19"/>
  <c r="U260" i="19"/>
  <c r="T260" i="19"/>
  <c r="S260" i="19"/>
  <c r="R260" i="19"/>
  <c r="Q260" i="19"/>
  <c r="P260" i="19"/>
  <c r="O260" i="19"/>
  <c r="N260" i="19"/>
  <c r="M260" i="19"/>
  <c r="L260" i="19"/>
  <c r="I260" i="19"/>
  <c r="AC259" i="19"/>
  <c r="AB259" i="19"/>
  <c r="AA259" i="19"/>
  <c r="Y259" i="19"/>
  <c r="X259" i="19"/>
  <c r="W259" i="19"/>
  <c r="V259" i="19"/>
  <c r="U259" i="19"/>
  <c r="T259" i="19"/>
  <c r="S259" i="19"/>
  <c r="R259" i="19"/>
  <c r="Q259" i="19"/>
  <c r="P259" i="19"/>
  <c r="O259" i="19"/>
  <c r="M259" i="19"/>
  <c r="L259" i="19"/>
  <c r="AC258" i="19"/>
  <c r="AB258" i="19"/>
  <c r="AA258" i="19"/>
  <c r="Z258" i="19"/>
  <c r="Y258" i="19"/>
  <c r="X258" i="19"/>
  <c r="W258" i="19"/>
  <c r="V258" i="19"/>
  <c r="U258" i="19"/>
  <c r="S258" i="19"/>
  <c r="R258" i="19"/>
  <c r="P258" i="19"/>
  <c r="O258" i="19"/>
  <c r="N258" i="19"/>
  <c r="M258" i="19"/>
  <c r="L258" i="19"/>
  <c r="I258" i="19"/>
  <c r="AC257" i="19"/>
  <c r="AB257" i="19"/>
  <c r="AA257" i="19"/>
  <c r="Y257" i="19"/>
  <c r="X257" i="19"/>
  <c r="V257" i="19"/>
  <c r="U257" i="19"/>
  <c r="T257" i="19"/>
  <c r="S257" i="19"/>
  <c r="R257" i="19"/>
  <c r="Q257" i="19"/>
  <c r="P257" i="19"/>
  <c r="O257" i="19"/>
  <c r="N257" i="19"/>
  <c r="M257" i="19"/>
  <c r="L257" i="19"/>
  <c r="AC256" i="19"/>
  <c r="AA256" i="19"/>
  <c r="Z256" i="19"/>
  <c r="Y256" i="19"/>
  <c r="X256" i="19"/>
  <c r="W256" i="19"/>
  <c r="V256" i="19"/>
  <c r="U256" i="19"/>
  <c r="T256" i="19"/>
  <c r="S256" i="19"/>
  <c r="R256" i="19"/>
  <c r="P256" i="19"/>
  <c r="O256" i="19"/>
  <c r="N256" i="19"/>
  <c r="M256" i="19"/>
  <c r="L256" i="19"/>
  <c r="I256" i="19"/>
  <c r="AC255" i="19"/>
  <c r="AB255" i="19"/>
  <c r="AA255" i="19"/>
  <c r="Y255" i="19"/>
  <c r="X255" i="19"/>
  <c r="W255" i="19"/>
  <c r="V255" i="19"/>
  <c r="U255" i="19"/>
  <c r="T255" i="19"/>
  <c r="S255" i="19"/>
  <c r="R255" i="19"/>
  <c r="Q255" i="19"/>
  <c r="O255" i="19"/>
  <c r="N255" i="19"/>
  <c r="M255" i="19"/>
  <c r="L255" i="19"/>
  <c r="AC254" i="19"/>
  <c r="AB254" i="19"/>
  <c r="AA254" i="19"/>
  <c r="Z254" i="19"/>
  <c r="Y254" i="19"/>
  <c r="W254" i="19"/>
  <c r="V254" i="19"/>
  <c r="U254" i="19"/>
  <c r="S254" i="19"/>
  <c r="R254" i="19"/>
  <c r="Q254" i="19"/>
  <c r="P254" i="19"/>
  <c r="O254" i="19"/>
  <c r="N254" i="19"/>
  <c r="M254" i="19"/>
  <c r="L254" i="19"/>
  <c r="I254" i="19"/>
  <c r="AC253" i="19"/>
  <c r="AB253" i="19"/>
  <c r="AA253" i="19"/>
  <c r="Z253" i="19"/>
  <c r="Y253" i="19"/>
  <c r="X253" i="19"/>
  <c r="V253" i="19"/>
  <c r="U253" i="19"/>
  <c r="T253" i="19"/>
  <c r="S253" i="19"/>
  <c r="R253" i="19"/>
  <c r="Q253" i="19"/>
  <c r="P253" i="19"/>
  <c r="O253" i="19"/>
  <c r="M253" i="19"/>
  <c r="L253" i="19"/>
  <c r="AC252" i="19"/>
  <c r="AB252" i="19"/>
  <c r="AA252" i="19"/>
  <c r="Z252" i="19"/>
  <c r="Y252" i="19"/>
  <c r="X252" i="19"/>
  <c r="V252" i="19"/>
  <c r="U252" i="19"/>
  <c r="T252" i="19"/>
  <c r="S252" i="19"/>
  <c r="R252" i="19"/>
  <c r="P252" i="19"/>
  <c r="O252" i="19"/>
  <c r="N252" i="19"/>
  <c r="M252" i="19"/>
  <c r="L252" i="19"/>
  <c r="I252" i="19"/>
  <c r="AC251" i="19"/>
  <c r="AB251" i="19"/>
  <c r="AA251" i="19"/>
  <c r="Z251" i="19"/>
  <c r="Y251" i="19"/>
  <c r="X251" i="19"/>
  <c r="W251" i="19"/>
  <c r="V251" i="19"/>
  <c r="U251" i="19"/>
  <c r="T251" i="19"/>
  <c r="S251" i="19"/>
  <c r="R251" i="19"/>
  <c r="Q251" i="19"/>
  <c r="O251" i="19"/>
  <c r="M251" i="19"/>
  <c r="L251" i="19"/>
  <c r="AC250" i="19"/>
  <c r="AB250" i="19"/>
  <c r="AA250" i="19"/>
  <c r="Z250" i="19"/>
  <c r="Y250" i="19"/>
  <c r="W250" i="19"/>
  <c r="V250" i="19"/>
  <c r="U250" i="19"/>
  <c r="T250" i="19"/>
  <c r="S250" i="19"/>
  <c r="R250" i="19"/>
  <c r="P250" i="19"/>
  <c r="O250" i="19"/>
  <c r="N250" i="19"/>
  <c r="M250" i="19"/>
  <c r="L250" i="19"/>
  <c r="I250" i="19"/>
  <c r="AC249" i="19"/>
  <c r="AB249" i="19"/>
  <c r="AA249" i="19"/>
  <c r="Y249" i="19"/>
  <c r="X249" i="19"/>
  <c r="W249" i="19"/>
  <c r="V249" i="19"/>
  <c r="U249" i="19"/>
  <c r="T249" i="19"/>
  <c r="S249" i="19"/>
  <c r="R249" i="19"/>
  <c r="Q249" i="19"/>
  <c r="P249" i="19"/>
  <c r="O249" i="19"/>
  <c r="M249" i="19"/>
  <c r="L249" i="19"/>
  <c r="AC248" i="19"/>
  <c r="AA248" i="19"/>
  <c r="Z248" i="19"/>
  <c r="Y248" i="19"/>
  <c r="X248" i="19"/>
  <c r="V248" i="19"/>
  <c r="U248" i="19"/>
  <c r="T248" i="19"/>
  <c r="S248" i="19"/>
  <c r="R248" i="19"/>
  <c r="Q248" i="19"/>
  <c r="P248" i="19"/>
  <c r="O248" i="19"/>
  <c r="N248" i="19"/>
  <c r="M248" i="19"/>
  <c r="L248" i="19"/>
  <c r="I248" i="19"/>
  <c r="AC247" i="19"/>
  <c r="AB247" i="19"/>
  <c r="AA247" i="19"/>
  <c r="Y247" i="19"/>
  <c r="X247" i="19"/>
  <c r="W247" i="19"/>
  <c r="V247" i="19"/>
  <c r="U247" i="19"/>
  <c r="T247" i="19"/>
  <c r="S247" i="19"/>
  <c r="R247" i="19"/>
  <c r="Q247" i="19"/>
  <c r="P247" i="19"/>
  <c r="O247" i="19"/>
  <c r="M247" i="19"/>
  <c r="L247" i="19"/>
  <c r="AC246" i="19"/>
  <c r="AB246" i="19"/>
  <c r="AA246" i="19"/>
  <c r="Z246" i="19"/>
  <c r="Y246" i="19"/>
  <c r="X246" i="19"/>
  <c r="W246" i="19"/>
  <c r="V246" i="19"/>
  <c r="U246" i="19"/>
  <c r="S246" i="19"/>
  <c r="R246" i="19"/>
  <c r="P246" i="19"/>
  <c r="O246" i="19"/>
  <c r="N246" i="19"/>
  <c r="M246" i="19"/>
  <c r="L246" i="19"/>
  <c r="I246" i="19"/>
  <c r="AC245" i="19"/>
  <c r="AB245" i="19"/>
  <c r="AA245" i="19"/>
  <c r="Y245" i="19"/>
  <c r="X245" i="19"/>
  <c r="V245" i="19"/>
  <c r="U245" i="19"/>
  <c r="T245" i="19"/>
  <c r="S245" i="19"/>
  <c r="R245" i="19"/>
  <c r="Q245" i="19"/>
  <c r="P245" i="19"/>
  <c r="O245" i="19"/>
  <c r="N245" i="19"/>
  <c r="M245" i="19"/>
  <c r="L245" i="19"/>
  <c r="AC244" i="19"/>
  <c r="AA244" i="19"/>
  <c r="Z244" i="19"/>
  <c r="Y244" i="19"/>
  <c r="X244" i="19"/>
  <c r="W244" i="19"/>
  <c r="V244" i="19"/>
  <c r="U244" i="19"/>
  <c r="T244" i="19"/>
  <c r="S244" i="19"/>
  <c r="R244" i="19"/>
  <c r="P244" i="19"/>
  <c r="O244" i="19"/>
  <c r="N244" i="19"/>
  <c r="M244" i="19"/>
  <c r="L244" i="19"/>
  <c r="I244" i="19"/>
  <c r="AC243" i="19"/>
  <c r="AB243" i="19"/>
  <c r="AA243" i="19"/>
  <c r="Y243" i="19"/>
  <c r="X243" i="19"/>
  <c r="W243" i="19"/>
  <c r="V243" i="19"/>
  <c r="U243" i="19"/>
  <c r="T243" i="19"/>
  <c r="S243" i="19"/>
  <c r="R243" i="19"/>
  <c r="Q243" i="19"/>
  <c r="O243" i="19"/>
  <c r="N243" i="19"/>
  <c r="M243" i="19"/>
  <c r="L243" i="19"/>
  <c r="AC242" i="19"/>
  <c r="AB242" i="19"/>
  <c r="AA242" i="19"/>
  <c r="Z242" i="19"/>
  <c r="Y242" i="19"/>
  <c r="W242" i="19"/>
  <c r="V242" i="19"/>
  <c r="U242" i="19"/>
  <c r="S242" i="19"/>
  <c r="R242" i="19"/>
  <c r="Q242" i="19"/>
  <c r="P242" i="19"/>
  <c r="O242" i="19"/>
  <c r="N242" i="19"/>
  <c r="M242" i="19"/>
  <c r="L242" i="19"/>
  <c r="I242" i="19"/>
  <c r="AC241" i="19"/>
  <c r="AB241" i="19"/>
  <c r="AA241" i="19"/>
  <c r="Z241" i="19"/>
  <c r="Y241" i="19"/>
  <c r="X241" i="19"/>
  <c r="V241" i="19"/>
  <c r="U241" i="19"/>
  <c r="T241" i="19"/>
  <c r="S241" i="19"/>
  <c r="R241" i="19"/>
  <c r="Q241" i="19"/>
  <c r="P241" i="19"/>
  <c r="O241" i="19"/>
  <c r="M241" i="19"/>
  <c r="L241" i="19"/>
  <c r="AC240" i="19"/>
  <c r="AB240" i="19"/>
  <c r="AA240" i="19"/>
  <c r="Z240" i="19"/>
  <c r="Y240" i="19"/>
  <c r="W240" i="19"/>
  <c r="V240" i="19"/>
  <c r="U240" i="19"/>
  <c r="T240" i="19"/>
  <c r="S240" i="19"/>
  <c r="R240" i="19"/>
  <c r="P240" i="19"/>
  <c r="O240" i="19"/>
  <c r="N240" i="19"/>
  <c r="M240" i="19"/>
  <c r="L240" i="19"/>
  <c r="I240" i="19"/>
  <c r="AC239" i="19"/>
  <c r="AB239" i="19"/>
  <c r="AA239" i="19"/>
  <c r="Z239" i="19"/>
  <c r="Y239" i="19"/>
  <c r="X239" i="19"/>
  <c r="W239" i="19"/>
  <c r="V239" i="19"/>
  <c r="U239" i="19"/>
  <c r="T239" i="19"/>
  <c r="S239" i="19"/>
  <c r="R239" i="19"/>
  <c r="Q239" i="19"/>
  <c r="O239" i="19"/>
  <c r="M239" i="19"/>
  <c r="L239" i="19"/>
  <c r="AC238" i="19"/>
  <c r="AB238" i="19"/>
  <c r="AA238" i="19"/>
  <c r="Z238" i="19"/>
  <c r="Y238" i="19"/>
  <c r="W238" i="19"/>
  <c r="V238" i="19"/>
  <c r="U238" i="19"/>
  <c r="T238" i="19"/>
  <c r="S238" i="19"/>
  <c r="R238" i="19"/>
  <c r="P238" i="19"/>
  <c r="O238" i="19"/>
  <c r="N238" i="19"/>
  <c r="M238" i="19"/>
  <c r="L238" i="19"/>
  <c r="I238" i="19"/>
  <c r="AC237" i="19"/>
  <c r="AB237" i="19"/>
  <c r="AA237" i="19"/>
  <c r="Y237" i="19"/>
  <c r="X237" i="19"/>
  <c r="W237" i="19"/>
  <c r="V237" i="19"/>
  <c r="U237" i="19"/>
  <c r="T237" i="19"/>
  <c r="S237" i="19"/>
  <c r="R237" i="19"/>
  <c r="Q237" i="19"/>
  <c r="P237" i="19"/>
  <c r="O237" i="19"/>
  <c r="M237" i="19"/>
  <c r="L237" i="19"/>
  <c r="AC236" i="19"/>
  <c r="AA236" i="19"/>
  <c r="Z236" i="19"/>
  <c r="Y236" i="19"/>
  <c r="W236" i="19"/>
  <c r="V236" i="19"/>
  <c r="U236" i="19"/>
  <c r="T236" i="19"/>
  <c r="S236" i="19"/>
  <c r="R236" i="19"/>
  <c r="Q236" i="19"/>
  <c r="P236" i="19"/>
  <c r="O236" i="19"/>
  <c r="N236" i="19"/>
  <c r="M236" i="19"/>
  <c r="L236" i="19"/>
  <c r="I236" i="19"/>
  <c r="AC235" i="19"/>
  <c r="AB235" i="19"/>
  <c r="AA235" i="19"/>
  <c r="Y235" i="19"/>
  <c r="X235" i="19"/>
  <c r="W235" i="19"/>
  <c r="V235" i="19"/>
  <c r="U235" i="19"/>
  <c r="T235" i="19"/>
  <c r="S235" i="19"/>
  <c r="R235" i="19"/>
  <c r="Q235" i="19"/>
  <c r="P235" i="19"/>
  <c r="O235" i="19"/>
  <c r="M235" i="19"/>
  <c r="L235" i="19"/>
  <c r="AC234" i="19"/>
  <c r="AB234" i="19"/>
  <c r="AA234" i="19"/>
  <c r="Z234" i="19"/>
  <c r="Y234" i="19"/>
  <c r="X234" i="19"/>
  <c r="W234" i="19"/>
  <c r="V234" i="19"/>
  <c r="U234" i="19"/>
  <c r="S234" i="19"/>
  <c r="R234" i="19"/>
  <c r="P234" i="19"/>
  <c r="O234" i="19"/>
  <c r="N234" i="19"/>
  <c r="M234" i="19"/>
  <c r="L234" i="19"/>
  <c r="I234" i="19"/>
  <c r="AC233" i="19"/>
  <c r="AB233" i="19"/>
  <c r="AA233" i="19"/>
  <c r="Y233" i="19"/>
  <c r="W233" i="19"/>
  <c r="V233" i="19"/>
  <c r="U233" i="19"/>
  <c r="T233" i="19"/>
  <c r="S233" i="19"/>
  <c r="R233" i="19"/>
  <c r="Q233" i="19"/>
  <c r="P233" i="19"/>
  <c r="O233" i="19"/>
  <c r="N233" i="19"/>
  <c r="M233" i="19"/>
  <c r="L233" i="19"/>
  <c r="AC232" i="19"/>
  <c r="AA232" i="19"/>
  <c r="Z232" i="19"/>
  <c r="Y232" i="19"/>
  <c r="X232" i="19"/>
  <c r="W232" i="19"/>
  <c r="V232" i="19"/>
  <c r="U232" i="19"/>
  <c r="S232" i="19"/>
  <c r="R232" i="19"/>
  <c r="Q232" i="19"/>
  <c r="P232" i="19"/>
  <c r="O232" i="19"/>
  <c r="N232" i="19"/>
  <c r="M232" i="19"/>
  <c r="L232" i="19"/>
  <c r="I232" i="19"/>
  <c r="AC231" i="19"/>
  <c r="AB231" i="19"/>
  <c r="AA231" i="19"/>
  <c r="Y231" i="19"/>
  <c r="X231" i="19"/>
  <c r="W231" i="19"/>
  <c r="V231" i="19"/>
  <c r="U231" i="19"/>
  <c r="T231" i="19"/>
  <c r="S231" i="19"/>
  <c r="R231" i="19"/>
  <c r="P231" i="19"/>
  <c r="O231" i="19"/>
  <c r="N231" i="19"/>
  <c r="M231" i="19"/>
  <c r="L231" i="19"/>
  <c r="AC230" i="19"/>
  <c r="AB230" i="19"/>
  <c r="AA230" i="19"/>
  <c r="Z230" i="19"/>
  <c r="Y230" i="19"/>
  <c r="W230" i="19"/>
  <c r="V230" i="19"/>
  <c r="U230" i="19"/>
  <c r="S230" i="19"/>
  <c r="R230" i="19"/>
  <c r="Q230" i="19"/>
  <c r="P230" i="19"/>
  <c r="O230" i="19"/>
  <c r="N230" i="19"/>
  <c r="M230" i="19"/>
  <c r="L230" i="19"/>
  <c r="I230" i="19"/>
  <c r="AC229" i="19"/>
  <c r="AB229" i="19"/>
  <c r="AA229" i="19"/>
  <c r="Z229" i="19"/>
  <c r="Y229" i="19"/>
  <c r="W229" i="19"/>
  <c r="V229" i="19"/>
  <c r="U229" i="19"/>
  <c r="T229" i="19"/>
  <c r="S229" i="19"/>
  <c r="R229" i="19"/>
  <c r="Q229" i="19"/>
  <c r="P229" i="19"/>
  <c r="O229" i="19"/>
  <c r="M229" i="19"/>
  <c r="L229" i="19"/>
  <c r="AC228" i="19"/>
  <c r="AB228" i="19"/>
  <c r="AA228" i="19"/>
  <c r="Z228" i="19"/>
  <c r="Y228" i="19"/>
  <c r="X228" i="19"/>
  <c r="V228" i="19"/>
  <c r="U228" i="19"/>
  <c r="S228" i="19"/>
  <c r="R228" i="19"/>
  <c r="Q228" i="19"/>
  <c r="P228" i="19"/>
  <c r="O228" i="19"/>
  <c r="N228" i="19"/>
  <c r="M228" i="19"/>
  <c r="L228" i="19"/>
  <c r="I228" i="19"/>
  <c r="AC227" i="19"/>
  <c r="AB227" i="19"/>
  <c r="AA227" i="19"/>
  <c r="Z227" i="19"/>
  <c r="Y227" i="19"/>
  <c r="X227" i="19"/>
  <c r="W227" i="19"/>
  <c r="V227" i="19"/>
  <c r="U227" i="19"/>
  <c r="T227" i="19"/>
  <c r="S227" i="19"/>
  <c r="R227" i="19"/>
  <c r="P227" i="19"/>
  <c r="O227" i="19"/>
  <c r="M227" i="19"/>
  <c r="L227" i="19"/>
  <c r="AC226" i="19"/>
  <c r="AB226" i="19"/>
  <c r="AA226" i="19"/>
  <c r="Z226" i="19"/>
  <c r="Y226" i="19"/>
  <c r="W226" i="19"/>
  <c r="V226" i="19"/>
  <c r="U226" i="19"/>
  <c r="T226" i="19"/>
  <c r="S226" i="19"/>
  <c r="R226" i="19"/>
  <c r="P226" i="19"/>
  <c r="O226" i="19"/>
  <c r="N226" i="19"/>
  <c r="M226" i="19"/>
  <c r="L226" i="19"/>
  <c r="I226" i="19"/>
  <c r="AC225" i="19"/>
  <c r="AB225" i="19"/>
  <c r="Z225" i="19"/>
  <c r="Y225" i="19"/>
  <c r="X225" i="19"/>
  <c r="W225" i="19"/>
  <c r="V225" i="19"/>
  <c r="U225" i="19"/>
  <c r="T225" i="19"/>
  <c r="S225" i="19"/>
  <c r="R225" i="19"/>
  <c r="Q225" i="19"/>
  <c r="P225" i="19"/>
  <c r="O225" i="19"/>
  <c r="M225" i="19"/>
  <c r="L225" i="19"/>
  <c r="AC224" i="19"/>
  <c r="AA224" i="19"/>
  <c r="Z224" i="19"/>
  <c r="Y224" i="19"/>
  <c r="X224" i="19"/>
  <c r="V224" i="19"/>
  <c r="U224" i="19"/>
  <c r="T224" i="19"/>
  <c r="S224" i="19"/>
  <c r="R224" i="19"/>
  <c r="Q224" i="19"/>
  <c r="P224" i="19"/>
  <c r="O224" i="19"/>
  <c r="N224" i="19"/>
  <c r="M224" i="19"/>
  <c r="L224" i="19"/>
  <c r="I224" i="19"/>
  <c r="AC223" i="19"/>
  <c r="AB223" i="19"/>
  <c r="AA223" i="19"/>
  <c r="Y223" i="19"/>
  <c r="X223" i="19"/>
  <c r="W223" i="19"/>
  <c r="V223" i="19"/>
  <c r="U223" i="19"/>
  <c r="T223" i="19"/>
  <c r="S223" i="19"/>
  <c r="R223" i="19"/>
  <c r="Q223" i="19"/>
  <c r="P223" i="19"/>
  <c r="O223" i="19"/>
  <c r="M223" i="19"/>
  <c r="L223" i="19"/>
  <c r="AC222" i="19"/>
  <c r="AB222" i="19"/>
  <c r="AA222" i="19"/>
  <c r="Z222" i="19"/>
  <c r="Y222" i="19"/>
  <c r="X222" i="19"/>
  <c r="W222" i="19"/>
  <c r="V222" i="19"/>
  <c r="U222" i="19"/>
  <c r="T222" i="19"/>
  <c r="S222" i="19"/>
  <c r="P222" i="19"/>
  <c r="O222" i="19"/>
  <c r="N222" i="19"/>
  <c r="M222" i="19"/>
  <c r="L222" i="19"/>
  <c r="I222" i="19"/>
  <c r="AC221" i="19"/>
  <c r="AB221" i="19"/>
  <c r="Z221" i="19"/>
  <c r="Y221" i="19"/>
  <c r="X221" i="19"/>
  <c r="W221" i="19"/>
  <c r="V221" i="19"/>
  <c r="U221" i="19"/>
  <c r="S221" i="19"/>
  <c r="R221" i="19"/>
  <c r="Q221" i="19"/>
  <c r="P221" i="19"/>
  <c r="O221" i="19"/>
  <c r="N221" i="19"/>
  <c r="M221" i="19"/>
  <c r="L221" i="19"/>
  <c r="AC220" i="19"/>
  <c r="AA220" i="19"/>
  <c r="Z220" i="19"/>
  <c r="Y220" i="19"/>
  <c r="X220" i="19"/>
  <c r="W220" i="19"/>
  <c r="V220" i="19"/>
  <c r="U220" i="19"/>
  <c r="T220" i="19"/>
  <c r="R220" i="19"/>
  <c r="Q220" i="19"/>
  <c r="P220" i="19"/>
  <c r="O220" i="19"/>
  <c r="N220" i="19"/>
  <c r="M220" i="19"/>
  <c r="L220" i="19"/>
  <c r="I220" i="19"/>
  <c r="AC219" i="19"/>
  <c r="AB219" i="19"/>
  <c r="AA219" i="19"/>
  <c r="Y219" i="19"/>
  <c r="X219" i="19"/>
  <c r="W219" i="19"/>
  <c r="V219" i="19"/>
  <c r="U219" i="19"/>
  <c r="T219" i="19"/>
  <c r="S219" i="19"/>
  <c r="Q219" i="19"/>
  <c r="P219" i="19"/>
  <c r="O219" i="19"/>
  <c r="N219" i="19"/>
  <c r="M219" i="19"/>
  <c r="L219" i="19"/>
  <c r="AC218" i="19"/>
  <c r="AB218" i="19"/>
  <c r="AA218" i="19"/>
  <c r="Z218" i="19"/>
  <c r="Y218" i="19"/>
  <c r="W218" i="19"/>
  <c r="V218" i="19"/>
  <c r="U218" i="19"/>
  <c r="T218" i="19"/>
  <c r="S218" i="19"/>
  <c r="Q218" i="19"/>
  <c r="P218" i="19"/>
  <c r="O218" i="19"/>
  <c r="N218" i="19"/>
  <c r="M218" i="19"/>
  <c r="L218" i="19"/>
  <c r="I218" i="19"/>
  <c r="AC217" i="19"/>
  <c r="AB217" i="19"/>
  <c r="AA217" i="19"/>
  <c r="Z217" i="19"/>
  <c r="Y217" i="19"/>
  <c r="X217" i="19"/>
  <c r="W217" i="19"/>
  <c r="V217" i="19"/>
  <c r="U217" i="19"/>
  <c r="S217" i="19"/>
  <c r="R217" i="19"/>
  <c r="Q217" i="19"/>
  <c r="P217" i="19"/>
  <c r="O217" i="19"/>
  <c r="M217" i="19"/>
  <c r="L217" i="19"/>
  <c r="AC216" i="19"/>
  <c r="AB216" i="19"/>
  <c r="AA216" i="19"/>
  <c r="Z216" i="19"/>
  <c r="Y216" i="19"/>
  <c r="X216" i="19"/>
  <c r="V216" i="19"/>
  <c r="U216" i="19"/>
  <c r="T216" i="19"/>
  <c r="R216" i="19"/>
  <c r="Q216" i="19"/>
  <c r="P216" i="19"/>
  <c r="O216" i="19"/>
  <c r="N216" i="19"/>
  <c r="M216" i="19"/>
  <c r="L216" i="19"/>
  <c r="I216" i="19"/>
  <c r="AC215" i="19"/>
  <c r="AB215" i="19"/>
  <c r="AA215" i="19"/>
  <c r="Z215" i="19"/>
  <c r="Y215" i="19"/>
  <c r="X215" i="19"/>
  <c r="W215" i="19"/>
  <c r="V215" i="19"/>
  <c r="U215" i="19"/>
  <c r="T215" i="19"/>
  <c r="S215" i="19"/>
  <c r="Q215" i="19"/>
  <c r="P215" i="19"/>
  <c r="O215" i="19"/>
  <c r="M215" i="19"/>
  <c r="L215" i="19"/>
  <c r="AC214" i="19"/>
  <c r="AB214" i="19"/>
  <c r="AA214" i="19"/>
  <c r="Z214" i="19"/>
  <c r="Y214" i="19"/>
  <c r="W214" i="19"/>
  <c r="V214" i="19"/>
  <c r="U214" i="19"/>
  <c r="T214" i="19"/>
  <c r="S214" i="19"/>
  <c r="R214" i="19"/>
  <c r="P214" i="19"/>
  <c r="O214" i="19"/>
  <c r="N214" i="19"/>
  <c r="M214" i="19"/>
  <c r="L214" i="19"/>
  <c r="I214" i="19"/>
  <c r="AC213" i="19"/>
  <c r="AB213" i="19"/>
  <c r="AA213" i="19"/>
  <c r="Z213" i="19"/>
  <c r="Y213" i="19"/>
  <c r="X213" i="19"/>
  <c r="V213" i="19"/>
  <c r="U213" i="19"/>
  <c r="T213" i="19"/>
  <c r="S213" i="19"/>
  <c r="R213" i="19"/>
  <c r="Q213" i="19"/>
  <c r="P213" i="19"/>
  <c r="O213" i="19"/>
  <c r="M213" i="19"/>
  <c r="L213" i="19"/>
  <c r="AC212" i="19"/>
  <c r="AB212" i="19"/>
  <c r="AA212" i="19"/>
  <c r="Z212" i="19"/>
  <c r="X212" i="19"/>
  <c r="V212" i="19"/>
  <c r="U212" i="19"/>
  <c r="T212" i="19"/>
  <c r="S212" i="19"/>
  <c r="R212" i="19"/>
  <c r="Q212" i="19"/>
  <c r="P212" i="19"/>
  <c r="O212" i="19"/>
  <c r="N212" i="19"/>
  <c r="M212" i="19"/>
  <c r="L212" i="19"/>
  <c r="I212" i="19"/>
  <c r="AC211" i="19"/>
  <c r="AB211" i="19"/>
  <c r="AA211" i="19"/>
  <c r="Z211" i="19"/>
  <c r="Y211" i="19"/>
  <c r="X211" i="19"/>
  <c r="V211" i="19"/>
  <c r="U211" i="19"/>
  <c r="T211" i="19"/>
  <c r="S211" i="19"/>
  <c r="R211" i="19"/>
  <c r="Q211" i="19"/>
  <c r="P211" i="19"/>
  <c r="O211" i="19"/>
  <c r="M211" i="19"/>
  <c r="L211" i="19"/>
  <c r="AC210" i="19"/>
  <c r="AB210" i="19"/>
  <c r="AA210" i="19"/>
  <c r="Z210" i="19"/>
  <c r="Y210" i="19"/>
  <c r="X210" i="19"/>
  <c r="W210" i="19"/>
  <c r="V210" i="19"/>
  <c r="U210" i="19"/>
  <c r="T210" i="19"/>
  <c r="S210" i="19"/>
  <c r="R210" i="19"/>
  <c r="O210" i="19"/>
  <c r="N210" i="19"/>
  <c r="M210" i="19"/>
  <c r="L210" i="19"/>
  <c r="I210" i="19"/>
  <c r="AC209" i="19"/>
  <c r="AB209" i="19"/>
  <c r="AA209" i="19"/>
  <c r="Z209" i="19"/>
  <c r="Y209" i="19"/>
  <c r="X209" i="19"/>
  <c r="V209" i="19"/>
  <c r="U209" i="19"/>
  <c r="S209" i="19"/>
  <c r="R209" i="19"/>
  <c r="Q209" i="19"/>
  <c r="P209" i="19"/>
  <c r="O209" i="19"/>
  <c r="N209" i="19"/>
  <c r="M209" i="19"/>
  <c r="L209" i="19"/>
  <c r="AC208" i="19"/>
  <c r="AB208" i="19"/>
  <c r="AA208" i="19"/>
  <c r="Z208" i="19"/>
  <c r="X208" i="19"/>
  <c r="W208" i="19"/>
  <c r="V208" i="19"/>
  <c r="U208" i="19"/>
  <c r="T208" i="19"/>
  <c r="S208" i="19"/>
  <c r="Q208" i="19"/>
  <c r="P208" i="19"/>
  <c r="O208" i="19"/>
  <c r="N208" i="19"/>
  <c r="M208" i="19"/>
  <c r="L208" i="19"/>
  <c r="I208" i="19"/>
  <c r="AC207" i="19"/>
  <c r="AB207" i="19"/>
  <c r="AA207" i="19"/>
  <c r="Z207" i="19"/>
  <c r="Y207" i="19"/>
  <c r="X207" i="19"/>
  <c r="V207" i="19"/>
  <c r="U207" i="19"/>
  <c r="T207" i="19"/>
  <c r="S207" i="19"/>
  <c r="R207" i="19"/>
  <c r="Q207" i="19"/>
  <c r="P207" i="19"/>
  <c r="N207" i="19"/>
  <c r="M207" i="19"/>
  <c r="L207" i="19"/>
  <c r="AC206" i="19"/>
  <c r="AB206" i="19"/>
  <c r="AA206" i="19"/>
  <c r="Z206" i="19"/>
  <c r="Y206" i="19"/>
  <c r="W206" i="19"/>
  <c r="V206" i="19"/>
  <c r="U206" i="19"/>
  <c r="T206" i="19"/>
  <c r="S206" i="19"/>
  <c r="R206" i="19"/>
  <c r="Q206" i="19"/>
  <c r="O206" i="19"/>
  <c r="N206" i="19"/>
  <c r="M206" i="19"/>
  <c r="L206" i="19"/>
  <c r="I206" i="19"/>
  <c r="AC205" i="19"/>
  <c r="AB205" i="19"/>
  <c r="AA205" i="19"/>
  <c r="Z205" i="19"/>
  <c r="Y205" i="19"/>
  <c r="X205" i="19"/>
  <c r="W205" i="19"/>
  <c r="V205" i="19"/>
  <c r="U205" i="19"/>
  <c r="S205" i="19"/>
  <c r="R205" i="19"/>
  <c r="Q205" i="19"/>
  <c r="P205" i="19"/>
  <c r="O205" i="19"/>
  <c r="M205" i="19"/>
  <c r="L205" i="19"/>
  <c r="AC204" i="19"/>
  <c r="AB204" i="19"/>
  <c r="AA204" i="19"/>
  <c r="Z204" i="19"/>
  <c r="Y204" i="19"/>
  <c r="X204" i="19"/>
  <c r="W204" i="19"/>
  <c r="V204" i="19"/>
  <c r="U204" i="19"/>
  <c r="T204" i="19"/>
  <c r="Q204" i="19"/>
  <c r="P204" i="19"/>
  <c r="O204" i="19"/>
  <c r="N204" i="19"/>
  <c r="M204" i="19"/>
  <c r="L204" i="19"/>
  <c r="I204" i="19"/>
  <c r="AC203" i="19"/>
  <c r="AB203" i="19"/>
  <c r="AA203" i="19"/>
  <c r="Z203" i="19"/>
  <c r="Y203" i="19"/>
  <c r="X203" i="19"/>
  <c r="W203" i="19"/>
  <c r="V203" i="19"/>
  <c r="U203" i="19"/>
  <c r="T203" i="19"/>
  <c r="S203" i="19"/>
  <c r="R203" i="19"/>
  <c r="Q203" i="19"/>
  <c r="P203" i="19"/>
  <c r="M203" i="19"/>
  <c r="L203" i="19"/>
  <c r="AC202" i="19"/>
  <c r="AB202" i="19"/>
  <c r="AA202" i="19"/>
  <c r="Z202" i="19"/>
  <c r="Y202" i="19"/>
  <c r="W202" i="19"/>
  <c r="V202" i="19"/>
  <c r="U202" i="19"/>
  <c r="T202" i="19"/>
  <c r="S202" i="19"/>
  <c r="Q202" i="19"/>
  <c r="P202" i="19"/>
  <c r="O202" i="19"/>
  <c r="N202" i="19"/>
  <c r="M202" i="19"/>
  <c r="L202" i="19"/>
  <c r="I202" i="19"/>
  <c r="Q411" i="19"/>
  <c r="N409" i="19"/>
  <c r="T408" i="19"/>
  <c r="Y405" i="19"/>
  <c r="Q402" i="19"/>
  <c r="T401" i="19"/>
  <c r="S400" i="19"/>
  <c r="S397" i="19"/>
  <c r="R392" i="19"/>
  <c r="Y393" i="19"/>
  <c r="Y381" i="19"/>
  <c r="AB374" i="19"/>
  <c r="AA375" i="19"/>
  <c r="P370" i="19"/>
  <c r="O372" i="19"/>
  <c r="T369" i="19"/>
  <c r="O362" i="19"/>
  <c r="O360" i="19"/>
  <c r="T357" i="19"/>
  <c r="S356" i="19"/>
  <c r="O346" i="19"/>
  <c r="Q345" i="19"/>
  <c r="W341" i="19"/>
  <c r="W340" i="19"/>
  <c r="R336" i="19"/>
  <c r="U337" i="19"/>
  <c r="N332" i="19"/>
  <c r="R333" i="19"/>
  <c r="O331" i="19"/>
  <c r="O329" i="19"/>
  <c r="R324" i="19"/>
  <c r="X317" i="19"/>
  <c r="AB313" i="19"/>
  <c r="P310" i="19"/>
  <c r="AB309" i="19"/>
  <c r="P303" i="19"/>
  <c r="Y305" i="19"/>
  <c r="Y302" i="19"/>
  <c r="Y300" i="19"/>
  <c r="Z295" i="19"/>
  <c r="S294" i="19"/>
  <c r="W293" i="19"/>
  <c r="Y280" i="19"/>
  <c r="Y281" i="19"/>
  <c r="N277" i="19"/>
  <c r="T270" i="19"/>
  <c r="Z271" i="19"/>
  <c r="W269" i="19"/>
  <c r="X266" i="19"/>
  <c r="P267" i="19"/>
  <c r="W264" i="19"/>
  <c r="Q262" i="19"/>
  <c r="AB260" i="19"/>
  <c r="Z261" i="19"/>
  <c r="X254" i="19"/>
  <c r="P255" i="19"/>
  <c r="Q250" i="19"/>
  <c r="Z247" i="19"/>
  <c r="W245" i="19"/>
  <c r="X242" i="19"/>
  <c r="P243" i="19"/>
  <c r="Q244" i="19"/>
  <c r="Z235" i="19"/>
  <c r="T234" i="19"/>
  <c r="Z237" i="19"/>
  <c r="X233" i="19"/>
  <c r="X230" i="19"/>
  <c r="Q226" i="19"/>
  <c r="AA225" i="19"/>
  <c r="R222" i="19"/>
  <c r="Z223" i="19"/>
  <c r="T221" i="19"/>
  <c r="R219" i="19"/>
  <c r="Q214" i="19"/>
  <c r="W211" i="19"/>
  <c r="P210" i="19"/>
  <c r="Y212" i="19"/>
  <c r="X206" i="19"/>
  <c r="T209" i="19"/>
  <c r="R202" i="19"/>
  <c r="Q459" i="19"/>
  <c r="M455" i="19"/>
  <c r="M457" i="19"/>
  <c r="Q451" i="19"/>
  <c r="M446" i="19"/>
  <c r="O447" i="19"/>
  <c r="P442" i="19"/>
  <c r="N445" i="19"/>
  <c r="M443" i="19"/>
  <c r="M441" i="19"/>
  <c r="M436" i="19"/>
  <c r="O426" i="19"/>
  <c r="N429" i="19"/>
  <c r="M428" i="19"/>
  <c r="M425" i="19"/>
  <c r="Q422" i="19"/>
  <c r="P420" i="19"/>
  <c r="N414" i="19"/>
  <c r="Y416" i="19"/>
  <c r="S417" i="19"/>
  <c r="T415" i="19"/>
  <c r="T404" i="19"/>
  <c r="U385" i="19"/>
  <c r="S362" i="19"/>
  <c r="W345" i="19"/>
  <c r="O325" i="19"/>
  <c r="O306" i="19"/>
  <c r="Z291" i="19"/>
  <c r="N271" i="19"/>
  <c r="AB256" i="19"/>
  <c r="Q240" i="19"/>
  <c r="Q222" i="19"/>
  <c r="W207" i="19"/>
  <c r="S403" i="19"/>
  <c r="Y389" i="19"/>
  <c r="AB370" i="19"/>
  <c r="T355" i="19"/>
  <c r="Q341" i="19"/>
  <c r="N324" i="19"/>
  <c r="N309" i="19"/>
  <c r="S290" i="19"/>
  <c r="Y277" i="19"/>
  <c r="P263" i="19"/>
  <c r="Q246" i="19"/>
  <c r="T230" i="19"/>
  <c r="X214" i="19"/>
  <c r="M453" i="19"/>
  <c r="P402" i="19"/>
  <c r="U383" i="19"/>
  <c r="W367" i="19"/>
  <c r="Z351" i="19"/>
  <c r="N334" i="19"/>
  <c r="R319" i="19"/>
  <c r="Y303" i="19"/>
  <c r="Y286" i="19"/>
  <c r="N273" i="19"/>
  <c r="T254" i="19"/>
  <c r="X238" i="19"/>
  <c r="W224" i="19"/>
  <c r="W209" i="19"/>
  <c r="Q407" i="19"/>
  <c r="S393" i="19"/>
  <c r="U374" i="19"/>
  <c r="AB360" i="19"/>
  <c r="S339" i="19"/>
  <c r="P318" i="19"/>
  <c r="P302" i="19"/>
  <c r="W289" i="19"/>
  <c r="Y272" i="19"/>
  <c r="Z257" i="19"/>
  <c r="W241" i="19"/>
  <c r="N223" i="19"/>
  <c r="Y208" i="19"/>
  <c r="M419" i="19"/>
  <c r="Q234" i="19"/>
  <c r="O203" i="19"/>
  <c r="P386" i="19"/>
  <c r="U357" i="19"/>
  <c r="N314" i="19"/>
  <c r="N285" i="19"/>
  <c r="P251" i="19"/>
  <c r="R218" i="19"/>
  <c r="W369" i="19"/>
  <c r="W310" i="19"/>
  <c r="AB244" i="19"/>
  <c r="Y391" i="19"/>
  <c r="T326" i="19"/>
  <c r="AB268" i="19"/>
  <c r="R204" i="19"/>
  <c r="T354" i="19"/>
  <c r="Z293" i="19"/>
  <c r="T242" i="19"/>
  <c r="T397" i="19"/>
  <c r="R329" i="19"/>
  <c r="N259" i="19"/>
  <c r="M427" i="19"/>
  <c r="Q398" i="19"/>
  <c r="AB381" i="19"/>
  <c r="W359" i="19"/>
  <c r="S338" i="19"/>
  <c r="N321" i="19"/>
  <c r="AB305" i="19"/>
  <c r="Q288" i="19"/>
  <c r="Z269" i="19"/>
  <c r="X250" i="19"/>
  <c r="X236" i="19"/>
  <c r="AA221" i="19"/>
  <c r="T205" i="19"/>
  <c r="Y401" i="19"/>
  <c r="T384" i="19"/>
  <c r="O368" i="19"/>
  <c r="AB350" i="19"/>
  <c r="W335" i="19"/>
  <c r="R320" i="19"/>
  <c r="AB304" i="19"/>
  <c r="Q287" i="19"/>
  <c r="Y276" i="19"/>
  <c r="N261" i="19"/>
  <c r="Z243" i="19"/>
  <c r="T228" i="19"/>
  <c r="N211" i="19"/>
  <c r="M423" i="19"/>
  <c r="Y400" i="19"/>
  <c r="T379" i="19"/>
  <c r="T364" i="19"/>
  <c r="AB346" i="19"/>
  <c r="R332" i="19"/>
  <c r="X315" i="19"/>
  <c r="Y298" i="19"/>
  <c r="R282" i="19"/>
  <c r="Z267" i="19"/>
  <c r="Q252" i="19"/>
  <c r="Z219" i="19"/>
  <c r="N405" i="19"/>
  <c r="S372" i="19"/>
  <c r="W337" i="19"/>
  <c r="Y301" i="19"/>
  <c r="T266" i="19"/>
  <c r="N237" i="19"/>
  <c r="X202" i="19"/>
  <c r="S392" i="19"/>
  <c r="O327" i="19"/>
  <c r="Q258" i="19"/>
  <c r="T409" i="19"/>
  <c r="N344" i="19"/>
  <c r="Z279" i="19"/>
  <c r="AB220" i="19"/>
  <c r="U373" i="19"/>
  <c r="N323" i="19"/>
  <c r="W260" i="19"/>
  <c r="Q210" i="19"/>
  <c r="T363" i="19"/>
  <c r="N307" i="19"/>
  <c r="Z245" i="19"/>
  <c r="Q395" i="19"/>
  <c r="AA371" i="19"/>
  <c r="O356" i="19"/>
  <c r="W336" i="19"/>
  <c r="W317" i="19"/>
  <c r="O300" i="19"/>
  <c r="Y284" i="19"/>
  <c r="Q264" i="19"/>
  <c r="N247" i="19"/>
  <c r="Z231" i="19"/>
  <c r="R215" i="19"/>
  <c r="M437" i="19"/>
  <c r="T394" i="19"/>
  <c r="AB380" i="19"/>
  <c r="T365" i="19"/>
  <c r="Z347" i="19"/>
  <c r="U333" i="19"/>
  <c r="X316" i="19"/>
  <c r="P299" i="19"/>
  <c r="N283" i="19"/>
  <c r="R270" i="19"/>
  <c r="Z255" i="19"/>
  <c r="P239" i="19"/>
  <c r="N225" i="19"/>
  <c r="P206" i="19"/>
  <c r="S411" i="19"/>
  <c r="AB390" i="19"/>
  <c r="U375" i="19"/>
  <c r="AA361" i="19"/>
  <c r="T343" i="19"/>
  <c r="N328" i="19"/>
  <c r="R312" i="19"/>
  <c r="N295" i="19"/>
  <c r="T278" i="19"/>
  <c r="X262" i="19"/>
  <c r="N249" i="19"/>
  <c r="Z233" i="19"/>
  <c r="T217" i="19"/>
  <c r="M431" i="19"/>
  <c r="Y399" i="19"/>
  <c r="T382" i="19"/>
  <c r="P366" i="19"/>
  <c r="T349" i="19"/>
  <c r="N331" i="19"/>
  <c r="N311" i="19"/>
  <c r="Q294" i="19"/>
  <c r="Z281" i="19"/>
  <c r="W265" i="19"/>
  <c r="W248" i="19"/>
  <c r="AB232" i="19"/>
  <c r="S216" i="19"/>
  <c r="M433" i="19"/>
  <c r="S348" i="19"/>
  <c r="N297" i="19"/>
  <c r="X229" i="19"/>
  <c r="Y377" i="19"/>
  <c r="X313" i="19"/>
  <c r="N235" i="19"/>
  <c r="R388" i="19"/>
  <c r="R308" i="19"/>
  <c r="Q227" i="19"/>
  <c r="O378" i="19"/>
  <c r="AB292" i="19"/>
  <c r="X226" i="19"/>
  <c r="S406" i="19"/>
  <c r="AB280" i="19"/>
  <c r="W212" i="19"/>
  <c r="O358" i="19"/>
  <c r="Y296" i="19"/>
  <c r="W253" i="19"/>
  <c r="N408" i="19"/>
  <c r="T340" i="19"/>
  <c r="Q275" i="19"/>
  <c r="Y410" i="19"/>
  <c r="O342" i="19"/>
  <c r="Y274" i="19"/>
  <c r="N213" i="19"/>
  <c r="AD459" i="19" l="1"/>
  <c r="AD457" i="19"/>
  <c r="AD455" i="19"/>
  <c r="AD453" i="19"/>
  <c r="AD451" i="19"/>
  <c r="AD447" i="19"/>
  <c r="AD446" i="19"/>
  <c r="AD443" i="19"/>
  <c r="AD445" i="19"/>
  <c r="AD442" i="19"/>
  <c r="AD441" i="19"/>
  <c r="AD436" i="19"/>
  <c r="AD437" i="19"/>
  <c r="AD433" i="19"/>
  <c r="AD431" i="19"/>
  <c r="AD427" i="19"/>
  <c r="AD428" i="19"/>
  <c r="AD429" i="19"/>
  <c r="AD426" i="19"/>
  <c r="AD423" i="19"/>
  <c r="AD422" i="19"/>
  <c r="AD425" i="19"/>
  <c r="AD420" i="19"/>
  <c r="AD419" i="19"/>
  <c r="AD415" i="19"/>
  <c r="AD417" i="19"/>
  <c r="AD416" i="19"/>
  <c r="AD414" i="19"/>
  <c r="AD411" i="19"/>
  <c r="AD409" i="19"/>
  <c r="AD408" i="19"/>
  <c r="AD402" i="19"/>
  <c r="AD405" i="19"/>
  <c r="AD401" i="19"/>
  <c r="AD400" i="19"/>
  <c r="AD397" i="19"/>
  <c r="AD392" i="19"/>
  <c r="AD393" i="19"/>
  <c r="AD381" i="19"/>
  <c r="AD375" i="19"/>
  <c r="AD374" i="19"/>
  <c r="AD372" i="19"/>
  <c r="AD370" i="19"/>
  <c r="AD369" i="19"/>
  <c r="AD362" i="19"/>
  <c r="AD360" i="19"/>
  <c r="AD356" i="19"/>
  <c r="AD357" i="19"/>
  <c r="AD350" i="19"/>
  <c r="AD351" i="19"/>
  <c r="AD346" i="19"/>
  <c r="AD345" i="19"/>
  <c r="AD340" i="19"/>
  <c r="AD341" i="19"/>
  <c r="AD336" i="19"/>
  <c r="AD337" i="19"/>
  <c r="AD332" i="19"/>
  <c r="AD331" i="19"/>
  <c r="AD333" i="19"/>
  <c r="AD328" i="19"/>
  <c r="AD329" i="19"/>
  <c r="AD324" i="19"/>
  <c r="AD317" i="19"/>
  <c r="AD313" i="19"/>
  <c r="AD310" i="19"/>
  <c r="AD309" i="19"/>
  <c r="AD302" i="19"/>
  <c r="AD303" i="19"/>
  <c r="AD305" i="19"/>
  <c r="AD300" i="19"/>
  <c r="AD295" i="19"/>
  <c r="AD294" i="19"/>
  <c r="AD293" i="19"/>
  <c r="AD281" i="19"/>
  <c r="AD280" i="19"/>
  <c r="AD276" i="19"/>
  <c r="AD277" i="19"/>
  <c r="AD271" i="19"/>
  <c r="AD270" i="19"/>
  <c r="AD267" i="19"/>
  <c r="AD266" i="19"/>
  <c r="AD269" i="19"/>
  <c r="AD264" i="19"/>
  <c r="AD262" i="19"/>
  <c r="AD260" i="19"/>
  <c r="AD261" i="19"/>
  <c r="AD255" i="19"/>
  <c r="AD254" i="19"/>
  <c r="AD250" i="19"/>
  <c r="AD247" i="19"/>
  <c r="AD244" i="19"/>
  <c r="AD243" i="19"/>
  <c r="AD245" i="19"/>
  <c r="AD242" i="19"/>
  <c r="AD234" i="19"/>
  <c r="AD235" i="19"/>
  <c r="AD237" i="19"/>
  <c r="AD230" i="19"/>
  <c r="AD233" i="19"/>
  <c r="AD226" i="19"/>
  <c r="AD222" i="19"/>
  <c r="AD225" i="19"/>
  <c r="AD223" i="19"/>
  <c r="AD221" i="19"/>
  <c r="AD219" i="19"/>
  <c r="AD214" i="19"/>
  <c r="AD211" i="19"/>
  <c r="AD210" i="19"/>
  <c r="AD212" i="19"/>
  <c r="AD209" i="19"/>
  <c r="AD206" i="19"/>
  <c r="AD202" i="19"/>
  <c r="AC201" i="19"/>
  <c r="AB201" i="19"/>
  <c r="AA201" i="19"/>
  <c r="Z201" i="19"/>
  <c r="X201" i="19"/>
  <c r="W201" i="19"/>
  <c r="V201" i="19"/>
  <c r="U201" i="19"/>
  <c r="T201" i="19"/>
  <c r="S201" i="19"/>
  <c r="R201" i="19"/>
  <c r="Q201" i="19"/>
  <c r="P201" i="19"/>
  <c r="O201" i="19"/>
  <c r="M201" i="19"/>
  <c r="L201" i="19"/>
  <c r="AC200" i="19"/>
  <c r="AB200" i="19"/>
  <c r="AA200" i="19"/>
  <c r="Z200" i="19"/>
  <c r="X200" i="19"/>
  <c r="W200" i="19"/>
  <c r="V200" i="19"/>
  <c r="U200" i="19"/>
  <c r="T200" i="19"/>
  <c r="R200" i="19"/>
  <c r="Q200" i="19"/>
  <c r="P200" i="19"/>
  <c r="O200" i="19"/>
  <c r="N200" i="19"/>
  <c r="M200" i="19"/>
  <c r="L200" i="19"/>
  <c r="I200" i="19"/>
  <c r="AC199" i="19"/>
  <c r="AB199" i="19"/>
  <c r="AA199" i="19"/>
  <c r="Z199" i="19"/>
  <c r="Y199" i="19"/>
  <c r="X199" i="19"/>
  <c r="V199" i="19"/>
  <c r="U199" i="19"/>
  <c r="T199" i="19"/>
  <c r="S199" i="19"/>
  <c r="R199" i="19"/>
  <c r="Q199" i="19"/>
  <c r="P199" i="19"/>
  <c r="O199" i="19"/>
  <c r="M199" i="19"/>
  <c r="L199" i="19"/>
  <c r="AC198" i="19"/>
  <c r="AB198" i="19"/>
  <c r="AA198" i="19"/>
  <c r="Z198" i="19"/>
  <c r="X198" i="19"/>
  <c r="W198" i="19"/>
  <c r="V198" i="19"/>
  <c r="U198" i="19"/>
  <c r="T198" i="19"/>
  <c r="S198" i="19"/>
  <c r="Q198" i="19"/>
  <c r="P198" i="19"/>
  <c r="O198" i="19"/>
  <c r="N198" i="19"/>
  <c r="M198" i="19"/>
  <c r="L198" i="19"/>
  <c r="I198" i="19"/>
  <c r="AC195" i="19"/>
  <c r="AB195" i="19"/>
  <c r="AA195" i="19"/>
  <c r="Z195" i="19"/>
  <c r="X195" i="19"/>
  <c r="V195" i="19"/>
  <c r="U195" i="19"/>
  <c r="T195" i="19"/>
  <c r="S195" i="19"/>
  <c r="R195" i="19"/>
  <c r="Q195" i="19"/>
  <c r="P195" i="19"/>
  <c r="O195" i="19"/>
  <c r="N195" i="19"/>
  <c r="M195" i="19"/>
  <c r="L195" i="19"/>
  <c r="AC194" i="19"/>
  <c r="AB194" i="19"/>
  <c r="AA194" i="19"/>
  <c r="Z194" i="19"/>
  <c r="X194" i="19"/>
  <c r="W194" i="19"/>
  <c r="V194" i="19"/>
  <c r="U194" i="19"/>
  <c r="T194" i="19"/>
  <c r="S194" i="19"/>
  <c r="R194" i="19"/>
  <c r="Q194" i="19"/>
  <c r="P194" i="19"/>
  <c r="O194" i="19"/>
  <c r="N194" i="19"/>
  <c r="M194" i="19"/>
  <c r="L194" i="19"/>
  <c r="I194" i="19"/>
  <c r="AC193" i="19"/>
  <c r="AB193" i="19"/>
  <c r="AA193" i="19"/>
  <c r="Z193" i="19"/>
  <c r="Y193" i="19"/>
  <c r="X193" i="19"/>
  <c r="V193" i="19"/>
  <c r="T193" i="19"/>
  <c r="S193" i="19"/>
  <c r="R193" i="19"/>
  <c r="Q193" i="19"/>
  <c r="P193" i="19"/>
  <c r="O193" i="19"/>
  <c r="N193" i="19"/>
  <c r="M193" i="19"/>
  <c r="L193" i="19"/>
  <c r="AC192" i="19"/>
  <c r="AB192" i="19"/>
  <c r="AA192" i="19"/>
  <c r="Z192" i="19"/>
  <c r="X192" i="19"/>
  <c r="W192" i="19"/>
  <c r="V192" i="19"/>
  <c r="U192" i="19"/>
  <c r="T192" i="19"/>
  <c r="S192" i="19"/>
  <c r="R192" i="19"/>
  <c r="Q192" i="19"/>
  <c r="P192" i="19"/>
  <c r="O192" i="19"/>
  <c r="N192" i="19"/>
  <c r="M192" i="19"/>
  <c r="L192" i="19"/>
  <c r="I192" i="19"/>
  <c r="AC191" i="19"/>
  <c r="AB191" i="19"/>
  <c r="AA191" i="19"/>
  <c r="Z191" i="19"/>
  <c r="Y191" i="19"/>
  <c r="X191" i="19"/>
  <c r="V191" i="19"/>
  <c r="U191" i="19"/>
  <c r="T191" i="19"/>
  <c r="S191" i="19"/>
  <c r="R191" i="19"/>
  <c r="P191" i="19"/>
  <c r="O191" i="19"/>
  <c r="N191" i="19"/>
  <c r="M191" i="19"/>
  <c r="L191" i="19"/>
  <c r="AC190" i="19"/>
  <c r="AB190" i="19"/>
  <c r="AA190" i="19"/>
  <c r="Z190" i="19"/>
  <c r="X190" i="19"/>
  <c r="W190" i="19"/>
  <c r="V190" i="19"/>
  <c r="U190" i="19"/>
  <c r="T190" i="19"/>
  <c r="S190" i="19"/>
  <c r="R190" i="19"/>
  <c r="Q190" i="19"/>
  <c r="P190" i="19"/>
  <c r="O190" i="19"/>
  <c r="N190" i="19"/>
  <c r="M190" i="19"/>
  <c r="L190" i="19"/>
  <c r="I190" i="19"/>
  <c r="AC189" i="19"/>
  <c r="AB189" i="19"/>
  <c r="AA189" i="19"/>
  <c r="Z189" i="19"/>
  <c r="Y189" i="19"/>
  <c r="X189" i="19"/>
  <c r="W189" i="19"/>
  <c r="V189" i="19"/>
  <c r="T189" i="19"/>
  <c r="S189" i="19"/>
  <c r="Q189" i="19"/>
  <c r="P189" i="19"/>
  <c r="O189" i="19"/>
  <c r="N189" i="19"/>
  <c r="M189" i="19"/>
  <c r="L189" i="19"/>
  <c r="AC188" i="19"/>
  <c r="AB188" i="19"/>
  <c r="AA188" i="19"/>
  <c r="Z188" i="19"/>
  <c r="X188" i="19"/>
  <c r="W188" i="19"/>
  <c r="V188" i="19"/>
  <c r="U188" i="19"/>
  <c r="T188" i="19"/>
  <c r="S188" i="19"/>
  <c r="R188" i="19"/>
  <c r="Q188" i="19"/>
  <c r="P188" i="19"/>
  <c r="O188" i="19"/>
  <c r="N188" i="19"/>
  <c r="M188" i="19"/>
  <c r="L188" i="19"/>
  <c r="I188" i="19"/>
  <c r="AC187" i="19"/>
  <c r="AB187" i="19"/>
  <c r="AA187" i="19"/>
  <c r="Z187" i="19"/>
  <c r="Y187" i="19"/>
  <c r="X187" i="19"/>
  <c r="W187" i="19"/>
  <c r="V187" i="19"/>
  <c r="U187" i="19"/>
  <c r="T187" i="19"/>
  <c r="R187" i="19"/>
  <c r="P187" i="19"/>
  <c r="O187" i="19"/>
  <c r="N187" i="19"/>
  <c r="M187" i="19"/>
  <c r="L187" i="19"/>
  <c r="AC186" i="19"/>
  <c r="AB186" i="19"/>
  <c r="AA186" i="19"/>
  <c r="Z186" i="19"/>
  <c r="X186" i="19"/>
  <c r="W186" i="19"/>
  <c r="V186" i="19"/>
  <c r="U186" i="19"/>
  <c r="T186" i="19"/>
  <c r="S186" i="19"/>
  <c r="R186" i="19"/>
  <c r="Q186" i="19"/>
  <c r="P186" i="19"/>
  <c r="O186" i="19"/>
  <c r="N186" i="19"/>
  <c r="M186" i="19"/>
  <c r="L186" i="19"/>
  <c r="I186" i="19"/>
  <c r="AC185" i="19"/>
  <c r="AB185" i="19"/>
  <c r="AA185" i="19"/>
  <c r="Z185" i="19"/>
  <c r="Y185" i="19"/>
  <c r="X185" i="19"/>
  <c r="W185" i="19"/>
  <c r="V185" i="19"/>
  <c r="T185" i="19"/>
  <c r="S185" i="19"/>
  <c r="Q185" i="19"/>
  <c r="P185" i="19"/>
  <c r="O185" i="19"/>
  <c r="N185" i="19"/>
  <c r="M185" i="19"/>
  <c r="L185" i="19"/>
  <c r="AC184" i="19"/>
  <c r="AB184" i="19"/>
  <c r="AA184" i="19"/>
  <c r="Z184" i="19"/>
  <c r="X184" i="19"/>
  <c r="W184" i="19"/>
  <c r="V184" i="19"/>
  <c r="U184" i="19"/>
  <c r="T184" i="19"/>
  <c r="R184" i="19"/>
  <c r="Q184" i="19"/>
  <c r="P184" i="19"/>
  <c r="O184" i="19"/>
  <c r="N184" i="19"/>
  <c r="M184" i="19"/>
  <c r="L184" i="19"/>
  <c r="I184" i="19"/>
  <c r="AC183" i="19"/>
  <c r="AB183" i="19"/>
  <c r="AA183" i="19"/>
  <c r="Z183" i="19"/>
  <c r="Y183" i="19"/>
  <c r="X183" i="19"/>
  <c r="W183" i="19"/>
  <c r="V183" i="19"/>
  <c r="T183" i="19"/>
  <c r="R183" i="19"/>
  <c r="Q183" i="19"/>
  <c r="P183" i="19"/>
  <c r="O183" i="19"/>
  <c r="N183" i="19"/>
  <c r="M183" i="19"/>
  <c r="L183" i="19"/>
  <c r="AC182" i="19"/>
  <c r="AB182" i="19"/>
  <c r="AA182" i="19"/>
  <c r="Z182" i="19"/>
  <c r="X182" i="19"/>
  <c r="W182" i="19"/>
  <c r="V182" i="19"/>
  <c r="U182" i="19"/>
  <c r="T182" i="19"/>
  <c r="S182" i="19"/>
  <c r="R182" i="19"/>
  <c r="Q182" i="19"/>
  <c r="P182" i="19"/>
  <c r="O182" i="19"/>
  <c r="N182" i="19"/>
  <c r="M182" i="19"/>
  <c r="L182" i="19"/>
  <c r="I182" i="19"/>
  <c r="AC181" i="19"/>
  <c r="AB181" i="19"/>
  <c r="AA181" i="19"/>
  <c r="Z181" i="19"/>
  <c r="Y181" i="19"/>
  <c r="X181" i="19"/>
  <c r="W181" i="19"/>
  <c r="V181" i="19"/>
  <c r="T181" i="19"/>
  <c r="S181" i="19"/>
  <c r="R181" i="19"/>
  <c r="Q181" i="19"/>
  <c r="P181" i="19"/>
  <c r="O181" i="19"/>
  <c r="N181" i="19"/>
  <c r="M181" i="19"/>
  <c r="L181" i="19"/>
  <c r="AC180" i="19"/>
  <c r="AB180" i="19"/>
  <c r="AA180" i="19"/>
  <c r="Z180" i="19"/>
  <c r="X180" i="19"/>
  <c r="W180" i="19"/>
  <c r="V180" i="19"/>
  <c r="U180" i="19"/>
  <c r="T180" i="19"/>
  <c r="R180" i="19"/>
  <c r="Q180" i="19"/>
  <c r="P180" i="19"/>
  <c r="O180" i="19"/>
  <c r="N180" i="19"/>
  <c r="M180" i="19"/>
  <c r="L180" i="19"/>
  <c r="I180" i="19"/>
  <c r="AC179" i="19"/>
  <c r="AB179" i="19"/>
  <c r="AA179" i="19"/>
  <c r="Z179" i="19"/>
  <c r="X179" i="19"/>
  <c r="W179" i="19"/>
  <c r="V179" i="19"/>
  <c r="T179" i="19"/>
  <c r="S179" i="19"/>
  <c r="R179" i="19"/>
  <c r="Q179" i="19"/>
  <c r="P179" i="19"/>
  <c r="O179" i="19"/>
  <c r="N179" i="19"/>
  <c r="M179" i="19"/>
  <c r="L179" i="19"/>
  <c r="AC178" i="19"/>
  <c r="AB178" i="19"/>
  <c r="AA178" i="19"/>
  <c r="Z178" i="19"/>
  <c r="X178" i="19"/>
  <c r="W178" i="19"/>
  <c r="V178" i="19"/>
  <c r="U178" i="19"/>
  <c r="T178" i="19"/>
  <c r="S178" i="19"/>
  <c r="R178" i="19"/>
  <c r="Q178" i="19"/>
  <c r="P178" i="19"/>
  <c r="O178" i="19"/>
  <c r="N178" i="19"/>
  <c r="M178" i="19"/>
  <c r="L178" i="19"/>
  <c r="I178" i="19"/>
  <c r="AC177" i="19"/>
  <c r="AB177" i="19"/>
  <c r="AA177" i="19"/>
  <c r="Z177" i="19"/>
  <c r="Y177" i="19"/>
  <c r="X177" i="19"/>
  <c r="W177" i="19"/>
  <c r="V177" i="19"/>
  <c r="S177" i="19"/>
  <c r="R177" i="19"/>
  <c r="Q177" i="19"/>
  <c r="P177" i="19"/>
  <c r="O177" i="19"/>
  <c r="N177" i="19"/>
  <c r="M177" i="19"/>
  <c r="L177" i="19"/>
  <c r="AC176" i="19"/>
  <c r="AB176" i="19"/>
  <c r="AA176" i="19"/>
  <c r="Z176" i="19"/>
  <c r="X176" i="19"/>
  <c r="W176" i="19"/>
  <c r="V176" i="19"/>
  <c r="U176" i="19"/>
  <c r="T176" i="19"/>
  <c r="S176" i="19"/>
  <c r="R176" i="19"/>
  <c r="Q176" i="19"/>
  <c r="P176" i="19"/>
  <c r="O176" i="19"/>
  <c r="N176" i="19"/>
  <c r="M176" i="19"/>
  <c r="L176" i="19"/>
  <c r="I176" i="19"/>
  <c r="AC175" i="19"/>
  <c r="AB175" i="19"/>
  <c r="AA175" i="19"/>
  <c r="Z175" i="19"/>
  <c r="Y175" i="19"/>
  <c r="X175" i="19"/>
  <c r="W175" i="19"/>
  <c r="V175" i="19"/>
  <c r="S175" i="19"/>
  <c r="R175" i="19"/>
  <c r="Q175" i="19"/>
  <c r="P175" i="19"/>
  <c r="O175" i="19"/>
  <c r="N175" i="19"/>
  <c r="M175" i="19"/>
  <c r="L175" i="19"/>
  <c r="AC174" i="19"/>
  <c r="AB174" i="19"/>
  <c r="AA174" i="19"/>
  <c r="Z174" i="19"/>
  <c r="X174" i="19"/>
  <c r="W174" i="19"/>
  <c r="V174" i="19"/>
  <c r="U174" i="19"/>
  <c r="T174" i="19"/>
  <c r="S174" i="19"/>
  <c r="Q174" i="19"/>
  <c r="P174" i="19"/>
  <c r="O174" i="19"/>
  <c r="N174" i="19"/>
  <c r="M174" i="19"/>
  <c r="L174" i="19"/>
  <c r="I174" i="19"/>
  <c r="AC173" i="19"/>
  <c r="AB173" i="19"/>
  <c r="AA173" i="19"/>
  <c r="Z173" i="19"/>
  <c r="Y173" i="19"/>
  <c r="X173" i="19"/>
  <c r="V173" i="19"/>
  <c r="T173" i="19"/>
  <c r="S173" i="19"/>
  <c r="R173" i="19"/>
  <c r="Q173" i="19"/>
  <c r="P173" i="19"/>
  <c r="O173" i="19"/>
  <c r="N173" i="19"/>
  <c r="M173" i="19"/>
  <c r="L173" i="19"/>
  <c r="AC172" i="19"/>
  <c r="AB172" i="19"/>
  <c r="AA172" i="19"/>
  <c r="Z172" i="19"/>
  <c r="X172" i="19"/>
  <c r="W172" i="19"/>
  <c r="V172" i="19"/>
  <c r="U172" i="19"/>
  <c r="T172" i="19"/>
  <c r="S172" i="19"/>
  <c r="R172" i="19"/>
  <c r="Q172" i="19"/>
  <c r="P172" i="19"/>
  <c r="O172" i="19"/>
  <c r="N172" i="19"/>
  <c r="M172" i="19"/>
  <c r="L172" i="19"/>
  <c r="I172" i="19"/>
  <c r="AC171" i="19"/>
  <c r="AB171" i="19"/>
  <c r="AA171" i="19"/>
  <c r="Z171" i="19"/>
  <c r="Y171" i="19"/>
  <c r="X171" i="19"/>
  <c r="V171" i="19"/>
  <c r="T171" i="19"/>
  <c r="S171" i="19"/>
  <c r="R171" i="19"/>
  <c r="Q171" i="19"/>
  <c r="P171" i="19"/>
  <c r="O171" i="19"/>
  <c r="N171" i="19"/>
  <c r="M171" i="19"/>
  <c r="L171" i="19"/>
  <c r="AC170" i="19"/>
  <c r="AB170" i="19"/>
  <c r="AA170" i="19"/>
  <c r="Z170" i="19"/>
  <c r="X170" i="19"/>
  <c r="W170" i="19"/>
  <c r="V170" i="19"/>
  <c r="U170" i="19"/>
  <c r="T170" i="19"/>
  <c r="S170" i="19"/>
  <c r="R170" i="19"/>
  <c r="Q170" i="19"/>
  <c r="P170" i="19"/>
  <c r="O170" i="19"/>
  <c r="N170" i="19"/>
  <c r="M170" i="19"/>
  <c r="L170" i="19"/>
  <c r="I170" i="19"/>
  <c r="AC169" i="19"/>
  <c r="AB169" i="19"/>
  <c r="AA169" i="19"/>
  <c r="Z169" i="19"/>
  <c r="Y169" i="19"/>
  <c r="X169" i="19"/>
  <c r="W169" i="19"/>
  <c r="V169" i="19"/>
  <c r="T169" i="19"/>
  <c r="S169" i="19"/>
  <c r="R169" i="19"/>
  <c r="Q169" i="19"/>
  <c r="P169" i="19"/>
  <c r="O169" i="19"/>
  <c r="N169" i="19"/>
  <c r="M169" i="19"/>
  <c r="L169" i="19"/>
  <c r="AC168" i="19"/>
  <c r="AB168" i="19"/>
  <c r="AA168" i="19"/>
  <c r="Z168" i="19"/>
  <c r="X168" i="19"/>
  <c r="W168" i="19"/>
  <c r="V168" i="19"/>
  <c r="U168" i="19"/>
  <c r="T168" i="19"/>
  <c r="S168" i="19"/>
  <c r="R168" i="19"/>
  <c r="Q168" i="19"/>
  <c r="P168" i="19"/>
  <c r="O168" i="19"/>
  <c r="N168" i="19"/>
  <c r="M168" i="19"/>
  <c r="L168" i="19"/>
  <c r="I168" i="19"/>
  <c r="AC167" i="19"/>
  <c r="AB167" i="19"/>
  <c r="AA167" i="19"/>
  <c r="Z167" i="19"/>
  <c r="Y167" i="19"/>
  <c r="X167" i="19"/>
  <c r="W167" i="19"/>
  <c r="V167" i="19"/>
  <c r="T167" i="19"/>
  <c r="S167" i="19"/>
  <c r="R167" i="19"/>
  <c r="Q167" i="19"/>
  <c r="P167" i="19"/>
  <c r="O167" i="19"/>
  <c r="N167" i="19"/>
  <c r="M167" i="19"/>
  <c r="L167" i="19"/>
  <c r="AC166" i="19"/>
  <c r="AB166" i="19"/>
  <c r="AA166" i="19"/>
  <c r="Z166" i="19"/>
  <c r="X166" i="19"/>
  <c r="W166" i="19"/>
  <c r="V166" i="19"/>
  <c r="U166" i="19"/>
  <c r="T166" i="19"/>
  <c r="S166" i="19"/>
  <c r="R166" i="19"/>
  <c r="Q166" i="19"/>
  <c r="P166" i="19"/>
  <c r="O166" i="19"/>
  <c r="N166" i="19"/>
  <c r="M166" i="19"/>
  <c r="L166" i="19"/>
  <c r="I166" i="19"/>
  <c r="AC165" i="19"/>
  <c r="AB165" i="19"/>
  <c r="AA165" i="19"/>
  <c r="Z165" i="19"/>
  <c r="Y165" i="19"/>
  <c r="X165" i="19"/>
  <c r="W165" i="19"/>
  <c r="V165" i="19"/>
  <c r="T165" i="19"/>
  <c r="S165" i="19"/>
  <c r="R165" i="19"/>
  <c r="Q165" i="19"/>
  <c r="P165" i="19"/>
  <c r="O165" i="19"/>
  <c r="N165" i="19"/>
  <c r="M165" i="19"/>
  <c r="L165" i="19"/>
  <c r="AC164" i="19"/>
  <c r="AB164" i="19"/>
  <c r="AA164" i="19"/>
  <c r="Z164" i="19"/>
  <c r="X164" i="19"/>
  <c r="W164" i="19"/>
  <c r="V164" i="19"/>
  <c r="U164" i="19"/>
  <c r="T164" i="19"/>
  <c r="S164" i="19"/>
  <c r="R164" i="19"/>
  <c r="Q164" i="19"/>
  <c r="P164" i="19"/>
  <c r="O164" i="19"/>
  <c r="N164" i="19"/>
  <c r="M164" i="19"/>
  <c r="L164" i="19"/>
  <c r="I164" i="19"/>
  <c r="AC163" i="19"/>
  <c r="AB163" i="19"/>
  <c r="AA163" i="19"/>
  <c r="Z163" i="19"/>
  <c r="Y163" i="19"/>
  <c r="X163" i="19"/>
  <c r="W163" i="19"/>
  <c r="V163" i="19"/>
  <c r="T163" i="19"/>
  <c r="S163" i="19"/>
  <c r="R163" i="19"/>
  <c r="Q163" i="19"/>
  <c r="P163" i="19"/>
  <c r="O163" i="19"/>
  <c r="N163" i="19"/>
  <c r="M163" i="19"/>
  <c r="L163" i="19"/>
  <c r="AC162" i="19"/>
  <c r="AB162" i="19"/>
  <c r="AA162" i="19"/>
  <c r="Z162" i="19"/>
  <c r="X162" i="19"/>
  <c r="W162" i="19"/>
  <c r="V162" i="19"/>
  <c r="U162" i="19"/>
  <c r="T162" i="19"/>
  <c r="S162" i="19"/>
  <c r="R162" i="19"/>
  <c r="Q162" i="19"/>
  <c r="P162" i="19"/>
  <c r="O162" i="19"/>
  <c r="N162" i="19"/>
  <c r="M162" i="19"/>
  <c r="L162" i="19"/>
  <c r="I162" i="19"/>
  <c r="AC161" i="19"/>
  <c r="AB161" i="19"/>
  <c r="AA161" i="19"/>
  <c r="Z161" i="19"/>
  <c r="Y161" i="19"/>
  <c r="X161" i="19"/>
  <c r="V161" i="19"/>
  <c r="T161" i="19"/>
  <c r="S161" i="19"/>
  <c r="R161" i="19"/>
  <c r="Q161" i="19"/>
  <c r="P161" i="19"/>
  <c r="O161" i="19"/>
  <c r="N161" i="19"/>
  <c r="M161" i="19"/>
  <c r="L161" i="19"/>
  <c r="AC160" i="19"/>
  <c r="AB160" i="19"/>
  <c r="AA160" i="19"/>
  <c r="Z160" i="19"/>
  <c r="X160" i="19"/>
  <c r="W160" i="19"/>
  <c r="V160" i="19"/>
  <c r="U160" i="19"/>
  <c r="T160" i="19"/>
  <c r="S160" i="19"/>
  <c r="R160" i="19"/>
  <c r="Q160" i="19"/>
  <c r="P160" i="19"/>
  <c r="O160" i="19"/>
  <c r="N160" i="19"/>
  <c r="M160" i="19"/>
  <c r="L160" i="19"/>
  <c r="I160" i="19"/>
  <c r="AC159" i="19"/>
  <c r="AB159" i="19"/>
  <c r="AA159" i="19"/>
  <c r="Z159" i="19"/>
  <c r="X159" i="19"/>
  <c r="W159" i="19"/>
  <c r="V159" i="19"/>
  <c r="T159" i="19"/>
  <c r="S159" i="19"/>
  <c r="R159" i="19"/>
  <c r="Q159" i="19"/>
  <c r="P159" i="19"/>
  <c r="O159" i="19"/>
  <c r="N159" i="19"/>
  <c r="M159" i="19"/>
  <c r="L159" i="19"/>
  <c r="AC158" i="19"/>
  <c r="AB158" i="19"/>
  <c r="AA158" i="19"/>
  <c r="Z158" i="19"/>
  <c r="X158" i="19"/>
  <c r="W158" i="19"/>
  <c r="V158" i="19"/>
  <c r="U158" i="19"/>
  <c r="T158" i="19"/>
  <c r="S158" i="19"/>
  <c r="R158" i="19"/>
  <c r="Q158" i="19"/>
  <c r="P158" i="19"/>
  <c r="O158" i="19"/>
  <c r="N158" i="19"/>
  <c r="M158" i="19"/>
  <c r="L158" i="19"/>
  <c r="I158" i="19"/>
  <c r="AC157" i="19"/>
  <c r="AB157" i="19"/>
  <c r="AA157" i="19"/>
  <c r="Z157" i="19"/>
  <c r="X157" i="19"/>
  <c r="W157" i="19"/>
  <c r="V157" i="19"/>
  <c r="T157" i="19"/>
  <c r="S157" i="19"/>
  <c r="R157" i="19"/>
  <c r="Q157" i="19"/>
  <c r="P157" i="19"/>
  <c r="O157" i="19"/>
  <c r="N157" i="19"/>
  <c r="M157" i="19"/>
  <c r="L157" i="19"/>
  <c r="AC156" i="19"/>
  <c r="AB156" i="19"/>
  <c r="AA156" i="19"/>
  <c r="Z156" i="19"/>
  <c r="X156" i="19"/>
  <c r="W156" i="19"/>
  <c r="V156" i="19"/>
  <c r="U156" i="19"/>
  <c r="T156" i="19"/>
  <c r="S156" i="19"/>
  <c r="R156" i="19"/>
  <c r="Q156" i="19"/>
  <c r="P156" i="19"/>
  <c r="O156" i="19"/>
  <c r="N156" i="19"/>
  <c r="M156" i="19"/>
  <c r="L156" i="19"/>
  <c r="I156" i="19"/>
  <c r="AC155" i="19"/>
  <c r="AB155" i="19"/>
  <c r="AA155" i="19"/>
  <c r="Z155" i="19"/>
  <c r="X155" i="19"/>
  <c r="W155" i="19"/>
  <c r="V155" i="19"/>
  <c r="T155" i="19"/>
  <c r="S155" i="19"/>
  <c r="R155" i="19"/>
  <c r="Q155" i="19"/>
  <c r="P155" i="19"/>
  <c r="O155" i="19"/>
  <c r="N155" i="19"/>
  <c r="M155" i="19"/>
  <c r="L155" i="19"/>
  <c r="AC154" i="19"/>
  <c r="AB154" i="19"/>
  <c r="AA154" i="19"/>
  <c r="Z154" i="19"/>
  <c r="W154" i="19"/>
  <c r="V154" i="19"/>
  <c r="U154" i="19"/>
  <c r="T154" i="19"/>
  <c r="S154" i="19"/>
  <c r="R154" i="19"/>
  <c r="Q154" i="19"/>
  <c r="P154" i="19"/>
  <c r="O154" i="19"/>
  <c r="N154" i="19"/>
  <c r="M154" i="19"/>
  <c r="L154" i="19"/>
  <c r="I154" i="19"/>
  <c r="AC153" i="19"/>
  <c r="AB153" i="19"/>
  <c r="AA153" i="19"/>
  <c r="Z153" i="19"/>
  <c r="Y153" i="19"/>
  <c r="X153" i="19"/>
  <c r="V153" i="19"/>
  <c r="T153" i="19"/>
  <c r="S153" i="19"/>
  <c r="R153" i="19"/>
  <c r="Q153" i="19"/>
  <c r="P153" i="19"/>
  <c r="O153" i="19"/>
  <c r="N153" i="19"/>
  <c r="M153" i="19"/>
  <c r="L153" i="19"/>
  <c r="AC152" i="19"/>
  <c r="AB152" i="19"/>
  <c r="AA152" i="19"/>
  <c r="Z152" i="19"/>
  <c r="W152" i="19"/>
  <c r="V152" i="19"/>
  <c r="U152" i="19"/>
  <c r="T152" i="19"/>
  <c r="S152" i="19"/>
  <c r="R152" i="19"/>
  <c r="Q152" i="19"/>
  <c r="P152" i="19"/>
  <c r="O152" i="19"/>
  <c r="N152" i="19"/>
  <c r="M152" i="19"/>
  <c r="L152" i="19"/>
  <c r="I152" i="19"/>
  <c r="AC151" i="19"/>
  <c r="AB151" i="19"/>
  <c r="AA151" i="19"/>
  <c r="Z151" i="19"/>
  <c r="Y151" i="19"/>
  <c r="X151" i="19"/>
  <c r="V151" i="19"/>
  <c r="T151" i="19"/>
  <c r="S151" i="19"/>
  <c r="R151" i="19"/>
  <c r="Q151" i="19"/>
  <c r="P151" i="19"/>
  <c r="O151" i="19"/>
  <c r="N151" i="19"/>
  <c r="M151" i="19"/>
  <c r="L151" i="19"/>
  <c r="AC150" i="19"/>
  <c r="AB150" i="19"/>
  <c r="AA150" i="19"/>
  <c r="Z150" i="19"/>
  <c r="X150" i="19"/>
  <c r="W150" i="19"/>
  <c r="V150" i="19"/>
  <c r="U150" i="19"/>
  <c r="T150" i="19"/>
  <c r="S150" i="19"/>
  <c r="R150" i="19"/>
  <c r="Q150" i="19"/>
  <c r="P150" i="19"/>
  <c r="O150" i="19"/>
  <c r="N150" i="19"/>
  <c r="M150" i="19"/>
  <c r="L150" i="19"/>
  <c r="I150" i="19"/>
  <c r="AC149" i="19"/>
  <c r="AB149" i="19"/>
  <c r="AA149" i="19"/>
  <c r="Z149" i="19"/>
  <c r="Y149" i="19"/>
  <c r="X149" i="19"/>
  <c r="W149" i="19"/>
  <c r="V149" i="19"/>
  <c r="S149" i="19"/>
  <c r="R149" i="19"/>
  <c r="Q149" i="19"/>
  <c r="P149" i="19"/>
  <c r="O149" i="19"/>
  <c r="N149" i="19"/>
  <c r="M149" i="19"/>
  <c r="L149" i="19"/>
  <c r="AC148" i="19"/>
  <c r="AB148" i="19"/>
  <c r="AA148" i="19"/>
  <c r="Z148" i="19"/>
  <c r="X148" i="19"/>
  <c r="W148" i="19"/>
  <c r="V148" i="19"/>
  <c r="U148" i="19"/>
  <c r="T148" i="19"/>
  <c r="S148" i="19"/>
  <c r="R148" i="19"/>
  <c r="Q148" i="19"/>
  <c r="P148" i="19"/>
  <c r="O148" i="19"/>
  <c r="N148" i="19"/>
  <c r="M148" i="19"/>
  <c r="L148" i="19"/>
  <c r="I148" i="19"/>
  <c r="AC147" i="19"/>
  <c r="AB147" i="19"/>
  <c r="AA147" i="19"/>
  <c r="Z147" i="19"/>
  <c r="Y147" i="19"/>
  <c r="X147" i="19"/>
  <c r="W147" i="19"/>
  <c r="V147" i="19"/>
  <c r="T147" i="19"/>
  <c r="S147" i="19"/>
  <c r="Q147" i="19"/>
  <c r="P147" i="19"/>
  <c r="O147" i="19"/>
  <c r="N147" i="19"/>
  <c r="M147" i="19"/>
  <c r="L147" i="19"/>
  <c r="AC146" i="19"/>
  <c r="AB146" i="19"/>
  <c r="AA146" i="19"/>
  <c r="Z146" i="19"/>
  <c r="X146" i="19"/>
  <c r="W146" i="19"/>
  <c r="V146" i="19"/>
  <c r="U146" i="19"/>
  <c r="T146" i="19"/>
  <c r="S146" i="19"/>
  <c r="R146" i="19"/>
  <c r="Q146" i="19"/>
  <c r="P146" i="19"/>
  <c r="O146" i="19"/>
  <c r="N146" i="19"/>
  <c r="M146" i="19"/>
  <c r="L146" i="19"/>
  <c r="I146" i="19"/>
  <c r="AC145" i="19"/>
  <c r="AB145" i="19"/>
  <c r="AA145" i="19"/>
  <c r="Z145" i="19"/>
  <c r="Y145" i="19"/>
  <c r="X145" i="19"/>
  <c r="W145" i="19"/>
  <c r="V145" i="19"/>
  <c r="T145" i="19"/>
  <c r="R145" i="19"/>
  <c r="Q145" i="19"/>
  <c r="P145" i="19"/>
  <c r="O145" i="19"/>
  <c r="N145" i="19"/>
  <c r="M145" i="19"/>
  <c r="L145" i="19"/>
  <c r="AC144" i="19"/>
  <c r="AB144" i="19"/>
  <c r="AA144" i="19"/>
  <c r="Z144" i="19"/>
  <c r="X144" i="19"/>
  <c r="W144" i="19"/>
  <c r="V144" i="19"/>
  <c r="U144" i="19"/>
  <c r="T144" i="19"/>
  <c r="S144" i="19"/>
  <c r="R144" i="19"/>
  <c r="Q144" i="19"/>
  <c r="P144" i="19"/>
  <c r="O144" i="19"/>
  <c r="N144" i="19"/>
  <c r="M144" i="19"/>
  <c r="L144" i="19"/>
  <c r="I144" i="19"/>
  <c r="AC143" i="19"/>
  <c r="AB143" i="19"/>
  <c r="AA143" i="19"/>
  <c r="Z143" i="19"/>
  <c r="Y143" i="19"/>
  <c r="X143" i="19"/>
  <c r="W143" i="19"/>
  <c r="V143" i="19"/>
  <c r="T143" i="19"/>
  <c r="R143" i="19"/>
  <c r="Q143" i="19"/>
  <c r="P143" i="19"/>
  <c r="O143" i="19"/>
  <c r="N143" i="19"/>
  <c r="M143" i="19"/>
  <c r="L143" i="19"/>
  <c r="AC142" i="19"/>
  <c r="AB142" i="19"/>
  <c r="AA142" i="19"/>
  <c r="Z142" i="19"/>
  <c r="X142" i="19"/>
  <c r="W142" i="19"/>
  <c r="V142" i="19"/>
  <c r="U142" i="19"/>
  <c r="S142" i="19"/>
  <c r="R142" i="19"/>
  <c r="Q142" i="19"/>
  <c r="P142" i="19"/>
  <c r="O142" i="19"/>
  <c r="N142" i="19"/>
  <c r="M142" i="19"/>
  <c r="L142" i="19"/>
  <c r="I142" i="19"/>
  <c r="AC141" i="19"/>
  <c r="AB141" i="19"/>
  <c r="AA141" i="19"/>
  <c r="Z141" i="19"/>
  <c r="Y141" i="19"/>
  <c r="X141" i="19"/>
  <c r="W141" i="19"/>
  <c r="V141" i="19"/>
  <c r="S141" i="19"/>
  <c r="R141" i="19"/>
  <c r="Q141" i="19"/>
  <c r="P141" i="19"/>
  <c r="O141" i="19"/>
  <c r="N141" i="19"/>
  <c r="M141" i="19"/>
  <c r="L141" i="19"/>
  <c r="AC140" i="19"/>
  <c r="AB140" i="19"/>
  <c r="AA140" i="19"/>
  <c r="Z140" i="19"/>
  <c r="X140" i="19"/>
  <c r="W140" i="19"/>
  <c r="V140" i="19"/>
  <c r="U140" i="19"/>
  <c r="T140" i="19"/>
  <c r="R140" i="19"/>
  <c r="Q140" i="19"/>
  <c r="P140" i="19"/>
  <c r="O140" i="19"/>
  <c r="N140" i="19"/>
  <c r="M140" i="19"/>
  <c r="L140" i="19"/>
  <c r="I140" i="19"/>
  <c r="AC139" i="19"/>
  <c r="AB139" i="19"/>
  <c r="AA139" i="19"/>
  <c r="Z139" i="19"/>
  <c r="X139" i="19"/>
  <c r="W139" i="19"/>
  <c r="V139" i="19"/>
  <c r="T139" i="19"/>
  <c r="S139" i="19"/>
  <c r="R139" i="19"/>
  <c r="Q139" i="19"/>
  <c r="P139" i="19"/>
  <c r="O139" i="19"/>
  <c r="N139" i="19"/>
  <c r="M139" i="19"/>
  <c r="L139" i="19"/>
  <c r="AC138" i="19"/>
  <c r="AB138" i="19"/>
  <c r="AA138" i="19"/>
  <c r="Z138" i="19"/>
  <c r="X138" i="19"/>
  <c r="W138" i="19"/>
  <c r="V138" i="19"/>
  <c r="U138" i="19"/>
  <c r="T138" i="19"/>
  <c r="S138" i="19"/>
  <c r="R138" i="19"/>
  <c r="Q138" i="19"/>
  <c r="P138" i="19"/>
  <c r="O138" i="19"/>
  <c r="N138" i="19"/>
  <c r="M138" i="19"/>
  <c r="L138" i="19"/>
  <c r="I138" i="19"/>
  <c r="AC137" i="19"/>
  <c r="AB137" i="19"/>
  <c r="AA137" i="19"/>
  <c r="Z137" i="19"/>
  <c r="Y137" i="19"/>
  <c r="X137" i="19"/>
  <c r="W137" i="19"/>
  <c r="V137" i="19"/>
  <c r="T137" i="19"/>
  <c r="S137" i="19"/>
  <c r="Q137" i="19"/>
  <c r="P137" i="19"/>
  <c r="O137" i="19"/>
  <c r="N137" i="19"/>
  <c r="M137" i="19"/>
  <c r="L137" i="19"/>
  <c r="AC136" i="19"/>
  <c r="AB136" i="19"/>
  <c r="AA136" i="19"/>
  <c r="Z136" i="19"/>
  <c r="X136" i="19"/>
  <c r="W136" i="19"/>
  <c r="V136" i="19"/>
  <c r="U136" i="19"/>
  <c r="T136" i="19"/>
  <c r="S136" i="19"/>
  <c r="R136" i="19"/>
  <c r="Q136" i="19"/>
  <c r="P136" i="19"/>
  <c r="O136" i="19"/>
  <c r="N136" i="19"/>
  <c r="M136" i="19"/>
  <c r="L136" i="19"/>
  <c r="I136" i="19"/>
  <c r="AC135" i="19"/>
  <c r="AB135" i="19"/>
  <c r="AA135" i="19"/>
  <c r="Z135" i="19"/>
  <c r="Y135" i="19"/>
  <c r="X135" i="19"/>
  <c r="W135" i="19"/>
  <c r="V135" i="19"/>
  <c r="T135" i="19"/>
  <c r="S135" i="19"/>
  <c r="Q135" i="19"/>
  <c r="P135" i="19"/>
  <c r="O135" i="19"/>
  <c r="N135" i="19"/>
  <c r="M135" i="19"/>
  <c r="L135" i="19"/>
  <c r="AC134" i="19"/>
  <c r="AB134" i="19"/>
  <c r="AA134" i="19"/>
  <c r="Z134" i="19"/>
  <c r="X134" i="19"/>
  <c r="W134" i="19"/>
  <c r="V134" i="19"/>
  <c r="U134" i="19"/>
  <c r="S134" i="19"/>
  <c r="R134" i="19"/>
  <c r="Q134" i="19"/>
  <c r="P134" i="19"/>
  <c r="O134" i="19"/>
  <c r="N134" i="19"/>
  <c r="M134" i="19"/>
  <c r="L134" i="19"/>
  <c r="I134" i="19"/>
  <c r="AC133" i="19"/>
  <c r="AB133" i="19"/>
  <c r="AA133" i="19"/>
  <c r="Z133" i="19"/>
  <c r="Y133" i="19"/>
  <c r="X133" i="19"/>
  <c r="V133" i="19"/>
  <c r="T133" i="19"/>
  <c r="S133" i="19"/>
  <c r="R133" i="19"/>
  <c r="Q133" i="19"/>
  <c r="P133" i="19"/>
  <c r="O133" i="19"/>
  <c r="N133" i="19"/>
  <c r="M133" i="19"/>
  <c r="L133" i="19"/>
  <c r="AC132" i="19"/>
  <c r="AB132" i="19"/>
  <c r="AA132" i="19"/>
  <c r="Z132" i="19"/>
  <c r="X132" i="19"/>
  <c r="W132" i="19"/>
  <c r="V132" i="19"/>
  <c r="U132" i="19"/>
  <c r="T132" i="19"/>
  <c r="S132" i="19"/>
  <c r="R132" i="19"/>
  <c r="Q132" i="19"/>
  <c r="P132" i="19"/>
  <c r="O132" i="19"/>
  <c r="N132" i="19"/>
  <c r="M132" i="19"/>
  <c r="L132" i="19"/>
  <c r="I132" i="19"/>
  <c r="AC131" i="19"/>
  <c r="AB131" i="19"/>
  <c r="AA131" i="19"/>
  <c r="Z131" i="19"/>
  <c r="Y131" i="19"/>
  <c r="X131" i="19"/>
  <c r="V131" i="19"/>
  <c r="T131" i="19"/>
  <c r="S131" i="19"/>
  <c r="R131" i="19"/>
  <c r="Q131" i="19"/>
  <c r="P131" i="19"/>
  <c r="O131" i="19"/>
  <c r="N131" i="19"/>
  <c r="M131" i="19"/>
  <c r="L131" i="19"/>
  <c r="AC130" i="19"/>
  <c r="AB130" i="19"/>
  <c r="AA130" i="19"/>
  <c r="Z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I130" i="19"/>
  <c r="AC129" i="19"/>
  <c r="AB129" i="19"/>
  <c r="AA129" i="19"/>
  <c r="Z129" i="19"/>
  <c r="Y129" i="19"/>
  <c r="X129" i="19"/>
  <c r="W129" i="19"/>
  <c r="V129" i="19"/>
  <c r="T129" i="19"/>
  <c r="S129" i="19"/>
  <c r="R129" i="19"/>
  <c r="Q129" i="19"/>
  <c r="P129" i="19"/>
  <c r="O129" i="19"/>
  <c r="N129" i="19"/>
  <c r="M129" i="19"/>
  <c r="L129" i="19"/>
  <c r="AC128" i="19"/>
  <c r="AB128" i="19"/>
  <c r="AA128" i="19"/>
  <c r="Z128" i="19"/>
  <c r="X128" i="19"/>
  <c r="W128" i="19"/>
  <c r="V128" i="19"/>
  <c r="U128" i="19"/>
  <c r="T128" i="19"/>
  <c r="S128" i="19"/>
  <c r="R128" i="19"/>
  <c r="Q128" i="19"/>
  <c r="P128" i="19"/>
  <c r="O128" i="19"/>
  <c r="N128" i="19"/>
  <c r="M128" i="19"/>
  <c r="L128" i="19"/>
  <c r="I128" i="19"/>
  <c r="W195" i="19"/>
  <c r="Q191" i="19"/>
  <c r="S187" i="19"/>
  <c r="U175" i="19"/>
  <c r="Y154" i="19"/>
  <c r="Y152" i="19"/>
  <c r="U151" i="19"/>
  <c r="Y140" i="19"/>
  <c r="U143" i="19"/>
  <c r="S410" i="19"/>
  <c r="P406" i="19"/>
  <c r="S407" i="19"/>
  <c r="Y404" i="19"/>
  <c r="Y403" i="19"/>
  <c r="Q399" i="19"/>
  <c r="T398" i="19"/>
  <c r="Y395" i="19"/>
  <c r="AB394" i="19"/>
  <c r="S391" i="19"/>
  <c r="P390" i="19"/>
  <c r="U389" i="19"/>
  <c r="T388" i="19"/>
  <c r="U387" i="19"/>
  <c r="T386" i="19"/>
  <c r="O382" i="19"/>
  <c r="AB385" i="19"/>
  <c r="AB384" i="19"/>
  <c r="T383" i="19"/>
  <c r="U378" i="19"/>
  <c r="S380" i="19"/>
  <c r="U379" i="19"/>
  <c r="U377" i="19"/>
  <c r="W371" i="19"/>
  <c r="W373" i="19"/>
  <c r="T368" i="19"/>
  <c r="T367" i="19"/>
  <c r="S366" i="19"/>
  <c r="AA365" i="19"/>
  <c r="AB364" i="19"/>
  <c r="W363" i="19"/>
  <c r="U361" i="19"/>
  <c r="T359" i="19"/>
  <c r="T358" i="19"/>
  <c r="Z355" i="19"/>
  <c r="AB354" i="19"/>
  <c r="T347" i="19"/>
  <c r="W349" i="19"/>
  <c r="N348" i="19"/>
  <c r="S343" i="19"/>
  <c r="T344" i="19"/>
  <c r="S342" i="19"/>
  <c r="N338" i="19"/>
  <c r="W339" i="19"/>
  <c r="T334" i="19"/>
  <c r="N335" i="19"/>
  <c r="P326" i="19"/>
  <c r="N327" i="19"/>
  <c r="R323" i="19"/>
  <c r="N325" i="19"/>
  <c r="X320" i="19"/>
  <c r="N318" i="19"/>
  <c r="X319" i="19"/>
  <c r="W321" i="19"/>
  <c r="W314" i="19"/>
  <c r="R316" i="19"/>
  <c r="N315" i="19"/>
  <c r="Y311" i="19"/>
  <c r="AB312" i="19"/>
  <c r="Y307" i="19"/>
  <c r="P306" i="19"/>
  <c r="AB308" i="19"/>
  <c r="O304" i="19"/>
  <c r="Q298" i="19"/>
  <c r="N301" i="19"/>
  <c r="N299" i="19"/>
  <c r="Z297" i="19"/>
  <c r="AB296" i="19"/>
  <c r="Q292" i="19"/>
  <c r="Q291" i="19"/>
  <c r="Y290" i="19"/>
  <c r="Y288" i="19"/>
  <c r="N289" i="19"/>
  <c r="R286" i="19"/>
  <c r="N287" i="19"/>
  <c r="Z285" i="19"/>
  <c r="Z283" i="19"/>
  <c r="AB284" i="19"/>
  <c r="T282" i="19"/>
  <c r="Q279" i="19"/>
  <c r="Y278" i="19"/>
  <c r="R274" i="19"/>
  <c r="N275" i="19"/>
  <c r="AB272" i="19"/>
  <c r="Z273" i="19"/>
  <c r="Q268" i="19"/>
  <c r="N263" i="19"/>
  <c r="N265" i="19"/>
  <c r="Z259" i="19"/>
  <c r="T258" i="19"/>
  <c r="W257" i="19"/>
  <c r="Q256" i="19"/>
  <c r="W252" i="19"/>
  <c r="N253" i="19"/>
  <c r="N251" i="19"/>
  <c r="T246" i="19"/>
  <c r="Z249" i="19"/>
  <c r="AB248" i="19"/>
  <c r="Q238" i="19"/>
  <c r="N241" i="19"/>
  <c r="N239" i="19"/>
  <c r="X240" i="19"/>
  <c r="AB236" i="19"/>
  <c r="Q231" i="19"/>
  <c r="T232" i="19"/>
  <c r="W228" i="19"/>
  <c r="N229" i="19"/>
  <c r="N227" i="19"/>
  <c r="AB224" i="19"/>
  <c r="X218" i="19"/>
  <c r="S220" i="19"/>
  <c r="N215" i="19"/>
  <c r="N217" i="19"/>
  <c r="W216" i="19"/>
  <c r="W213" i="19"/>
  <c r="R208" i="19"/>
  <c r="O207" i="19"/>
  <c r="N203" i="19"/>
  <c r="S204" i="19"/>
  <c r="N205" i="19"/>
  <c r="Y200" i="19"/>
  <c r="Y201" i="19"/>
  <c r="U189" i="19"/>
  <c r="W161" i="19"/>
  <c r="R137" i="19"/>
  <c r="Y144" i="19"/>
  <c r="N201" i="19"/>
  <c r="Y184" i="19"/>
  <c r="W173" i="19"/>
  <c r="Y139" i="19"/>
  <c r="R185" i="19"/>
  <c r="X154" i="19"/>
  <c r="W131" i="19"/>
  <c r="Y136" i="19"/>
  <c r="N199" i="19"/>
  <c r="S180" i="19"/>
  <c r="R147" i="19"/>
  <c r="U169" i="19"/>
  <c r="S200" i="19"/>
  <c r="Y157" i="19"/>
  <c r="T134" i="19"/>
  <c r="Y148" i="19"/>
  <c r="Q187" i="19"/>
  <c r="Y155" i="19"/>
  <c r="W133" i="19"/>
  <c r="P322" i="19"/>
  <c r="T142" i="19"/>
  <c r="Y190" i="19"/>
  <c r="Y128" i="19"/>
  <c r="Y179" i="19"/>
  <c r="S376" i="19"/>
  <c r="Y156" i="19"/>
  <c r="Y182" i="19"/>
  <c r="Y158" i="19"/>
  <c r="Y138" i="19"/>
  <c r="S183" i="19"/>
  <c r="T149" i="19"/>
  <c r="Y170" i="19"/>
  <c r="T353" i="19"/>
  <c r="W193" i="19"/>
  <c r="R174" i="19"/>
  <c r="T141" i="19"/>
  <c r="Y160" i="19"/>
  <c r="R198" i="19"/>
  <c r="X152" i="19"/>
  <c r="Y178" i="19"/>
  <c r="S396" i="19"/>
  <c r="Y186" i="19"/>
  <c r="W151" i="19"/>
  <c r="U165" i="19"/>
  <c r="Y195" i="19"/>
  <c r="Y162" i="19"/>
  <c r="T330" i="19"/>
  <c r="R135" i="19"/>
  <c r="S145" i="19"/>
  <c r="T177" i="19"/>
  <c r="W153" i="19"/>
  <c r="S140" i="19"/>
  <c r="W171" i="19"/>
  <c r="T175" i="19"/>
  <c r="Y159" i="19"/>
  <c r="Y166" i="19"/>
  <c r="S143" i="19"/>
  <c r="S352" i="19"/>
  <c r="W191" i="19"/>
  <c r="AD410" i="19" l="1"/>
  <c r="AD407" i="19"/>
  <c r="AD406" i="19"/>
  <c r="AD403" i="19"/>
  <c r="AD404" i="19"/>
  <c r="AD398" i="19"/>
  <c r="AD399" i="19"/>
  <c r="AD394" i="19"/>
  <c r="AD396" i="19"/>
  <c r="AD395" i="19"/>
  <c r="AD391" i="19"/>
  <c r="AD390" i="19"/>
  <c r="AD386" i="19"/>
  <c r="AD387" i="19"/>
  <c r="AD388" i="19"/>
  <c r="AD389" i="19"/>
  <c r="AD383" i="19"/>
  <c r="AD384" i="19"/>
  <c r="AD385" i="19"/>
  <c r="AD382" i="19"/>
  <c r="AD379" i="19"/>
  <c r="AD380" i="19"/>
  <c r="AD378" i="19"/>
  <c r="AD376" i="19"/>
  <c r="AD377" i="19"/>
  <c r="AD373" i="19"/>
  <c r="AD371" i="19"/>
  <c r="AD366" i="19"/>
  <c r="AD367" i="19"/>
  <c r="AD368" i="19"/>
  <c r="AD363" i="19"/>
  <c r="AD364" i="19"/>
  <c r="AD365" i="19"/>
  <c r="AD358" i="19"/>
  <c r="AD359" i="19"/>
  <c r="AD361" i="19"/>
  <c r="AD354" i="19"/>
  <c r="AD355" i="19"/>
  <c r="AD352" i="19"/>
  <c r="AD353" i="19"/>
  <c r="AD348" i="19"/>
  <c r="AD349" i="19"/>
  <c r="AD347" i="19"/>
  <c r="AD342" i="19"/>
  <c r="AD344" i="19"/>
  <c r="AD343" i="19"/>
  <c r="AD339" i="19"/>
  <c r="AD338" i="19"/>
  <c r="AD335" i="19"/>
  <c r="AD334" i="19"/>
  <c r="AD330" i="19"/>
  <c r="AD327" i="19"/>
  <c r="AD326" i="19"/>
  <c r="AD325" i="19"/>
  <c r="AD323" i="19"/>
  <c r="AD322" i="19"/>
  <c r="AD321" i="19"/>
  <c r="AD319" i="19"/>
  <c r="AD318" i="19"/>
  <c r="AD320" i="19"/>
  <c r="AD315" i="19"/>
  <c r="AD316" i="19"/>
  <c r="AD314" i="19"/>
  <c r="AD312" i="19"/>
  <c r="AD311" i="19"/>
  <c r="AD308" i="19"/>
  <c r="AD306" i="19"/>
  <c r="AD307" i="19"/>
  <c r="AD304" i="19"/>
  <c r="AD299" i="19"/>
  <c r="AD301" i="19"/>
  <c r="AD298" i="19"/>
  <c r="AD296" i="19"/>
  <c r="AD297" i="19"/>
  <c r="AD290" i="19"/>
  <c r="AD291" i="19"/>
  <c r="AD292" i="19"/>
  <c r="AD287" i="19"/>
  <c r="AD286" i="19"/>
  <c r="AD289" i="19"/>
  <c r="AD288" i="19"/>
  <c r="AD282" i="19"/>
  <c r="AD284" i="19"/>
  <c r="AD283" i="19"/>
  <c r="AD285" i="19"/>
  <c r="AD278" i="19"/>
  <c r="AD279" i="19"/>
  <c r="AD275" i="19"/>
  <c r="AD274" i="19"/>
  <c r="AD273" i="19"/>
  <c r="AD272" i="19"/>
  <c r="AD268" i="19"/>
  <c r="AD265" i="19"/>
  <c r="AD263" i="19"/>
  <c r="AD258" i="19"/>
  <c r="AD259" i="19"/>
  <c r="AD256" i="19"/>
  <c r="AD257" i="19"/>
  <c r="AD251" i="19"/>
  <c r="AD253" i="19"/>
  <c r="AD252" i="19"/>
  <c r="AD248" i="19"/>
  <c r="AD249" i="19"/>
  <c r="AD246" i="19"/>
  <c r="AD240" i="19"/>
  <c r="AD239" i="19"/>
  <c r="AD241" i="19"/>
  <c r="AD238" i="19"/>
  <c r="AD236" i="19"/>
  <c r="AD232" i="19"/>
  <c r="AD231" i="19"/>
  <c r="AD227" i="19"/>
  <c r="AD229" i="19"/>
  <c r="AD228" i="19"/>
  <c r="AD224" i="19"/>
  <c r="AD220" i="19"/>
  <c r="AD218" i="19"/>
  <c r="AD216" i="19"/>
  <c r="AD217" i="19"/>
  <c r="AD215" i="19"/>
  <c r="AD213" i="19"/>
  <c r="AD207" i="19"/>
  <c r="AD208" i="19"/>
  <c r="AD205" i="19"/>
  <c r="AD204" i="19"/>
  <c r="AD203" i="19"/>
  <c r="AD200" i="19"/>
  <c r="AD201" i="19"/>
  <c r="AD195" i="19"/>
  <c r="AD190" i="19"/>
  <c r="AD191" i="19"/>
  <c r="AD186" i="19"/>
  <c r="AD187" i="19"/>
  <c r="AD182" i="19"/>
  <c r="AD178" i="19"/>
  <c r="AD175" i="19"/>
  <c r="AD170" i="19"/>
  <c r="AD169" i="19"/>
  <c r="AD166" i="19"/>
  <c r="AD165" i="19"/>
  <c r="AD160" i="19"/>
  <c r="AD162" i="19"/>
  <c r="AD156" i="19"/>
  <c r="AD158" i="19"/>
  <c r="AD152" i="19"/>
  <c r="AD154" i="19"/>
  <c r="AD148" i="19"/>
  <c r="AD151" i="19"/>
  <c r="AD144" i="19"/>
  <c r="AD143" i="19"/>
  <c r="AD140" i="19"/>
  <c r="AD138" i="19"/>
  <c r="AD136" i="19"/>
  <c r="AD128" i="19"/>
  <c r="AC127" i="19"/>
  <c r="AB127" i="19"/>
  <c r="AA127" i="19"/>
  <c r="Z127" i="19"/>
  <c r="Y127" i="19"/>
  <c r="X127" i="19"/>
  <c r="W127" i="19"/>
  <c r="V127" i="19"/>
  <c r="T127" i="19"/>
  <c r="S127" i="19"/>
  <c r="R127" i="19"/>
  <c r="Q127" i="19"/>
  <c r="P127" i="19"/>
  <c r="O127" i="19"/>
  <c r="N127" i="19"/>
  <c r="M127" i="19"/>
  <c r="L127" i="19"/>
  <c r="AC126" i="19"/>
  <c r="AB126" i="19"/>
  <c r="AA126" i="19"/>
  <c r="Z126" i="19"/>
  <c r="X126" i="19"/>
  <c r="W126" i="19"/>
  <c r="V126" i="19"/>
  <c r="U126" i="19"/>
  <c r="T126" i="19"/>
  <c r="S126" i="19"/>
  <c r="R126" i="19"/>
  <c r="Q126" i="19"/>
  <c r="P126" i="19"/>
  <c r="O126" i="19"/>
  <c r="N126" i="19"/>
  <c r="M126" i="19"/>
  <c r="L126" i="19"/>
  <c r="I126" i="19"/>
  <c r="AC125" i="19"/>
  <c r="AB125" i="19"/>
  <c r="AA125" i="19"/>
  <c r="Z125" i="19"/>
  <c r="Y125" i="19"/>
  <c r="X125" i="19"/>
  <c r="W125" i="19"/>
  <c r="V125" i="19"/>
  <c r="T125" i="19"/>
  <c r="S125" i="19"/>
  <c r="R125" i="19"/>
  <c r="Q125" i="19"/>
  <c r="P125" i="19"/>
  <c r="O125" i="19"/>
  <c r="N125" i="19"/>
  <c r="M125" i="19"/>
  <c r="L125" i="19"/>
  <c r="AC124" i="19"/>
  <c r="AB124" i="19"/>
  <c r="AA124" i="19"/>
  <c r="Z124" i="19"/>
  <c r="X124" i="19"/>
  <c r="W124" i="19"/>
  <c r="V124" i="19"/>
  <c r="U124" i="19"/>
  <c r="T124" i="19"/>
  <c r="S124" i="19"/>
  <c r="R124" i="19"/>
  <c r="Q124" i="19"/>
  <c r="P124" i="19"/>
  <c r="O124" i="19"/>
  <c r="N124" i="19"/>
  <c r="M124" i="19"/>
  <c r="L124" i="19"/>
  <c r="I124" i="19"/>
  <c r="U193" i="19"/>
  <c r="R189" i="19"/>
  <c r="U185" i="19"/>
  <c r="S184" i="19"/>
  <c r="U183" i="19"/>
  <c r="Y180" i="19"/>
  <c r="U177" i="19"/>
  <c r="U179" i="19"/>
  <c r="U173" i="19"/>
  <c r="Y174" i="19"/>
  <c r="U171" i="19"/>
  <c r="U161" i="19"/>
  <c r="U157" i="19"/>
  <c r="U159" i="19"/>
  <c r="U155" i="19"/>
  <c r="U153" i="19"/>
  <c r="U149" i="19"/>
  <c r="U147" i="19"/>
  <c r="U145" i="19"/>
  <c r="Y142" i="19"/>
  <c r="U141" i="19"/>
  <c r="U137" i="19"/>
  <c r="U139" i="19"/>
  <c r="Y134" i="19"/>
  <c r="U135" i="19"/>
  <c r="U133" i="19"/>
  <c r="U131" i="19"/>
  <c r="Y198" i="19"/>
  <c r="W199" i="19"/>
  <c r="U129" i="19"/>
  <c r="Y192" i="19"/>
  <c r="Y164" i="19"/>
  <c r="Y188" i="19"/>
  <c r="U181" i="19"/>
  <c r="U163" i="19"/>
  <c r="Y150" i="19"/>
  <c r="Y130" i="19"/>
  <c r="Y132" i="19"/>
  <c r="Y194" i="19"/>
  <c r="U125" i="19"/>
  <c r="Y168" i="19"/>
  <c r="U167" i="19"/>
  <c r="Y172" i="19"/>
  <c r="U127" i="19"/>
  <c r="Y176" i="19"/>
  <c r="Y146" i="19"/>
  <c r="AD199" i="19" l="1"/>
  <c r="AD198" i="19"/>
  <c r="AD193" i="19"/>
  <c r="AD194" i="19"/>
  <c r="AD192" i="19"/>
  <c r="AD188" i="19"/>
  <c r="AD189" i="19"/>
  <c r="AD184" i="19"/>
  <c r="AD185" i="19"/>
  <c r="AD180" i="19"/>
  <c r="AD183" i="19"/>
  <c r="AD181" i="19"/>
  <c r="AD179" i="19"/>
  <c r="AD176" i="19"/>
  <c r="AD177" i="19"/>
  <c r="AD172" i="19"/>
  <c r="AD174" i="19"/>
  <c r="AD173" i="19"/>
  <c r="AD171" i="19"/>
  <c r="AD168" i="19"/>
  <c r="AD167" i="19"/>
  <c r="AD164" i="19"/>
  <c r="AD163" i="19"/>
  <c r="AD161" i="19"/>
  <c r="AD159" i="19"/>
  <c r="AD157" i="19"/>
  <c r="AD153" i="19"/>
  <c r="AD155" i="19"/>
  <c r="AD149" i="19"/>
  <c r="AD150" i="19"/>
  <c r="AD145" i="19"/>
  <c r="AD146" i="19"/>
  <c r="AD147" i="19"/>
  <c r="AD141" i="19"/>
  <c r="AD142" i="19"/>
  <c r="AD139" i="19"/>
  <c r="AD137" i="19"/>
  <c r="AD133" i="19"/>
  <c r="AD135" i="19"/>
  <c r="AD134" i="19"/>
  <c r="AD132" i="19"/>
  <c r="AD131" i="19"/>
  <c r="AD130" i="19"/>
  <c r="AD129" i="19"/>
  <c r="AD125" i="19"/>
  <c r="AD127" i="19"/>
  <c r="I122" i="19"/>
  <c r="I120" i="19"/>
  <c r="I118" i="19"/>
  <c r="I116" i="19"/>
  <c r="I114" i="19"/>
  <c r="I112" i="19"/>
  <c r="I110" i="19"/>
  <c r="I108" i="19"/>
  <c r="I106" i="19"/>
  <c r="I104" i="19"/>
  <c r="I102" i="19"/>
  <c r="I100" i="19"/>
  <c r="I98" i="19"/>
  <c r="I96" i="19"/>
  <c r="I94" i="19"/>
  <c r="I92" i="19"/>
  <c r="I90" i="19"/>
  <c r="I88" i="19"/>
  <c r="I86" i="19"/>
  <c r="I84" i="19"/>
  <c r="I82" i="19"/>
  <c r="I80" i="19"/>
  <c r="I78" i="19"/>
  <c r="I76" i="19"/>
  <c r="I74" i="19"/>
  <c r="I72" i="19"/>
  <c r="I70" i="19"/>
  <c r="I68" i="19"/>
  <c r="I66" i="19"/>
  <c r="I64" i="19"/>
  <c r="I62" i="19"/>
  <c r="I60" i="19"/>
  <c r="I58" i="19"/>
  <c r="I56" i="19"/>
  <c r="I54" i="19"/>
  <c r="I52" i="19"/>
  <c r="I50" i="19"/>
  <c r="I48" i="19"/>
  <c r="I46" i="19"/>
  <c r="I44" i="19"/>
  <c r="I42" i="19"/>
  <c r="I40" i="19"/>
  <c r="I38" i="19"/>
  <c r="I36" i="19"/>
  <c r="I34" i="19"/>
  <c r="I32" i="19"/>
  <c r="I30" i="19"/>
  <c r="I28" i="19"/>
  <c r="I26" i="19"/>
  <c r="I24" i="19"/>
  <c r="I22" i="19"/>
  <c r="I20" i="19"/>
  <c r="I18" i="19"/>
  <c r="I16" i="19"/>
  <c r="I14" i="19"/>
  <c r="I12" i="19"/>
  <c r="I10" i="19"/>
  <c r="I8" i="19"/>
  <c r="I6" i="19"/>
  <c r="I4" i="19"/>
  <c r="Y124" i="19"/>
  <c r="Y126" i="19"/>
  <c r="AD126" i="19" l="1"/>
  <c r="AD124" i="19"/>
  <c r="AC123" i="19"/>
  <c r="AB123" i="19"/>
  <c r="AA123" i="19"/>
  <c r="Z123" i="19"/>
  <c r="Y123" i="19"/>
  <c r="X123" i="19"/>
  <c r="W123" i="19"/>
  <c r="V123" i="19"/>
  <c r="T123" i="19"/>
  <c r="R123" i="19"/>
  <c r="Q123" i="19"/>
  <c r="P123" i="19"/>
  <c r="O123" i="19"/>
  <c r="N123" i="19"/>
  <c r="M123" i="19"/>
  <c r="L123" i="19"/>
  <c r="AC122" i="19"/>
  <c r="AB122" i="19"/>
  <c r="AA122" i="19"/>
  <c r="Z122" i="19"/>
  <c r="X122" i="19"/>
  <c r="W122" i="19"/>
  <c r="V122" i="19"/>
  <c r="T122" i="19"/>
  <c r="S122" i="19"/>
  <c r="R122" i="19"/>
  <c r="Q122" i="19"/>
  <c r="P122" i="19"/>
  <c r="O122" i="19"/>
  <c r="N122" i="19"/>
  <c r="M122" i="19"/>
  <c r="L122" i="19"/>
  <c r="AC121" i="19"/>
  <c r="AB121" i="19"/>
  <c r="AA121" i="19"/>
  <c r="Z121" i="19"/>
  <c r="Y121" i="19"/>
  <c r="X121" i="19"/>
  <c r="W121" i="19"/>
  <c r="V121" i="19"/>
  <c r="T121" i="19"/>
  <c r="R121" i="19"/>
  <c r="Q121" i="19"/>
  <c r="P121" i="19"/>
  <c r="O121" i="19"/>
  <c r="N121" i="19"/>
  <c r="M121" i="19"/>
  <c r="L121" i="19"/>
  <c r="AC120" i="19"/>
  <c r="AB120" i="19"/>
  <c r="AA120" i="19"/>
  <c r="Z120" i="19"/>
  <c r="X120" i="19"/>
  <c r="W120" i="19"/>
  <c r="V120" i="19"/>
  <c r="U120" i="19"/>
  <c r="S120" i="19"/>
  <c r="R120" i="19"/>
  <c r="Q120" i="19"/>
  <c r="P120" i="19"/>
  <c r="O120" i="19"/>
  <c r="N120" i="19"/>
  <c r="M120" i="19"/>
  <c r="L120" i="19"/>
  <c r="AC119" i="19"/>
  <c r="AB119" i="19"/>
  <c r="AA119" i="19"/>
  <c r="Z119" i="19"/>
  <c r="X119" i="19"/>
  <c r="W119" i="19"/>
  <c r="V119" i="19"/>
  <c r="U119" i="19"/>
  <c r="S119" i="19"/>
  <c r="R119" i="19"/>
  <c r="Q119" i="19"/>
  <c r="P119" i="19"/>
  <c r="O119" i="19"/>
  <c r="N119" i="19"/>
  <c r="M119" i="19"/>
  <c r="L119" i="19"/>
  <c r="AC118" i="19"/>
  <c r="AB118" i="19"/>
  <c r="AA118" i="19"/>
  <c r="Z118" i="19"/>
  <c r="X118" i="19"/>
  <c r="W118" i="19"/>
  <c r="V118" i="19"/>
  <c r="U118" i="19"/>
  <c r="S118" i="19"/>
  <c r="R118" i="19"/>
  <c r="Q118" i="19"/>
  <c r="P118" i="19"/>
  <c r="O118" i="19"/>
  <c r="N118" i="19"/>
  <c r="M118" i="19"/>
  <c r="L118" i="19"/>
  <c r="AC117" i="19"/>
  <c r="AB117" i="19"/>
  <c r="AA117" i="19"/>
  <c r="Z117" i="19"/>
  <c r="X117" i="19"/>
  <c r="W117" i="19"/>
  <c r="V117" i="19"/>
  <c r="U117" i="19"/>
  <c r="T117" i="19"/>
  <c r="S117" i="19"/>
  <c r="R117" i="19"/>
  <c r="Q117" i="19"/>
  <c r="P117" i="19"/>
  <c r="O117" i="19"/>
  <c r="M117" i="19"/>
  <c r="L117" i="19"/>
  <c r="AC116" i="19"/>
  <c r="AB116" i="19"/>
  <c r="AA116" i="19"/>
  <c r="Z116" i="19"/>
  <c r="W116" i="19"/>
  <c r="V116" i="19"/>
  <c r="U116" i="19"/>
  <c r="T116" i="19"/>
  <c r="S116" i="19"/>
  <c r="R116" i="19"/>
  <c r="Q116" i="19"/>
  <c r="P116" i="19"/>
  <c r="O116" i="19"/>
  <c r="N116" i="19"/>
  <c r="M116" i="19"/>
  <c r="L116" i="19"/>
  <c r="AC115" i="19"/>
  <c r="AB115" i="19"/>
  <c r="AA115" i="19"/>
  <c r="Z115" i="19"/>
  <c r="Y115" i="19"/>
  <c r="X115" i="19"/>
  <c r="W115" i="19"/>
  <c r="V115" i="19"/>
  <c r="U115" i="19"/>
  <c r="S115" i="19"/>
  <c r="Q115" i="19"/>
  <c r="P115" i="19"/>
  <c r="O115" i="19"/>
  <c r="N115" i="19"/>
  <c r="M115" i="19"/>
  <c r="L115" i="19"/>
  <c r="AC114" i="19"/>
  <c r="AB114" i="19"/>
  <c r="AA114" i="19"/>
  <c r="Z114" i="19"/>
  <c r="Y114" i="19"/>
  <c r="X114" i="19"/>
  <c r="W114" i="19"/>
  <c r="V114" i="19"/>
  <c r="U114" i="19"/>
  <c r="T114" i="19"/>
  <c r="S114" i="19"/>
  <c r="P114" i="19"/>
  <c r="O114" i="19"/>
  <c r="N114" i="19"/>
  <c r="M114" i="19"/>
  <c r="L114" i="19"/>
  <c r="AC113" i="19"/>
  <c r="AB113" i="19"/>
  <c r="AA113" i="19"/>
  <c r="Z113" i="19"/>
  <c r="Y113" i="19"/>
  <c r="X113" i="19"/>
  <c r="W113" i="19"/>
  <c r="V113" i="19"/>
  <c r="U113" i="19"/>
  <c r="T113" i="19"/>
  <c r="R113" i="19"/>
  <c r="P113" i="19"/>
  <c r="O113" i="19"/>
  <c r="N113" i="19"/>
  <c r="M113" i="19"/>
  <c r="L113" i="19"/>
  <c r="AC112" i="19"/>
  <c r="AB112" i="19"/>
  <c r="AA112" i="19"/>
  <c r="Z112" i="19"/>
  <c r="Y112" i="19"/>
  <c r="X112" i="19"/>
  <c r="W112" i="19"/>
  <c r="V112" i="19"/>
  <c r="U112" i="19"/>
  <c r="R112" i="19"/>
  <c r="Q112" i="19"/>
  <c r="P112" i="19"/>
  <c r="O112" i="19"/>
  <c r="N112" i="19"/>
  <c r="M112" i="19"/>
  <c r="L112" i="19"/>
  <c r="AC111" i="19"/>
  <c r="AB111" i="19"/>
  <c r="AA111" i="19"/>
  <c r="Z111" i="19"/>
  <c r="Y111" i="19"/>
  <c r="X111" i="19"/>
  <c r="W111" i="19"/>
  <c r="V111" i="19"/>
  <c r="U111" i="19"/>
  <c r="T111" i="19"/>
  <c r="R111" i="19"/>
  <c r="P111" i="19"/>
  <c r="O111" i="19"/>
  <c r="N111" i="19"/>
  <c r="M111" i="19"/>
  <c r="L111" i="19"/>
  <c r="AC110" i="19"/>
  <c r="AB110" i="19"/>
  <c r="AA110" i="19"/>
  <c r="Z110" i="19"/>
  <c r="X110" i="19"/>
  <c r="V110" i="19"/>
  <c r="U110" i="19"/>
  <c r="T110" i="19"/>
  <c r="S110" i="19"/>
  <c r="R110" i="19"/>
  <c r="Q110" i="19"/>
  <c r="P110" i="19"/>
  <c r="O110" i="19"/>
  <c r="N110" i="19"/>
  <c r="M110" i="19"/>
  <c r="L110" i="19"/>
  <c r="AC109" i="19"/>
  <c r="AB109" i="19"/>
  <c r="AA109" i="19"/>
  <c r="Z109" i="19"/>
  <c r="Y109" i="19"/>
  <c r="X109" i="19"/>
  <c r="W109" i="19"/>
  <c r="V109" i="19"/>
  <c r="U109" i="19"/>
  <c r="T109" i="19"/>
  <c r="S109" i="19"/>
  <c r="P109" i="19"/>
  <c r="O109" i="19"/>
  <c r="N109" i="19"/>
  <c r="M109" i="19"/>
  <c r="L109" i="19"/>
  <c r="AC108" i="19"/>
  <c r="AB108" i="19"/>
  <c r="AA108" i="19"/>
  <c r="Z108" i="19"/>
  <c r="Y108" i="19"/>
  <c r="V108" i="19"/>
  <c r="U108" i="19"/>
  <c r="T108" i="19"/>
  <c r="S108" i="19"/>
  <c r="R108" i="19"/>
  <c r="Q108" i="19"/>
  <c r="P108" i="19"/>
  <c r="O108" i="19"/>
  <c r="N108" i="19"/>
  <c r="M108" i="19"/>
  <c r="L108" i="19"/>
  <c r="AC107" i="19"/>
  <c r="AB107" i="19"/>
  <c r="AA107" i="19"/>
  <c r="Z107" i="19"/>
  <c r="Y107" i="19"/>
  <c r="X107" i="19"/>
  <c r="W107" i="19"/>
  <c r="V107" i="19"/>
  <c r="U107" i="19"/>
  <c r="T107" i="19"/>
  <c r="S107" i="19"/>
  <c r="Q107" i="19"/>
  <c r="O107" i="19"/>
  <c r="N107" i="19"/>
  <c r="M107" i="19"/>
  <c r="L107" i="19"/>
  <c r="AC106" i="19"/>
  <c r="AB106" i="19"/>
  <c r="AA106" i="19"/>
  <c r="Z106" i="19"/>
  <c r="W106" i="19"/>
  <c r="V106" i="19"/>
  <c r="U106" i="19"/>
  <c r="T106" i="19"/>
  <c r="S106" i="19"/>
  <c r="R106" i="19"/>
  <c r="Q106" i="19"/>
  <c r="P106" i="19"/>
  <c r="O106" i="19"/>
  <c r="N106" i="19"/>
  <c r="M106" i="19"/>
  <c r="L106" i="19"/>
  <c r="AC105" i="19"/>
  <c r="AB105" i="19"/>
  <c r="AA105" i="19"/>
  <c r="Z105" i="19"/>
  <c r="Y105" i="19"/>
  <c r="X105" i="19"/>
  <c r="W105" i="19"/>
  <c r="V105" i="19"/>
  <c r="U105" i="19"/>
  <c r="T105" i="19"/>
  <c r="R105" i="19"/>
  <c r="Q105" i="19"/>
  <c r="O105" i="19"/>
  <c r="N105" i="19"/>
  <c r="M105" i="19"/>
  <c r="L105" i="19"/>
  <c r="AC104" i="19"/>
  <c r="AB104" i="19"/>
  <c r="AA104" i="19"/>
  <c r="Z104" i="19"/>
  <c r="Y104" i="19"/>
  <c r="W104" i="19"/>
  <c r="V104" i="19"/>
  <c r="U104" i="19"/>
  <c r="T104" i="19"/>
  <c r="S104" i="19"/>
  <c r="R104" i="19"/>
  <c r="Q104" i="19"/>
  <c r="P104" i="19"/>
  <c r="O104" i="19"/>
  <c r="N104" i="19"/>
  <c r="M104" i="19"/>
  <c r="L104" i="19"/>
  <c r="AC103" i="19"/>
  <c r="AB103" i="19"/>
  <c r="AA103" i="19"/>
  <c r="Z103" i="19"/>
  <c r="Y103" i="19"/>
  <c r="X103" i="19"/>
  <c r="W103" i="19"/>
  <c r="V103" i="19"/>
  <c r="U103" i="19"/>
  <c r="T103" i="19"/>
  <c r="R103" i="19"/>
  <c r="Q103" i="19"/>
  <c r="O103" i="19"/>
  <c r="N103" i="19"/>
  <c r="M103" i="19"/>
  <c r="L103" i="19"/>
  <c r="AC102" i="19"/>
  <c r="AB102" i="19"/>
  <c r="AA102" i="19"/>
  <c r="Z102" i="19"/>
  <c r="Y102" i="19"/>
  <c r="W102" i="19"/>
  <c r="V102" i="19"/>
  <c r="T102" i="19"/>
  <c r="S102" i="19"/>
  <c r="R102" i="19"/>
  <c r="Q102" i="19"/>
  <c r="P102" i="19"/>
  <c r="O102" i="19"/>
  <c r="N102" i="19"/>
  <c r="M102" i="19"/>
  <c r="L102" i="19"/>
  <c r="AC101" i="19"/>
  <c r="AB101" i="19"/>
  <c r="AA101" i="19"/>
  <c r="Z101" i="19"/>
  <c r="Y101" i="19"/>
  <c r="X101" i="19"/>
  <c r="W101" i="19"/>
  <c r="V101" i="19"/>
  <c r="U101" i="19"/>
  <c r="T101" i="19"/>
  <c r="R101" i="19"/>
  <c r="P101" i="19"/>
  <c r="O101" i="19"/>
  <c r="N101" i="19"/>
  <c r="M101" i="19"/>
  <c r="L101" i="19"/>
  <c r="AC100" i="19"/>
  <c r="AB100" i="19"/>
  <c r="AA100" i="19"/>
  <c r="Z100" i="19"/>
  <c r="Y100" i="19"/>
  <c r="X100" i="19"/>
  <c r="W100" i="19"/>
  <c r="V100" i="19"/>
  <c r="U100" i="19"/>
  <c r="S100" i="19"/>
  <c r="Q100" i="19"/>
  <c r="P100" i="19"/>
  <c r="O100" i="19"/>
  <c r="N100" i="19"/>
  <c r="M100" i="19"/>
  <c r="L100" i="19"/>
  <c r="AC99" i="19"/>
  <c r="AB99" i="19"/>
  <c r="AA99" i="19"/>
  <c r="Z99" i="19"/>
  <c r="Y99" i="19"/>
  <c r="X99" i="19"/>
  <c r="W99" i="19"/>
  <c r="V99" i="19"/>
  <c r="U99" i="19"/>
  <c r="R99" i="19"/>
  <c r="Q99" i="19"/>
  <c r="P99" i="19"/>
  <c r="O99" i="19"/>
  <c r="N99" i="19"/>
  <c r="M99" i="19"/>
  <c r="L99" i="19"/>
  <c r="AC98" i="19"/>
  <c r="AB98" i="19"/>
  <c r="AA98" i="19"/>
  <c r="Z98" i="19"/>
  <c r="Y98" i="19"/>
  <c r="X98" i="19"/>
  <c r="W98" i="19"/>
  <c r="V98" i="19"/>
  <c r="U98" i="19"/>
  <c r="S98" i="19"/>
  <c r="R98" i="19"/>
  <c r="Q98" i="19"/>
  <c r="O98" i="19"/>
  <c r="N98" i="19"/>
  <c r="M98" i="19"/>
  <c r="L98" i="19"/>
  <c r="AC97" i="19"/>
  <c r="AB97" i="19"/>
  <c r="AA97" i="19"/>
  <c r="Z97" i="19"/>
  <c r="Y97" i="19"/>
  <c r="W97" i="19"/>
  <c r="V97" i="19"/>
  <c r="U97" i="19"/>
  <c r="T97" i="19"/>
  <c r="S97" i="19"/>
  <c r="R97" i="19"/>
  <c r="Q97" i="19"/>
  <c r="P97" i="19"/>
  <c r="O97" i="19"/>
  <c r="M97" i="19"/>
  <c r="L97" i="19"/>
  <c r="AC96" i="19"/>
  <c r="AB96" i="19"/>
  <c r="AA96" i="19"/>
  <c r="Z96" i="19"/>
  <c r="Y96" i="19"/>
  <c r="W96" i="19"/>
  <c r="V96" i="19"/>
  <c r="T96" i="19"/>
  <c r="S96" i="19"/>
  <c r="R96" i="19"/>
  <c r="Q96" i="19"/>
  <c r="P96" i="19"/>
  <c r="O96" i="19"/>
  <c r="N96" i="19"/>
  <c r="M96" i="19"/>
  <c r="L96" i="19"/>
  <c r="AC95" i="19"/>
  <c r="AB95" i="19"/>
  <c r="AA95" i="19"/>
  <c r="Z95" i="19"/>
  <c r="Y95" i="19"/>
  <c r="X95" i="19"/>
  <c r="W95" i="19"/>
  <c r="V95" i="19"/>
  <c r="U95" i="19"/>
  <c r="T95" i="19"/>
  <c r="S95" i="19"/>
  <c r="Q95" i="19"/>
  <c r="P95" i="19"/>
  <c r="N95" i="19"/>
  <c r="M95" i="19"/>
  <c r="L95" i="19"/>
  <c r="AC94" i="19"/>
  <c r="AB94" i="19"/>
  <c r="AA94" i="19"/>
  <c r="Z94" i="19"/>
  <c r="Y94" i="19"/>
  <c r="X94" i="19"/>
  <c r="W94" i="19"/>
  <c r="V94" i="19"/>
  <c r="U94" i="19"/>
  <c r="T94" i="19"/>
  <c r="S94" i="19"/>
  <c r="Q94" i="19"/>
  <c r="P94" i="19"/>
  <c r="O94" i="19"/>
  <c r="M94" i="19"/>
  <c r="L94" i="19"/>
  <c r="AC93" i="19"/>
  <c r="AB93" i="19"/>
  <c r="AA93" i="19"/>
  <c r="Z93" i="19"/>
  <c r="Y93" i="19"/>
  <c r="X93" i="19"/>
  <c r="W93" i="19"/>
  <c r="V93" i="19"/>
  <c r="U93" i="19"/>
  <c r="T93" i="19"/>
  <c r="S93" i="19"/>
  <c r="R93" i="19"/>
  <c r="P93" i="19"/>
  <c r="O93" i="19"/>
  <c r="M93" i="19"/>
  <c r="L93" i="19"/>
  <c r="AC92" i="19"/>
  <c r="AB92" i="19"/>
  <c r="AA92" i="19"/>
  <c r="Z92" i="19"/>
  <c r="Y92" i="19"/>
  <c r="X92" i="19"/>
  <c r="W92" i="19"/>
  <c r="V92" i="19"/>
  <c r="U92" i="19"/>
  <c r="T92" i="19"/>
  <c r="R92" i="19"/>
  <c r="Q92" i="19"/>
  <c r="P92" i="19"/>
  <c r="N92" i="19"/>
  <c r="M92" i="19"/>
  <c r="L92" i="19"/>
  <c r="AC91" i="19"/>
  <c r="AB91" i="19"/>
  <c r="AA91" i="19"/>
  <c r="Z91" i="19"/>
  <c r="Y91" i="19"/>
  <c r="X91" i="19"/>
  <c r="W91" i="19"/>
  <c r="V91" i="19"/>
  <c r="U91" i="19"/>
  <c r="T91" i="19"/>
  <c r="S91" i="19"/>
  <c r="R91" i="19"/>
  <c r="P91" i="19"/>
  <c r="O91" i="19"/>
  <c r="M91" i="19"/>
  <c r="L91" i="19"/>
  <c r="AC90" i="19"/>
  <c r="AB90" i="19"/>
  <c r="AA90" i="19"/>
  <c r="Z90" i="19"/>
  <c r="X90" i="19"/>
  <c r="W90" i="19"/>
  <c r="V90" i="19"/>
  <c r="U90" i="19"/>
  <c r="T90" i="19"/>
  <c r="S90" i="19"/>
  <c r="R90" i="19"/>
  <c r="Q90" i="19"/>
  <c r="P90" i="19"/>
  <c r="O90" i="19"/>
  <c r="M90" i="19"/>
  <c r="L90" i="19"/>
  <c r="AC89" i="19"/>
  <c r="AB89" i="19"/>
  <c r="AA89" i="19"/>
  <c r="Z89" i="19"/>
  <c r="Y89" i="19"/>
  <c r="W89" i="19"/>
  <c r="V89" i="19"/>
  <c r="U89" i="19"/>
  <c r="T89" i="19"/>
  <c r="S89" i="19"/>
  <c r="R89" i="19"/>
  <c r="P89" i="19"/>
  <c r="O89" i="19"/>
  <c r="M89" i="19"/>
  <c r="L89" i="19"/>
  <c r="AC88" i="19"/>
  <c r="AB88" i="19"/>
  <c r="AA88" i="19"/>
  <c r="Z88" i="19"/>
  <c r="Y88" i="19"/>
  <c r="W88" i="19"/>
  <c r="V88" i="19"/>
  <c r="U88" i="19"/>
  <c r="T88" i="19"/>
  <c r="S88" i="19"/>
  <c r="R88" i="19"/>
  <c r="Q88" i="19"/>
  <c r="P88" i="19"/>
  <c r="O88" i="19"/>
  <c r="M88" i="19"/>
  <c r="L88" i="19"/>
  <c r="X89" i="19"/>
  <c r="T120" i="19"/>
  <c r="Y110" i="19"/>
  <c r="X116" i="19"/>
  <c r="X108" i="19"/>
  <c r="T118" i="19"/>
  <c r="Q111" i="19"/>
  <c r="N117" i="19"/>
  <c r="S121" i="19"/>
  <c r="Q113" i="19"/>
  <c r="Q109" i="19"/>
  <c r="S123" i="19"/>
  <c r="R114" i="19"/>
  <c r="P107" i="19"/>
  <c r="X102" i="19"/>
  <c r="N90" i="19"/>
  <c r="P103" i="19"/>
  <c r="P98" i="19"/>
  <c r="N94" i="19"/>
  <c r="N91" i="19"/>
  <c r="Q101" i="19"/>
  <c r="O95" i="19"/>
  <c r="X97" i="19"/>
  <c r="P105" i="19"/>
  <c r="N88" i="19"/>
  <c r="S99" i="19"/>
  <c r="N93" i="19"/>
  <c r="S111" i="19"/>
  <c r="X96" i="19"/>
  <c r="U102" i="19"/>
  <c r="Y90" i="19"/>
  <c r="S105" i="19"/>
  <c r="U121" i="19"/>
  <c r="Q89" i="19"/>
  <c r="Y116" i="19"/>
  <c r="Y119" i="19"/>
  <c r="T100" i="19"/>
  <c r="R94" i="19"/>
  <c r="R109" i="19"/>
  <c r="Y122" i="19"/>
  <c r="S113" i="19"/>
  <c r="T99" i="19"/>
  <c r="N97" i="19"/>
  <c r="Y106" i="19"/>
  <c r="Y117" i="19"/>
  <c r="S103" i="19"/>
  <c r="X88" i="19"/>
  <c r="U123" i="19"/>
  <c r="Y118" i="19"/>
  <c r="R107" i="19"/>
  <c r="Q91" i="19"/>
  <c r="W108" i="19"/>
  <c r="W110" i="19"/>
  <c r="Q93" i="19"/>
  <c r="Y120" i="19"/>
  <c r="T98" i="19"/>
  <c r="T112" i="19"/>
  <c r="Q114" i="19"/>
  <c r="S92" i="19"/>
  <c r="R95" i="19"/>
  <c r="T115" i="19"/>
  <c r="S101" i="19"/>
  <c r="AD109" i="19" l="1"/>
  <c r="AD111" i="19"/>
  <c r="AD118" i="19"/>
  <c r="AD93" i="19"/>
  <c r="AD117" i="19"/>
  <c r="AD95" i="19"/>
  <c r="AD101" i="19"/>
  <c r="AD103" i="19"/>
  <c r="AD90" i="19"/>
  <c r="AD91" i="19"/>
  <c r="AD94" i="19"/>
  <c r="AD97" i="19"/>
  <c r="AD98" i="19"/>
  <c r="AD99" i="19"/>
  <c r="AD102" i="19"/>
  <c r="AD88" i="19"/>
  <c r="AD105" i="19"/>
  <c r="AD107" i="19"/>
  <c r="AD108" i="19"/>
  <c r="AD110" i="19"/>
  <c r="AD113" i="19"/>
  <c r="AD114" i="19"/>
  <c r="AD116" i="19"/>
  <c r="AD120" i="19"/>
  <c r="AD121" i="19"/>
  <c r="AD123" i="19"/>
  <c r="AC87" i="19"/>
  <c r="AB87" i="19"/>
  <c r="AA87" i="19"/>
  <c r="Z87" i="19"/>
  <c r="Y87" i="19"/>
  <c r="X87" i="19"/>
  <c r="W87" i="19"/>
  <c r="V87" i="19"/>
  <c r="U87" i="19"/>
  <c r="T87" i="19"/>
  <c r="S87" i="19"/>
  <c r="R87" i="19"/>
  <c r="Q87" i="19"/>
  <c r="O87" i="19"/>
  <c r="N87" i="19"/>
  <c r="M87" i="19"/>
  <c r="L87" i="19"/>
  <c r="AC86" i="19"/>
  <c r="AB86" i="19"/>
  <c r="AA86" i="19"/>
  <c r="Z86" i="19"/>
  <c r="Y86" i="19"/>
  <c r="W86" i="19"/>
  <c r="V86" i="19"/>
  <c r="U86" i="19"/>
  <c r="T86" i="19"/>
  <c r="S86" i="19"/>
  <c r="R86" i="19"/>
  <c r="Q86" i="19"/>
  <c r="P86" i="19"/>
  <c r="O86" i="19"/>
  <c r="N86" i="19"/>
  <c r="M86" i="19"/>
  <c r="L86" i="19"/>
  <c r="AC85" i="19"/>
  <c r="AB85" i="19"/>
  <c r="AA85" i="19"/>
  <c r="Z85" i="19"/>
  <c r="Y85" i="19"/>
  <c r="X85" i="19"/>
  <c r="W85" i="19"/>
  <c r="V85" i="19"/>
  <c r="U85" i="19"/>
  <c r="T85" i="19"/>
  <c r="S85" i="19"/>
  <c r="R85" i="19"/>
  <c r="Q85" i="19"/>
  <c r="O85" i="19"/>
  <c r="N85" i="19"/>
  <c r="M85" i="19"/>
  <c r="L85" i="19"/>
  <c r="AC84" i="19"/>
  <c r="AB84" i="19"/>
  <c r="AA84" i="19"/>
  <c r="Z84" i="19"/>
  <c r="Y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AC83" i="19"/>
  <c r="AB83" i="19"/>
  <c r="AA83" i="19"/>
  <c r="Z83" i="19"/>
  <c r="Y83" i="19"/>
  <c r="X83" i="19"/>
  <c r="W83" i="19"/>
  <c r="V83" i="19"/>
  <c r="U83" i="19"/>
  <c r="T83" i="19"/>
  <c r="S83" i="19"/>
  <c r="R83" i="19"/>
  <c r="Q83" i="19"/>
  <c r="O83" i="19"/>
  <c r="N83" i="19"/>
  <c r="M83" i="19"/>
  <c r="L83" i="19"/>
  <c r="AC82" i="19"/>
  <c r="AB82" i="19"/>
  <c r="AA82" i="19"/>
  <c r="Z82" i="19"/>
  <c r="Y82" i="19"/>
  <c r="W82" i="19"/>
  <c r="V82" i="19"/>
  <c r="U82" i="19"/>
  <c r="T82" i="19"/>
  <c r="S82" i="19"/>
  <c r="R82" i="19"/>
  <c r="Q82" i="19"/>
  <c r="P82" i="19"/>
  <c r="O82" i="19"/>
  <c r="N82" i="19"/>
  <c r="M82" i="19"/>
  <c r="L82" i="19"/>
  <c r="AC81" i="19"/>
  <c r="AB81" i="19"/>
  <c r="AA81" i="19"/>
  <c r="Z81" i="19"/>
  <c r="Y81" i="19"/>
  <c r="X81" i="19"/>
  <c r="W81" i="19"/>
  <c r="V81" i="19"/>
  <c r="U81" i="19"/>
  <c r="T81" i="19"/>
  <c r="S81" i="19"/>
  <c r="R81" i="19"/>
  <c r="P81" i="19"/>
  <c r="O81" i="19"/>
  <c r="N81" i="19"/>
  <c r="M81" i="19"/>
  <c r="L81" i="19"/>
  <c r="AC80" i="19"/>
  <c r="AB80" i="19"/>
  <c r="AA80" i="19"/>
  <c r="Z80" i="19"/>
  <c r="Y80" i="19"/>
  <c r="X80" i="19"/>
  <c r="W80" i="19"/>
  <c r="V80" i="19"/>
  <c r="U80" i="19"/>
  <c r="T80" i="19"/>
  <c r="S80" i="19"/>
  <c r="Q80" i="19"/>
  <c r="P80" i="19"/>
  <c r="O80" i="19"/>
  <c r="N80" i="19"/>
  <c r="M80" i="19"/>
  <c r="L80" i="19"/>
  <c r="AC79" i="19"/>
  <c r="AB79" i="19"/>
  <c r="AA79" i="19"/>
  <c r="Z79" i="19"/>
  <c r="Y79" i="19"/>
  <c r="X79" i="19"/>
  <c r="W79" i="19"/>
  <c r="V79" i="19"/>
  <c r="U79" i="19"/>
  <c r="T79" i="19"/>
  <c r="R79" i="19"/>
  <c r="Q79" i="19"/>
  <c r="P79" i="19"/>
  <c r="O79" i="19"/>
  <c r="N79" i="19"/>
  <c r="M79" i="19"/>
  <c r="L79" i="19"/>
  <c r="AC78" i="19"/>
  <c r="AB78" i="19"/>
  <c r="AA78" i="19"/>
  <c r="Z78" i="19"/>
  <c r="Y78" i="19"/>
  <c r="X78" i="19"/>
  <c r="W78" i="19"/>
  <c r="V78" i="19"/>
  <c r="U78" i="19"/>
  <c r="T78" i="19"/>
  <c r="S78" i="19"/>
  <c r="R78" i="19"/>
  <c r="Q78" i="19"/>
  <c r="O78" i="19"/>
  <c r="N78" i="19"/>
  <c r="M78" i="19"/>
  <c r="L78" i="19"/>
  <c r="AC77" i="19"/>
  <c r="AB77" i="19"/>
  <c r="AA77" i="19"/>
  <c r="Z77" i="19"/>
  <c r="Y77" i="19"/>
  <c r="W77" i="19"/>
  <c r="V77" i="19"/>
  <c r="U77" i="19"/>
  <c r="T77" i="19"/>
  <c r="S77" i="19"/>
  <c r="R77" i="19"/>
  <c r="Q77" i="19"/>
  <c r="P77" i="19"/>
  <c r="O77" i="19"/>
  <c r="N77" i="19"/>
  <c r="M77" i="19"/>
  <c r="L77" i="19"/>
  <c r="AC76" i="19"/>
  <c r="AB76" i="19"/>
  <c r="AA76" i="19"/>
  <c r="Z76" i="19"/>
  <c r="Y76" i="19"/>
  <c r="X76" i="19"/>
  <c r="W76" i="19"/>
  <c r="V76" i="19"/>
  <c r="T76" i="19"/>
  <c r="S76" i="19"/>
  <c r="R76" i="19"/>
  <c r="Q76" i="19"/>
  <c r="P76" i="19"/>
  <c r="O76" i="19"/>
  <c r="N76" i="19"/>
  <c r="M76" i="19"/>
  <c r="L76" i="19"/>
  <c r="AC75" i="19"/>
  <c r="AB75" i="19"/>
  <c r="AA75" i="19"/>
  <c r="Z75" i="19"/>
  <c r="Y75" i="19"/>
  <c r="X75" i="19"/>
  <c r="W75" i="19"/>
  <c r="V75" i="19"/>
  <c r="U75" i="19"/>
  <c r="T75" i="19"/>
  <c r="S75" i="19"/>
  <c r="R75" i="19"/>
  <c r="Q75" i="19"/>
  <c r="P75" i="19"/>
  <c r="N75" i="19"/>
  <c r="M75" i="19"/>
  <c r="L75" i="19"/>
  <c r="AC74" i="19"/>
  <c r="AB74" i="19"/>
  <c r="AA74" i="19"/>
  <c r="Z74" i="19"/>
  <c r="Y74" i="19"/>
  <c r="X74" i="19"/>
  <c r="W74" i="19"/>
  <c r="V74" i="19"/>
  <c r="U74" i="19"/>
  <c r="T74" i="19"/>
  <c r="S74" i="19"/>
  <c r="R74" i="19"/>
  <c r="Q74" i="19"/>
  <c r="P74" i="19"/>
  <c r="O74" i="19"/>
  <c r="M74" i="19"/>
  <c r="L74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M73" i="19"/>
  <c r="L73" i="19"/>
  <c r="AC72" i="19"/>
  <c r="AB72" i="19"/>
  <c r="AA72" i="19"/>
  <c r="Z72" i="19"/>
  <c r="Y72" i="19"/>
  <c r="X72" i="19"/>
  <c r="W72" i="19"/>
  <c r="V72" i="19"/>
  <c r="U72" i="19"/>
  <c r="T72" i="19"/>
  <c r="S72" i="19"/>
  <c r="R72" i="19"/>
  <c r="Q72" i="19"/>
  <c r="P72" i="19"/>
  <c r="N72" i="19"/>
  <c r="M72" i="19"/>
  <c r="L72" i="19"/>
  <c r="AC71" i="19"/>
  <c r="AB71" i="19"/>
  <c r="AA71" i="19"/>
  <c r="Z71" i="19"/>
  <c r="Y71" i="19"/>
  <c r="X71" i="19"/>
  <c r="W71" i="19"/>
  <c r="V71" i="19"/>
  <c r="U71" i="19"/>
  <c r="T71" i="19"/>
  <c r="S71" i="19"/>
  <c r="R71" i="19"/>
  <c r="Q71" i="19"/>
  <c r="P71" i="19"/>
  <c r="O71" i="19"/>
  <c r="M71" i="19"/>
  <c r="L71" i="19"/>
  <c r="AC70" i="19"/>
  <c r="AB70" i="19"/>
  <c r="AA70" i="19"/>
  <c r="Z70" i="19"/>
  <c r="Y70" i="19"/>
  <c r="X70" i="19"/>
  <c r="W70" i="19"/>
  <c r="V70" i="19"/>
  <c r="U70" i="19"/>
  <c r="T70" i="19"/>
  <c r="S70" i="19"/>
  <c r="R70" i="19"/>
  <c r="Q70" i="19"/>
  <c r="P70" i="19"/>
  <c r="O70" i="19"/>
  <c r="M70" i="19"/>
  <c r="L70" i="19"/>
  <c r="AC69" i="19"/>
  <c r="AB69" i="19"/>
  <c r="AA69" i="19"/>
  <c r="Z69" i="19"/>
  <c r="Y69" i="19"/>
  <c r="X69" i="19"/>
  <c r="W69" i="19"/>
  <c r="V69" i="19"/>
  <c r="U69" i="19"/>
  <c r="T69" i="19"/>
  <c r="S69" i="19"/>
  <c r="R69" i="19"/>
  <c r="Q69" i="19"/>
  <c r="P69" i="19"/>
  <c r="O69" i="19"/>
  <c r="M69" i="19"/>
  <c r="L69" i="19"/>
  <c r="AC68" i="19"/>
  <c r="AB68" i="19"/>
  <c r="AA68" i="19"/>
  <c r="Z68" i="19"/>
  <c r="Y68" i="19"/>
  <c r="X68" i="19"/>
  <c r="W68" i="19"/>
  <c r="V68" i="19"/>
  <c r="U68" i="19"/>
  <c r="T68" i="19"/>
  <c r="S68" i="19"/>
  <c r="R68" i="19"/>
  <c r="Q68" i="19"/>
  <c r="P68" i="19"/>
  <c r="O68" i="19"/>
  <c r="M68" i="19"/>
  <c r="L68" i="19"/>
  <c r="AC67" i="19"/>
  <c r="AB67" i="19"/>
  <c r="AA67" i="19"/>
  <c r="Z67" i="19"/>
  <c r="Y67" i="19"/>
  <c r="X67" i="19"/>
  <c r="W67" i="19"/>
  <c r="V67" i="19"/>
  <c r="U67" i="19"/>
  <c r="T67" i="19"/>
  <c r="S67" i="19"/>
  <c r="R67" i="19"/>
  <c r="Q67" i="19"/>
  <c r="P67" i="19"/>
  <c r="O67" i="19"/>
  <c r="M67" i="19"/>
  <c r="L67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M66" i="19"/>
  <c r="L66" i="19"/>
  <c r="AC65" i="19"/>
  <c r="AB65" i="19"/>
  <c r="AA65" i="19"/>
  <c r="Z65" i="19"/>
  <c r="Y65" i="19"/>
  <c r="X65" i="19"/>
  <c r="W65" i="19"/>
  <c r="V65" i="19"/>
  <c r="U65" i="19"/>
  <c r="T65" i="19"/>
  <c r="S65" i="19"/>
  <c r="R65" i="19"/>
  <c r="Q65" i="19"/>
  <c r="P65" i="19"/>
  <c r="O65" i="19"/>
  <c r="M65" i="19"/>
  <c r="L65" i="19"/>
  <c r="AC64" i="19"/>
  <c r="AB64" i="19"/>
  <c r="AA64" i="19"/>
  <c r="Z64" i="19"/>
  <c r="Y64" i="19"/>
  <c r="X64" i="19"/>
  <c r="W64" i="19"/>
  <c r="V64" i="19"/>
  <c r="U64" i="19"/>
  <c r="T64" i="19"/>
  <c r="S64" i="19"/>
  <c r="R64" i="19"/>
  <c r="Q64" i="19"/>
  <c r="P64" i="19"/>
  <c r="O64" i="19"/>
  <c r="M64" i="19"/>
  <c r="L64" i="19"/>
  <c r="AC63" i="19"/>
  <c r="AB63" i="19"/>
  <c r="AA63" i="19"/>
  <c r="Z63" i="19"/>
  <c r="Y63" i="19"/>
  <c r="X63" i="19"/>
  <c r="W63" i="19"/>
  <c r="V63" i="19"/>
  <c r="U63" i="19"/>
  <c r="T63" i="19"/>
  <c r="S63" i="19"/>
  <c r="R63" i="19"/>
  <c r="Q63" i="19"/>
  <c r="P63" i="19"/>
  <c r="O63" i="19"/>
  <c r="M63" i="19"/>
  <c r="L63" i="19"/>
  <c r="AC62" i="19"/>
  <c r="AB62" i="19"/>
  <c r="AA62" i="19"/>
  <c r="Z62" i="19"/>
  <c r="Y62" i="19"/>
  <c r="X62" i="19"/>
  <c r="W62" i="19"/>
  <c r="V62" i="19"/>
  <c r="U62" i="19"/>
  <c r="T62" i="19"/>
  <c r="S62" i="19"/>
  <c r="R62" i="19"/>
  <c r="Q62" i="19"/>
  <c r="P62" i="19"/>
  <c r="O62" i="19"/>
  <c r="M62" i="19"/>
  <c r="L62" i="19"/>
  <c r="AC61" i="19"/>
  <c r="AB61" i="19"/>
  <c r="AA61" i="19"/>
  <c r="Z61" i="19"/>
  <c r="Y61" i="19"/>
  <c r="X61" i="19"/>
  <c r="W61" i="19"/>
  <c r="V61" i="19"/>
  <c r="U61" i="19"/>
  <c r="T61" i="19"/>
  <c r="S61" i="19"/>
  <c r="R61" i="19"/>
  <c r="Q61" i="19"/>
  <c r="P61" i="19"/>
  <c r="O61" i="19"/>
  <c r="M61" i="19"/>
  <c r="L61" i="19"/>
  <c r="AC60" i="19"/>
  <c r="AB60" i="19"/>
  <c r="AA60" i="19"/>
  <c r="Z60" i="19"/>
  <c r="Y60" i="19"/>
  <c r="X60" i="19"/>
  <c r="W60" i="19"/>
  <c r="V60" i="19"/>
  <c r="U60" i="19"/>
  <c r="T60" i="19"/>
  <c r="S60" i="19"/>
  <c r="R60" i="19"/>
  <c r="Q60" i="19"/>
  <c r="P60" i="19"/>
  <c r="O60" i="19"/>
  <c r="M60" i="19"/>
  <c r="L60" i="19"/>
  <c r="AC59" i="19"/>
  <c r="AB59" i="19"/>
  <c r="AA59" i="19"/>
  <c r="Z59" i="19"/>
  <c r="Y59" i="19"/>
  <c r="X59" i="19"/>
  <c r="W59" i="19"/>
  <c r="V59" i="19"/>
  <c r="U59" i="19"/>
  <c r="T59" i="19"/>
  <c r="S59" i="19"/>
  <c r="R59" i="19"/>
  <c r="Q59" i="19"/>
  <c r="O59" i="19"/>
  <c r="N59" i="19"/>
  <c r="M59" i="19"/>
  <c r="L59" i="19"/>
  <c r="AC58" i="19"/>
  <c r="AB58" i="19"/>
  <c r="AA58" i="19"/>
  <c r="Z58" i="19"/>
  <c r="Y58" i="19"/>
  <c r="X58" i="19"/>
  <c r="W58" i="19"/>
  <c r="V58" i="19"/>
  <c r="U58" i="19"/>
  <c r="T58" i="19"/>
  <c r="S58" i="19"/>
  <c r="R58" i="19"/>
  <c r="Q58" i="19"/>
  <c r="P58" i="19"/>
  <c r="O58" i="19"/>
  <c r="M58" i="19"/>
  <c r="L58" i="19"/>
  <c r="AC57" i="19"/>
  <c r="AB57" i="19"/>
  <c r="AA57" i="19"/>
  <c r="Z57" i="19"/>
  <c r="Y57" i="19"/>
  <c r="X57" i="19"/>
  <c r="W57" i="19"/>
  <c r="V57" i="19"/>
  <c r="U57" i="19"/>
  <c r="T57" i="19"/>
  <c r="S57" i="19"/>
  <c r="R57" i="19"/>
  <c r="Q57" i="19"/>
  <c r="P57" i="19"/>
  <c r="O57" i="19"/>
  <c r="M57" i="19"/>
  <c r="L57" i="19"/>
  <c r="AC56" i="19"/>
  <c r="AB56" i="19"/>
  <c r="AA56" i="19"/>
  <c r="Z56" i="19"/>
  <c r="Y56" i="19"/>
  <c r="X56" i="19"/>
  <c r="W56" i="19"/>
  <c r="V56" i="19"/>
  <c r="U56" i="19"/>
  <c r="T56" i="19"/>
  <c r="S56" i="19"/>
  <c r="R56" i="19"/>
  <c r="Q56" i="19"/>
  <c r="P56" i="19"/>
  <c r="N56" i="19"/>
  <c r="M56" i="19"/>
  <c r="L56" i="19"/>
  <c r="AC55" i="19"/>
  <c r="AB55" i="19"/>
  <c r="AA55" i="19"/>
  <c r="Z55" i="19"/>
  <c r="Y55" i="19"/>
  <c r="X55" i="19"/>
  <c r="W55" i="19"/>
  <c r="V55" i="19"/>
  <c r="U55" i="19"/>
  <c r="T55" i="19"/>
  <c r="S55" i="19"/>
  <c r="R55" i="19"/>
  <c r="Q55" i="19"/>
  <c r="P55" i="19"/>
  <c r="O55" i="19"/>
  <c r="M55" i="19"/>
  <c r="L55" i="19"/>
  <c r="AC54" i="19"/>
  <c r="AB54" i="19"/>
  <c r="AA54" i="19"/>
  <c r="Z54" i="19"/>
  <c r="Y54" i="19"/>
  <c r="X54" i="19"/>
  <c r="W54" i="19"/>
  <c r="V54" i="19"/>
  <c r="U54" i="19"/>
  <c r="T54" i="19"/>
  <c r="S54" i="19"/>
  <c r="R54" i="19"/>
  <c r="P54" i="19"/>
  <c r="O54" i="19"/>
  <c r="N54" i="19"/>
  <c r="M54" i="19"/>
  <c r="L54" i="19"/>
  <c r="AC53" i="19"/>
  <c r="AB53" i="19"/>
  <c r="AA53" i="19"/>
  <c r="Z53" i="19"/>
  <c r="Y53" i="19"/>
  <c r="X53" i="19"/>
  <c r="W53" i="19"/>
  <c r="V53" i="19"/>
  <c r="U53" i="19"/>
  <c r="T53" i="19"/>
  <c r="S53" i="19"/>
  <c r="R53" i="19"/>
  <c r="Q53" i="19"/>
  <c r="P53" i="19"/>
  <c r="O53" i="19"/>
  <c r="M53" i="19"/>
  <c r="L53" i="19"/>
  <c r="AC52" i="19"/>
  <c r="AB52" i="19"/>
  <c r="AA52" i="19"/>
  <c r="Z52" i="19"/>
  <c r="Y52" i="19"/>
  <c r="X52" i="19"/>
  <c r="W52" i="19"/>
  <c r="V52" i="19"/>
  <c r="U52" i="19"/>
  <c r="T52" i="19"/>
  <c r="S52" i="19"/>
  <c r="R52" i="19"/>
  <c r="Q52" i="19"/>
  <c r="P52" i="19"/>
  <c r="O52" i="19"/>
  <c r="M52" i="19"/>
  <c r="L52" i="19"/>
  <c r="AC51" i="19"/>
  <c r="AB51" i="19"/>
  <c r="AA51" i="19"/>
  <c r="Z51" i="19"/>
  <c r="Y51" i="19"/>
  <c r="X51" i="19"/>
  <c r="W51" i="19"/>
  <c r="V51" i="19"/>
  <c r="U51" i="19"/>
  <c r="T51" i="19"/>
  <c r="S51" i="19"/>
  <c r="R51" i="19"/>
  <c r="Q51" i="19"/>
  <c r="P51" i="19"/>
  <c r="O51" i="19"/>
  <c r="M51" i="19"/>
  <c r="L51" i="19"/>
  <c r="AC50" i="19"/>
  <c r="AB50" i="19"/>
  <c r="AA50" i="19"/>
  <c r="Z50" i="19"/>
  <c r="Y50" i="19"/>
  <c r="X50" i="19"/>
  <c r="W50" i="19"/>
  <c r="V50" i="19"/>
  <c r="U50" i="19"/>
  <c r="T50" i="19"/>
  <c r="S50" i="19"/>
  <c r="R50" i="19"/>
  <c r="Q50" i="19"/>
  <c r="P50" i="19"/>
  <c r="O50" i="19"/>
  <c r="M50" i="19"/>
  <c r="L50" i="19"/>
  <c r="AC49" i="19"/>
  <c r="AB49" i="19"/>
  <c r="AA49" i="19"/>
  <c r="Z49" i="19"/>
  <c r="Y49" i="19"/>
  <c r="X49" i="19"/>
  <c r="W49" i="19"/>
  <c r="V49" i="19"/>
  <c r="U49" i="19"/>
  <c r="T49" i="19"/>
  <c r="S49" i="19"/>
  <c r="R49" i="19"/>
  <c r="Q49" i="19"/>
  <c r="P49" i="19"/>
  <c r="O49" i="19"/>
  <c r="M49" i="19"/>
  <c r="L49" i="19"/>
  <c r="AC48" i="19"/>
  <c r="AB48" i="19"/>
  <c r="AA48" i="19"/>
  <c r="Z48" i="19"/>
  <c r="Y48" i="19"/>
  <c r="X48" i="19"/>
  <c r="W48" i="19"/>
  <c r="V48" i="19"/>
  <c r="U48" i="19"/>
  <c r="T48" i="19"/>
  <c r="S48" i="19"/>
  <c r="R48" i="19"/>
  <c r="Q48" i="19"/>
  <c r="P48" i="19"/>
  <c r="O48" i="19"/>
  <c r="M48" i="19"/>
  <c r="L48" i="19"/>
  <c r="AC47" i="19"/>
  <c r="AB47" i="19"/>
  <c r="AA47" i="19"/>
  <c r="Z47" i="19"/>
  <c r="Y47" i="19"/>
  <c r="X47" i="19"/>
  <c r="W47" i="19"/>
  <c r="V47" i="19"/>
  <c r="U47" i="19"/>
  <c r="T47" i="19"/>
  <c r="S47" i="19"/>
  <c r="R47" i="19"/>
  <c r="Q47" i="19"/>
  <c r="P47" i="19"/>
  <c r="O47" i="19"/>
  <c r="M47" i="19"/>
  <c r="L47" i="19"/>
  <c r="AC46" i="19"/>
  <c r="AB46" i="19"/>
  <c r="AA46" i="19"/>
  <c r="Z46" i="19"/>
  <c r="Y46" i="19"/>
  <c r="X46" i="19"/>
  <c r="W46" i="19"/>
  <c r="V46" i="19"/>
  <c r="U46" i="19"/>
  <c r="T46" i="19"/>
  <c r="S46" i="19"/>
  <c r="R46" i="19"/>
  <c r="Q46" i="19"/>
  <c r="P46" i="19"/>
  <c r="O46" i="19"/>
  <c r="M46" i="19"/>
  <c r="L46" i="19"/>
  <c r="AC45" i="19"/>
  <c r="AB45" i="19"/>
  <c r="AA45" i="19"/>
  <c r="Z45" i="19"/>
  <c r="Y45" i="19"/>
  <c r="X45" i="19"/>
  <c r="W45" i="19"/>
  <c r="V45" i="19"/>
  <c r="U45" i="19"/>
  <c r="T45" i="19"/>
  <c r="S45" i="19"/>
  <c r="R45" i="19"/>
  <c r="Q45" i="19"/>
  <c r="P45" i="19"/>
  <c r="O45" i="19"/>
  <c r="M45" i="19"/>
  <c r="L45" i="19"/>
  <c r="AC44" i="19"/>
  <c r="AB44" i="19"/>
  <c r="AA44" i="19"/>
  <c r="Z44" i="19"/>
  <c r="Y44" i="19"/>
  <c r="X44" i="19"/>
  <c r="W44" i="19"/>
  <c r="V44" i="19"/>
  <c r="U44" i="19"/>
  <c r="T44" i="19"/>
  <c r="S44" i="19"/>
  <c r="R44" i="19"/>
  <c r="Q44" i="19"/>
  <c r="O44" i="19"/>
  <c r="N44" i="19"/>
  <c r="M44" i="19"/>
  <c r="L44" i="19"/>
  <c r="AC43" i="19"/>
  <c r="AB43" i="19"/>
  <c r="AA43" i="19"/>
  <c r="Z43" i="19"/>
  <c r="Y43" i="19"/>
  <c r="X43" i="19"/>
  <c r="W43" i="19"/>
  <c r="V43" i="19"/>
  <c r="U43" i="19"/>
  <c r="T43" i="19"/>
  <c r="S43" i="19"/>
  <c r="R43" i="19"/>
  <c r="Q43" i="19"/>
  <c r="P43" i="19"/>
  <c r="O43" i="19"/>
  <c r="M43" i="19"/>
  <c r="L43" i="19"/>
  <c r="AC42" i="19"/>
  <c r="AB42" i="19"/>
  <c r="AA42" i="19"/>
  <c r="Z42" i="19"/>
  <c r="Y42" i="19"/>
  <c r="X42" i="19"/>
  <c r="W42" i="19"/>
  <c r="V42" i="19"/>
  <c r="U42" i="19"/>
  <c r="T42" i="19"/>
  <c r="S42" i="19"/>
  <c r="R42" i="19"/>
  <c r="Q42" i="19"/>
  <c r="P42" i="19"/>
  <c r="O42" i="19"/>
  <c r="M42" i="19"/>
  <c r="L42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M41" i="19"/>
  <c r="L41" i="19"/>
  <c r="AC40" i="19"/>
  <c r="AB40" i="19"/>
  <c r="AA40" i="19"/>
  <c r="Z40" i="19"/>
  <c r="Y40" i="19"/>
  <c r="X40" i="19"/>
  <c r="W40" i="19"/>
  <c r="V40" i="19"/>
  <c r="U40" i="19"/>
  <c r="T40" i="19"/>
  <c r="S40" i="19"/>
  <c r="R40" i="19"/>
  <c r="Q40" i="19"/>
  <c r="P40" i="19"/>
  <c r="O40" i="19"/>
  <c r="M40" i="19"/>
  <c r="L40" i="19"/>
  <c r="AC39" i="19"/>
  <c r="AB39" i="19"/>
  <c r="AA39" i="19"/>
  <c r="Z39" i="19"/>
  <c r="Y39" i="19"/>
  <c r="X39" i="19"/>
  <c r="W39" i="19"/>
  <c r="V39" i="19"/>
  <c r="U39" i="19"/>
  <c r="T39" i="19"/>
  <c r="S39" i="19"/>
  <c r="R39" i="19"/>
  <c r="Q39" i="19"/>
  <c r="P39" i="19"/>
  <c r="O39" i="19"/>
  <c r="M39" i="19"/>
  <c r="L39" i="19"/>
  <c r="AC38" i="19"/>
  <c r="AB38" i="19"/>
  <c r="AA38" i="19"/>
  <c r="Z38" i="19"/>
  <c r="Y38" i="19"/>
  <c r="X38" i="19"/>
  <c r="W38" i="19"/>
  <c r="V38" i="19"/>
  <c r="U38" i="19"/>
  <c r="T38" i="19"/>
  <c r="S38" i="19"/>
  <c r="R38" i="19"/>
  <c r="Q38" i="19"/>
  <c r="P38" i="19"/>
  <c r="O38" i="19"/>
  <c r="M38" i="19"/>
  <c r="L38" i="19"/>
  <c r="AC37" i="19"/>
  <c r="AB37" i="19"/>
  <c r="AA37" i="19"/>
  <c r="Z37" i="19"/>
  <c r="Y37" i="19"/>
  <c r="X37" i="19"/>
  <c r="W37" i="19"/>
  <c r="V37" i="19"/>
  <c r="U37" i="19"/>
  <c r="T37" i="19"/>
  <c r="S37" i="19"/>
  <c r="R37" i="19"/>
  <c r="P37" i="19"/>
  <c r="O37" i="19"/>
  <c r="M37" i="19"/>
  <c r="L37" i="19"/>
  <c r="AC36" i="19"/>
  <c r="AB36" i="19"/>
  <c r="AA36" i="19"/>
  <c r="Z36" i="19"/>
  <c r="Y36" i="19"/>
  <c r="X36" i="19"/>
  <c r="W36" i="19"/>
  <c r="V36" i="19"/>
  <c r="U36" i="19"/>
  <c r="T36" i="19"/>
  <c r="S36" i="19"/>
  <c r="P36" i="19"/>
  <c r="O36" i="19"/>
  <c r="N36" i="19"/>
  <c r="M36" i="19"/>
  <c r="L36" i="19"/>
  <c r="AC35" i="19"/>
  <c r="AB35" i="19"/>
  <c r="AA35" i="19"/>
  <c r="Z35" i="19"/>
  <c r="Y35" i="19"/>
  <c r="X35" i="19"/>
  <c r="W35" i="19"/>
  <c r="V35" i="19"/>
  <c r="U35" i="19"/>
  <c r="S35" i="19"/>
  <c r="R35" i="19"/>
  <c r="Q35" i="19"/>
  <c r="P35" i="19"/>
  <c r="O35" i="19"/>
  <c r="M35" i="19"/>
  <c r="L35" i="19"/>
  <c r="AC34" i="19"/>
  <c r="AB34" i="19"/>
  <c r="AA34" i="19"/>
  <c r="Z34" i="19"/>
  <c r="Y34" i="19"/>
  <c r="X34" i="19"/>
  <c r="W34" i="19"/>
  <c r="V34" i="19"/>
  <c r="U34" i="19"/>
  <c r="S34" i="19"/>
  <c r="R34" i="19"/>
  <c r="Q34" i="19"/>
  <c r="P34" i="19"/>
  <c r="N34" i="19"/>
  <c r="M34" i="19"/>
  <c r="L34" i="19"/>
  <c r="AC33" i="19"/>
  <c r="AB33" i="19"/>
  <c r="AA33" i="19"/>
  <c r="Z33" i="19"/>
  <c r="Y33" i="19"/>
  <c r="X33" i="19"/>
  <c r="W33" i="19"/>
  <c r="V33" i="19"/>
  <c r="U33" i="19"/>
  <c r="T33" i="19"/>
  <c r="S33" i="19"/>
  <c r="R33" i="19"/>
  <c r="Q33" i="19"/>
  <c r="P33" i="19"/>
  <c r="O33" i="19"/>
  <c r="M33" i="19"/>
  <c r="L33" i="19"/>
  <c r="AC32" i="19"/>
  <c r="AB32" i="19"/>
  <c r="AA32" i="19"/>
  <c r="Z32" i="19"/>
  <c r="Y32" i="19"/>
  <c r="X32" i="19"/>
  <c r="W32" i="19"/>
  <c r="V32" i="19"/>
  <c r="U32" i="19"/>
  <c r="T32" i="19"/>
  <c r="S32" i="19"/>
  <c r="Q32" i="19"/>
  <c r="P32" i="19"/>
  <c r="O32" i="19"/>
  <c r="N32" i="19"/>
  <c r="M32" i="19"/>
  <c r="L32" i="19"/>
  <c r="AC31" i="19"/>
  <c r="AB31" i="19"/>
  <c r="AA31" i="19"/>
  <c r="Z31" i="19"/>
  <c r="Y31" i="19"/>
  <c r="X31" i="19"/>
  <c r="W31" i="19"/>
  <c r="V31" i="19"/>
  <c r="U31" i="19"/>
  <c r="T31" i="19"/>
  <c r="S31" i="19"/>
  <c r="R31" i="19"/>
  <c r="Q31" i="19"/>
  <c r="P31" i="19"/>
  <c r="O31" i="19"/>
  <c r="M31" i="19"/>
  <c r="L31" i="19"/>
  <c r="AC30" i="19"/>
  <c r="AB30" i="19"/>
  <c r="AA30" i="19"/>
  <c r="Z30" i="19"/>
  <c r="Y30" i="19"/>
  <c r="X30" i="19"/>
  <c r="W30" i="19"/>
  <c r="V30" i="19"/>
  <c r="U30" i="19"/>
  <c r="T30" i="19"/>
  <c r="S30" i="19"/>
  <c r="R30" i="19"/>
  <c r="Q30" i="19"/>
  <c r="P30" i="19"/>
  <c r="N30" i="19"/>
  <c r="M30" i="19"/>
  <c r="L30" i="19"/>
  <c r="AC29" i="19"/>
  <c r="AB29" i="19"/>
  <c r="AA29" i="19"/>
  <c r="Z29" i="19"/>
  <c r="Y29" i="19"/>
  <c r="X29" i="19"/>
  <c r="W29" i="19"/>
  <c r="V29" i="19"/>
  <c r="U29" i="19"/>
  <c r="T29" i="19"/>
  <c r="S29" i="19"/>
  <c r="R29" i="19"/>
  <c r="Q29" i="19"/>
  <c r="P29" i="19"/>
  <c r="O29" i="19"/>
  <c r="M29" i="19"/>
  <c r="L29" i="19"/>
  <c r="AC28" i="19"/>
  <c r="AB28" i="19"/>
  <c r="AA28" i="19"/>
  <c r="Z28" i="19"/>
  <c r="Y28" i="19"/>
  <c r="X28" i="19"/>
  <c r="W28" i="19"/>
  <c r="V28" i="19"/>
  <c r="U28" i="19"/>
  <c r="T28" i="19"/>
  <c r="S28" i="19"/>
  <c r="R28" i="19"/>
  <c r="Q28" i="19"/>
  <c r="P28" i="19"/>
  <c r="O28" i="19"/>
  <c r="M28" i="19"/>
  <c r="L28" i="19"/>
  <c r="AC27" i="19"/>
  <c r="AB27" i="19"/>
  <c r="AA27" i="19"/>
  <c r="Z27" i="19"/>
  <c r="Y27" i="19"/>
  <c r="X27" i="19"/>
  <c r="W27" i="19"/>
  <c r="V27" i="19"/>
  <c r="U27" i="19"/>
  <c r="T27" i="19"/>
  <c r="S27" i="19"/>
  <c r="R27" i="19"/>
  <c r="Q27" i="19"/>
  <c r="P27" i="19"/>
  <c r="O27" i="19"/>
  <c r="M27" i="19"/>
  <c r="L27" i="19"/>
  <c r="AC26" i="19"/>
  <c r="AB26" i="19"/>
  <c r="AA26" i="19"/>
  <c r="Z26" i="19"/>
  <c r="Y26" i="19"/>
  <c r="X26" i="19"/>
  <c r="W26" i="19"/>
  <c r="V26" i="19"/>
  <c r="U26" i="19"/>
  <c r="T26" i="19"/>
  <c r="S26" i="19"/>
  <c r="R26" i="19"/>
  <c r="Q26" i="19"/>
  <c r="P26" i="19"/>
  <c r="O26" i="19"/>
  <c r="M26" i="19"/>
  <c r="L26" i="19"/>
  <c r="AC25" i="19"/>
  <c r="AB25" i="19"/>
  <c r="AA25" i="19"/>
  <c r="Z25" i="19"/>
  <c r="Y25" i="19"/>
  <c r="X25" i="19"/>
  <c r="W25" i="19"/>
  <c r="V25" i="19"/>
  <c r="U25" i="19"/>
  <c r="T25" i="19"/>
  <c r="S25" i="19"/>
  <c r="R25" i="19"/>
  <c r="Q25" i="19"/>
  <c r="P25" i="19"/>
  <c r="O25" i="19"/>
  <c r="M25" i="19"/>
  <c r="L25" i="19"/>
  <c r="AC24" i="19"/>
  <c r="AB24" i="19"/>
  <c r="AA24" i="19"/>
  <c r="Z24" i="19"/>
  <c r="Y24" i="19"/>
  <c r="X24" i="19"/>
  <c r="W24" i="19"/>
  <c r="V24" i="19"/>
  <c r="U24" i="19"/>
  <c r="T24" i="19"/>
  <c r="S24" i="19"/>
  <c r="R24" i="19"/>
  <c r="Q24" i="19"/>
  <c r="P24" i="19"/>
  <c r="O24" i="19"/>
  <c r="M24" i="19"/>
  <c r="L24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M23" i="19"/>
  <c r="L23" i="19"/>
  <c r="AC22" i="19"/>
  <c r="AB22" i="19"/>
  <c r="AA22" i="19"/>
  <c r="Z22" i="19"/>
  <c r="Y22" i="19"/>
  <c r="X22" i="19"/>
  <c r="W22" i="19"/>
  <c r="V22" i="19"/>
  <c r="U22" i="19"/>
  <c r="T22" i="19"/>
  <c r="S22" i="19"/>
  <c r="R22" i="19"/>
  <c r="Q22" i="19"/>
  <c r="P22" i="19"/>
  <c r="O22" i="19"/>
  <c r="M22" i="19"/>
  <c r="L22" i="19"/>
  <c r="AC21" i="19"/>
  <c r="AB21" i="19"/>
  <c r="AA21" i="19"/>
  <c r="Z21" i="19"/>
  <c r="Y21" i="19"/>
  <c r="X21" i="19"/>
  <c r="W21" i="19"/>
  <c r="V21" i="19"/>
  <c r="U21" i="19"/>
  <c r="T21" i="19"/>
  <c r="S21" i="19"/>
  <c r="R21" i="19"/>
  <c r="Q21" i="19"/>
  <c r="P21" i="19"/>
  <c r="O21" i="19"/>
  <c r="M21" i="19"/>
  <c r="L21" i="19"/>
  <c r="AC20" i="19"/>
  <c r="AB20" i="19"/>
  <c r="AA20" i="19"/>
  <c r="Z20" i="19"/>
  <c r="Y20" i="19"/>
  <c r="X20" i="19"/>
  <c r="W20" i="19"/>
  <c r="V20" i="19"/>
  <c r="U20" i="19"/>
  <c r="T20" i="19"/>
  <c r="S20" i="19"/>
  <c r="R20" i="19"/>
  <c r="Q20" i="19"/>
  <c r="P20" i="19"/>
  <c r="O20" i="19"/>
  <c r="M20" i="19"/>
  <c r="L20" i="19"/>
  <c r="AC19" i="19"/>
  <c r="AB19" i="19"/>
  <c r="AA19" i="19"/>
  <c r="Z19" i="19"/>
  <c r="Y19" i="19"/>
  <c r="X19" i="19"/>
  <c r="W19" i="19"/>
  <c r="V19" i="19"/>
  <c r="U19" i="19"/>
  <c r="T19" i="19"/>
  <c r="S19" i="19"/>
  <c r="R19" i="19"/>
  <c r="Q19" i="19"/>
  <c r="O19" i="19"/>
  <c r="N19" i="19"/>
  <c r="M19" i="19"/>
  <c r="L19" i="19"/>
  <c r="AC18" i="19"/>
  <c r="AB18" i="19"/>
  <c r="AA18" i="19"/>
  <c r="Z18" i="19"/>
  <c r="Y18" i="19"/>
  <c r="X18" i="19"/>
  <c r="W18" i="19"/>
  <c r="V18" i="19"/>
  <c r="U18" i="19"/>
  <c r="T18" i="19"/>
  <c r="S18" i="19"/>
  <c r="R18" i="19"/>
  <c r="Q18" i="19"/>
  <c r="P18" i="19"/>
  <c r="O18" i="19"/>
  <c r="M18" i="19"/>
  <c r="L18" i="19"/>
  <c r="AC17" i="19"/>
  <c r="AB17" i="19"/>
  <c r="AA17" i="19"/>
  <c r="Z17" i="19"/>
  <c r="Y17" i="19"/>
  <c r="X17" i="19"/>
  <c r="W17" i="19"/>
  <c r="V17" i="19"/>
  <c r="U17" i="19"/>
  <c r="T17" i="19"/>
  <c r="S17" i="19"/>
  <c r="R17" i="19"/>
  <c r="P17" i="19"/>
  <c r="O17" i="19"/>
  <c r="M17" i="19"/>
  <c r="L17" i="19"/>
  <c r="AC16" i="19"/>
  <c r="AB16" i="19"/>
  <c r="AA16" i="19"/>
  <c r="Z16" i="19"/>
  <c r="Y16" i="19"/>
  <c r="X16" i="19"/>
  <c r="W16" i="19"/>
  <c r="V16" i="19"/>
  <c r="U16" i="19"/>
  <c r="T16" i="19"/>
  <c r="S16" i="19"/>
  <c r="R16" i="19"/>
  <c r="Q16" i="19"/>
  <c r="P16" i="19"/>
  <c r="O16" i="19"/>
  <c r="M16" i="19"/>
  <c r="L16" i="19"/>
  <c r="AC15" i="19"/>
  <c r="AB15" i="19"/>
  <c r="AA15" i="19"/>
  <c r="Z15" i="19"/>
  <c r="Y15" i="19"/>
  <c r="X15" i="19"/>
  <c r="W15" i="19"/>
  <c r="V15" i="19"/>
  <c r="U15" i="19"/>
  <c r="T15" i="19"/>
  <c r="S15" i="19"/>
  <c r="R15" i="19"/>
  <c r="Q15" i="19"/>
  <c r="P15" i="19"/>
  <c r="O15" i="19"/>
  <c r="M15" i="19"/>
  <c r="L15" i="19"/>
  <c r="AC14" i="19"/>
  <c r="AB14" i="19"/>
  <c r="AA14" i="19"/>
  <c r="Z14" i="19"/>
  <c r="Y14" i="19"/>
  <c r="X14" i="19"/>
  <c r="W14" i="19"/>
  <c r="V14" i="19"/>
  <c r="U14" i="19"/>
  <c r="T14" i="19"/>
  <c r="S14" i="19"/>
  <c r="Q14" i="19"/>
  <c r="P14" i="19"/>
  <c r="O14" i="19"/>
  <c r="N14" i="19"/>
  <c r="M14" i="19"/>
  <c r="L14" i="19"/>
  <c r="AC13" i="19"/>
  <c r="AB13" i="19"/>
  <c r="AA13" i="19"/>
  <c r="Z13" i="19"/>
  <c r="Y13" i="19"/>
  <c r="X13" i="19"/>
  <c r="W13" i="19"/>
  <c r="V13" i="19"/>
  <c r="U13" i="19"/>
  <c r="T13" i="19"/>
  <c r="S13" i="19"/>
  <c r="R13" i="19"/>
  <c r="Q13" i="19"/>
  <c r="P13" i="19"/>
  <c r="O13" i="19"/>
  <c r="N13" i="19"/>
  <c r="L13" i="19"/>
  <c r="AC12" i="19"/>
  <c r="AB12" i="19"/>
  <c r="AA12" i="19"/>
  <c r="Z12" i="19"/>
  <c r="Y12" i="19"/>
  <c r="X12" i="19"/>
  <c r="W12" i="19"/>
  <c r="V12" i="19"/>
  <c r="U12" i="19"/>
  <c r="T12" i="19"/>
  <c r="S12" i="19"/>
  <c r="R12" i="19"/>
  <c r="Q12" i="19"/>
  <c r="P12" i="19"/>
  <c r="O12" i="19"/>
  <c r="N12" i="19"/>
  <c r="L12" i="19"/>
  <c r="AC11" i="19"/>
  <c r="AB11" i="19"/>
  <c r="AA11" i="19"/>
  <c r="Z11" i="19"/>
  <c r="Y11" i="19"/>
  <c r="X11" i="19"/>
  <c r="W11" i="19"/>
  <c r="V11" i="19"/>
  <c r="U11" i="19"/>
  <c r="T11" i="19"/>
  <c r="S11" i="19"/>
  <c r="R11" i="19"/>
  <c r="Q11" i="19"/>
  <c r="P11" i="19"/>
  <c r="O11" i="19"/>
  <c r="N11" i="19"/>
  <c r="M11" i="19"/>
  <c r="AC10" i="19"/>
  <c r="AB10" i="19"/>
  <c r="AA10" i="19"/>
  <c r="Z10" i="19"/>
  <c r="Y10" i="19"/>
  <c r="X10" i="19"/>
  <c r="W10" i="19"/>
  <c r="V10" i="19"/>
  <c r="U10" i="19"/>
  <c r="T10" i="19"/>
  <c r="S10" i="19"/>
  <c r="R10" i="19"/>
  <c r="Q10" i="19"/>
  <c r="P10" i="19"/>
  <c r="O10" i="19"/>
  <c r="N10" i="19"/>
  <c r="M10" i="19"/>
  <c r="AC9" i="19"/>
  <c r="AB9" i="19"/>
  <c r="AA9" i="19"/>
  <c r="Z9" i="19"/>
  <c r="Y9" i="19"/>
  <c r="X9" i="19"/>
  <c r="W9" i="19"/>
  <c r="V9" i="19"/>
  <c r="U9" i="19"/>
  <c r="T9" i="19"/>
  <c r="S9" i="19"/>
  <c r="R9" i="19"/>
  <c r="Q9" i="19"/>
  <c r="O9" i="19"/>
  <c r="N9" i="19"/>
  <c r="M9" i="19"/>
  <c r="L9" i="19"/>
  <c r="AC8" i="19"/>
  <c r="AB8" i="19"/>
  <c r="AA8" i="19"/>
  <c r="Z8" i="19"/>
  <c r="Y8" i="19"/>
  <c r="X8" i="19"/>
  <c r="W8" i="19"/>
  <c r="V8" i="19"/>
  <c r="U8" i="19"/>
  <c r="T8" i="19"/>
  <c r="S8" i="19"/>
  <c r="R8" i="19"/>
  <c r="Q8" i="19"/>
  <c r="O8" i="19"/>
  <c r="N8" i="19"/>
  <c r="M8" i="19"/>
  <c r="L8" i="19"/>
  <c r="AC7" i="19"/>
  <c r="AB7" i="19"/>
  <c r="AA7" i="19"/>
  <c r="Z7" i="19"/>
  <c r="Y7" i="19"/>
  <c r="X7" i="19"/>
  <c r="W7" i="19"/>
  <c r="V7" i="19"/>
  <c r="U7" i="19"/>
  <c r="T7" i="19"/>
  <c r="S7" i="19"/>
  <c r="R7" i="19"/>
  <c r="Q7" i="19"/>
  <c r="P7" i="19"/>
  <c r="O7" i="19"/>
  <c r="N7" i="19"/>
  <c r="L7" i="19"/>
  <c r="AC6" i="19"/>
  <c r="AB6" i="19"/>
  <c r="AA6" i="19"/>
  <c r="Z6" i="19"/>
  <c r="Y6" i="19"/>
  <c r="X6" i="19"/>
  <c r="W6" i="19"/>
  <c r="V6" i="19"/>
  <c r="U6" i="19"/>
  <c r="T6" i="19"/>
  <c r="S6" i="19"/>
  <c r="R6" i="19"/>
  <c r="Q6" i="19"/>
  <c r="P6" i="19"/>
  <c r="O6" i="19"/>
  <c r="N6" i="19"/>
  <c r="L6" i="19"/>
  <c r="AC5" i="19"/>
  <c r="AB5" i="19"/>
  <c r="AA5" i="19"/>
  <c r="Z5" i="19"/>
  <c r="Y5" i="19"/>
  <c r="X5" i="19"/>
  <c r="W5" i="19"/>
  <c r="V5" i="19"/>
  <c r="U5" i="19"/>
  <c r="T5" i="19"/>
  <c r="S5" i="19"/>
  <c r="R5" i="19"/>
  <c r="Q5" i="19"/>
  <c r="P5" i="19"/>
  <c r="O5" i="19"/>
  <c r="N5" i="19"/>
  <c r="M5" i="19"/>
  <c r="AC4" i="19"/>
  <c r="AB4" i="19"/>
  <c r="AA4" i="19"/>
  <c r="Z4" i="19"/>
  <c r="Y4" i="19"/>
  <c r="X4" i="19"/>
  <c r="W4" i="19"/>
  <c r="V4" i="19"/>
  <c r="U4" i="19"/>
  <c r="T4" i="19"/>
  <c r="S4" i="19"/>
  <c r="R4" i="19"/>
  <c r="Q4" i="19"/>
  <c r="P4" i="19"/>
  <c r="O4" i="19"/>
  <c r="N4" i="19"/>
  <c r="M4" i="19"/>
  <c r="X106" i="19"/>
  <c r="AD106" i="19" s="1"/>
  <c r="S112" i="19"/>
  <c r="AD112" i="19" s="1"/>
  <c r="R115" i="19"/>
  <c r="AD115" i="19" s="1"/>
  <c r="T119" i="19"/>
  <c r="AD119" i="19" s="1"/>
  <c r="U122" i="19"/>
  <c r="AD122" i="19" s="1"/>
  <c r="N89" i="19"/>
  <c r="AD89" i="19" s="1"/>
  <c r="U96" i="19"/>
  <c r="AD96" i="19" s="1"/>
  <c r="R100" i="19"/>
  <c r="AD100" i="19" s="1"/>
  <c r="O92" i="19"/>
  <c r="AD92" i="19" s="1"/>
  <c r="Q37" i="19"/>
  <c r="Q36" i="19"/>
  <c r="T34" i="19"/>
  <c r="T35" i="19"/>
  <c r="N17" i="19"/>
  <c r="N38" i="19"/>
  <c r="N57" i="19"/>
  <c r="N41" i="19"/>
  <c r="N69" i="19"/>
  <c r="P87" i="19"/>
  <c r="N25" i="19"/>
  <c r="L4" i="19"/>
  <c r="N70" i="19"/>
  <c r="N48" i="19"/>
  <c r="N52" i="19"/>
  <c r="X84" i="19"/>
  <c r="L5" i="19"/>
  <c r="R14" i="19"/>
  <c r="N73" i="19"/>
  <c r="O72" i="19"/>
  <c r="N27" i="19"/>
  <c r="N64" i="19"/>
  <c r="N49" i="19"/>
  <c r="R32" i="19"/>
  <c r="X82" i="19"/>
  <c r="N33" i="19"/>
  <c r="N37" i="19"/>
  <c r="N46" i="19"/>
  <c r="Q81" i="19"/>
  <c r="N29" i="19"/>
  <c r="P44" i="19"/>
  <c r="R36" i="19"/>
  <c r="O56" i="19"/>
  <c r="P9" i="19"/>
  <c r="N35" i="19"/>
  <c r="N74" i="19"/>
  <c r="X77" i="19"/>
  <c r="N60" i="19"/>
  <c r="P19" i="19"/>
  <c r="M13" i="19"/>
  <c r="N61" i="19"/>
  <c r="O30" i="19"/>
  <c r="P59" i="19"/>
  <c r="N51" i="19"/>
  <c r="Q54" i="19"/>
  <c r="X104" i="19"/>
  <c r="R80" i="19"/>
  <c r="L10" i="19"/>
  <c r="N45" i="19"/>
  <c r="S79" i="19"/>
  <c r="M6" i="19"/>
  <c r="N65" i="19"/>
  <c r="N53" i="19"/>
  <c r="N20" i="19"/>
  <c r="P85" i="19"/>
  <c r="O75" i="19"/>
  <c r="N22" i="19"/>
  <c r="N68" i="19"/>
  <c r="N67" i="19"/>
  <c r="N43" i="19"/>
  <c r="N21" i="19"/>
  <c r="N62" i="19"/>
  <c r="Q17" i="19"/>
  <c r="N16" i="19"/>
  <c r="P8" i="19"/>
  <c r="N24" i="19"/>
  <c r="N28" i="19"/>
  <c r="N40" i="19"/>
  <c r="M7" i="19"/>
  <c r="AD10" i="19" l="1"/>
  <c r="AD104" i="19"/>
  <c r="AD8" i="19"/>
  <c r="AD16" i="19"/>
  <c r="AD20" i="19"/>
  <c r="AD24" i="19"/>
  <c r="AD28" i="19"/>
  <c r="AD32" i="19"/>
  <c r="AD36" i="19"/>
  <c r="AD40" i="19"/>
  <c r="AD44" i="19"/>
  <c r="AD48" i="19"/>
  <c r="AD52" i="19"/>
  <c r="AD56" i="19"/>
  <c r="AD60" i="19"/>
  <c r="AD64" i="19"/>
  <c r="AD68" i="19"/>
  <c r="AD72" i="19"/>
  <c r="AD80" i="19"/>
  <c r="AD84" i="19"/>
  <c r="AD9" i="19"/>
  <c r="AD13" i="19"/>
  <c r="AD17" i="19"/>
  <c r="AD21" i="19"/>
  <c r="AD25" i="19"/>
  <c r="AD29" i="19"/>
  <c r="AD33" i="19"/>
  <c r="AD37" i="19"/>
  <c r="AD41" i="19"/>
  <c r="AD45" i="19"/>
  <c r="AD49" i="19"/>
  <c r="AD53" i="19"/>
  <c r="AD57" i="19"/>
  <c r="AD61" i="19"/>
  <c r="AD65" i="19"/>
  <c r="AD69" i="19"/>
  <c r="AD73" i="19"/>
  <c r="AD77" i="19"/>
  <c r="AD81" i="19"/>
  <c r="AD85" i="19"/>
  <c r="AD6" i="19"/>
  <c r="AD14" i="19"/>
  <c r="AD22" i="19"/>
  <c r="AD30" i="19"/>
  <c r="AD38" i="19"/>
  <c r="AD46" i="19"/>
  <c r="AD54" i="19"/>
  <c r="AD62" i="19"/>
  <c r="AD70" i="19"/>
  <c r="AD74" i="19"/>
  <c r="AD82" i="19"/>
  <c r="AD7" i="19"/>
  <c r="AD19" i="19"/>
  <c r="AD27" i="19"/>
  <c r="AD35" i="19"/>
  <c r="AD43" i="19"/>
  <c r="AD51" i="19"/>
  <c r="AD59" i="19"/>
  <c r="AD67" i="19"/>
  <c r="AD75" i="19"/>
  <c r="AD79" i="19"/>
  <c r="AD87" i="19"/>
  <c r="AD5" i="19"/>
  <c r="AD4" i="19"/>
  <c r="AI3" i="9"/>
  <c r="AJ3" i="9"/>
  <c r="W3" i="9"/>
  <c r="X3" i="9"/>
  <c r="Y3" i="9"/>
  <c r="Z3" i="9"/>
  <c r="AA3" i="9"/>
  <c r="AB3" i="9"/>
  <c r="AC3" i="9"/>
  <c r="AD3" i="9"/>
  <c r="AE3" i="9"/>
  <c r="AF3" i="9"/>
  <c r="AG3" i="9"/>
  <c r="AH3" i="9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4" i="9"/>
  <c r="G44" i="9"/>
  <c r="G42" i="9"/>
  <c r="G40" i="9"/>
  <c r="F40" i="9"/>
  <c r="G38" i="9"/>
  <c r="G36" i="9"/>
  <c r="G34" i="9"/>
  <c r="F34" i="9"/>
  <c r="G32" i="9"/>
  <c r="G30" i="9"/>
  <c r="G28" i="9"/>
  <c r="F28" i="9"/>
  <c r="G26" i="9"/>
  <c r="G24" i="9"/>
  <c r="G22" i="9"/>
  <c r="F22" i="9"/>
  <c r="G20" i="9"/>
  <c r="G18" i="9"/>
  <c r="G16" i="9"/>
  <c r="F16" i="9"/>
  <c r="G14" i="9"/>
  <c r="G12" i="9"/>
  <c r="G10" i="9"/>
  <c r="F10" i="9"/>
  <c r="G8" i="9"/>
  <c r="G6" i="9"/>
  <c r="G4" i="9"/>
  <c r="F4" i="9"/>
  <c r="E4" i="9"/>
  <c r="D4" i="9"/>
  <c r="C4" i="9"/>
  <c r="B4" i="9"/>
  <c r="V3" i="9"/>
  <c r="U3" i="9"/>
  <c r="T3" i="9"/>
  <c r="S3" i="9"/>
  <c r="R3" i="9"/>
  <c r="Q3" i="9"/>
  <c r="P3" i="9"/>
  <c r="O3" i="9"/>
  <c r="N3" i="9"/>
  <c r="M3" i="9"/>
  <c r="L3" i="9"/>
  <c r="K3" i="9"/>
  <c r="J3" i="9"/>
  <c r="I3" i="9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U2" i="8"/>
  <c r="T2" i="8"/>
  <c r="S2" i="8"/>
  <c r="R2" i="8"/>
  <c r="Q2" i="8"/>
  <c r="P2" i="8"/>
  <c r="O2" i="8"/>
  <c r="N2" i="8"/>
  <c r="M2" i="8"/>
  <c r="L2" i="8"/>
  <c r="K2" i="8"/>
  <c r="J2" i="8"/>
  <c r="I2" i="8"/>
  <c r="H2" i="8"/>
  <c r="A4" i="8"/>
  <c r="G31" i="2" l="1"/>
  <c r="G31" i="8" s="1"/>
  <c r="G30" i="2"/>
  <c r="G29" i="2"/>
  <c r="F47" i="2"/>
  <c r="F47" i="8" s="1"/>
  <c r="F44" i="2"/>
  <c r="F41" i="2"/>
  <c r="F38" i="2"/>
  <c r="F35" i="2"/>
  <c r="F35" i="8" s="1"/>
  <c r="F32" i="2"/>
  <c r="F29" i="2"/>
  <c r="F29" i="8" s="1"/>
  <c r="E29" i="2"/>
  <c r="E29" i="8" s="1"/>
  <c r="D29" i="2"/>
  <c r="D29" i="8" s="1"/>
  <c r="C29" i="2"/>
  <c r="C29" i="8" s="1"/>
  <c r="B29" i="2"/>
  <c r="B29" i="8" s="1"/>
  <c r="A29" i="2"/>
  <c r="A29" i="8" s="1"/>
  <c r="F44" i="8"/>
  <c r="F41" i="8"/>
  <c r="F38" i="8"/>
  <c r="F32" i="8"/>
  <c r="G30" i="8"/>
  <c r="G29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4" i="8"/>
  <c r="F22" i="8"/>
  <c r="F19" i="8"/>
  <c r="F16" i="8"/>
  <c r="F13" i="8"/>
  <c r="F10" i="8"/>
  <c r="F7" i="8"/>
  <c r="F4" i="8"/>
  <c r="E4" i="8"/>
  <c r="D4" i="8"/>
  <c r="C4" i="8"/>
  <c r="B4" i="8"/>
  <c r="F48" i="2"/>
  <c r="F49" i="2" s="1"/>
  <c r="F45" i="2"/>
  <c r="F46" i="2" s="1"/>
  <c r="F42" i="2"/>
  <c r="F43" i="2" s="1"/>
  <c r="F40" i="2"/>
  <c r="F39" i="2"/>
  <c r="F36" i="2"/>
  <c r="F37" i="2" s="1"/>
  <c r="G34" i="2"/>
  <c r="G37" i="2" s="1"/>
  <c r="G40" i="2" s="1"/>
  <c r="G43" i="2" s="1"/>
  <c r="G46" i="2" s="1"/>
  <c r="G49" i="2" s="1"/>
  <c r="G49" i="8" s="1"/>
  <c r="G33" i="2"/>
  <c r="G36" i="2" s="1"/>
  <c r="G39" i="2" s="1"/>
  <c r="G42" i="2" s="1"/>
  <c r="G45" i="2" s="1"/>
  <c r="G48" i="2" s="1"/>
  <c r="G48" i="8" s="1"/>
  <c r="F33" i="2"/>
  <c r="F34" i="2" s="1"/>
  <c r="G32" i="2"/>
  <c r="G35" i="2" s="1"/>
  <c r="G38" i="2" s="1"/>
  <c r="G41" i="2" s="1"/>
  <c r="G44" i="2" s="1"/>
  <c r="G47" i="2" s="1"/>
  <c r="G47" i="8" s="1"/>
  <c r="H31" i="2"/>
  <c r="C31" i="2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H30" i="2"/>
  <c r="F30" i="2"/>
  <c r="F31" i="2" s="1"/>
  <c r="E30" i="2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E43" i="2" s="1"/>
  <c r="E44" i="2" s="1"/>
  <c r="E45" i="2" s="1"/>
  <c r="E46" i="2" s="1"/>
  <c r="E47" i="2" s="1"/>
  <c r="E48" i="2" s="1"/>
  <c r="E49" i="2" s="1"/>
  <c r="C30" i="2"/>
  <c r="B30" i="2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H29" i="2"/>
  <c r="A5" i="2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B5" i="2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C5" i="2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F24" i="2"/>
  <c r="F23" i="2"/>
  <c r="F20" i="2"/>
  <c r="F21" i="2" s="1"/>
  <c r="F18" i="2"/>
  <c r="F17" i="2"/>
  <c r="F14" i="2"/>
  <c r="F15" i="2" s="1"/>
  <c r="F12" i="2"/>
  <c r="F11" i="2"/>
  <c r="F8" i="2"/>
  <c r="F9" i="2" s="1"/>
  <c r="F5" i="2"/>
  <c r="F6" i="2" s="1"/>
  <c r="D5" i="2"/>
  <c r="D6" i="2" s="1"/>
  <c r="D9" i="2" s="1"/>
  <c r="D12" i="2" s="1"/>
  <c r="D15" i="2" s="1"/>
  <c r="D18" i="2" s="1"/>
  <c r="D21" i="2" s="1"/>
  <c r="D24" i="2" s="1"/>
  <c r="E5" i="2"/>
  <c r="E6" i="2" s="1"/>
  <c r="E7" i="2" s="1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H6" i="2"/>
  <c r="H5" i="2"/>
  <c r="H4" i="2"/>
  <c r="G9" i="2"/>
  <c r="G12" i="2" s="1"/>
  <c r="G15" i="2" s="1"/>
  <c r="G18" i="2" s="1"/>
  <c r="G21" i="2" s="1"/>
  <c r="G24" i="2" s="1"/>
  <c r="G8" i="2"/>
  <c r="G11" i="2" s="1"/>
  <c r="G14" i="2" s="1"/>
  <c r="G17" i="2" s="1"/>
  <c r="G20" i="2" s="1"/>
  <c r="G23" i="2" s="1"/>
  <c r="G7" i="2"/>
  <c r="G10" i="2" s="1"/>
  <c r="G13" i="2" s="1"/>
  <c r="G16" i="2" s="1"/>
  <c r="G19" i="2" s="1"/>
  <c r="G22" i="2" s="1"/>
  <c r="D7" i="2"/>
  <c r="D10" i="2" s="1"/>
  <c r="D13" i="2" s="1"/>
  <c r="D16" i="2" s="1"/>
  <c r="D19" i="2" s="1"/>
  <c r="D22" i="2" s="1"/>
  <c r="Z4" i="2"/>
  <c r="Y4" i="2"/>
  <c r="X4" i="2"/>
  <c r="AA4" i="2"/>
  <c r="W4" i="2"/>
  <c r="AC6" i="2"/>
  <c r="AG6" i="2"/>
  <c r="AD6" i="2"/>
  <c r="AH6" i="2"/>
  <c r="AA6" i="2"/>
  <c r="AE6" i="2"/>
  <c r="AI6" i="2"/>
  <c r="AB6" i="2"/>
  <c r="AF6" i="2"/>
  <c r="AJ6" i="2"/>
  <c r="AC5" i="2"/>
  <c r="Y5" i="2"/>
  <c r="AD5" i="2"/>
  <c r="Z5" i="2"/>
  <c r="AA5" i="2"/>
  <c r="AE5" i="2"/>
  <c r="X5" i="2"/>
  <c r="AB5" i="2"/>
  <c r="AF5" i="2"/>
  <c r="AF30" i="2"/>
  <c r="AB30" i="2"/>
  <c r="X30" i="2"/>
  <c r="AE30" i="2"/>
  <c r="AA30" i="2"/>
  <c r="AD30" i="2"/>
  <c r="Z30" i="2"/>
  <c r="AC30" i="2"/>
  <c r="Y30" i="2"/>
  <c r="Z29" i="2"/>
  <c r="Y29" i="2"/>
  <c r="X29" i="2"/>
  <c r="AA29" i="2"/>
  <c r="W29" i="2"/>
  <c r="AH31" i="2"/>
  <c r="AD31" i="2"/>
  <c r="AG31" i="2"/>
  <c r="AC31" i="2"/>
  <c r="AJ31" i="2"/>
  <c r="AF31" i="2"/>
  <c r="AB31" i="2"/>
  <c r="AI31" i="2"/>
  <c r="AE31" i="2"/>
  <c r="AA31" i="2"/>
  <c r="AF6" i="9" l="1"/>
  <c r="AF7" i="9" s="1"/>
  <c r="AB6" i="9"/>
  <c r="AB7" i="9" s="1"/>
  <c r="X6" i="9"/>
  <c r="X7" i="9" s="1"/>
  <c r="AE6" i="9"/>
  <c r="AE7" i="9" s="1"/>
  <c r="AA6" i="9"/>
  <c r="AA7" i="9" s="1"/>
  <c r="Z6" i="9"/>
  <c r="Z7" i="9" s="1"/>
  <c r="AD6" i="9"/>
  <c r="AD7" i="9" s="1"/>
  <c r="Y6" i="9"/>
  <c r="Y7" i="9" s="1"/>
  <c r="AC6" i="9"/>
  <c r="AC7" i="9" s="1"/>
  <c r="AJ8" i="9"/>
  <c r="AJ9" i="9" s="1"/>
  <c r="AF8" i="9"/>
  <c r="AF9" i="9" s="1"/>
  <c r="AB8" i="9"/>
  <c r="AB9" i="9" s="1"/>
  <c r="AI8" i="9"/>
  <c r="AI9" i="9" s="1"/>
  <c r="AE8" i="9"/>
  <c r="AE9" i="9" s="1"/>
  <c r="AA8" i="9"/>
  <c r="AA9" i="9" s="1"/>
  <c r="AH8" i="9"/>
  <c r="AH9" i="9" s="1"/>
  <c r="AD8" i="9"/>
  <c r="AD9" i="9" s="1"/>
  <c r="AG8" i="9"/>
  <c r="AG9" i="9" s="1"/>
  <c r="AC8" i="9"/>
  <c r="AC9" i="9" s="1"/>
  <c r="W4" i="9"/>
  <c r="W5" i="9" s="1"/>
  <c r="AA4" i="9"/>
  <c r="AA5" i="9" s="1"/>
  <c r="X4" i="9"/>
  <c r="X5" i="9" s="1"/>
  <c r="Y4" i="9"/>
  <c r="Y5" i="9" s="1"/>
  <c r="Z4" i="9"/>
  <c r="Z5" i="9" s="1"/>
  <c r="AE29" i="2"/>
  <c r="AI29" i="2"/>
  <c r="AB29" i="2"/>
  <c r="AF29" i="2"/>
  <c r="AJ29" i="2"/>
  <c r="AC29" i="2"/>
  <c r="AG29" i="2"/>
  <c r="AD29" i="2"/>
  <c r="AH29" i="2"/>
  <c r="H33" i="2"/>
  <c r="AI30" i="2"/>
  <c r="AJ30" i="2"/>
  <c r="AG30" i="2"/>
  <c r="AH30" i="2"/>
  <c r="H8" i="2"/>
  <c r="AJ5" i="2"/>
  <c r="AI5" i="2"/>
  <c r="AH5" i="2"/>
  <c r="AG5" i="2"/>
  <c r="H9" i="2"/>
  <c r="H7" i="2"/>
  <c r="AB4" i="2"/>
  <c r="AF4" i="2"/>
  <c r="AJ4" i="2"/>
  <c r="AC4" i="2"/>
  <c r="AG4" i="2"/>
  <c r="AD4" i="2"/>
  <c r="AH4" i="2"/>
  <c r="AI4" i="2"/>
  <c r="AE4" i="2"/>
  <c r="D30" i="2"/>
  <c r="D33" i="2" s="1"/>
  <c r="D36" i="2" s="1"/>
  <c r="D39" i="2" s="1"/>
  <c r="D42" i="2" s="1"/>
  <c r="D45" i="2" s="1"/>
  <c r="D48" i="2" s="1"/>
  <c r="A30" i="2"/>
  <c r="D32" i="2"/>
  <c r="D35" i="2" s="1"/>
  <c r="D38" i="2" s="1"/>
  <c r="D41" i="2" s="1"/>
  <c r="D44" i="2" s="1"/>
  <c r="D47" i="2" s="1"/>
  <c r="G34" i="8"/>
  <c r="G37" i="8"/>
  <c r="G43" i="8"/>
  <c r="G40" i="8"/>
  <c r="G46" i="8"/>
  <c r="G39" i="8"/>
  <c r="G36" i="8"/>
  <c r="G45" i="8"/>
  <c r="G33" i="8"/>
  <c r="G42" i="8"/>
  <c r="G35" i="8"/>
  <c r="G38" i="8"/>
  <c r="G41" i="8"/>
  <c r="G44" i="8"/>
  <c r="G32" i="8"/>
  <c r="H36" i="2"/>
  <c r="H34" i="2"/>
  <c r="D31" i="2"/>
  <c r="H32" i="2"/>
  <c r="D8" i="2"/>
  <c r="AC9" i="2"/>
  <c r="AG9" i="2"/>
  <c r="AD9" i="2"/>
  <c r="AH9" i="2"/>
  <c r="AA9" i="2"/>
  <c r="AE9" i="2"/>
  <c r="AI9" i="2"/>
  <c r="AB9" i="2"/>
  <c r="AF9" i="2"/>
  <c r="AJ9" i="2"/>
  <c r="Y7" i="2"/>
  <c r="U7" i="2"/>
  <c r="V7" i="2"/>
  <c r="Z7" i="2"/>
  <c r="W7" i="2"/>
  <c r="AA7" i="2"/>
  <c r="X7" i="2"/>
  <c r="AJ34" i="2"/>
  <c r="AF34" i="2"/>
  <c r="AB34" i="2"/>
  <c r="AI34" i="2"/>
  <c r="AE34" i="2"/>
  <c r="AA34" i="2"/>
  <c r="AH34" i="2"/>
  <c r="AD34" i="2"/>
  <c r="AG34" i="2"/>
  <c r="AC34" i="2"/>
  <c r="AD33" i="2"/>
  <c r="Z33" i="2"/>
  <c r="AC33" i="2"/>
  <c r="Y33" i="2"/>
  <c r="AF33" i="2"/>
  <c r="AB33" i="2"/>
  <c r="X33" i="2"/>
  <c r="AE33" i="2"/>
  <c r="AA33" i="2"/>
  <c r="AF36" i="2"/>
  <c r="AB36" i="2"/>
  <c r="X36" i="2"/>
  <c r="AE36" i="2"/>
  <c r="AA36" i="2"/>
  <c r="AD36" i="2"/>
  <c r="Z36" i="2"/>
  <c r="AC36" i="2"/>
  <c r="Y36" i="2"/>
  <c r="Y8" i="2"/>
  <c r="AC8" i="2"/>
  <c r="Z8" i="2"/>
  <c r="AD8" i="2"/>
  <c r="AA8" i="2"/>
  <c r="AE8" i="2"/>
  <c r="X8" i="2"/>
  <c r="AB8" i="2"/>
  <c r="AF8" i="2"/>
  <c r="X32" i="2"/>
  <c r="AA32" i="2"/>
  <c r="W32" i="2"/>
  <c r="Z32" i="2"/>
  <c r="Y32" i="2"/>
  <c r="U29" i="2"/>
  <c r="V29" i="2"/>
  <c r="V4" i="2"/>
  <c r="U4" i="2"/>
  <c r="M12" i="19"/>
  <c r="N23" i="19"/>
  <c r="N26" i="19"/>
  <c r="N42" i="19"/>
  <c r="N66" i="19"/>
  <c r="P78" i="19"/>
  <c r="N58" i="19"/>
  <c r="N39" i="19"/>
  <c r="L11" i="19"/>
  <c r="O34" i="19"/>
  <c r="U76" i="19"/>
  <c r="M4" i="2"/>
  <c r="N15" i="19"/>
  <c r="N31" i="19"/>
  <c r="P83" i="19"/>
  <c r="N50" i="19"/>
  <c r="N71" i="19"/>
  <c r="N18" i="19"/>
  <c r="N63" i="19"/>
  <c r="X86" i="19"/>
  <c r="N6" i="2"/>
  <c r="J6" i="2"/>
  <c r="L29" i="2"/>
  <c r="L6" i="2"/>
  <c r="K6" i="2"/>
  <c r="X6" i="2"/>
  <c r="J29" i="2"/>
  <c r="V6" i="2"/>
  <c r="I6" i="2"/>
  <c r="K4" i="2"/>
  <c r="Q29" i="2"/>
  <c r="O5" i="2"/>
  <c r="M6" i="2"/>
  <c r="M29" i="2"/>
  <c r="Q5" i="2"/>
  <c r="I5" i="2"/>
  <c r="S5" i="2"/>
  <c r="N47" i="19"/>
  <c r="I29" i="2"/>
  <c r="W6" i="2"/>
  <c r="U5" i="2"/>
  <c r="Q6" i="2"/>
  <c r="J4" i="2"/>
  <c r="N55" i="19"/>
  <c r="O6" i="2"/>
  <c r="I4" i="2"/>
  <c r="P6" i="2"/>
  <c r="T5" i="2"/>
  <c r="U6" i="2"/>
  <c r="N5" i="2"/>
  <c r="N4" i="2"/>
  <c r="R5" i="2"/>
  <c r="R6" i="2"/>
  <c r="L4" i="2"/>
  <c r="Y6" i="2"/>
  <c r="Z6" i="2"/>
  <c r="S6" i="2"/>
  <c r="M5" i="2"/>
  <c r="L5" i="2"/>
  <c r="N29" i="2"/>
  <c r="J5" i="2"/>
  <c r="V5" i="2"/>
  <c r="P5" i="2"/>
  <c r="K29" i="2"/>
  <c r="T6" i="2"/>
  <c r="W5" i="2"/>
  <c r="K5" i="2"/>
  <c r="I7" i="2"/>
  <c r="V9" i="2"/>
  <c r="Y9" i="2"/>
  <c r="I8" i="2"/>
  <c r="V30" i="2"/>
  <c r="P8" i="2"/>
  <c r="W8" i="2"/>
  <c r="T29" i="2"/>
  <c r="Q4" i="2"/>
  <c r="P30" i="2"/>
  <c r="L30" i="2"/>
  <c r="Q8" i="2"/>
  <c r="R30" i="2"/>
  <c r="O9" i="2"/>
  <c r="L7" i="2"/>
  <c r="O4" i="2"/>
  <c r="M7" i="2"/>
  <c r="T30" i="2"/>
  <c r="W9" i="2"/>
  <c r="O8" i="2"/>
  <c r="R29" i="2"/>
  <c r="N30" i="2"/>
  <c r="L9" i="2"/>
  <c r="W30" i="2"/>
  <c r="L8" i="2"/>
  <c r="P4" i="2"/>
  <c r="R7" i="2"/>
  <c r="S9" i="2"/>
  <c r="R8" i="2"/>
  <c r="S4" i="2"/>
  <c r="S29" i="2"/>
  <c r="I30" i="2"/>
  <c r="K7" i="2"/>
  <c r="T7" i="2"/>
  <c r="O29" i="2"/>
  <c r="T8" i="2"/>
  <c r="J7" i="2"/>
  <c r="P9" i="2"/>
  <c r="T9" i="2"/>
  <c r="Q7" i="2"/>
  <c r="N9" i="2"/>
  <c r="I9" i="2"/>
  <c r="M8" i="2"/>
  <c r="K8" i="2"/>
  <c r="U30" i="2"/>
  <c r="Q9" i="2"/>
  <c r="K30" i="2"/>
  <c r="J8" i="2"/>
  <c r="K9" i="2"/>
  <c r="T4" i="2"/>
  <c r="U9" i="2"/>
  <c r="R4" i="2"/>
  <c r="N7" i="2"/>
  <c r="M30" i="2"/>
  <c r="Z9" i="2"/>
  <c r="V8" i="2"/>
  <c r="O7" i="2"/>
  <c r="U8" i="2"/>
  <c r="J30" i="2"/>
  <c r="S30" i="2"/>
  <c r="Q30" i="2"/>
  <c r="P7" i="2"/>
  <c r="J9" i="2"/>
  <c r="X9" i="2"/>
  <c r="O30" i="2"/>
  <c r="S7" i="2"/>
  <c r="N8" i="2"/>
  <c r="S8" i="2"/>
  <c r="P29" i="2"/>
  <c r="R9" i="2"/>
  <c r="M9" i="2"/>
  <c r="J5" i="8" l="1"/>
  <c r="K6" i="9"/>
  <c r="K7" i="9" s="1"/>
  <c r="W6" i="9"/>
  <c r="W7" i="9" s="1"/>
  <c r="J29" i="8"/>
  <c r="P6" i="9"/>
  <c r="P7" i="9" s="1"/>
  <c r="O5" i="8"/>
  <c r="I5" i="8"/>
  <c r="J6" i="9"/>
  <c r="J7" i="9" s="1"/>
  <c r="M29" i="8"/>
  <c r="L6" i="9"/>
  <c r="L7" i="9" s="1"/>
  <c r="K5" i="8"/>
  <c r="M6" i="9"/>
  <c r="M7" i="9" s="1"/>
  <c r="L5" i="8"/>
  <c r="Z8" i="9"/>
  <c r="Z9" i="9" s="1"/>
  <c r="Y8" i="9"/>
  <c r="Y9" i="9" s="1"/>
  <c r="K4" i="8"/>
  <c r="L4" i="9"/>
  <c r="L5" i="9" s="1"/>
  <c r="Q6" i="8"/>
  <c r="R8" i="9"/>
  <c r="R9" i="9" s="1"/>
  <c r="M4" i="8"/>
  <c r="N4" i="9"/>
  <c r="N5" i="9" s="1"/>
  <c r="N6" i="9"/>
  <c r="N7" i="9" s="1"/>
  <c r="M5" i="8"/>
  <c r="P8" i="9"/>
  <c r="P9" i="9" s="1"/>
  <c r="O6" i="8"/>
  <c r="I4" i="9"/>
  <c r="I5" i="9" s="1"/>
  <c r="H4" i="8"/>
  <c r="O8" i="9"/>
  <c r="O9" i="9" s="1"/>
  <c r="N6" i="8"/>
  <c r="AD55" i="19"/>
  <c r="J4" i="9"/>
  <c r="J5" i="9" s="1"/>
  <c r="I4" i="8"/>
  <c r="Q8" i="9"/>
  <c r="Q9" i="9" s="1"/>
  <c r="P6" i="8"/>
  <c r="W8" i="9"/>
  <c r="W9" i="9" s="1"/>
  <c r="H29" i="8"/>
  <c r="AD47" i="19"/>
  <c r="H5" i="8"/>
  <c r="I6" i="9"/>
  <c r="I7" i="9" s="1"/>
  <c r="L29" i="8"/>
  <c r="M8" i="9"/>
  <c r="M9" i="9" s="1"/>
  <c r="L6" i="8"/>
  <c r="O6" i="9"/>
  <c r="O7" i="9" s="1"/>
  <c r="N5" i="8"/>
  <c r="P29" i="8"/>
  <c r="J4" i="8"/>
  <c r="K4" i="9"/>
  <c r="K5" i="9" s="1"/>
  <c r="H6" i="8"/>
  <c r="I8" i="9"/>
  <c r="I9" i="9" s="1"/>
  <c r="I29" i="8"/>
  <c r="X8" i="9"/>
  <c r="X9" i="9" s="1"/>
  <c r="J6" i="8"/>
  <c r="K8" i="9"/>
  <c r="K9" i="9" s="1"/>
  <c r="K6" i="8"/>
  <c r="L8" i="9"/>
  <c r="L9" i="9" s="1"/>
  <c r="K29" i="8"/>
  <c r="I6" i="8"/>
  <c r="J8" i="9"/>
  <c r="J9" i="9" s="1"/>
  <c r="N8" i="9"/>
  <c r="N9" i="9" s="1"/>
  <c r="M6" i="8"/>
  <c r="AD86" i="19"/>
  <c r="AD63" i="19"/>
  <c r="AD18" i="19"/>
  <c r="AD71" i="19"/>
  <c r="AD50" i="19"/>
  <c r="AD83" i="19"/>
  <c r="AD31" i="19"/>
  <c r="AD15" i="19"/>
  <c r="L4" i="8"/>
  <c r="M4" i="9"/>
  <c r="M5" i="9" s="1"/>
  <c r="AD76" i="19"/>
  <c r="AD34" i="19"/>
  <c r="AD11" i="19"/>
  <c r="AD39" i="19"/>
  <c r="AD58" i="19"/>
  <c r="AD78" i="19"/>
  <c r="AD66" i="19"/>
  <c r="AD42" i="19"/>
  <c r="AD26" i="19"/>
  <c r="AD23" i="19"/>
  <c r="AD12" i="19"/>
  <c r="AE4" i="9"/>
  <c r="AE5" i="9" s="1"/>
  <c r="AG4" i="9"/>
  <c r="AG5" i="9" s="1"/>
  <c r="AB4" i="9"/>
  <c r="AB5" i="9" s="1"/>
  <c r="AH6" i="9"/>
  <c r="AH7" i="9" s="1"/>
  <c r="AI4" i="9"/>
  <c r="AI5" i="9" s="1"/>
  <c r="AC4" i="9"/>
  <c r="AC5" i="9" s="1"/>
  <c r="AI6" i="9"/>
  <c r="AI7" i="9" s="1"/>
  <c r="AH4" i="9"/>
  <c r="AH5" i="9" s="1"/>
  <c r="AJ4" i="9"/>
  <c r="AJ5" i="9" s="1"/>
  <c r="AJ6" i="9"/>
  <c r="AJ7" i="9" s="1"/>
  <c r="AD4" i="9"/>
  <c r="AD5" i="9" s="1"/>
  <c r="AF4" i="9"/>
  <c r="AF5" i="9" s="1"/>
  <c r="AG6" i="9"/>
  <c r="AG7" i="9" s="1"/>
  <c r="AF12" i="9"/>
  <c r="AF13" i="9" s="1"/>
  <c r="AB12" i="9"/>
  <c r="AB13" i="9" s="1"/>
  <c r="X12" i="9"/>
  <c r="X13" i="9" s="1"/>
  <c r="AE12" i="9"/>
  <c r="AE13" i="9" s="1"/>
  <c r="AA12" i="9"/>
  <c r="AA13" i="9" s="1"/>
  <c r="W12" i="9"/>
  <c r="W13" i="9" s="1"/>
  <c r="AD12" i="9"/>
  <c r="AD13" i="9" s="1"/>
  <c r="Z12" i="9"/>
  <c r="Z13" i="9" s="1"/>
  <c r="AC12" i="9"/>
  <c r="AC13" i="9" s="1"/>
  <c r="Y12" i="9"/>
  <c r="Y13" i="9" s="1"/>
  <c r="X10" i="9"/>
  <c r="X11" i="9" s="1"/>
  <c r="K7" i="8"/>
  <c r="L10" i="9"/>
  <c r="L11" i="9" s="1"/>
  <c r="AA10" i="9"/>
  <c r="AA11" i="9" s="1"/>
  <c r="W10" i="9"/>
  <c r="W11" i="9" s="1"/>
  <c r="K10" i="9"/>
  <c r="K11" i="9" s="1"/>
  <c r="J7" i="8"/>
  <c r="Z10" i="9"/>
  <c r="Z11" i="9" s="1"/>
  <c r="M7" i="8"/>
  <c r="N10" i="9"/>
  <c r="N11" i="9" s="1"/>
  <c r="J10" i="9"/>
  <c r="J11" i="9" s="1"/>
  <c r="I7" i="8"/>
  <c r="M10" i="9"/>
  <c r="M11" i="9" s="1"/>
  <c r="L7" i="8"/>
  <c r="Y10" i="9"/>
  <c r="Y11" i="9" s="1"/>
  <c r="I10" i="9"/>
  <c r="I11" i="9" s="1"/>
  <c r="H7" i="8"/>
  <c r="AJ14" i="9"/>
  <c r="AJ15" i="9" s="1"/>
  <c r="AF14" i="9"/>
  <c r="AF15" i="9" s="1"/>
  <c r="AB14" i="9"/>
  <c r="AB15" i="9" s="1"/>
  <c r="X14" i="9"/>
  <c r="X15" i="9" s="1"/>
  <c r="O9" i="8"/>
  <c r="P14" i="9"/>
  <c r="P15" i="9" s="1"/>
  <c r="K9" i="8"/>
  <c r="L14" i="9"/>
  <c r="L15" i="9" s="1"/>
  <c r="AI14" i="9"/>
  <c r="AI15" i="9" s="1"/>
  <c r="AE14" i="9"/>
  <c r="AE15" i="9" s="1"/>
  <c r="AA14" i="9"/>
  <c r="AA15" i="9" s="1"/>
  <c r="W14" i="9"/>
  <c r="W15" i="9" s="1"/>
  <c r="N9" i="8"/>
  <c r="O14" i="9"/>
  <c r="O15" i="9" s="1"/>
  <c r="J9" i="8"/>
  <c r="K14" i="9"/>
  <c r="K15" i="9" s="1"/>
  <c r="AH14" i="9"/>
  <c r="AH15" i="9" s="1"/>
  <c r="AD14" i="9"/>
  <c r="AD15" i="9" s="1"/>
  <c r="Z14" i="9"/>
  <c r="Z15" i="9" s="1"/>
  <c r="R14" i="9"/>
  <c r="R15" i="9" s="1"/>
  <c r="Q9" i="8"/>
  <c r="N14" i="9"/>
  <c r="N15" i="9" s="1"/>
  <c r="M9" i="8"/>
  <c r="J14" i="9"/>
  <c r="J15" i="9" s="1"/>
  <c r="I9" i="8"/>
  <c r="AG14" i="9"/>
  <c r="AG15" i="9" s="1"/>
  <c r="P9" i="8"/>
  <c r="Q14" i="9"/>
  <c r="Q15" i="9" s="1"/>
  <c r="AC14" i="9"/>
  <c r="AC15" i="9" s="1"/>
  <c r="L9" i="8"/>
  <c r="M14" i="9"/>
  <c r="M15" i="9" s="1"/>
  <c r="Y14" i="9"/>
  <c r="Y15" i="9" s="1"/>
  <c r="H9" i="8"/>
  <c r="I14" i="9"/>
  <c r="I15" i="9" s="1"/>
  <c r="AD32" i="2"/>
  <c r="AH32" i="2"/>
  <c r="AE32" i="2"/>
  <c r="AI32" i="2"/>
  <c r="AB32" i="2"/>
  <c r="AF32" i="2"/>
  <c r="AJ32" i="2"/>
  <c r="AC32" i="2"/>
  <c r="AG32" i="2"/>
  <c r="H11" i="2"/>
  <c r="AI8" i="2"/>
  <c r="AH8" i="2"/>
  <c r="AG8" i="2"/>
  <c r="AJ8" i="2"/>
  <c r="AG36" i="2"/>
  <c r="AH36" i="2"/>
  <c r="AI36" i="2"/>
  <c r="AJ36" i="2"/>
  <c r="AH33" i="2"/>
  <c r="AI33" i="2"/>
  <c r="AJ33" i="2"/>
  <c r="AG33" i="2"/>
  <c r="H10" i="2"/>
  <c r="AI7" i="2"/>
  <c r="AE7" i="2"/>
  <c r="AH7" i="2"/>
  <c r="AD7" i="2"/>
  <c r="AG7" i="2"/>
  <c r="AC7" i="2"/>
  <c r="AF7" i="2"/>
  <c r="AB7" i="2"/>
  <c r="AJ7" i="2"/>
  <c r="H12" i="2"/>
  <c r="L30" i="8"/>
  <c r="M30" i="8"/>
  <c r="N30" i="8"/>
  <c r="O30" i="8"/>
  <c r="H30" i="8"/>
  <c r="I30" i="8"/>
  <c r="J30" i="8"/>
  <c r="K30" i="8"/>
  <c r="A31" i="2"/>
  <c r="I12" i="9"/>
  <c r="I13" i="9" s="1"/>
  <c r="O12" i="9"/>
  <c r="O13" i="9" s="1"/>
  <c r="M12" i="9"/>
  <c r="M13" i="9" s="1"/>
  <c r="L12" i="9"/>
  <c r="L13" i="9" s="1"/>
  <c r="J12" i="9"/>
  <c r="J13" i="9" s="1"/>
  <c r="P12" i="9"/>
  <c r="P13" i="9" s="1"/>
  <c r="N12" i="9"/>
  <c r="N13" i="9" s="1"/>
  <c r="K12" i="9"/>
  <c r="K13" i="9" s="1"/>
  <c r="S14" i="9"/>
  <c r="S15" i="9" s="1"/>
  <c r="T14" i="9"/>
  <c r="T15" i="9" s="1"/>
  <c r="Q12" i="9"/>
  <c r="Q13" i="9" s="1"/>
  <c r="R12" i="9"/>
  <c r="R13" i="9" s="1"/>
  <c r="Q6" i="9"/>
  <c r="Q7" i="9" s="1"/>
  <c r="R6" i="9"/>
  <c r="R7" i="9" s="1"/>
  <c r="S8" i="9"/>
  <c r="S9" i="9" s="1"/>
  <c r="T8" i="9"/>
  <c r="T9" i="9" s="1"/>
  <c r="P4" i="9"/>
  <c r="P5" i="9" s="1"/>
  <c r="O4" i="9"/>
  <c r="O5" i="9" s="1"/>
  <c r="O10" i="9"/>
  <c r="O11" i="9" s="1"/>
  <c r="P10" i="9"/>
  <c r="P11" i="9" s="1"/>
  <c r="S12" i="9"/>
  <c r="S13" i="9" s="1"/>
  <c r="U8" i="9"/>
  <c r="U9" i="9" s="1"/>
  <c r="U14" i="9"/>
  <c r="U15" i="9" s="1"/>
  <c r="S6" i="9"/>
  <c r="S7" i="9" s="1"/>
  <c r="Q10" i="9"/>
  <c r="Q11" i="9" s="1"/>
  <c r="Q4" i="9"/>
  <c r="Q5" i="9" s="1"/>
  <c r="T5" i="8"/>
  <c r="U6" i="9"/>
  <c r="U7" i="9" s="1"/>
  <c r="U7" i="8"/>
  <c r="V10" i="9"/>
  <c r="V11" i="9" s="1"/>
  <c r="S5" i="8"/>
  <c r="T6" i="9"/>
  <c r="T7" i="9" s="1"/>
  <c r="S29" i="8"/>
  <c r="U5" i="8"/>
  <c r="V6" i="9"/>
  <c r="V7" i="9" s="1"/>
  <c r="S8" i="8"/>
  <c r="T12" i="9"/>
  <c r="T13" i="9" s="1"/>
  <c r="Q4" i="8"/>
  <c r="R4" i="9"/>
  <c r="R5" i="9" s="1"/>
  <c r="T8" i="8"/>
  <c r="U12" i="9"/>
  <c r="U13" i="9" s="1"/>
  <c r="S7" i="8"/>
  <c r="T10" i="9"/>
  <c r="T11" i="9" s="1"/>
  <c r="Q29" i="8"/>
  <c r="U6" i="8"/>
  <c r="V8" i="9"/>
  <c r="V9" i="9" s="1"/>
  <c r="U29" i="8"/>
  <c r="T30" i="8"/>
  <c r="U4" i="8"/>
  <c r="V4" i="9"/>
  <c r="V5" i="9" s="1"/>
  <c r="U8" i="8"/>
  <c r="V12" i="9"/>
  <c r="V13" i="9" s="1"/>
  <c r="T7" i="8"/>
  <c r="U10" i="9"/>
  <c r="U11" i="9" s="1"/>
  <c r="Q7" i="8"/>
  <c r="R10" i="9"/>
  <c r="R11" i="9" s="1"/>
  <c r="U9" i="8"/>
  <c r="V14" i="9"/>
  <c r="V15" i="9" s="1"/>
  <c r="S4" i="8"/>
  <c r="T4" i="9"/>
  <c r="T5" i="9" s="1"/>
  <c r="T29" i="8"/>
  <c r="R29" i="8"/>
  <c r="U30" i="8"/>
  <c r="S30" i="8"/>
  <c r="T4" i="8"/>
  <c r="U4" i="9"/>
  <c r="U5" i="9" s="1"/>
  <c r="R7" i="8"/>
  <c r="S10" i="9"/>
  <c r="S11" i="9" s="1"/>
  <c r="R4" i="8"/>
  <c r="S4" i="9"/>
  <c r="S5" i="9" s="1"/>
  <c r="P7" i="8"/>
  <c r="P4" i="8"/>
  <c r="R8" i="8"/>
  <c r="T6" i="8"/>
  <c r="T9" i="8"/>
  <c r="R5" i="8"/>
  <c r="R30" i="8"/>
  <c r="R9" i="8"/>
  <c r="S9" i="8"/>
  <c r="O29" i="8"/>
  <c r="Q30" i="8"/>
  <c r="P8" i="8"/>
  <c r="Q8" i="8"/>
  <c r="P5" i="8"/>
  <c r="Q5" i="8"/>
  <c r="R6" i="8"/>
  <c r="S6" i="8"/>
  <c r="O4" i="8"/>
  <c r="N4" i="8"/>
  <c r="N29" i="8"/>
  <c r="N7" i="8"/>
  <c r="O7" i="8"/>
  <c r="P30" i="8"/>
  <c r="H8" i="8"/>
  <c r="N8" i="8"/>
  <c r="L8" i="8"/>
  <c r="K8" i="8"/>
  <c r="I8" i="8"/>
  <c r="O8" i="8"/>
  <c r="M8" i="8"/>
  <c r="J8" i="8"/>
  <c r="D34" i="2"/>
  <c r="H37" i="2"/>
  <c r="H35" i="2"/>
  <c r="H39" i="2"/>
  <c r="D11" i="2"/>
  <c r="AC12" i="2"/>
  <c r="AG12" i="2"/>
  <c r="AD12" i="2"/>
  <c r="AH12" i="2"/>
  <c r="AA12" i="2"/>
  <c r="AE12" i="2"/>
  <c r="AI12" i="2"/>
  <c r="AB12" i="2"/>
  <c r="AF12" i="2"/>
  <c r="AJ12" i="2"/>
  <c r="AH37" i="2"/>
  <c r="AD37" i="2"/>
  <c r="AG37" i="2"/>
  <c r="AC37" i="2"/>
  <c r="AJ37" i="2"/>
  <c r="AF37" i="2"/>
  <c r="AB37" i="2"/>
  <c r="AI37" i="2"/>
  <c r="AE37" i="2"/>
  <c r="AA37" i="2"/>
  <c r="Z35" i="2"/>
  <c r="Y35" i="2"/>
  <c r="X35" i="2"/>
  <c r="AA35" i="2"/>
  <c r="W35" i="2"/>
  <c r="Y11" i="2"/>
  <c r="AC11" i="2"/>
  <c r="Z11" i="2"/>
  <c r="AD11" i="2"/>
  <c r="AA11" i="2"/>
  <c r="AE11" i="2"/>
  <c r="X11" i="2"/>
  <c r="AB11" i="2"/>
  <c r="AF11" i="2"/>
  <c r="U10" i="2"/>
  <c r="Y10" i="2"/>
  <c r="V10" i="2"/>
  <c r="Z10" i="2"/>
  <c r="W10" i="2"/>
  <c r="AA10" i="2"/>
  <c r="X10" i="2"/>
  <c r="AD39" i="2"/>
  <c r="Z39" i="2"/>
  <c r="AC39" i="2"/>
  <c r="Y39" i="2"/>
  <c r="AF39" i="2"/>
  <c r="AB39" i="2"/>
  <c r="X39" i="2"/>
  <c r="AE39" i="2"/>
  <c r="AA39" i="2"/>
  <c r="Z31" i="2"/>
  <c r="R31" i="2"/>
  <c r="K10" i="2"/>
  <c r="U12" i="2"/>
  <c r="L10" i="2"/>
  <c r="L12" i="2"/>
  <c r="I31" i="2"/>
  <c r="Y12" i="2"/>
  <c r="T12" i="2"/>
  <c r="W11" i="2"/>
  <c r="M10" i="2"/>
  <c r="V31" i="2"/>
  <c r="V11" i="2"/>
  <c r="X12" i="2"/>
  <c r="W12" i="2"/>
  <c r="V12" i="2"/>
  <c r="N31" i="2"/>
  <c r="S10" i="2"/>
  <c r="I10" i="2"/>
  <c r="S11" i="2"/>
  <c r="Y31" i="2"/>
  <c r="O11" i="2"/>
  <c r="L11" i="2"/>
  <c r="O12" i="2"/>
  <c r="Q11" i="2"/>
  <c r="K31" i="2"/>
  <c r="P11" i="2"/>
  <c r="P10" i="2"/>
  <c r="P31" i="2"/>
  <c r="K11" i="2"/>
  <c r="R12" i="2"/>
  <c r="W31" i="2"/>
  <c r="I12" i="2"/>
  <c r="M31" i="2"/>
  <c r="J11" i="2"/>
  <c r="Q10" i="2"/>
  <c r="T31" i="2"/>
  <c r="I11" i="2"/>
  <c r="K12" i="2"/>
  <c r="J12" i="2"/>
  <c r="R10" i="2"/>
  <c r="T11" i="2"/>
  <c r="R11" i="2"/>
  <c r="T10" i="2"/>
  <c r="J31" i="2"/>
  <c r="L31" i="2"/>
  <c r="Q31" i="2"/>
  <c r="N11" i="2"/>
  <c r="U31" i="2"/>
  <c r="N10" i="2"/>
  <c r="J10" i="2"/>
  <c r="U11" i="2"/>
  <c r="M11" i="2"/>
  <c r="S12" i="2"/>
  <c r="S31" i="2"/>
  <c r="O10" i="2"/>
  <c r="X31" i="2"/>
  <c r="Q12" i="2"/>
  <c r="N12" i="2"/>
  <c r="Z12" i="2"/>
  <c r="P12" i="2"/>
  <c r="O31" i="2"/>
  <c r="M12" i="2"/>
  <c r="AC10" i="9" l="1"/>
  <c r="AC11" i="9" s="1"/>
  <c r="AE10" i="9"/>
  <c r="AE11" i="9" s="1"/>
  <c r="AG12" i="9"/>
  <c r="AG13" i="9" s="1"/>
  <c r="AJ10" i="9"/>
  <c r="AJ11" i="9" s="1"/>
  <c r="AG10" i="9"/>
  <c r="AG11" i="9" s="1"/>
  <c r="AI10" i="9"/>
  <c r="AI11" i="9" s="1"/>
  <c r="AH12" i="9"/>
  <c r="AH13" i="9" s="1"/>
  <c r="AB10" i="9"/>
  <c r="AB11" i="9" s="1"/>
  <c r="AD10" i="9"/>
  <c r="AD11" i="9" s="1"/>
  <c r="AI12" i="9"/>
  <c r="AI13" i="9" s="1"/>
  <c r="AF10" i="9"/>
  <c r="AF11" i="9" s="1"/>
  <c r="AH10" i="9"/>
  <c r="AH11" i="9" s="1"/>
  <c r="AJ12" i="9"/>
  <c r="AJ13" i="9" s="1"/>
  <c r="X16" i="9"/>
  <c r="X17" i="9" s="1"/>
  <c r="S10" i="8"/>
  <c r="T16" i="9"/>
  <c r="T17" i="9" s="1"/>
  <c r="P16" i="9"/>
  <c r="P17" i="9" s="1"/>
  <c r="O10" i="8"/>
  <c r="L16" i="9"/>
  <c r="L17" i="9" s="1"/>
  <c r="K10" i="8"/>
  <c r="AA16" i="9"/>
  <c r="AA17" i="9" s="1"/>
  <c r="W16" i="9"/>
  <c r="W17" i="9" s="1"/>
  <c r="R10" i="8"/>
  <c r="S16" i="9"/>
  <c r="S17" i="9" s="1"/>
  <c r="O16" i="9"/>
  <c r="O17" i="9" s="1"/>
  <c r="N10" i="8"/>
  <c r="K16" i="9"/>
  <c r="K17" i="9" s="1"/>
  <c r="J10" i="8"/>
  <c r="Z16" i="9"/>
  <c r="Z17" i="9" s="1"/>
  <c r="U10" i="8"/>
  <c r="V16" i="9"/>
  <c r="V17" i="9" s="1"/>
  <c r="Q10" i="8"/>
  <c r="R16" i="9"/>
  <c r="R17" i="9" s="1"/>
  <c r="M10" i="8"/>
  <c r="N16" i="9"/>
  <c r="N17" i="9" s="1"/>
  <c r="I10" i="8"/>
  <c r="J16" i="9"/>
  <c r="J17" i="9" s="1"/>
  <c r="Y16" i="9"/>
  <c r="Y17" i="9" s="1"/>
  <c r="I16" i="9"/>
  <c r="I17" i="9" s="1"/>
  <c r="H10" i="8"/>
  <c r="T10" i="8"/>
  <c r="U16" i="9"/>
  <c r="U17" i="9" s="1"/>
  <c r="Q16" i="9"/>
  <c r="Q17" i="9" s="1"/>
  <c r="P10" i="8"/>
  <c r="M16" i="9"/>
  <c r="M17" i="9" s="1"/>
  <c r="L10" i="8"/>
  <c r="AF18" i="9"/>
  <c r="AF19" i="9" s="1"/>
  <c r="AB18" i="9"/>
  <c r="AB19" i="9" s="1"/>
  <c r="X18" i="9"/>
  <c r="X19" i="9" s="1"/>
  <c r="AE18" i="9"/>
  <c r="AE19" i="9" s="1"/>
  <c r="AA18" i="9"/>
  <c r="AA19" i="9" s="1"/>
  <c r="W18" i="9"/>
  <c r="W19" i="9" s="1"/>
  <c r="AD18" i="9"/>
  <c r="AD19" i="9" s="1"/>
  <c r="Z18" i="9"/>
  <c r="Z19" i="9" s="1"/>
  <c r="AC18" i="9"/>
  <c r="AC19" i="9" s="1"/>
  <c r="Y18" i="9"/>
  <c r="Y19" i="9" s="1"/>
  <c r="AJ20" i="9"/>
  <c r="AJ21" i="9" s="1"/>
  <c r="AF20" i="9"/>
  <c r="AF21" i="9" s="1"/>
  <c r="AB20" i="9"/>
  <c r="AB21" i="9" s="1"/>
  <c r="X20" i="9"/>
  <c r="X21" i="9" s="1"/>
  <c r="S12" i="8"/>
  <c r="T20" i="9"/>
  <c r="T21" i="9" s="1"/>
  <c r="O12" i="8"/>
  <c r="P20" i="9"/>
  <c r="P21" i="9" s="1"/>
  <c r="K12" i="8"/>
  <c r="L20" i="9"/>
  <c r="L21" i="9" s="1"/>
  <c r="AI20" i="9"/>
  <c r="AI21" i="9" s="1"/>
  <c r="AE20" i="9"/>
  <c r="AE21" i="9" s="1"/>
  <c r="AA20" i="9"/>
  <c r="AA21" i="9" s="1"/>
  <c r="W20" i="9"/>
  <c r="W21" i="9" s="1"/>
  <c r="S20" i="9"/>
  <c r="S21" i="9" s="1"/>
  <c r="R12" i="8"/>
  <c r="N12" i="8"/>
  <c r="O20" i="9"/>
  <c r="O21" i="9" s="1"/>
  <c r="J12" i="8"/>
  <c r="K20" i="9"/>
  <c r="K21" i="9" s="1"/>
  <c r="AH20" i="9"/>
  <c r="AH21" i="9" s="1"/>
  <c r="AD20" i="9"/>
  <c r="AD21" i="9" s="1"/>
  <c r="Z20" i="9"/>
  <c r="Z21" i="9" s="1"/>
  <c r="U12" i="8"/>
  <c r="V20" i="9"/>
  <c r="V21" i="9" s="1"/>
  <c r="Q12" i="8"/>
  <c r="R20" i="9"/>
  <c r="R21" i="9" s="1"/>
  <c r="M12" i="8"/>
  <c r="N20" i="9"/>
  <c r="N21" i="9" s="1"/>
  <c r="I12" i="8"/>
  <c r="J20" i="9"/>
  <c r="J21" i="9" s="1"/>
  <c r="Y20" i="9"/>
  <c r="Y21" i="9" s="1"/>
  <c r="I20" i="9"/>
  <c r="I21" i="9" s="1"/>
  <c r="H12" i="8"/>
  <c r="U20" i="9"/>
  <c r="U21" i="9" s="1"/>
  <c r="T12" i="8"/>
  <c r="AG20" i="9"/>
  <c r="AG21" i="9" s="1"/>
  <c r="Q20" i="9"/>
  <c r="Q21" i="9" s="1"/>
  <c r="P12" i="8"/>
  <c r="AC20" i="9"/>
  <c r="AC21" i="9" s="1"/>
  <c r="L12" i="8"/>
  <c r="M20" i="9"/>
  <c r="M21" i="9" s="1"/>
  <c r="AJ39" i="2"/>
  <c r="AG39" i="2"/>
  <c r="AH39" i="2"/>
  <c r="AI39" i="2"/>
  <c r="H13" i="2"/>
  <c r="AH10" i="2"/>
  <c r="AD10" i="2"/>
  <c r="AG10" i="2"/>
  <c r="AC10" i="2"/>
  <c r="AJ10" i="2"/>
  <c r="AF10" i="2"/>
  <c r="AB10" i="2"/>
  <c r="AI10" i="2"/>
  <c r="AE10" i="2"/>
  <c r="H14" i="2"/>
  <c r="AH11" i="2"/>
  <c r="AG11" i="2"/>
  <c r="AJ11" i="2"/>
  <c r="AI11" i="2"/>
  <c r="AC35" i="2"/>
  <c r="AG35" i="2"/>
  <c r="AD35" i="2"/>
  <c r="AH35" i="2"/>
  <c r="AE35" i="2"/>
  <c r="AI35" i="2"/>
  <c r="AF35" i="2"/>
  <c r="AB35" i="2"/>
  <c r="AJ35" i="2"/>
  <c r="H15" i="2"/>
  <c r="U11" i="8"/>
  <c r="V18" i="9"/>
  <c r="V19" i="9" s="1"/>
  <c r="T18" i="9"/>
  <c r="T19" i="9" s="1"/>
  <c r="S11" i="8"/>
  <c r="T11" i="8"/>
  <c r="U18" i="9"/>
  <c r="U19" i="9" s="1"/>
  <c r="U31" i="8"/>
  <c r="T31" i="8"/>
  <c r="R31" i="8"/>
  <c r="S31" i="8"/>
  <c r="H31" i="8"/>
  <c r="I31" i="8"/>
  <c r="O31" i="8"/>
  <c r="P31" i="8"/>
  <c r="K31" i="8"/>
  <c r="Q31" i="8"/>
  <c r="L31" i="8"/>
  <c r="N31" i="8"/>
  <c r="M31" i="8"/>
  <c r="J31" i="8"/>
  <c r="A32" i="2"/>
  <c r="J18" i="9"/>
  <c r="J19" i="9" s="1"/>
  <c r="N18" i="9"/>
  <c r="N19" i="9" s="1"/>
  <c r="P18" i="9"/>
  <c r="P19" i="9" s="1"/>
  <c r="I18" i="9"/>
  <c r="I19" i="9" s="1"/>
  <c r="K18" i="9"/>
  <c r="K19" i="9" s="1"/>
  <c r="M18" i="9"/>
  <c r="M19" i="9" s="1"/>
  <c r="O18" i="9"/>
  <c r="O19" i="9" s="1"/>
  <c r="L18" i="9"/>
  <c r="L19" i="9" s="1"/>
  <c r="S18" i="9"/>
  <c r="S19" i="9" s="1"/>
  <c r="Q18" i="9"/>
  <c r="Q19" i="9" s="1"/>
  <c r="R18" i="9"/>
  <c r="R19" i="9" s="1"/>
  <c r="R11" i="8"/>
  <c r="P11" i="8"/>
  <c r="Q11" i="8"/>
  <c r="I11" i="8"/>
  <c r="M11" i="8"/>
  <c r="O11" i="8"/>
  <c r="H11" i="8"/>
  <c r="J11" i="8"/>
  <c r="L11" i="8"/>
  <c r="N11" i="8"/>
  <c r="K11" i="8"/>
  <c r="D37" i="2"/>
  <c r="H38" i="2"/>
  <c r="H40" i="2"/>
  <c r="H42" i="2"/>
  <c r="D14" i="2"/>
  <c r="U13" i="2"/>
  <c r="Y13" i="2"/>
  <c r="V13" i="2"/>
  <c r="Z13" i="2"/>
  <c r="W13" i="2"/>
  <c r="AA13" i="2"/>
  <c r="X13" i="2"/>
  <c r="AG15" i="2"/>
  <c r="AC15" i="2"/>
  <c r="AD15" i="2"/>
  <c r="AH15" i="2"/>
  <c r="AA15" i="2"/>
  <c r="AE15" i="2"/>
  <c r="AI15" i="2"/>
  <c r="AB15" i="2"/>
  <c r="AF15" i="2"/>
  <c r="AJ15" i="2"/>
  <c r="X38" i="2"/>
  <c r="AA38" i="2"/>
  <c r="W38" i="2"/>
  <c r="Z38" i="2"/>
  <c r="Y38" i="2"/>
  <c r="AF42" i="2"/>
  <c r="AB42" i="2"/>
  <c r="X42" i="2"/>
  <c r="AE42" i="2"/>
  <c r="AA42" i="2"/>
  <c r="AD42" i="2"/>
  <c r="Z42" i="2"/>
  <c r="AC42" i="2"/>
  <c r="Y42" i="2"/>
  <c r="Y14" i="2"/>
  <c r="AC14" i="2"/>
  <c r="Z14" i="2"/>
  <c r="AD14" i="2"/>
  <c r="AA14" i="2"/>
  <c r="AE14" i="2"/>
  <c r="X14" i="2"/>
  <c r="AB14" i="2"/>
  <c r="AF14" i="2"/>
  <c r="AJ40" i="2"/>
  <c r="AF40" i="2"/>
  <c r="AB40" i="2"/>
  <c r="AI40" i="2"/>
  <c r="AE40" i="2"/>
  <c r="AA40" i="2"/>
  <c r="AH40" i="2"/>
  <c r="AD40" i="2"/>
  <c r="AG40" i="2"/>
  <c r="AC40" i="2"/>
  <c r="V32" i="2"/>
  <c r="U32" i="2"/>
  <c r="K14" i="2"/>
  <c r="P13" i="2"/>
  <c r="Q14" i="2"/>
  <c r="O13" i="2"/>
  <c r="R15" i="2"/>
  <c r="S14" i="2"/>
  <c r="S15" i="2"/>
  <c r="I13" i="2"/>
  <c r="K32" i="2"/>
  <c r="O15" i="2"/>
  <c r="S13" i="2"/>
  <c r="N14" i="2"/>
  <c r="N32" i="2"/>
  <c r="V15" i="2"/>
  <c r="I32" i="2"/>
  <c r="U14" i="2"/>
  <c r="O32" i="2"/>
  <c r="T13" i="2"/>
  <c r="M32" i="2"/>
  <c r="L14" i="2"/>
  <c r="L15" i="2"/>
  <c r="W15" i="2"/>
  <c r="Q15" i="2"/>
  <c r="Z15" i="2"/>
  <c r="I15" i="2"/>
  <c r="M14" i="2"/>
  <c r="P15" i="2"/>
  <c r="R14" i="2"/>
  <c r="P32" i="2"/>
  <c r="K13" i="2"/>
  <c r="V14" i="2"/>
  <c r="J13" i="2"/>
  <c r="R13" i="2"/>
  <c r="T32" i="2"/>
  <c r="J15" i="2"/>
  <c r="T15" i="2"/>
  <c r="R32" i="2"/>
  <c r="M15" i="2"/>
  <c r="J14" i="2"/>
  <c r="W14" i="2"/>
  <c r="M13" i="2"/>
  <c r="T14" i="2"/>
  <c r="N13" i="2"/>
  <c r="Y15" i="2"/>
  <c r="N15" i="2"/>
  <c r="S32" i="2"/>
  <c r="L32" i="2"/>
  <c r="L13" i="2"/>
  <c r="J32" i="2"/>
  <c r="Q13" i="2"/>
  <c r="U15" i="2"/>
  <c r="Q32" i="2"/>
  <c r="O14" i="2"/>
  <c r="P14" i="2"/>
  <c r="X15" i="2"/>
  <c r="K15" i="2"/>
  <c r="I14" i="2"/>
  <c r="AG18" i="9" l="1"/>
  <c r="AG19" i="9" s="1"/>
  <c r="AI16" i="9"/>
  <c r="AI17" i="9" s="1"/>
  <c r="AC16" i="9"/>
  <c r="AC17" i="9" s="1"/>
  <c r="AH18" i="9"/>
  <c r="AH19" i="9" s="1"/>
  <c r="AB16" i="9"/>
  <c r="AB17" i="9" s="1"/>
  <c r="AG16" i="9"/>
  <c r="AG17" i="9" s="1"/>
  <c r="AI18" i="9"/>
  <c r="AI19" i="9" s="1"/>
  <c r="AF16" i="9"/>
  <c r="AF17" i="9" s="1"/>
  <c r="AD16" i="9"/>
  <c r="AD17" i="9" s="1"/>
  <c r="AJ18" i="9"/>
  <c r="AJ19" i="9" s="1"/>
  <c r="AE16" i="9"/>
  <c r="AE17" i="9" s="1"/>
  <c r="AJ16" i="9"/>
  <c r="AJ17" i="9" s="1"/>
  <c r="AH16" i="9"/>
  <c r="AH17" i="9" s="1"/>
  <c r="AF24" i="9"/>
  <c r="AF25" i="9" s="1"/>
  <c r="AB24" i="9"/>
  <c r="AB25" i="9" s="1"/>
  <c r="X24" i="9"/>
  <c r="X25" i="9" s="1"/>
  <c r="AE24" i="9"/>
  <c r="AE25" i="9" s="1"/>
  <c r="AA24" i="9"/>
  <c r="AA25" i="9" s="1"/>
  <c r="W24" i="9"/>
  <c r="W25" i="9" s="1"/>
  <c r="AD24" i="9"/>
  <c r="AD25" i="9" s="1"/>
  <c r="Z24" i="9"/>
  <c r="Z25" i="9" s="1"/>
  <c r="AC24" i="9"/>
  <c r="AC25" i="9" s="1"/>
  <c r="Y24" i="9"/>
  <c r="Y25" i="9" s="1"/>
  <c r="AJ26" i="9"/>
  <c r="AJ27" i="9" s="1"/>
  <c r="AF26" i="9"/>
  <c r="AF27" i="9" s="1"/>
  <c r="AB26" i="9"/>
  <c r="AB27" i="9" s="1"/>
  <c r="X26" i="9"/>
  <c r="X27" i="9" s="1"/>
  <c r="T26" i="9"/>
  <c r="T27" i="9" s="1"/>
  <c r="S15" i="8"/>
  <c r="P26" i="9"/>
  <c r="P27" i="9" s="1"/>
  <c r="O15" i="8"/>
  <c r="L26" i="9"/>
  <c r="L27" i="9" s="1"/>
  <c r="K15" i="8"/>
  <c r="AI26" i="9"/>
  <c r="AI27" i="9" s="1"/>
  <c r="AE26" i="9"/>
  <c r="AE27" i="9" s="1"/>
  <c r="AA26" i="9"/>
  <c r="AA27" i="9" s="1"/>
  <c r="W26" i="9"/>
  <c r="W27" i="9" s="1"/>
  <c r="S26" i="9"/>
  <c r="S27" i="9" s="1"/>
  <c r="R15" i="8"/>
  <c r="O26" i="9"/>
  <c r="O27" i="9" s="1"/>
  <c r="N15" i="8"/>
  <c r="K26" i="9"/>
  <c r="K27" i="9" s="1"/>
  <c r="J15" i="8"/>
  <c r="AH26" i="9"/>
  <c r="AH27" i="9" s="1"/>
  <c r="AD26" i="9"/>
  <c r="AD27" i="9" s="1"/>
  <c r="Z26" i="9"/>
  <c r="Z27" i="9" s="1"/>
  <c r="V26" i="9"/>
  <c r="V27" i="9" s="1"/>
  <c r="U15" i="8"/>
  <c r="Q15" i="8"/>
  <c r="R26" i="9"/>
  <c r="R27" i="9" s="1"/>
  <c r="N26" i="9"/>
  <c r="N27" i="9" s="1"/>
  <c r="M15" i="8"/>
  <c r="I15" i="8"/>
  <c r="J26" i="9"/>
  <c r="J27" i="9" s="1"/>
  <c r="AC26" i="9"/>
  <c r="AC27" i="9" s="1"/>
  <c r="M26" i="9"/>
  <c r="M27" i="9" s="1"/>
  <c r="L15" i="8"/>
  <c r="Y26" i="9"/>
  <c r="Y27" i="9" s="1"/>
  <c r="I26" i="9"/>
  <c r="I27" i="9" s="1"/>
  <c r="H15" i="8"/>
  <c r="U26" i="9"/>
  <c r="U27" i="9" s="1"/>
  <c r="T15" i="8"/>
  <c r="AG26" i="9"/>
  <c r="AG27" i="9" s="1"/>
  <c r="P15" i="8"/>
  <c r="Q26" i="9"/>
  <c r="Q27" i="9" s="1"/>
  <c r="X22" i="9"/>
  <c r="X23" i="9" s="1"/>
  <c r="S13" i="8"/>
  <c r="T22" i="9"/>
  <c r="T23" i="9" s="1"/>
  <c r="P22" i="9"/>
  <c r="P23" i="9" s="1"/>
  <c r="O13" i="8"/>
  <c r="L22" i="9"/>
  <c r="L23" i="9" s="1"/>
  <c r="K13" i="8"/>
  <c r="AA22" i="9"/>
  <c r="AA23" i="9" s="1"/>
  <c r="W22" i="9"/>
  <c r="W23" i="9" s="1"/>
  <c r="S22" i="9"/>
  <c r="S23" i="9" s="1"/>
  <c r="R13" i="8"/>
  <c r="N13" i="8"/>
  <c r="O22" i="9"/>
  <c r="O23" i="9" s="1"/>
  <c r="J13" i="8"/>
  <c r="K22" i="9"/>
  <c r="K23" i="9" s="1"/>
  <c r="Z22" i="9"/>
  <c r="Z23" i="9" s="1"/>
  <c r="V22" i="9"/>
  <c r="V23" i="9" s="1"/>
  <c r="U13" i="8"/>
  <c r="R22" i="9"/>
  <c r="R23" i="9" s="1"/>
  <c r="Q13" i="8"/>
  <c r="N22" i="9"/>
  <c r="N23" i="9" s="1"/>
  <c r="M13" i="8"/>
  <c r="J22" i="9"/>
  <c r="J23" i="9" s="1"/>
  <c r="I13" i="8"/>
  <c r="M22" i="9"/>
  <c r="M23" i="9" s="1"/>
  <c r="L13" i="8"/>
  <c r="Y22" i="9"/>
  <c r="Y23" i="9" s="1"/>
  <c r="H13" i="8"/>
  <c r="I22" i="9"/>
  <c r="I23" i="9" s="1"/>
  <c r="T13" i="8"/>
  <c r="U22" i="9"/>
  <c r="U23" i="9" s="1"/>
  <c r="P13" i="8"/>
  <c r="Q22" i="9"/>
  <c r="Q23" i="9" s="1"/>
  <c r="H17" i="2"/>
  <c r="AG14" i="2"/>
  <c r="AJ14" i="2"/>
  <c r="AI14" i="2"/>
  <c r="AH14" i="2"/>
  <c r="AI42" i="2"/>
  <c r="AJ42" i="2"/>
  <c r="AG42" i="2"/>
  <c r="AH42" i="2"/>
  <c r="AB38" i="2"/>
  <c r="AF38" i="2"/>
  <c r="AJ38" i="2"/>
  <c r="AC38" i="2"/>
  <c r="AG38" i="2"/>
  <c r="AD38" i="2"/>
  <c r="AH38" i="2"/>
  <c r="AI38" i="2"/>
  <c r="AE38" i="2"/>
  <c r="H18" i="2"/>
  <c r="H16" i="2"/>
  <c r="AG13" i="2"/>
  <c r="AC13" i="2"/>
  <c r="AJ13" i="2"/>
  <c r="AF13" i="2"/>
  <c r="AB13" i="2"/>
  <c r="AI13" i="2"/>
  <c r="AE13" i="2"/>
  <c r="AH13" i="2"/>
  <c r="AD13" i="2"/>
  <c r="U14" i="8"/>
  <c r="V24" i="9"/>
  <c r="V25" i="9" s="1"/>
  <c r="T14" i="8"/>
  <c r="U24" i="9"/>
  <c r="U25" i="9" s="1"/>
  <c r="T24" i="9"/>
  <c r="T25" i="9" s="1"/>
  <c r="S14" i="8"/>
  <c r="K32" i="8"/>
  <c r="L32" i="8"/>
  <c r="J32" i="8"/>
  <c r="H32" i="8"/>
  <c r="M32" i="8"/>
  <c r="I32" i="8"/>
  <c r="Q32" i="8"/>
  <c r="T32" i="8"/>
  <c r="S32" i="8"/>
  <c r="U32" i="8"/>
  <c r="R32" i="8"/>
  <c r="P32" i="8"/>
  <c r="N32" i="8"/>
  <c r="O32" i="8"/>
  <c r="A33" i="2"/>
  <c r="M24" i="9"/>
  <c r="M25" i="9" s="1"/>
  <c r="J24" i="9"/>
  <c r="J25" i="9" s="1"/>
  <c r="P24" i="9"/>
  <c r="P25" i="9" s="1"/>
  <c r="N24" i="9"/>
  <c r="N25" i="9" s="1"/>
  <c r="L24" i="9"/>
  <c r="L25" i="9" s="1"/>
  <c r="K24" i="9"/>
  <c r="K25" i="9" s="1"/>
  <c r="I24" i="9"/>
  <c r="I25" i="9" s="1"/>
  <c r="O24" i="9"/>
  <c r="O25" i="9" s="1"/>
  <c r="S24" i="9"/>
  <c r="S25" i="9" s="1"/>
  <c r="R24" i="9"/>
  <c r="R25" i="9" s="1"/>
  <c r="Q24" i="9"/>
  <c r="Q25" i="9" s="1"/>
  <c r="R14" i="8"/>
  <c r="Q14" i="8"/>
  <c r="P14" i="8"/>
  <c r="L14" i="8"/>
  <c r="I14" i="8"/>
  <c r="O14" i="8"/>
  <c r="M14" i="8"/>
  <c r="K14" i="8"/>
  <c r="J14" i="8"/>
  <c r="H14" i="8"/>
  <c r="N14" i="8"/>
  <c r="D40" i="2"/>
  <c r="H43" i="2"/>
  <c r="H45" i="2"/>
  <c r="H41" i="2"/>
  <c r="D17" i="2"/>
  <c r="AC17" i="2"/>
  <c r="Y17" i="2"/>
  <c r="Z17" i="2"/>
  <c r="AD17" i="2"/>
  <c r="AA17" i="2"/>
  <c r="AE17" i="2"/>
  <c r="X17" i="2"/>
  <c r="AB17" i="2"/>
  <c r="AF17" i="2"/>
  <c r="AH43" i="2"/>
  <c r="AD43" i="2"/>
  <c r="AG43" i="2"/>
  <c r="AC43" i="2"/>
  <c r="AJ43" i="2"/>
  <c r="AF43" i="2"/>
  <c r="AB43" i="2"/>
  <c r="AI43" i="2"/>
  <c r="AE43" i="2"/>
  <c r="AA43" i="2"/>
  <c r="AC18" i="2"/>
  <c r="AG18" i="2"/>
  <c r="AD18" i="2"/>
  <c r="AH18" i="2"/>
  <c r="AA18" i="2"/>
  <c r="AE18" i="2"/>
  <c r="AI18" i="2"/>
  <c r="AB18" i="2"/>
  <c r="AF18" i="2"/>
  <c r="AJ18" i="2"/>
  <c r="AD45" i="2"/>
  <c r="Z45" i="2"/>
  <c r="AC45" i="2"/>
  <c r="Y45" i="2"/>
  <c r="AF45" i="2"/>
  <c r="AB45" i="2"/>
  <c r="X45" i="2"/>
  <c r="AE45" i="2"/>
  <c r="AA45" i="2"/>
  <c r="U16" i="2"/>
  <c r="Y16" i="2"/>
  <c r="V16" i="2"/>
  <c r="Z16" i="2"/>
  <c r="W16" i="2"/>
  <c r="AA16" i="2"/>
  <c r="X16" i="2"/>
  <c r="Z41" i="2"/>
  <c r="Y41" i="2"/>
  <c r="X41" i="2"/>
  <c r="AA41" i="2"/>
  <c r="W41" i="2"/>
  <c r="X18" i="2"/>
  <c r="U18" i="2"/>
  <c r="W33" i="2"/>
  <c r="U17" i="2"/>
  <c r="L18" i="2"/>
  <c r="K16" i="2"/>
  <c r="O33" i="2"/>
  <c r="W17" i="2"/>
  <c r="Q16" i="2"/>
  <c r="T17" i="2"/>
  <c r="U33" i="2"/>
  <c r="J16" i="2"/>
  <c r="T18" i="2"/>
  <c r="N18" i="2"/>
  <c r="R17" i="2"/>
  <c r="M18" i="2"/>
  <c r="I17" i="2"/>
  <c r="L33" i="2"/>
  <c r="P33" i="2"/>
  <c r="T33" i="2"/>
  <c r="R18" i="2"/>
  <c r="M16" i="2"/>
  <c r="Y18" i="2"/>
  <c r="O18" i="2"/>
  <c r="M33" i="2"/>
  <c r="R33" i="2"/>
  <c r="O16" i="2"/>
  <c r="N17" i="2"/>
  <c r="P18" i="2"/>
  <c r="M17" i="2"/>
  <c r="L17" i="2"/>
  <c r="W18" i="2"/>
  <c r="N33" i="2"/>
  <c r="J33" i="2"/>
  <c r="J18" i="2"/>
  <c r="O17" i="2"/>
  <c r="K17" i="2"/>
  <c r="P16" i="2"/>
  <c r="N16" i="2"/>
  <c r="K33" i="2"/>
  <c r="Q33" i="2"/>
  <c r="R16" i="2"/>
  <c r="K18" i="2"/>
  <c r="S17" i="2"/>
  <c r="T16" i="2"/>
  <c r="I18" i="2"/>
  <c r="I33" i="2"/>
  <c r="L16" i="2"/>
  <c r="I16" i="2"/>
  <c r="P17" i="2"/>
  <c r="S33" i="2"/>
  <c r="J17" i="2"/>
  <c r="V18" i="2"/>
  <c r="S18" i="2"/>
  <c r="Q17" i="2"/>
  <c r="Q18" i="2"/>
  <c r="S16" i="2"/>
  <c r="Z18" i="2"/>
  <c r="V17" i="2"/>
  <c r="V33" i="2"/>
  <c r="AC22" i="9" l="1"/>
  <c r="AC23" i="9" s="1"/>
  <c r="AG24" i="9"/>
  <c r="AG25" i="9" s="1"/>
  <c r="AD22" i="9"/>
  <c r="AD23" i="9" s="1"/>
  <c r="AB22" i="9"/>
  <c r="AB23" i="9" s="1"/>
  <c r="AG22" i="9"/>
  <c r="AG23" i="9" s="1"/>
  <c r="AH24" i="9"/>
  <c r="AH25" i="9" s="1"/>
  <c r="AF22" i="9"/>
  <c r="AF23" i="9" s="1"/>
  <c r="AI24" i="9"/>
  <c r="AI25" i="9" s="1"/>
  <c r="AH22" i="9"/>
  <c r="AH23" i="9" s="1"/>
  <c r="AE22" i="9"/>
  <c r="AE23" i="9" s="1"/>
  <c r="AJ22" i="9"/>
  <c r="AJ23" i="9" s="1"/>
  <c r="AJ24" i="9"/>
  <c r="AJ25" i="9" s="1"/>
  <c r="AI22" i="9"/>
  <c r="AI23" i="9" s="1"/>
  <c r="X28" i="9"/>
  <c r="X29" i="9" s="1"/>
  <c r="S16" i="8"/>
  <c r="T28" i="9"/>
  <c r="T29" i="9" s="1"/>
  <c r="P28" i="9"/>
  <c r="P29" i="9" s="1"/>
  <c r="O16" i="8"/>
  <c r="K16" i="8"/>
  <c r="L28" i="9"/>
  <c r="L29" i="9" s="1"/>
  <c r="AA28" i="9"/>
  <c r="AA29" i="9" s="1"/>
  <c r="W28" i="9"/>
  <c r="W29" i="9" s="1"/>
  <c r="S28" i="9"/>
  <c r="S29" i="9" s="1"/>
  <c r="R16" i="8"/>
  <c r="O28" i="9"/>
  <c r="O29" i="9" s="1"/>
  <c r="N16" i="8"/>
  <c r="J16" i="8"/>
  <c r="K28" i="9"/>
  <c r="K29" i="9" s="1"/>
  <c r="Z28" i="9"/>
  <c r="Z29" i="9" s="1"/>
  <c r="U16" i="8"/>
  <c r="V28" i="9"/>
  <c r="V29" i="9" s="1"/>
  <c r="Q16" i="8"/>
  <c r="R28" i="9"/>
  <c r="R29" i="9" s="1"/>
  <c r="N28" i="9"/>
  <c r="N29" i="9" s="1"/>
  <c r="M16" i="8"/>
  <c r="I16" i="8"/>
  <c r="J28" i="9"/>
  <c r="J29" i="9" s="1"/>
  <c r="Q28" i="9"/>
  <c r="Q29" i="9" s="1"/>
  <c r="P16" i="8"/>
  <c r="M28" i="9"/>
  <c r="M29" i="9" s="1"/>
  <c r="L16" i="8"/>
  <c r="Y28" i="9"/>
  <c r="Y29" i="9" s="1"/>
  <c r="I28" i="9"/>
  <c r="I29" i="9" s="1"/>
  <c r="H16" i="8"/>
  <c r="T16" i="8"/>
  <c r="U28" i="9"/>
  <c r="U29" i="9" s="1"/>
  <c r="AJ32" i="9"/>
  <c r="AJ33" i="9" s="1"/>
  <c r="AF32" i="9"/>
  <c r="AF33" i="9" s="1"/>
  <c r="AB32" i="9"/>
  <c r="AB33" i="9" s="1"/>
  <c r="X32" i="9"/>
  <c r="X33" i="9" s="1"/>
  <c r="T32" i="9"/>
  <c r="T33" i="9" s="1"/>
  <c r="S18" i="8"/>
  <c r="P32" i="9"/>
  <c r="P33" i="9" s="1"/>
  <c r="O18" i="8"/>
  <c r="L32" i="9"/>
  <c r="L33" i="9" s="1"/>
  <c r="K18" i="8"/>
  <c r="AI32" i="9"/>
  <c r="AI33" i="9" s="1"/>
  <c r="AE32" i="9"/>
  <c r="AE33" i="9" s="1"/>
  <c r="AA32" i="9"/>
  <c r="AA33" i="9" s="1"/>
  <c r="W32" i="9"/>
  <c r="W33" i="9" s="1"/>
  <c r="S32" i="9"/>
  <c r="S33" i="9" s="1"/>
  <c r="R18" i="8"/>
  <c r="O32" i="9"/>
  <c r="O33" i="9" s="1"/>
  <c r="N18" i="8"/>
  <c r="K32" i="9"/>
  <c r="K33" i="9" s="1"/>
  <c r="J18" i="8"/>
  <c r="AH32" i="9"/>
  <c r="AH33" i="9" s="1"/>
  <c r="AD32" i="9"/>
  <c r="AD33" i="9" s="1"/>
  <c r="Z32" i="9"/>
  <c r="Z33" i="9" s="1"/>
  <c r="V32" i="9"/>
  <c r="V33" i="9" s="1"/>
  <c r="U18" i="8"/>
  <c r="R32" i="9"/>
  <c r="R33" i="9" s="1"/>
  <c r="Q18" i="8"/>
  <c r="N32" i="9"/>
  <c r="N33" i="9" s="1"/>
  <c r="M18" i="8"/>
  <c r="J32" i="9"/>
  <c r="J33" i="9" s="1"/>
  <c r="I18" i="8"/>
  <c r="AG32" i="9"/>
  <c r="AG33" i="9" s="1"/>
  <c r="P18" i="8"/>
  <c r="Q32" i="9"/>
  <c r="Q33" i="9" s="1"/>
  <c r="AC32" i="9"/>
  <c r="AC33" i="9" s="1"/>
  <c r="M32" i="9"/>
  <c r="M33" i="9" s="1"/>
  <c r="L18" i="8"/>
  <c r="Y32" i="9"/>
  <c r="Y33" i="9" s="1"/>
  <c r="H18" i="8"/>
  <c r="I32" i="9"/>
  <c r="I33" i="9" s="1"/>
  <c r="U32" i="9"/>
  <c r="U33" i="9" s="1"/>
  <c r="T18" i="8"/>
  <c r="AF30" i="9"/>
  <c r="AF31" i="9" s="1"/>
  <c r="AB30" i="9"/>
  <c r="AB31" i="9" s="1"/>
  <c r="X30" i="9"/>
  <c r="X31" i="9" s="1"/>
  <c r="AE30" i="9"/>
  <c r="AE31" i="9" s="1"/>
  <c r="AA30" i="9"/>
  <c r="AA31" i="9" s="1"/>
  <c r="W30" i="9"/>
  <c r="W31" i="9" s="1"/>
  <c r="AD30" i="9"/>
  <c r="AD31" i="9" s="1"/>
  <c r="Z30" i="9"/>
  <c r="Z31" i="9" s="1"/>
  <c r="Y30" i="9"/>
  <c r="Y31" i="9" s="1"/>
  <c r="AC30" i="9"/>
  <c r="AC31" i="9" s="1"/>
  <c r="AE41" i="2"/>
  <c r="AI41" i="2"/>
  <c r="AB41" i="2"/>
  <c r="AF41" i="2"/>
  <c r="AJ41" i="2"/>
  <c r="AC41" i="2"/>
  <c r="AG41" i="2"/>
  <c r="AD41" i="2"/>
  <c r="AH41" i="2"/>
  <c r="H19" i="2"/>
  <c r="AJ16" i="2"/>
  <c r="AF16" i="2"/>
  <c r="AB16" i="2"/>
  <c r="AI16" i="2"/>
  <c r="AE16" i="2"/>
  <c r="AH16" i="2"/>
  <c r="AD16" i="2"/>
  <c r="AG16" i="2"/>
  <c r="AC16" i="2"/>
  <c r="AH45" i="2"/>
  <c r="AI45" i="2"/>
  <c r="AJ45" i="2"/>
  <c r="AG45" i="2"/>
  <c r="H21" i="2"/>
  <c r="H20" i="2"/>
  <c r="AJ17" i="2"/>
  <c r="AI17" i="2"/>
  <c r="AH17" i="2"/>
  <c r="AG17" i="2"/>
  <c r="U17" i="8"/>
  <c r="V30" i="9"/>
  <c r="V31" i="9" s="1"/>
  <c r="S17" i="8"/>
  <c r="T30" i="9"/>
  <c r="T31" i="9" s="1"/>
  <c r="T17" i="8"/>
  <c r="U30" i="9"/>
  <c r="U31" i="9" s="1"/>
  <c r="S33" i="8"/>
  <c r="J33" i="8"/>
  <c r="K33" i="8"/>
  <c r="H33" i="8"/>
  <c r="I33" i="8"/>
  <c r="N33" i="8"/>
  <c r="O33" i="8"/>
  <c r="L33" i="8"/>
  <c r="M33" i="8"/>
  <c r="T33" i="8"/>
  <c r="U33" i="8"/>
  <c r="R33" i="8"/>
  <c r="Q33" i="8"/>
  <c r="P33" i="8"/>
  <c r="A34" i="2"/>
  <c r="J30" i="9"/>
  <c r="J31" i="9" s="1"/>
  <c r="N30" i="9"/>
  <c r="N31" i="9" s="1"/>
  <c r="P30" i="9"/>
  <c r="P31" i="9" s="1"/>
  <c r="K30" i="9"/>
  <c r="K31" i="9" s="1"/>
  <c r="I30" i="9"/>
  <c r="I31" i="9" s="1"/>
  <c r="M30" i="9"/>
  <c r="M31" i="9" s="1"/>
  <c r="O30" i="9"/>
  <c r="O31" i="9" s="1"/>
  <c r="L30" i="9"/>
  <c r="L31" i="9" s="1"/>
  <c r="S30" i="9"/>
  <c r="S31" i="9" s="1"/>
  <c r="Q30" i="9"/>
  <c r="Q31" i="9" s="1"/>
  <c r="R30" i="9"/>
  <c r="R31" i="9" s="1"/>
  <c r="R17" i="8"/>
  <c r="P17" i="8"/>
  <c r="Q17" i="8"/>
  <c r="I17" i="8"/>
  <c r="M17" i="8"/>
  <c r="O17" i="8"/>
  <c r="J17" i="8"/>
  <c r="H17" i="8"/>
  <c r="L17" i="8"/>
  <c r="N17" i="8"/>
  <c r="K17" i="8"/>
  <c r="D43" i="2"/>
  <c r="H44" i="2"/>
  <c r="H48" i="2"/>
  <c r="H46" i="2"/>
  <c r="D20" i="2"/>
  <c r="AC21" i="2"/>
  <c r="AG21" i="2"/>
  <c r="AD21" i="2"/>
  <c r="AH21" i="2"/>
  <c r="AA21" i="2"/>
  <c r="AE21" i="2"/>
  <c r="AI21" i="2"/>
  <c r="AB21" i="2"/>
  <c r="AF21" i="2"/>
  <c r="AJ21" i="2"/>
  <c r="AJ46" i="2"/>
  <c r="AF46" i="2"/>
  <c r="AB46" i="2"/>
  <c r="AI46" i="2"/>
  <c r="AE46" i="2"/>
  <c r="AA46" i="2"/>
  <c r="AH46" i="2"/>
  <c r="AD46" i="2"/>
  <c r="AG46" i="2"/>
  <c r="AC46" i="2"/>
  <c r="Y20" i="2"/>
  <c r="AC20" i="2"/>
  <c r="Z20" i="2"/>
  <c r="AD20" i="2"/>
  <c r="AA20" i="2"/>
  <c r="AE20" i="2"/>
  <c r="X20" i="2"/>
  <c r="AB20" i="2"/>
  <c r="AF20" i="2"/>
  <c r="Y19" i="2"/>
  <c r="U19" i="2"/>
  <c r="V19" i="2"/>
  <c r="Z19" i="2"/>
  <c r="W19" i="2"/>
  <c r="AA19" i="2"/>
  <c r="X19" i="2"/>
  <c r="X44" i="2"/>
  <c r="AA44" i="2"/>
  <c r="W44" i="2"/>
  <c r="Z44" i="2"/>
  <c r="Y44" i="2"/>
  <c r="AF48" i="2"/>
  <c r="AB48" i="2"/>
  <c r="X48" i="2"/>
  <c r="AE48" i="2"/>
  <c r="AA48" i="2"/>
  <c r="AD48" i="2"/>
  <c r="Z48" i="2"/>
  <c r="AC48" i="2"/>
  <c r="Y48" i="2"/>
  <c r="S20" i="2"/>
  <c r="U21" i="2"/>
  <c r="K19" i="2"/>
  <c r="T34" i="2"/>
  <c r="W34" i="2"/>
  <c r="W20" i="2"/>
  <c r="J21" i="2"/>
  <c r="O20" i="2"/>
  <c r="J34" i="2"/>
  <c r="P21" i="2"/>
  <c r="U34" i="2"/>
  <c r="K34" i="2"/>
  <c r="M34" i="2"/>
  <c r="J19" i="2"/>
  <c r="N20" i="2"/>
  <c r="R19" i="2"/>
  <c r="U20" i="2"/>
  <c r="I19" i="2"/>
  <c r="L20" i="2"/>
  <c r="M21" i="2"/>
  <c r="Q19" i="2"/>
  <c r="T21" i="2"/>
  <c r="N21" i="2"/>
  <c r="V20" i="2"/>
  <c r="I21" i="2"/>
  <c r="L34" i="2"/>
  <c r="L19" i="2"/>
  <c r="M20" i="2"/>
  <c r="T19" i="2"/>
  <c r="Q20" i="2"/>
  <c r="S21" i="2"/>
  <c r="L21" i="2"/>
  <c r="R34" i="2"/>
  <c r="N19" i="2"/>
  <c r="T20" i="2"/>
  <c r="P19" i="2"/>
  <c r="Q34" i="2"/>
  <c r="K20" i="2"/>
  <c r="I20" i="2"/>
  <c r="Q21" i="2"/>
  <c r="N34" i="2"/>
  <c r="Z34" i="2"/>
  <c r="O21" i="2"/>
  <c r="R20" i="2"/>
  <c r="X21" i="2"/>
  <c r="Y34" i="2"/>
  <c r="O19" i="2"/>
  <c r="V21" i="2"/>
  <c r="P20" i="2"/>
  <c r="W21" i="2"/>
  <c r="O34" i="2"/>
  <c r="M19" i="2"/>
  <c r="Y21" i="2"/>
  <c r="Z21" i="2"/>
  <c r="K21" i="2"/>
  <c r="I34" i="2"/>
  <c r="P34" i="2"/>
  <c r="J20" i="2"/>
  <c r="V34" i="2"/>
  <c r="X34" i="2"/>
  <c r="S34" i="2"/>
  <c r="S19" i="2"/>
  <c r="R21" i="2"/>
  <c r="AE28" i="9" l="1"/>
  <c r="AE29" i="9" s="1"/>
  <c r="AB28" i="9"/>
  <c r="AB29" i="9" s="1"/>
  <c r="AH30" i="9"/>
  <c r="AH31" i="9" s="1"/>
  <c r="AH28" i="9"/>
  <c r="AH29" i="9" s="1"/>
  <c r="AF28" i="9"/>
  <c r="AF29" i="9" s="1"/>
  <c r="AJ28" i="9"/>
  <c r="AJ29" i="9" s="1"/>
  <c r="AI30" i="9"/>
  <c r="AI31" i="9" s="1"/>
  <c r="AC28" i="9"/>
  <c r="AC29" i="9" s="1"/>
  <c r="AJ30" i="9"/>
  <c r="AJ31" i="9" s="1"/>
  <c r="AG28" i="9"/>
  <c r="AG29" i="9" s="1"/>
  <c r="AI28" i="9"/>
  <c r="AI29" i="9" s="1"/>
  <c r="AG30" i="9"/>
  <c r="AG31" i="9" s="1"/>
  <c r="AD28" i="9"/>
  <c r="AD29" i="9" s="1"/>
  <c r="X34" i="9"/>
  <c r="X35" i="9" s="1"/>
  <c r="S19" i="8"/>
  <c r="T34" i="9"/>
  <c r="T35" i="9" s="1"/>
  <c r="P34" i="9"/>
  <c r="P35" i="9" s="1"/>
  <c r="O19" i="8"/>
  <c r="K19" i="8"/>
  <c r="L34" i="9"/>
  <c r="L35" i="9" s="1"/>
  <c r="AA34" i="9"/>
  <c r="AA35" i="9" s="1"/>
  <c r="W34" i="9"/>
  <c r="W35" i="9" s="1"/>
  <c r="R19" i="8"/>
  <c r="S34" i="9"/>
  <c r="S35" i="9" s="1"/>
  <c r="N19" i="8"/>
  <c r="O34" i="9"/>
  <c r="O35" i="9" s="1"/>
  <c r="J19" i="8"/>
  <c r="K34" i="9"/>
  <c r="K35" i="9" s="1"/>
  <c r="Z34" i="9"/>
  <c r="Z35" i="9" s="1"/>
  <c r="U19" i="8"/>
  <c r="V34" i="9"/>
  <c r="V35" i="9" s="1"/>
  <c r="Q19" i="8"/>
  <c r="R34" i="9"/>
  <c r="R35" i="9" s="1"/>
  <c r="N34" i="9"/>
  <c r="N35" i="9" s="1"/>
  <c r="M19" i="8"/>
  <c r="I19" i="8"/>
  <c r="J34" i="9"/>
  <c r="J35" i="9" s="1"/>
  <c r="T19" i="8"/>
  <c r="U34" i="9"/>
  <c r="U35" i="9" s="1"/>
  <c r="P19" i="8"/>
  <c r="Q34" i="9"/>
  <c r="Q35" i="9" s="1"/>
  <c r="L19" i="8"/>
  <c r="M34" i="9"/>
  <c r="M35" i="9" s="1"/>
  <c r="Y34" i="9"/>
  <c r="Y35" i="9" s="1"/>
  <c r="I34" i="9"/>
  <c r="I35" i="9" s="1"/>
  <c r="H19" i="8"/>
  <c r="AF36" i="9"/>
  <c r="AF37" i="9" s="1"/>
  <c r="AB36" i="9"/>
  <c r="AB37" i="9" s="1"/>
  <c r="X36" i="9"/>
  <c r="X37" i="9" s="1"/>
  <c r="AE36" i="9"/>
  <c r="AE37" i="9" s="1"/>
  <c r="AA36" i="9"/>
  <c r="AA37" i="9" s="1"/>
  <c r="W36" i="9"/>
  <c r="W37" i="9" s="1"/>
  <c r="AD36" i="9"/>
  <c r="AD37" i="9" s="1"/>
  <c r="Z36" i="9"/>
  <c r="Z37" i="9" s="1"/>
  <c r="AC36" i="9"/>
  <c r="AC37" i="9" s="1"/>
  <c r="Y36" i="9"/>
  <c r="Y37" i="9" s="1"/>
  <c r="AJ38" i="9"/>
  <c r="AJ39" i="9" s="1"/>
  <c r="AF38" i="9"/>
  <c r="AF39" i="9" s="1"/>
  <c r="AB38" i="9"/>
  <c r="AB39" i="9" s="1"/>
  <c r="X38" i="9"/>
  <c r="X39" i="9" s="1"/>
  <c r="T38" i="9"/>
  <c r="T39" i="9" s="1"/>
  <c r="S21" i="8"/>
  <c r="O21" i="8"/>
  <c r="P38" i="9"/>
  <c r="P39" i="9" s="1"/>
  <c r="L38" i="9"/>
  <c r="L39" i="9" s="1"/>
  <c r="K21" i="8"/>
  <c r="AI38" i="9"/>
  <c r="AI39" i="9" s="1"/>
  <c r="AE38" i="9"/>
  <c r="AE39" i="9" s="1"/>
  <c r="AA38" i="9"/>
  <c r="AA39" i="9" s="1"/>
  <c r="W38" i="9"/>
  <c r="W39" i="9" s="1"/>
  <c r="S38" i="9"/>
  <c r="S39" i="9" s="1"/>
  <c r="R21" i="8"/>
  <c r="O38" i="9"/>
  <c r="O39" i="9" s="1"/>
  <c r="N21" i="8"/>
  <c r="K38" i="9"/>
  <c r="K39" i="9" s="1"/>
  <c r="J21" i="8"/>
  <c r="AH38" i="9"/>
  <c r="AH39" i="9" s="1"/>
  <c r="AD38" i="9"/>
  <c r="AD39" i="9" s="1"/>
  <c r="Z38" i="9"/>
  <c r="Z39" i="9" s="1"/>
  <c r="U21" i="8"/>
  <c r="V38" i="9"/>
  <c r="V39" i="9" s="1"/>
  <c r="R38" i="9"/>
  <c r="R39" i="9" s="1"/>
  <c r="Q21" i="8"/>
  <c r="N38" i="9"/>
  <c r="N39" i="9" s="1"/>
  <c r="M21" i="8"/>
  <c r="J38" i="9"/>
  <c r="J39" i="9" s="1"/>
  <c r="I21" i="8"/>
  <c r="U38" i="9"/>
  <c r="U39" i="9" s="1"/>
  <c r="T21" i="8"/>
  <c r="AG38" i="9"/>
  <c r="AG39" i="9" s="1"/>
  <c r="Q38" i="9"/>
  <c r="Q39" i="9" s="1"/>
  <c r="P21" i="8"/>
  <c r="AC38" i="9"/>
  <c r="AC39" i="9" s="1"/>
  <c r="L21" i="8"/>
  <c r="M38" i="9"/>
  <c r="M39" i="9" s="1"/>
  <c r="Y38" i="9"/>
  <c r="Y39" i="9" s="1"/>
  <c r="H21" i="8"/>
  <c r="I38" i="9"/>
  <c r="I39" i="9" s="1"/>
  <c r="AG48" i="2"/>
  <c r="AH48" i="2"/>
  <c r="AI48" i="2"/>
  <c r="AJ48" i="2"/>
  <c r="AD44" i="2"/>
  <c r="AH44" i="2"/>
  <c r="AE44" i="2"/>
  <c r="AI44" i="2"/>
  <c r="AB44" i="2"/>
  <c r="AF44" i="2"/>
  <c r="AJ44" i="2"/>
  <c r="AC44" i="2"/>
  <c r="AG44" i="2"/>
  <c r="H22" i="2"/>
  <c r="AI19" i="2"/>
  <c r="AE19" i="2"/>
  <c r="AH19" i="2"/>
  <c r="AD19" i="2"/>
  <c r="AG19" i="2"/>
  <c r="AC19" i="2"/>
  <c r="AB19" i="2"/>
  <c r="AF19" i="2"/>
  <c r="AJ19" i="2"/>
  <c r="H23" i="2"/>
  <c r="AI20" i="2"/>
  <c r="AH20" i="2"/>
  <c r="AG20" i="2"/>
  <c r="AJ20" i="2"/>
  <c r="H24" i="2"/>
  <c r="T20" i="8"/>
  <c r="U36" i="9"/>
  <c r="U37" i="9" s="1"/>
  <c r="U20" i="8"/>
  <c r="V36" i="9"/>
  <c r="V37" i="9" s="1"/>
  <c r="S20" i="8"/>
  <c r="T36" i="9"/>
  <c r="T37" i="9" s="1"/>
  <c r="U34" i="8"/>
  <c r="T34" i="8"/>
  <c r="R34" i="8"/>
  <c r="S34" i="8"/>
  <c r="J34" i="8"/>
  <c r="O34" i="8"/>
  <c r="Q34" i="8"/>
  <c r="L34" i="8"/>
  <c r="K34" i="8"/>
  <c r="M34" i="8"/>
  <c r="H34" i="8"/>
  <c r="N34" i="8"/>
  <c r="I34" i="8"/>
  <c r="P34" i="8"/>
  <c r="A35" i="2"/>
  <c r="P36" i="9"/>
  <c r="P37" i="9" s="1"/>
  <c r="N36" i="9"/>
  <c r="N37" i="9" s="1"/>
  <c r="L36" i="9"/>
  <c r="L37" i="9" s="1"/>
  <c r="I36" i="9"/>
  <c r="I37" i="9" s="1"/>
  <c r="K36" i="9"/>
  <c r="K37" i="9" s="1"/>
  <c r="O36" i="9"/>
  <c r="O37" i="9" s="1"/>
  <c r="M36" i="9"/>
  <c r="M37" i="9" s="1"/>
  <c r="J36" i="9"/>
  <c r="J37" i="9" s="1"/>
  <c r="S36" i="9"/>
  <c r="S37" i="9" s="1"/>
  <c r="R36" i="9"/>
  <c r="R37" i="9" s="1"/>
  <c r="Q36" i="9"/>
  <c r="Q37" i="9" s="1"/>
  <c r="R20" i="8"/>
  <c r="Q20" i="8"/>
  <c r="P20" i="8"/>
  <c r="O20" i="8"/>
  <c r="M20" i="8"/>
  <c r="K20" i="8"/>
  <c r="H20" i="8"/>
  <c r="J20" i="8"/>
  <c r="N20" i="8"/>
  <c r="L20" i="8"/>
  <c r="I20" i="8"/>
  <c r="D46" i="2"/>
  <c r="H47" i="2"/>
  <c r="H49" i="2"/>
  <c r="D23" i="2"/>
  <c r="Z23" i="2"/>
  <c r="AD23" i="2"/>
  <c r="AC23" i="2"/>
  <c r="AA23" i="2"/>
  <c r="AE23" i="2"/>
  <c r="Y23" i="2"/>
  <c r="X23" i="2"/>
  <c r="AB23" i="2"/>
  <c r="AF23" i="2"/>
  <c r="AC24" i="2"/>
  <c r="AD24" i="2"/>
  <c r="AH24" i="2"/>
  <c r="AG24" i="2"/>
  <c r="AA24" i="2"/>
  <c r="AE24" i="2"/>
  <c r="AI24" i="2"/>
  <c r="AB24" i="2"/>
  <c r="AF24" i="2"/>
  <c r="AJ24" i="2"/>
  <c r="U22" i="2"/>
  <c r="Y22" i="2"/>
  <c r="V22" i="2"/>
  <c r="Z22" i="2"/>
  <c r="W22" i="2"/>
  <c r="AA22" i="2"/>
  <c r="X22" i="2"/>
  <c r="Z47" i="2"/>
  <c r="Y47" i="2"/>
  <c r="X47" i="2"/>
  <c r="AA47" i="2"/>
  <c r="W47" i="2"/>
  <c r="AH49" i="2"/>
  <c r="AD49" i="2"/>
  <c r="AC49" i="2"/>
  <c r="AG49" i="2"/>
  <c r="AJ49" i="2"/>
  <c r="AF49" i="2"/>
  <c r="AB49" i="2"/>
  <c r="AI49" i="2"/>
  <c r="AE49" i="2"/>
  <c r="AA49" i="2"/>
  <c r="U35" i="2"/>
  <c r="V35" i="2"/>
  <c r="N35" i="2"/>
  <c r="T35" i="2"/>
  <c r="Z24" i="2"/>
  <c r="N24" i="2"/>
  <c r="W23" i="2"/>
  <c r="K23" i="2"/>
  <c r="V23" i="2"/>
  <c r="Q24" i="2"/>
  <c r="R35" i="2"/>
  <c r="O22" i="2"/>
  <c r="N22" i="2"/>
  <c r="I22" i="2"/>
  <c r="T23" i="2"/>
  <c r="U23" i="2"/>
  <c r="P35" i="2"/>
  <c r="I35" i="2"/>
  <c r="U24" i="2"/>
  <c r="I23" i="2"/>
  <c r="S24" i="2"/>
  <c r="S35" i="2"/>
  <c r="S23" i="2"/>
  <c r="O35" i="2"/>
  <c r="Q22" i="2"/>
  <c r="S22" i="2"/>
  <c r="Y24" i="2"/>
  <c r="R24" i="2"/>
  <c r="K35" i="2"/>
  <c r="P23" i="2"/>
  <c r="Q23" i="2"/>
  <c r="R23" i="2"/>
  <c r="M35" i="2"/>
  <c r="I24" i="2"/>
  <c r="J35" i="2"/>
  <c r="O23" i="2"/>
  <c r="T22" i="2"/>
  <c r="N23" i="2"/>
  <c r="P22" i="2"/>
  <c r="P24" i="2"/>
  <c r="M24" i="2"/>
  <c r="L35" i="2"/>
  <c r="T24" i="2"/>
  <c r="L22" i="2"/>
  <c r="K24" i="2"/>
  <c r="L23" i="2"/>
  <c r="J24" i="2"/>
  <c r="R22" i="2"/>
  <c r="O24" i="2"/>
  <c r="K22" i="2"/>
  <c r="V24" i="2"/>
  <c r="W24" i="2"/>
  <c r="M23" i="2"/>
  <c r="M22" i="2"/>
  <c r="Q35" i="2"/>
  <c r="J23" i="2"/>
  <c r="L24" i="2"/>
  <c r="J22" i="2"/>
  <c r="X24" i="2"/>
  <c r="AI34" i="9" l="1"/>
  <c r="AI35" i="9" s="1"/>
  <c r="AH36" i="9"/>
  <c r="AH37" i="9" s="1"/>
  <c r="AI36" i="9"/>
  <c r="AI37" i="9" s="1"/>
  <c r="AB34" i="9"/>
  <c r="AB35" i="9" s="1"/>
  <c r="AH34" i="9"/>
  <c r="AH35" i="9" s="1"/>
  <c r="AJ34" i="9"/>
  <c r="AJ35" i="9" s="1"/>
  <c r="AF34" i="9"/>
  <c r="AF35" i="9" s="1"/>
  <c r="AJ36" i="9"/>
  <c r="AJ37" i="9" s="1"/>
  <c r="AC34" i="9"/>
  <c r="AC35" i="9" s="1"/>
  <c r="AE34" i="9"/>
  <c r="AE35" i="9" s="1"/>
  <c r="AG36" i="9"/>
  <c r="AG37" i="9" s="1"/>
  <c r="AG34" i="9"/>
  <c r="AG35" i="9" s="1"/>
  <c r="AD34" i="9"/>
  <c r="AD35" i="9" s="1"/>
  <c r="X40" i="9"/>
  <c r="X41" i="9" s="1"/>
  <c r="S22" i="8"/>
  <c r="T40" i="9"/>
  <c r="T41" i="9" s="1"/>
  <c r="P40" i="9"/>
  <c r="P41" i="9" s="1"/>
  <c r="O22" i="8"/>
  <c r="L40" i="9"/>
  <c r="L41" i="9" s="1"/>
  <c r="K22" i="8"/>
  <c r="AA40" i="9"/>
  <c r="AA41" i="9" s="1"/>
  <c r="W40" i="9"/>
  <c r="W41" i="9" s="1"/>
  <c r="R22" i="8"/>
  <c r="S40" i="9"/>
  <c r="S41" i="9" s="1"/>
  <c r="O40" i="9"/>
  <c r="O41" i="9" s="1"/>
  <c r="N22" i="8"/>
  <c r="K40" i="9"/>
  <c r="K41" i="9" s="1"/>
  <c r="J22" i="8"/>
  <c r="Z40" i="9"/>
  <c r="Z41" i="9" s="1"/>
  <c r="V40" i="9"/>
  <c r="V41" i="9" s="1"/>
  <c r="U22" i="8"/>
  <c r="Q22" i="8"/>
  <c r="R40" i="9"/>
  <c r="R41" i="9" s="1"/>
  <c r="N40" i="9"/>
  <c r="N41" i="9" s="1"/>
  <c r="M22" i="8"/>
  <c r="J40" i="9"/>
  <c r="J41" i="9" s="1"/>
  <c r="I22" i="8"/>
  <c r="Y40" i="9"/>
  <c r="Y41" i="9" s="1"/>
  <c r="I40" i="9"/>
  <c r="I41" i="9" s="1"/>
  <c r="H22" i="8"/>
  <c r="T22" i="8"/>
  <c r="U40" i="9"/>
  <c r="U41" i="9" s="1"/>
  <c r="P22" i="8"/>
  <c r="Q40" i="9"/>
  <c r="Q41" i="9" s="1"/>
  <c r="M40" i="9"/>
  <c r="M41" i="9" s="1"/>
  <c r="L22" i="8"/>
  <c r="AJ44" i="9"/>
  <c r="AJ45" i="9" s="1"/>
  <c r="AF44" i="9"/>
  <c r="AF45" i="9" s="1"/>
  <c r="AB44" i="9"/>
  <c r="AB45" i="9" s="1"/>
  <c r="X44" i="9"/>
  <c r="X45" i="9" s="1"/>
  <c r="T44" i="9"/>
  <c r="T45" i="9" s="1"/>
  <c r="S24" i="8"/>
  <c r="O24" i="8"/>
  <c r="P44" i="9"/>
  <c r="P45" i="9" s="1"/>
  <c r="L44" i="9"/>
  <c r="L45" i="9" s="1"/>
  <c r="K24" i="8"/>
  <c r="Y44" i="9"/>
  <c r="Y45" i="9" s="1"/>
  <c r="T24" i="8"/>
  <c r="U44" i="9"/>
  <c r="U45" i="9" s="1"/>
  <c r="M44" i="9"/>
  <c r="M45" i="9" s="1"/>
  <c r="L24" i="8"/>
  <c r="AI44" i="9"/>
  <c r="AI45" i="9" s="1"/>
  <c r="AE44" i="9"/>
  <c r="AE45" i="9" s="1"/>
  <c r="AA44" i="9"/>
  <c r="AA45" i="9" s="1"/>
  <c r="W44" i="9"/>
  <c r="W45" i="9" s="1"/>
  <c r="S44" i="9"/>
  <c r="S45" i="9" s="1"/>
  <c r="R24" i="8"/>
  <c r="O44" i="9"/>
  <c r="O45" i="9" s="1"/>
  <c r="N24" i="8"/>
  <c r="K44" i="9"/>
  <c r="K45" i="9" s="1"/>
  <c r="J24" i="8"/>
  <c r="AG44" i="9"/>
  <c r="AG45" i="9" s="1"/>
  <c r="I44" i="9"/>
  <c r="I45" i="9" s="1"/>
  <c r="H24" i="8"/>
  <c r="AH44" i="9"/>
  <c r="AH45" i="9" s="1"/>
  <c r="AD44" i="9"/>
  <c r="AD45" i="9" s="1"/>
  <c r="Z44" i="9"/>
  <c r="Z45" i="9" s="1"/>
  <c r="U24" i="8"/>
  <c r="V44" i="9"/>
  <c r="V45" i="9" s="1"/>
  <c r="R44" i="9"/>
  <c r="R45" i="9" s="1"/>
  <c r="Q24" i="8"/>
  <c r="N44" i="9"/>
  <c r="N45" i="9" s="1"/>
  <c r="M24" i="8"/>
  <c r="J44" i="9"/>
  <c r="J45" i="9" s="1"/>
  <c r="I24" i="8"/>
  <c r="AC44" i="9"/>
  <c r="AC45" i="9" s="1"/>
  <c r="Q44" i="9"/>
  <c r="Q45" i="9" s="1"/>
  <c r="P24" i="8"/>
  <c r="AF42" i="9"/>
  <c r="AF43" i="9" s="1"/>
  <c r="AB42" i="9"/>
  <c r="AB43" i="9" s="1"/>
  <c r="X42" i="9"/>
  <c r="X43" i="9" s="1"/>
  <c r="Y42" i="9"/>
  <c r="Y43" i="9" s="1"/>
  <c r="AE42" i="9"/>
  <c r="AE43" i="9" s="1"/>
  <c r="AA42" i="9"/>
  <c r="AA43" i="9" s="1"/>
  <c r="W42" i="9"/>
  <c r="W43" i="9" s="1"/>
  <c r="AC42" i="9"/>
  <c r="AC43" i="9" s="1"/>
  <c r="AD42" i="9"/>
  <c r="AD43" i="9" s="1"/>
  <c r="Z42" i="9"/>
  <c r="Z43" i="9" s="1"/>
  <c r="AC47" i="2"/>
  <c r="AG47" i="2"/>
  <c r="AD47" i="2"/>
  <c r="AH47" i="2"/>
  <c r="AE47" i="2"/>
  <c r="AI47" i="2"/>
  <c r="AB47" i="2"/>
  <c r="AF47" i="2"/>
  <c r="AJ47" i="2"/>
  <c r="AH22" i="2"/>
  <c r="AD22" i="2"/>
  <c r="AG22" i="2"/>
  <c r="AC22" i="2"/>
  <c r="AJ22" i="2"/>
  <c r="AF22" i="2"/>
  <c r="AB22" i="2"/>
  <c r="AE22" i="2"/>
  <c r="AI22" i="2"/>
  <c r="AH23" i="2"/>
  <c r="AG23" i="2"/>
  <c r="AJ23" i="2"/>
  <c r="AI23" i="2"/>
  <c r="T23" i="8"/>
  <c r="U42" i="9"/>
  <c r="U43" i="9" s="1"/>
  <c r="T42" i="9"/>
  <c r="T43" i="9" s="1"/>
  <c r="S23" i="8"/>
  <c r="V42" i="9"/>
  <c r="V43" i="9" s="1"/>
  <c r="U23" i="8"/>
  <c r="L35" i="8"/>
  <c r="H35" i="8"/>
  <c r="M35" i="8"/>
  <c r="K35" i="8"/>
  <c r="I35" i="8"/>
  <c r="J35" i="8"/>
  <c r="R35" i="8"/>
  <c r="U35" i="8"/>
  <c r="T35" i="8"/>
  <c r="Q35" i="8"/>
  <c r="S35" i="8"/>
  <c r="P35" i="8"/>
  <c r="N35" i="8"/>
  <c r="O35" i="8"/>
  <c r="A36" i="2"/>
  <c r="M42" i="9"/>
  <c r="M43" i="9" s="1"/>
  <c r="J42" i="9"/>
  <c r="J43" i="9" s="1"/>
  <c r="L42" i="9"/>
  <c r="L43" i="9" s="1"/>
  <c r="N42" i="9"/>
  <c r="N43" i="9" s="1"/>
  <c r="P42" i="9"/>
  <c r="P43" i="9" s="1"/>
  <c r="I42" i="9"/>
  <c r="I43" i="9" s="1"/>
  <c r="K42" i="9"/>
  <c r="K43" i="9" s="1"/>
  <c r="O42" i="9"/>
  <c r="O43" i="9" s="1"/>
  <c r="Q42" i="9"/>
  <c r="Q43" i="9" s="1"/>
  <c r="S42" i="9"/>
  <c r="S43" i="9" s="1"/>
  <c r="R42" i="9"/>
  <c r="R43" i="9" s="1"/>
  <c r="P23" i="8"/>
  <c r="R23" i="8"/>
  <c r="Q23" i="8"/>
  <c r="L23" i="8"/>
  <c r="I23" i="8"/>
  <c r="K23" i="8"/>
  <c r="M23" i="8"/>
  <c r="O23" i="8"/>
  <c r="H23" i="8"/>
  <c r="J23" i="8"/>
  <c r="N23" i="8"/>
  <c r="D49" i="2"/>
  <c r="K36" i="2"/>
  <c r="N36" i="2"/>
  <c r="J36" i="2"/>
  <c r="W36" i="2"/>
  <c r="O36" i="2"/>
  <c r="S36" i="2"/>
  <c r="V36" i="2"/>
  <c r="R36" i="2"/>
  <c r="U36" i="2"/>
  <c r="Q36" i="2"/>
  <c r="M36" i="2"/>
  <c r="P36" i="2"/>
  <c r="I36" i="2"/>
  <c r="L36" i="2"/>
  <c r="T36" i="2"/>
  <c r="AG42" i="9" l="1"/>
  <c r="AG43" i="9" s="1"/>
  <c r="AB40" i="9"/>
  <c r="AB41" i="9" s="1"/>
  <c r="AG40" i="9"/>
  <c r="AG41" i="9" s="1"/>
  <c r="AH42" i="9"/>
  <c r="AH43" i="9" s="1"/>
  <c r="AF40" i="9"/>
  <c r="AF41" i="9" s="1"/>
  <c r="AD40" i="9"/>
  <c r="AD41" i="9" s="1"/>
  <c r="AI42" i="9"/>
  <c r="AI43" i="9" s="1"/>
  <c r="AI40" i="9"/>
  <c r="AI41" i="9" s="1"/>
  <c r="AJ40" i="9"/>
  <c r="AJ41" i="9" s="1"/>
  <c r="AH40" i="9"/>
  <c r="AH41" i="9" s="1"/>
  <c r="AJ42" i="9"/>
  <c r="AJ43" i="9" s="1"/>
  <c r="AE40" i="9"/>
  <c r="AE41" i="9" s="1"/>
  <c r="AC40" i="9"/>
  <c r="AC41" i="9" s="1"/>
  <c r="J36" i="8"/>
  <c r="O36" i="8"/>
  <c r="M36" i="8"/>
  <c r="I36" i="8"/>
  <c r="K36" i="8"/>
  <c r="N36" i="8"/>
  <c r="L36" i="8"/>
  <c r="H36" i="8"/>
  <c r="U36" i="8"/>
  <c r="S36" i="8"/>
  <c r="T36" i="8"/>
  <c r="R36" i="8"/>
  <c r="Q36" i="8"/>
  <c r="P36" i="8"/>
  <c r="A37" i="2"/>
  <c r="Z37" i="2"/>
  <c r="U37" i="2"/>
  <c r="K37" i="2"/>
  <c r="V37" i="2"/>
  <c r="P37" i="2"/>
  <c r="L37" i="2"/>
  <c r="M37" i="2"/>
  <c r="I37" i="2"/>
  <c r="O37" i="2"/>
  <c r="Y37" i="2"/>
  <c r="T37" i="2"/>
  <c r="S37" i="2"/>
  <c r="X37" i="2"/>
  <c r="N37" i="2"/>
  <c r="Q37" i="2"/>
  <c r="R37" i="2"/>
  <c r="W37" i="2"/>
  <c r="J37" i="2"/>
  <c r="U37" i="8" l="1"/>
  <c r="T37" i="8"/>
  <c r="R37" i="8"/>
  <c r="S37" i="8"/>
  <c r="Q37" i="8"/>
  <c r="N37" i="8"/>
  <c r="M37" i="8"/>
  <c r="H37" i="8"/>
  <c r="J37" i="8"/>
  <c r="K37" i="8"/>
  <c r="L37" i="8"/>
  <c r="I37" i="8"/>
  <c r="O37" i="8"/>
  <c r="P37" i="8"/>
  <c r="A38" i="2"/>
  <c r="V38" i="2"/>
  <c r="U38" i="2"/>
  <c r="M38" i="2"/>
  <c r="Q38" i="2"/>
  <c r="R38" i="2"/>
  <c r="N38" i="2"/>
  <c r="P38" i="2"/>
  <c r="L38" i="2"/>
  <c r="O38" i="2"/>
  <c r="S38" i="2"/>
  <c r="I38" i="2"/>
  <c r="J38" i="2"/>
  <c r="K38" i="2"/>
  <c r="T38" i="2"/>
  <c r="M38" i="8" l="1"/>
  <c r="I38" i="8"/>
  <c r="H38" i="8"/>
  <c r="K38" i="8"/>
  <c r="L38" i="8"/>
  <c r="J38" i="8"/>
  <c r="R38" i="8"/>
  <c r="S38" i="8"/>
  <c r="T38" i="8"/>
  <c r="Q38" i="8"/>
  <c r="U38" i="8"/>
  <c r="P38" i="8"/>
  <c r="N38" i="8"/>
  <c r="O38" i="8"/>
  <c r="A39" i="2"/>
  <c r="M39" i="2"/>
  <c r="N39" i="2"/>
  <c r="O39" i="2"/>
  <c r="K39" i="2"/>
  <c r="L39" i="2"/>
  <c r="V39" i="2"/>
  <c r="P39" i="2"/>
  <c r="R39" i="2"/>
  <c r="S39" i="2"/>
  <c r="Q39" i="2"/>
  <c r="T39" i="2"/>
  <c r="J39" i="2"/>
  <c r="U39" i="2"/>
  <c r="I39" i="2"/>
  <c r="W39" i="2"/>
  <c r="I39" i="8" l="1"/>
  <c r="L39" i="8"/>
  <c r="N39" i="8"/>
  <c r="H39" i="8"/>
  <c r="J39" i="8"/>
  <c r="M39" i="8"/>
  <c r="O39" i="8"/>
  <c r="K39" i="8"/>
  <c r="T39" i="8"/>
  <c r="U39" i="8"/>
  <c r="S39" i="8"/>
  <c r="R39" i="8"/>
  <c r="Q39" i="8"/>
  <c r="P39" i="8"/>
  <c r="A40" i="2"/>
  <c r="P40" i="2"/>
  <c r="O40" i="2"/>
  <c r="K40" i="2"/>
  <c r="V40" i="2"/>
  <c r="Y40" i="2"/>
  <c r="R40" i="2"/>
  <c r="X40" i="2"/>
  <c r="T40" i="2"/>
  <c r="Z40" i="2"/>
  <c r="Q40" i="2"/>
  <c r="N40" i="2"/>
  <c r="M40" i="2"/>
  <c r="J40" i="2"/>
  <c r="W40" i="2"/>
  <c r="U40" i="2"/>
  <c r="I40" i="2"/>
  <c r="S40" i="2"/>
  <c r="L40" i="2"/>
  <c r="U40" i="8" l="1"/>
  <c r="T40" i="8"/>
  <c r="S40" i="8"/>
  <c r="R40" i="8"/>
  <c r="J40" i="8"/>
  <c r="O40" i="8"/>
  <c r="Q40" i="8"/>
  <c r="L40" i="8"/>
  <c r="K40" i="8"/>
  <c r="H40" i="8"/>
  <c r="M40" i="8"/>
  <c r="N40" i="8"/>
  <c r="I40" i="8"/>
  <c r="P40" i="8"/>
  <c r="A41" i="2"/>
  <c r="U41" i="2"/>
  <c r="V41" i="2"/>
  <c r="S41" i="2"/>
  <c r="L41" i="2"/>
  <c r="O41" i="2"/>
  <c r="K41" i="2"/>
  <c r="J41" i="2"/>
  <c r="T41" i="2"/>
  <c r="R41" i="2"/>
  <c r="Q41" i="2"/>
  <c r="M41" i="2"/>
  <c r="P41" i="2"/>
  <c r="N41" i="2"/>
  <c r="I41" i="2"/>
  <c r="L41" i="8" l="1"/>
  <c r="H41" i="8"/>
  <c r="M41" i="8"/>
  <c r="K41" i="8"/>
  <c r="I41" i="8"/>
  <c r="J41" i="8"/>
  <c r="R41" i="8"/>
  <c r="U41" i="8"/>
  <c r="S41" i="8"/>
  <c r="T41" i="8"/>
  <c r="Q41" i="8"/>
  <c r="P41" i="8"/>
  <c r="N41" i="8"/>
  <c r="O41" i="8"/>
  <c r="A42" i="2"/>
  <c r="P42" i="2"/>
  <c r="J42" i="2"/>
  <c r="M42" i="2"/>
  <c r="O42" i="2"/>
  <c r="S42" i="2"/>
  <c r="L42" i="2"/>
  <c r="R42" i="2"/>
  <c r="N42" i="2"/>
  <c r="K42" i="2"/>
  <c r="U42" i="2"/>
  <c r="Q42" i="2"/>
  <c r="I42" i="2"/>
  <c r="V42" i="2"/>
  <c r="T42" i="2"/>
  <c r="W42" i="2"/>
  <c r="I42" i="8" l="1"/>
  <c r="J42" i="8"/>
  <c r="H42" i="8"/>
  <c r="K42" i="8"/>
  <c r="N42" i="8"/>
  <c r="O42" i="8"/>
  <c r="M42" i="8"/>
  <c r="L42" i="8"/>
  <c r="U42" i="8"/>
  <c r="S42" i="8"/>
  <c r="T42" i="8"/>
  <c r="R42" i="8"/>
  <c r="Q42" i="8"/>
  <c r="P42" i="8"/>
  <c r="A43" i="2"/>
  <c r="V43" i="2"/>
  <c r="L43" i="2"/>
  <c r="P43" i="2"/>
  <c r="S43" i="2"/>
  <c r="R43" i="2"/>
  <c r="X43" i="2"/>
  <c r="M43" i="2"/>
  <c r="Y43" i="2"/>
  <c r="N43" i="2"/>
  <c r="Q43" i="2"/>
  <c r="T43" i="2"/>
  <c r="K43" i="2"/>
  <c r="W43" i="2"/>
  <c r="J43" i="2"/>
  <c r="O43" i="2"/>
  <c r="I43" i="2"/>
  <c r="Z43" i="2"/>
  <c r="U43" i="2"/>
  <c r="U43" i="8" l="1"/>
  <c r="T43" i="8"/>
  <c r="S43" i="8"/>
  <c r="R43" i="8"/>
  <c r="P43" i="8"/>
  <c r="Q43" i="8"/>
  <c r="L43" i="8"/>
  <c r="N43" i="8"/>
  <c r="M43" i="8"/>
  <c r="H43" i="8"/>
  <c r="J43" i="8"/>
  <c r="I43" i="8"/>
  <c r="O43" i="8"/>
  <c r="K43" i="8"/>
  <c r="A44" i="2"/>
  <c r="V44" i="2"/>
  <c r="U44" i="2"/>
  <c r="J44" i="2"/>
  <c r="M44" i="2"/>
  <c r="L44" i="2"/>
  <c r="O44" i="2"/>
  <c r="N44" i="2"/>
  <c r="K44" i="2"/>
  <c r="T44" i="2"/>
  <c r="Q44" i="2"/>
  <c r="S44" i="2"/>
  <c r="R44" i="2"/>
  <c r="I44" i="2"/>
  <c r="P44" i="2"/>
  <c r="M44" i="8" l="1"/>
  <c r="I44" i="8"/>
  <c r="K44" i="8"/>
  <c r="L44" i="8"/>
  <c r="J44" i="8"/>
  <c r="H44" i="8"/>
  <c r="R44" i="8"/>
  <c r="T44" i="8"/>
  <c r="S44" i="8"/>
  <c r="Q44" i="8"/>
  <c r="U44" i="8"/>
  <c r="P44" i="8"/>
  <c r="N44" i="8"/>
  <c r="O44" i="8"/>
  <c r="A45" i="2"/>
  <c r="W45" i="2"/>
  <c r="T45" i="2"/>
  <c r="Q45" i="2"/>
  <c r="V45" i="2"/>
  <c r="J45" i="2"/>
  <c r="N45" i="2"/>
  <c r="P45" i="2"/>
  <c r="I45" i="2"/>
  <c r="K45" i="2"/>
  <c r="O45" i="2"/>
  <c r="M45" i="2"/>
  <c r="R45" i="2"/>
  <c r="U45" i="2"/>
  <c r="L45" i="2"/>
  <c r="S45" i="2"/>
  <c r="K45" i="8" l="1"/>
  <c r="L45" i="8"/>
  <c r="N45" i="8"/>
  <c r="J45" i="8"/>
  <c r="H45" i="8"/>
  <c r="M45" i="8"/>
  <c r="O45" i="8"/>
  <c r="I45" i="8"/>
  <c r="T45" i="8"/>
  <c r="U45" i="8"/>
  <c r="S45" i="8"/>
  <c r="R45" i="8"/>
  <c r="Q45" i="8"/>
  <c r="P45" i="8"/>
  <c r="A46" i="2"/>
  <c r="R46" i="2"/>
  <c r="K46" i="2"/>
  <c r="S46" i="2"/>
  <c r="X46" i="2"/>
  <c r="W46" i="2"/>
  <c r="O46" i="2"/>
  <c r="L46" i="2"/>
  <c r="N46" i="2"/>
  <c r="V46" i="2"/>
  <c r="Z46" i="2"/>
  <c r="Y46" i="2"/>
  <c r="U46" i="2"/>
  <c r="M46" i="2"/>
  <c r="P46" i="2"/>
  <c r="Q46" i="2"/>
  <c r="T46" i="2"/>
  <c r="J46" i="2"/>
  <c r="I46" i="2"/>
  <c r="U46" i="8" l="1"/>
  <c r="T46" i="8"/>
  <c r="S46" i="8"/>
  <c r="R46" i="8"/>
  <c r="O46" i="8"/>
  <c r="K46" i="8"/>
  <c r="M46" i="8"/>
  <c r="H46" i="8"/>
  <c r="I46" i="8"/>
  <c r="N46" i="8"/>
  <c r="J46" i="8"/>
  <c r="P46" i="8"/>
  <c r="Q46" i="8"/>
  <c r="L46" i="8"/>
  <c r="A47" i="2"/>
  <c r="U47" i="2"/>
  <c r="V47" i="2"/>
  <c r="N47" i="2"/>
  <c r="P47" i="2"/>
  <c r="I47" i="2"/>
  <c r="O47" i="2"/>
  <c r="R47" i="2"/>
  <c r="L47" i="2"/>
  <c r="Q47" i="2"/>
  <c r="K47" i="2"/>
  <c r="M47" i="2"/>
  <c r="T47" i="2"/>
  <c r="J47" i="2"/>
  <c r="S47" i="2"/>
  <c r="H47" i="8" l="1"/>
  <c r="M47" i="8"/>
  <c r="K47" i="8"/>
  <c r="I47" i="8"/>
  <c r="J47" i="8"/>
  <c r="L47" i="8"/>
  <c r="S47" i="8"/>
  <c r="U47" i="8"/>
  <c r="T47" i="8"/>
  <c r="Q47" i="8"/>
  <c r="R47" i="8"/>
  <c r="P47" i="8"/>
  <c r="O47" i="8"/>
  <c r="N47" i="8"/>
  <c r="A48" i="2"/>
  <c r="Q48" i="2"/>
  <c r="P48" i="2"/>
  <c r="W48" i="2"/>
  <c r="V48" i="2"/>
  <c r="I48" i="2"/>
  <c r="M48" i="2"/>
  <c r="S48" i="2"/>
  <c r="R48" i="2"/>
  <c r="O48" i="2"/>
  <c r="L48" i="2"/>
  <c r="J48" i="2"/>
  <c r="T48" i="2"/>
  <c r="U48" i="2"/>
  <c r="N48" i="2"/>
  <c r="K48" i="2"/>
  <c r="I48" i="8" l="1"/>
  <c r="N48" i="8"/>
  <c r="L48" i="8"/>
  <c r="J48" i="8"/>
  <c r="H48" i="8"/>
  <c r="O48" i="8"/>
  <c r="M48" i="8"/>
  <c r="K48" i="8"/>
  <c r="U48" i="8"/>
  <c r="S48" i="8"/>
  <c r="T48" i="8"/>
  <c r="R48" i="8"/>
  <c r="Q48" i="8"/>
  <c r="P48" i="8"/>
  <c r="A49" i="2"/>
  <c r="R49" i="2"/>
  <c r="Z49" i="2"/>
  <c r="J49" i="2"/>
  <c r="M49" i="2"/>
  <c r="U49" i="2"/>
  <c r="K49" i="2"/>
  <c r="V49" i="2"/>
  <c r="Q49" i="2"/>
  <c r="X49" i="2"/>
  <c r="T49" i="2"/>
  <c r="I49" i="2"/>
  <c r="Y49" i="2"/>
  <c r="O49" i="2"/>
  <c r="N49" i="2"/>
  <c r="L49" i="2"/>
  <c r="P49" i="2"/>
  <c r="S49" i="2"/>
  <c r="W49" i="2"/>
  <c r="U49" i="8" l="1"/>
  <c r="T49" i="8"/>
  <c r="S49" i="8"/>
  <c r="R49" i="8"/>
  <c r="Q49" i="8"/>
  <c r="L49" i="8"/>
  <c r="N49" i="8"/>
  <c r="M49" i="8"/>
  <c r="H49" i="8"/>
  <c r="I49" i="8"/>
  <c r="O49" i="8"/>
  <c r="P49" i="8"/>
  <c r="K49" i="8"/>
  <c r="J49" i="8"/>
</calcChain>
</file>

<file path=xl/sharedStrings.xml><?xml version="1.0" encoding="utf-8"?>
<sst xmlns="http://schemas.openxmlformats.org/spreadsheetml/2006/main" count="932" uniqueCount="315">
  <si>
    <t>保護層</t>
    <phoneticPr fontId="1" type="noConversion"/>
  </si>
  <si>
    <t>箍筋強度</t>
    <phoneticPr fontId="1" type="noConversion"/>
  </si>
  <si>
    <t>主筋</t>
    <phoneticPr fontId="1" type="noConversion"/>
  </si>
  <si>
    <t>箍筋</t>
    <phoneticPr fontId="1" type="noConversion"/>
  </si>
  <si>
    <t>(cm)</t>
    <phoneticPr fontId="1" type="noConversion"/>
  </si>
  <si>
    <r>
      <t>(kgf/cm</t>
    </r>
    <r>
      <rPr>
        <vertAlign val="superscript"/>
        <sz val="12"/>
        <color theme="1"/>
        <rFont val="新細明體"/>
        <family val="1"/>
        <charset val="136"/>
        <scheme val="minor"/>
      </rPr>
      <t>2</t>
    </r>
    <r>
      <rPr>
        <sz val="12"/>
        <color theme="1"/>
        <rFont val="新細明體"/>
        <family val="2"/>
        <charset val="136"/>
        <scheme val="minor"/>
      </rPr>
      <t>)</t>
    </r>
    <phoneticPr fontId="1" type="noConversion"/>
  </si>
  <si>
    <t>單層設計主筋支數 (搭接處)</t>
    <phoneticPr fontId="1" type="noConversion"/>
  </si>
  <si>
    <t>容許主筋支數
(單層)</t>
    <phoneticPr fontId="1" type="noConversion"/>
  </si>
  <si>
    <t>箍筋
間距</t>
    <phoneticPr fontId="1" type="noConversion"/>
  </si>
  <si>
    <t>(cm)</t>
    <phoneticPr fontId="1" type="noConversion"/>
  </si>
  <si>
    <t>非頂層乙級搭接長度 (cm)</t>
    <phoneticPr fontId="1" type="noConversion"/>
  </si>
  <si>
    <t>頂層乙級搭接長度 (cm)</t>
    <phoneticPr fontId="1" type="noConversion"/>
  </si>
  <si>
    <t>混凝土
強度</t>
    <phoneticPr fontId="1" type="noConversion"/>
  </si>
  <si>
    <t>箍筋
強度</t>
    <phoneticPr fontId="1" type="noConversion"/>
  </si>
  <si>
    <t>梁寬</t>
    <phoneticPr fontId="1" type="noConversion"/>
  </si>
  <si>
    <r>
      <t>(kgf/cm</t>
    </r>
    <r>
      <rPr>
        <vertAlign val="superscript"/>
        <sz val="12"/>
        <rFont val="Book Antiqua"/>
        <family val="1"/>
      </rPr>
      <t>2</t>
    </r>
    <r>
      <rPr>
        <sz val="12"/>
        <rFont val="Book Antiqua"/>
        <family val="1"/>
      </rPr>
      <t>)</t>
    </r>
    <phoneticPr fontId="1" type="noConversion"/>
  </si>
  <si>
    <t>寬度</t>
    <phoneticPr fontId="1" type="noConversion"/>
  </si>
  <si>
    <t>保護層</t>
    <phoneticPr fontId="1" type="noConversion"/>
  </si>
  <si>
    <t>箍筋強度</t>
    <phoneticPr fontId="1" type="noConversion"/>
  </si>
  <si>
    <t>箍筋</t>
    <phoneticPr fontId="1" type="noConversion"/>
  </si>
  <si>
    <t>主筋</t>
    <phoneticPr fontId="1" type="noConversion"/>
  </si>
  <si>
    <t>(cm)</t>
    <phoneticPr fontId="1" type="noConversion"/>
  </si>
  <si>
    <t>箍筋
號數</t>
    <phoneticPr fontId="1" type="noConversion"/>
  </si>
  <si>
    <t>主筋
號數</t>
    <phoneticPr fontId="1" type="noConversion"/>
  </si>
  <si>
    <t>梁寬
(cm)</t>
    <phoneticPr fontId="1" type="noConversion"/>
  </si>
  <si>
    <t>保護層
(cm)</t>
    <phoneticPr fontId="1" type="noConversion"/>
  </si>
  <si>
    <t>箍筋間距
(cm)</t>
    <phoneticPr fontId="1" type="noConversion"/>
  </si>
  <si>
    <r>
      <t>箍筋強度
(kgf/cm</t>
    </r>
    <r>
      <rPr>
        <vertAlign val="superscript"/>
        <sz val="12"/>
        <rFont val="華康新特明體"/>
        <family val="3"/>
        <charset val="136"/>
      </rPr>
      <t>2</t>
    </r>
    <r>
      <rPr>
        <sz val="12"/>
        <rFont val="華康新特明體"/>
        <family val="3"/>
        <charset val="136"/>
      </rPr>
      <t>)</t>
    </r>
    <phoneticPr fontId="1" type="noConversion"/>
  </si>
  <si>
    <r>
      <t>混凝土強度
(kgf/cm</t>
    </r>
    <r>
      <rPr>
        <vertAlign val="superscript"/>
        <sz val="10"/>
        <rFont val="華康新特明體"/>
        <family val="3"/>
        <charset val="136"/>
      </rPr>
      <t>2</t>
    </r>
    <r>
      <rPr>
        <sz val="10"/>
        <rFont val="華康新特明體"/>
        <family val="3"/>
        <charset val="136"/>
      </rPr>
      <t>)</t>
    </r>
    <phoneticPr fontId="1" type="noConversion"/>
  </si>
  <si>
    <t>一般</t>
    <phoneticPr fontId="1" type="noConversion"/>
  </si>
  <si>
    <t>頂層</t>
    <phoneticPr fontId="1" type="noConversion"/>
  </si>
  <si>
    <t>位置</t>
    <phoneticPr fontId="1" type="noConversion"/>
  </si>
  <si>
    <t>表、梁主筋(SD420W)搭接長度表(乙級搭接，單位：公分)</t>
    <phoneticPr fontId="1" type="noConversion"/>
  </si>
  <si>
    <t>一般</t>
    <phoneticPr fontId="1" type="noConversion"/>
  </si>
  <si>
    <t>頂層</t>
    <phoneticPr fontId="1" type="noConversion"/>
  </si>
  <si>
    <t>FG</t>
    <phoneticPr fontId="1" type="noConversion"/>
  </si>
  <si>
    <t>FGa</t>
    <phoneticPr fontId="1" type="noConversion"/>
  </si>
  <si>
    <t>FGc</t>
    <phoneticPr fontId="1" type="noConversion"/>
  </si>
  <si>
    <t>FGd</t>
    <phoneticPr fontId="1" type="noConversion"/>
  </si>
  <si>
    <t>FG1</t>
    <phoneticPr fontId="1" type="noConversion"/>
  </si>
  <si>
    <t>FG3</t>
    <phoneticPr fontId="1" type="noConversion"/>
  </si>
  <si>
    <t>FG4</t>
    <phoneticPr fontId="1" type="noConversion"/>
  </si>
  <si>
    <t>FG5</t>
    <phoneticPr fontId="1" type="noConversion"/>
  </si>
  <si>
    <t>FG6</t>
    <phoneticPr fontId="1" type="noConversion"/>
  </si>
  <si>
    <t>FG7</t>
    <phoneticPr fontId="1" type="noConversion"/>
  </si>
  <si>
    <t>FG8</t>
    <phoneticPr fontId="1" type="noConversion"/>
  </si>
  <si>
    <t>FG9</t>
    <phoneticPr fontId="1" type="noConversion"/>
  </si>
  <si>
    <t>FG10</t>
    <phoneticPr fontId="1" type="noConversion"/>
  </si>
  <si>
    <t>FG11</t>
    <phoneticPr fontId="1" type="noConversion"/>
  </si>
  <si>
    <t>FG12</t>
    <phoneticPr fontId="1" type="noConversion"/>
  </si>
  <si>
    <t>FG13</t>
    <phoneticPr fontId="1" type="noConversion"/>
  </si>
  <si>
    <t>FG14</t>
    <phoneticPr fontId="1" type="noConversion"/>
  </si>
  <si>
    <t>FG15</t>
    <phoneticPr fontId="1" type="noConversion"/>
  </si>
  <si>
    <t>FG16</t>
    <phoneticPr fontId="1" type="noConversion"/>
  </si>
  <si>
    <t>FG17</t>
    <phoneticPr fontId="1" type="noConversion"/>
  </si>
  <si>
    <t>FG18</t>
    <phoneticPr fontId="1" type="noConversion"/>
  </si>
  <si>
    <t>FG19</t>
    <phoneticPr fontId="1" type="noConversion"/>
  </si>
  <si>
    <t>FG20</t>
    <phoneticPr fontId="1" type="noConversion"/>
  </si>
  <si>
    <t>FG21</t>
    <phoneticPr fontId="1" type="noConversion"/>
  </si>
  <si>
    <t>FG22</t>
    <phoneticPr fontId="1" type="noConversion"/>
  </si>
  <si>
    <t>FG23</t>
    <phoneticPr fontId="1" type="noConversion"/>
  </si>
  <si>
    <t>FG24</t>
    <phoneticPr fontId="1" type="noConversion"/>
  </si>
  <si>
    <t>FG25</t>
    <phoneticPr fontId="1" type="noConversion"/>
  </si>
  <si>
    <t>FG26</t>
    <phoneticPr fontId="1" type="noConversion"/>
  </si>
  <si>
    <t>FG27</t>
    <phoneticPr fontId="1" type="noConversion"/>
  </si>
  <si>
    <t>FG28</t>
    <phoneticPr fontId="1" type="noConversion"/>
  </si>
  <si>
    <t>FG29</t>
    <phoneticPr fontId="1" type="noConversion"/>
  </si>
  <si>
    <t>FG30</t>
    <phoneticPr fontId="1" type="noConversion"/>
  </si>
  <si>
    <t>FG31</t>
    <phoneticPr fontId="1" type="noConversion"/>
  </si>
  <si>
    <t>FG32</t>
    <phoneticPr fontId="1" type="noConversion"/>
  </si>
  <si>
    <t>FG33</t>
    <phoneticPr fontId="1" type="noConversion"/>
  </si>
  <si>
    <t>FG34</t>
    <phoneticPr fontId="1" type="noConversion"/>
  </si>
  <si>
    <t>FG35</t>
    <phoneticPr fontId="1" type="noConversion"/>
  </si>
  <si>
    <t>FG36</t>
    <phoneticPr fontId="1" type="noConversion"/>
  </si>
  <si>
    <t>FG37</t>
    <phoneticPr fontId="1" type="noConversion"/>
  </si>
  <si>
    <t>主筋
支數</t>
    <phoneticPr fontId="1" type="noConversion"/>
  </si>
  <si>
    <t>箍筋
間距
(cm)</t>
    <phoneticPr fontId="1" type="noConversion"/>
  </si>
  <si>
    <t>梁
編號</t>
    <phoneticPr fontId="1" type="noConversion"/>
  </si>
  <si>
    <r>
      <t>箍筋
強度
(kgf/cm</t>
    </r>
    <r>
      <rPr>
        <vertAlign val="superscript"/>
        <sz val="9"/>
        <rFont val="華康新特明體"/>
        <family val="3"/>
        <charset val="136"/>
      </rPr>
      <t>2</t>
    </r>
    <r>
      <rPr>
        <sz val="9"/>
        <rFont val="華康新特明體"/>
        <family val="3"/>
        <charset val="136"/>
      </rPr>
      <t>)</t>
    </r>
    <phoneticPr fontId="1" type="noConversion"/>
  </si>
  <si>
    <r>
      <t>混凝土
強度
(kgf/cm</t>
    </r>
    <r>
      <rPr>
        <vertAlign val="superscript"/>
        <sz val="9"/>
        <rFont val="華康新特明體"/>
        <family val="3"/>
        <charset val="136"/>
      </rPr>
      <t>2</t>
    </r>
    <r>
      <rPr>
        <sz val="9"/>
        <rFont val="華康新特明體"/>
        <family val="3"/>
        <charset val="136"/>
      </rPr>
      <t>)</t>
    </r>
    <phoneticPr fontId="1" type="noConversion"/>
  </si>
  <si>
    <t>保護
層
(cm)</t>
    <phoneticPr fontId="1" type="noConversion"/>
  </si>
  <si>
    <t>FGb</t>
    <phoneticPr fontId="1" type="noConversion"/>
  </si>
  <si>
    <t>頂層</t>
    <phoneticPr fontId="1" type="noConversion"/>
  </si>
  <si>
    <t>一般</t>
    <phoneticPr fontId="1" type="noConversion"/>
  </si>
  <si>
    <t>FG2</t>
    <phoneticPr fontId="1" type="noConversion"/>
  </si>
  <si>
    <t>FG38</t>
    <phoneticPr fontId="1" type="noConversion"/>
  </si>
  <si>
    <t>FG39</t>
    <phoneticPr fontId="1" type="noConversion"/>
  </si>
  <si>
    <t>FG40</t>
    <phoneticPr fontId="1" type="noConversion"/>
  </si>
  <si>
    <t>FG41</t>
    <phoneticPr fontId="1" type="noConversion"/>
  </si>
  <si>
    <t>FG42</t>
    <phoneticPr fontId="1" type="noConversion"/>
  </si>
  <si>
    <t>FG43</t>
    <phoneticPr fontId="1" type="noConversion"/>
  </si>
  <si>
    <t>FG44</t>
    <phoneticPr fontId="1" type="noConversion"/>
  </si>
  <si>
    <t>FG45</t>
    <phoneticPr fontId="1" type="noConversion"/>
  </si>
  <si>
    <t>FG46</t>
    <phoneticPr fontId="1" type="noConversion"/>
  </si>
  <si>
    <t>FG47</t>
    <phoneticPr fontId="1" type="noConversion"/>
  </si>
  <si>
    <t>FG48</t>
    <phoneticPr fontId="1" type="noConversion"/>
  </si>
  <si>
    <t>FG49</t>
    <phoneticPr fontId="1" type="noConversion"/>
  </si>
  <si>
    <t>FG50</t>
    <phoneticPr fontId="1" type="noConversion"/>
  </si>
  <si>
    <t>FG51</t>
    <phoneticPr fontId="1" type="noConversion"/>
  </si>
  <si>
    <t>FG52</t>
    <phoneticPr fontId="1" type="noConversion"/>
  </si>
  <si>
    <t>FG53</t>
    <phoneticPr fontId="1" type="noConversion"/>
  </si>
  <si>
    <t>FG54</t>
    <phoneticPr fontId="1" type="noConversion"/>
  </si>
  <si>
    <t>FG55</t>
    <phoneticPr fontId="1" type="noConversion"/>
  </si>
  <si>
    <t>搭接長度
(乙級)</t>
    <phoneticPr fontId="1" type="noConversion"/>
  </si>
  <si>
    <t>最多主筋支數
(單層)</t>
    <phoneticPr fontId="1" type="noConversion"/>
  </si>
  <si>
    <t>db</t>
    <phoneticPr fontId="1" type="noConversion"/>
  </si>
  <si>
    <t>主筋最小淨間距 &gt;=</t>
    <phoneticPr fontId="1" type="noConversion"/>
  </si>
  <si>
    <t>FG56</t>
    <phoneticPr fontId="1" type="noConversion"/>
  </si>
  <si>
    <t>FG57</t>
    <phoneticPr fontId="1" type="noConversion"/>
  </si>
  <si>
    <t>FG58</t>
    <phoneticPr fontId="1" type="noConversion"/>
  </si>
  <si>
    <t>FG59</t>
    <phoneticPr fontId="1" type="noConversion"/>
  </si>
  <si>
    <t>FG60</t>
    <phoneticPr fontId="1" type="noConversion"/>
  </si>
  <si>
    <t>FG61</t>
    <phoneticPr fontId="1" type="noConversion"/>
  </si>
  <si>
    <t>FG62</t>
    <phoneticPr fontId="1" type="noConversion"/>
  </si>
  <si>
    <t>FG63</t>
    <phoneticPr fontId="1" type="noConversion"/>
  </si>
  <si>
    <t>FG64</t>
    <phoneticPr fontId="1" type="noConversion"/>
  </si>
  <si>
    <t>FG65</t>
    <phoneticPr fontId="1" type="noConversion"/>
  </si>
  <si>
    <t>FG66</t>
    <phoneticPr fontId="1" type="noConversion"/>
  </si>
  <si>
    <t>FG67</t>
    <phoneticPr fontId="1" type="noConversion"/>
  </si>
  <si>
    <t>FG68</t>
    <phoneticPr fontId="1" type="noConversion"/>
  </si>
  <si>
    <t>FG69</t>
    <phoneticPr fontId="1" type="noConversion"/>
  </si>
  <si>
    <t>FG70</t>
    <phoneticPr fontId="1" type="noConversion"/>
  </si>
  <si>
    <t>FG71</t>
    <phoneticPr fontId="1" type="noConversion"/>
  </si>
  <si>
    <t>FG72</t>
    <phoneticPr fontId="1" type="noConversion"/>
  </si>
  <si>
    <t>FG73</t>
    <phoneticPr fontId="1" type="noConversion"/>
  </si>
  <si>
    <t>FG74</t>
    <phoneticPr fontId="1" type="noConversion"/>
  </si>
  <si>
    <t>FG75</t>
    <phoneticPr fontId="1" type="noConversion"/>
  </si>
  <si>
    <t>FG76</t>
    <phoneticPr fontId="1" type="noConversion"/>
  </si>
  <si>
    <t>FG77</t>
    <phoneticPr fontId="1" type="noConversion"/>
  </si>
  <si>
    <t>FG78</t>
    <phoneticPr fontId="1" type="noConversion"/>
  </si>
  <si>
    <t>FG79</t>
    <phoneticPr fontId="1" type="noConversion"/>
  </si>
  <si>
    <t>FG80</t>
    <phoneticPr fontId="1" type="noConversion"/>
  </si>
  <si>
    <t>FG81</t>
    <phoneticPr fontId="1" type="noConversion"/>
  </si>
  <si>
    <t>FG82</t>
    <phoneticPr fontId="1" type="noConversion"/>
  </si>
  <si>
    <t>FG83</t>
    <phoneticPr fontId="1" type="noConversion"/>
  </si>
  <si>
    <t>FG84</t>
    <phoneticPr fontId="1" type="noConversion"/>
  </si>
  <si>
    <t>FG85</t>
    <phoneticPr fontId="1" type="noConversion"/>
  </si>
  <si>
    <t>FG86</t>
    <phoneticPr fontId="1" type="noConversion"/>
  </si>
  <si>
    <t>FG87</t>
    <phoneticPr fontId="1" type="noConversion"/>
  </si>
  <si>
    <t>FG88</t>
    <phoneticPr fontId="1" type="noConversion"/>
  </si>
  <si>
    <t>FG89</t>
    <phoneticPr fontId="1" type="noConversion"/>
  </si>
  <si>
    <t>FG90</t>
    <phoneticPr fontId="1" type="noConversion"/>
  </si>
  <si>
    <t>FG91</t>
    <phoneticPr fontId="1" type="noConversion"/>
  </si>
  <si>
    <t>FB1</t>
    <phoneticPr fontId="1" type="noConversion"/>
  </si>
  <si>
    <r>
      <t>F</t>
    </r>
    <r>
      <rPr>
        <b/>
        <sz val="10"/>
        <color rgb="FFFF0000"/>
        <rFont val="Book Antiqua"/>
        <family val="1"/>
      </rPr>
      <t>B2</t>
    </r>
    <phoneticPr fontId="1" type="noConversion"/>
  </si>
  <si>
    <t>FB3</t>
    <phoneticPr fontId="1" type="noConversion"/>
  </si>
  <si>
    <r>
      <t>F</t>
    </r>
    <r>
      <rPr>
        <b/>
        <sz val="10"/>
        <color rgb="FFFF0000"/>
        <rFont val="Book Antiqua"/>
        <family val="1"/>
      </rPr>
      <t>B4</t>
    </r>
    <phoneticPr fontId="1" type="noConversion"/>
  </si>
  <si>
    <t>FB5</t>
    <phoneticPr fontId="1" type="noConversion"/>
  </si>
  <si>
    <r>
      <t>F</t>
    </r>
    <r>
      <rPr>
        <b/>
        <sz val="10"/>
        <color rgb="FFFF0000"/>
        <rFont val="Book Antiqua"/>
        <family val="1"/>
      </rPr>
      <t>B6</t>
    </r>
    <phoneticPr fontId="1" type="noConversion"/>
  </si>
  <si>
    <t>FB7</t>
    <phoneticPr fontId="1" type="noConversion"/>
  </si>
  <si>
    <r>
      <t>F</t>
    </r>
    <r>
      <rPr>
        <b/>
        <sz val="10"/>
        <color rgb="FFFF0000"/>
        <rFont val="Book Antiqua"/>
        <family val="1"/>
      </rPr>
      <t>B8</t>
    </r>
    <phoneticPr fontId="1" type="noConversion"/>
  </si>
  <si>
    <t>FB9</t>
    <phoneticPr fontId="1" type="noConversion"/>
  </si>
  <si>
    <r>
      <t>F</t>
    </r>
    <r>
      <rPr>
        <b/>
        <sz val="10"/>
        <color rgb="FFFF0000"/>
        <rFont val="Book Antiqua"/>
        <family val="1"/>
      </rPr>
      <t>B10</t>
    </r>
    <phoneticPr fontId="1" type="noConversion"/>
  </si>
  <si>
    <t>FB11</t>
    <phoneticPr fontId="1" type="noConversion"/>
  </si>
  <si>
    <r>
      <t>F</t>
    </r>
    <r>
      <rPr>
        <b/>
        <sz val="10"/>
        <color rgb="FFFF0000"/>
        <rFont val="Book Antiqua"/>
        <family val="1"/>
      </rPr>
      <t>B12</t>
    </r>
    <phoneticPr fontId="1" type="noConversion"/>
  </si>
  <si>
    <t>FB13</t>
    <phoneticPr fontId="1" type="noConversion"/>
  </si>
  <si>
    <r>
      <t>F</t>
    </r>
    <r>
      <rPr>
        <b/>
        <sz val="10"/>
        <color rgb="FFFF0000"/>
        <rFont val="Book Antiqua"/>
        <family val="1"/>
      </rPr>
      <t>B14</t>
    </r>
    <phoneticPr fontId="1" type="noConversion"/>
  </si>
  <si>
    <t>FB15</t>
    <phoneticPr fontId="1" type="noConversion"/>
  </si>
  <si>
    <r>
      <t>F</t>
    </r>
    <r>
      <rPr>
        <b/>
        <sz val="10"/>
        <color rgb="FFFF0000"/>
        <rFont val="Book Antiqua"/>
        <family val="1"/>
      </rPr>
      <t>B16</t>
    </r>
    <phoneticPr fontId="1" type="noConversion"/>
  </si>
  <si>
    <t>FB17</t>
    <phoneticPr fontId="1" type="noConversion"/>
  </si>
  <si>
    <r>
      <t>F</t>
    </r>
    <r>
      <rPr>
        <b/>
        <sz val="10"/>
        <color rgb="FFFF0000"/>
        <rFont val="Book Antiqua"/>
        <family val="1"/>
      </rPr>
      <t>B18</t>
    </r>
    <phoneticPr fontId="1" type="noConversion"/>
  </si>
  <si>
    <t>FB19</t>
    <phoneticPr fontId="1" type="noConversion"/>
  </si>
  <si>
    <r>
      <t>F</t>
    </r>
    <r>
      <rPr>
        <b/>
        <sz val="10"/>
        <color rgb="FFFF0000"/>
        <rFont val="Book Antiqua"/>
        <family val="1"/>
      </rPr>
      <t>B20</t>
    </r>
    <phoneticPr fontId="1" type="noConversion"/>
  </si>
  <si>
    <t>FB21</t>
    <phoneticPr fontId="1" type="noConversion"/>
  </si>
  <si>
    <r>
      <t>F</t>
    </r>
    <r>
      <rPr>
        <b/>
        <sz val="10"/>
        <color rgb="FFFF0000"/>
        <rFont val="Book Antiqua"/>
        <family val="1"/>
      </rPr>
      <t>B22</t>
    </r>
    <phoneticPr fontId="1" type="noConversion"/>
  </si>
  <si>
    <t>FB23</t>
    <phoneticPr fontId="1" type="noConversion"/>
  </si>
  <si>
    <r>
      <t>F</t>
    </r>
    <r>
      <rPr>
        <b/>
        <sz val="10"/>
        <color rgb="FFFF0000"/>
        <rFont val="Book Antiqua"/>
        <family val="1"/>
      </rPr>
      <t>B24</t>
    </r>
    <phoneticPr fontId="1" type="noConversion"/>
  </si>
  <si>
    <t>FB25</t>
    <phoneticPr fontId="1" type="noConversion"/>
  </si>
  <si>
    <r>
      <t>F</t>
    </r>
    <r>
      <rPr>
        <b/>
        <sz val="10"/>
        <color rgb="FFFF0000"/>
        <rFont val="Book Antiqua"/>
        <family val="1"/>
      </rPr>
      <t>B26</t>
    </r>
    <phoneticPr fontId="1" type="noConversion"/>
  </si>
  <si>
    <t>FB27</t>
    <phoneticPr fontId="1" type="noConversion"/>
  </si>
  <si>
    <r>
      <t>F</t>
    </r>
    <r>
      <rPr>
        <b/>
        <sz val="10"/>
        <color rgb="FFFF0000"/>
        <rFont val="Book Antiqua"/>
        <family val="1"/>
      </rPr>
      <t>B28</t>
    </r>
    <phoneticPr fontId="1" type="noConversion"/>
  </si>
  <si>
    <t>FB29</t>
    <phoneticPr fontId="1" type="noConversion"/>
  </si>
  <si>
    <r>
      <t>F</t>
    </r>
    <r>
      <rPr>
        <b/>
        <sz val="10"/>
        <color rgb="FFFF0000"/>
        <rFont val="Book Antiqua"/>
        <family val="1"/>
      </rPr>
      <t>B30</t>
    </r>
    <phoneticPr fontId="1" type="noConversion"/>
  </si>
  <si>
    <t>FB31</t>
    <phoneticPr fontId="1" type="noConversion"/>
  </si>
  <si>
    <r>
      <t>F</t>
    </r>
    <r>
      <rPr>
        <b/>
        <sz val="10"/>
        <color rgb="FFFF0000"/>
        <rFont val="Book Antiqua"/>
        <family val="1"/>
      </rPr>
      <t>B32</t>
    </r>
    <phoneticPr fontId="1" type="noConversion"/>
  </si>
  <si>
    <t>FB33</t>
    <phoneticPr fontId="1" type="noConversion"/>
  </si>
  <si>
    <r>
      <t>F</t>
    </r>
    <r>
      <rPr>
        <b/>
        <sz val="10"/>
        <color rgb="FFFF0000"/>
        <rFont val="Book Antiqua"/>
        <family val="1"/>
      </rPr>
      <t>B34</t>
    </r>
    <phoneticPr fontId="1" type="noConversion"/>
  </si>
  <si>
    <t>FB35</t>
    <phoneticPr fontId="1" type="noConversion"/>
  </si>
  <si>
    <r>
      <t>F</t>
    </r>
    <r>
      <rPr>
        <b/>
        <sz val="10"/>
        <color rgb="FFFF0000"/>
        <rFont val="Book Antiqua"/>
        <family val="1"/>
      </rPr>
      <t>B36</t>
    </r>
    <phoneticPr fontId="1" type="noConversion"/>
  </si>
  <si>
    <t>FB37</t>
    <phoneticPr fontId="1" type="noConversion"/>
  </si>
  <si>
    <r>
      <t>F</t>
    </r>
    <r>
      <rPr>
        <b/>
        <sz val="10"/>
        <color rgb="FFFF0000"/>
        <rFont val="Book Antiqua"/>
        <family val="1"/>
      </rPr>
      <t>B38</t>
    </r>
    <phoneticPr fontId="1" type="noConversion"/>
  </si>
  <si>
    <t>FB39</t>
    <phoneticPr fontId="1" type="noConversion"/>
  </si>
  <si>
    <r>
      <t>F</t>
    </r>
    <r>
      <rPr>
        <b/>
        <sz val="10"/>
        <color rgb="FFFF0000"/>
        <rFont val="Book Antiqua"/>
        <family val="1"/>
      </rPr>
      <t>B40</t>
    </r>
    <phoneticPr fontId="1" type="noConversion"/>
  </si>
  <si>
    <t>FB41</t>
    <phoneticPr fontId="1" type="noConversion"/>
  </si>
  <si>
    <r>
      <t>F</t>
    </r>
    <r>
      <rPr>
        <b/>
        <sz val="10"/>
        <color rgb="FFFF0000"/>
        <rFont val="Book Antiqua"/>
        <family val="1"/>
      </rPr>
      <t>B42</t>
    </r>
    <phoneticPr fontId="1" type="noConversion"/>
  </si>
  <si>
    <t>FB43</t>
    <phoneticPr fontId="1" type="noConversion"/>
  </si>
  <si>
    <r>
      <t>F</t>
    </r>
    <r>
      <rPr>
        <b/>
        <sz val="10"/>
        <color rgb="FFFF0000"/>
        <rFont val="Book Antiqua"/>
        <family val="1"/>
      </rPr>
      <t>B44</t>
    </r>
    <phoneticPr fontId="1" type="noConversion"/>
  </si>
  <si>
    <t>FB45</t>
    <phoneticPr fontId="1" type="noConversion"/>
  </si>
  <si>
    <r>
      <t>F</t>
    </r>
    <r>
      <rPr>
        <b/>
        <sz val="10"/>
        <color rgb="FFFF0000"/>
        <rFont val="Book Antiqua"/>
        <family val="1"/>
      </rPr>
      <t>B46</t>
    </r>
    <phoneticPr fontId="1" type="noConversion"/>
  </si>
  <si>
    <t>FB47</t>
    <phoneticPr fontId="1" type="noConversion"/>
  </si>
  <si>
    <r>
      <t>F</t>
    </r>
    <r>
      <rPr>
        <b/>
        <sz val="10"/>
        <color rgb="FFFF0000"/>
        <rFont val="Book Antiqua"/>
        <family val="1"/>
      </rPr>
      <t>B48</t>
    </r>
    <phoneticPr fontId="1" type="noConversion"/>
  </si>
  <si>
    <t>FB49</t>
    <phoneticPr fontId="1" type="noConversion"/>
  </si>
  <si>
    <r>
      <t>F</t>
    </r>
    <r>
      <rPr>
        <b/>
        <sz val="10"/>
        <color rgb="FFFF0000"/>
        <rFont val="Book Antiqua"/>
        <family val="1"/>
      </rPr>
      <t>B50</t>
    </r>
    <phoneticPr fontId="1" type="noConversion"/>
  </si>
  <si>
    <t>FB51</t>
    <phoneticPr fontId="1" type="noConversion"/>
  </si>
  <si>
    <r>
      <t>F</t>
    </r>
    <r>
      <rPr>
        <b/>
        <sz val="10"/>
        <color rgb="FFFF0000"/>
        <rFont val="Book Antiqua"/>
        <family val="1"/>
      </rPr>
      <t>B52</t>
    </r>
    <phoneticPr fontId="1" type="noConversion"/>
  </si>
  <si>
    <t>FB53</t>
    <phoneticPr fontId="1" type="noConversion"/>
  </si>
  <si>
    <r>
      <t>F</t>
    </r>
    <r>
      <rPr>
        <b/>
        <sz val="10"/>
        <color rgb="FFFF0000"/>
        <rFont val="Book Antiqua"/>
        <family val="1"/>
      </rPr>
      <t>B54</t>
    </r>
    <phoneticPr fontId="1" type="noConversion"/>
  </si>
  <si>
    <t>FB55</t>
    <phoneticPr fontId="1" type="noConversion"/>
  </si>
  <si>
    <r>
      <t>F</t>
    </r>
    <r>
      <rPr>
        <b/>
        <sz val="10"/>
        <color rgb="FFFF0000"/>
        <rFont val="Book Antiqua"/>
        <family val="1"/>
      </rPr>
      <t>B56</t>
    </r>
    <phoneticPr fontId="1" type="noConversion"/>
  </si>
  <si>
    <t>FB57</t>
    <phoneticPr fontId="1" type="noConversion"/>
  </si>
  <si>
    <r>
      <t>F</t>
    </r>
    <r>
      <rPr>
        <b/>
        <sz val="10"/>
        <color rgb="FFFF0000"/>
        <rFont val="Book Antiqua"/>
        <family val="1"/>
      </rPr>
      <t>B58</t>
    </r>
    <phoneticPr fontId="1" type="noConversion"/>
  </si>
  <si>
    <t>FB59</t>
    <phoneticPr fontId="1" type="noConversion"/>
  </si>
  <si>
    <r>
      <t>F</t>
    </r>
    <r>
      <rPr>
        <b/>
        <sz val="10"/>
        <color rgb="FFFF0000"/>
        <rFont val="Book Antiqua"/>
        <family val="1"/>
      </rPr>
      <t>B60</t>
    </r>
    <phoneticPr fontId="1" type="noConversion"/>
  </si>
  <si>
    <t>FB61</t>
    <phoneticPr fontId="1" type="noConversion"/>
  </si>
  <si>
    <r>
      <t>F</t>
    </r>
    <r>
      <rPr>
        <b/>
        <sz val="10"/>
        <color rgb="FFFF0000"/>
        <rFont val="Book Antiqua"/>
        <family val="1"/>
      </rPr>
      <t>B62</t>
    </r>
    <phoneticPr fontId="1" type="noConversion"/>
  </si>
  <si>
    <t>FB63</t>
    <phoneticPr fontId="1" type="noConversion"/>
  </si>
  <si>
    <r>
      <t>F</t>
    </r>
    <r>
      <rPr>
        <b/>
        <sz val="10"/>
        <color rgb="FFFF0000"/>
        <rFont val="Book Antiqua"/>
        <family val="1"/>
      </rPr>
      <t>B64</t>
    </r>
    <phoneticPr fontId="1" type="noConversion"/>
  </si>
  <si>
    <t>FB65</t>
    <phoneticPr fontId="1" type="noConversion"/>
  </si>
  <si>
    <r>
      <t>F</t>
    </r>
    <r>
      <rPr>
        <b/>
        <sz val="10"/>
        <color rgb="FFFF0000"/>
        <rFont val="Book Antiqua"/>
        <family val="1"/>
      </rPr>
      <t>B66</t>
    </r>
    <phoneticPr fontId="1" type="noConversion"/>
  </si>
  <si>
    <t>FB67</t>
    <phoneticPr fontId="1" type="noConversion"/>
  </si>
  <si>
    <r>
      <t>F</t>
    </r>
    <r>
      <rPr>
        <b/>
        <sz val="10"/>
        <color rgb="FFFF0000"/>
        <rFont val="Book Antiqua"/>
        <family val="1"/>
      </rPr>
      <t>B68</t>
    </r>
    <phoneticPr fontId="1" type="noConversion"/>
  </si>
  <si>
    <t>FB69</t>
    <phoneticPr fontId="1" type="noConversion"/>
  </si>
  <si>
    <r>
      <t>F</t>
    </r>
    <r>
      <rPr>
        <b/>
        <sz val="10"/>
        <color rgb="FFFF0000"/>
        <rFont val="Book Antiqua"/>
        <family val="1"/>
      </rPr>
      <t>B70</t>
    </r>
    <phoneticPr fontId="1" type="noConversion"/>
  </si>
  <si>
    <t>FB71</t>
    <phoneticPr fontId="1" type="noConversion"/>
  </si>
  <si>
    <r>
      <t>F</t>
    </r>
    <r>
      <rPr>
        <b/>
        <sz val="10"/>
        <color rgb="FFFF0000"/>
        <rFont val="Book Antiqua"/>
        <family val="1"/>
      </rPr>
      <t>B72</t>
    </r>
    <phoneticPr fontId="1" type="noConversion"/>
  </si>
  <si>
    <t>FB73</t>
    <phoneticPr fontId="1" type="noConversion"/>
  </si>
  <si>
    <r>
      <t>F</t>
    </r>
    <r>
      <rPr>
        <b/>
        <sz val="10"/>
        <color rgb="FFFF0000"/>
        <rFont val="Book Antiqua"/>
        <family val="1"/>
      </rPr>
      <t>B74</t>
    </r>
    <phoneticPr fontId="1" type="noConversion"/>
  </si>
  <si>
    <t>FB75</t>
    <phoneticPr fontId="1" type="noConversion"/>
  </si>
  <si>
    <r>
      <t>F</t>
    </r>
    <r>
      <rPr>
        <b/>
        <sz val="10"/>
        <color rgb="FFFF0000"/>
        <rFont val="Book Antiqua"/>
        <family val="1"/>
      </rPr>
      <t>B76</t>
    </r>
    <phoneticPr fontId="1" type="noConversion"/>
  </si>
  <si>
    <t>FB77</t>
    <phoneticPr fontId="1" type="noConversion"/>
  </si>
  <si>
    <r>
      <t>F</t>
    </r>
    <r>
      <rPr>
        <b/>
        <sz val="10"/>
        <color rgb="FFFF0000"/>
        <rFont val="Book Antiqua"/>
        <family val="1"/>
      </rPr>
      <t>B78</t>
    </r>
    <phoneticPr fontId="1" type="noConversion"/>
  </si>
  <si>
    <t>FB79</t>
    <phoneticPr fontId="1" type="noConversion"/>
  </si>
  <si>
    <r>
      <t>F</t>
    </r>
    <r>
      <rPr>
        <b/>
        <sz val="10"/>
        <color rgb="FFFF0000"/>
        <rFont val="Book Antiqua"/>
        <family val="1"/>
      </rPr>
      <t>B80</t>
    </r>
    <phoneticPr fontId="1" type="noConversion"/>
  </si>
  <si>
    <t>FB81</t>
    <phoneticPr fontId="1" type="noConversion"/>
  </si>
  <si>
    <r>
      <t>F</t>
    </r>
    <r>
      <rPr>
        <b/>
        <sz val="10"/>
        <color rgb="FFFF0000"/>
        <rFont val="Book Antiqua"/>
        <family val="1"/>
      </rPr>
      <t>B82</t>
    </r>
    <phoneticPr fontId="1" type="noConversion"/>
  </si>
  <si>
    <t>FB83</t>
    <phoneticPr fontId="1" type="noConversion"/>
  </si>
  <si>
    <r>
      <t>F</t>
    </r>
    <r>
      <rPr>
        <b/>
        <sz val="10"/>
        <color rgb="FFFF0000"/>
        <rFont val="Book Antiqua"/>
        <family val="1"/>
      </rPr>
      <t>B84</t>
    </r>
    <phoneticPr fontId="1" type="noConversion"/>
  </si>
  <si>
    <t>FB85</t>
    <phoneticPr fontId="1" type="noConversion"/>
  </si>
  <si>
    <r>
      <t>F</t>
    </r>
    <r>
      <rPr>
        <b/>
        <sz val="10"/>
        <color rgb="FFFF0000"/>
        <rFont val="Book Antiqua"/>
        <family val="1"/>
      </rPr>
      <t>B86</t>
    </r>
    <phoneticPr fontId="1" type="noConversion"/>
  </si>
  <si>
    <t>FB87</t>
    <phoneticPr fontId="1" type="noConversion"/>
  </si>
  <si>
    <r>
      <t>F</t>
    </r>
    <r>
      <rPr>
        <b/>
        <sz val="10"/>
        <color rgb="FFFF0000"/>
        <rFont val="Book Antiqua"/>
        <family val="1"/>
      </rPr>
      <t>B88</t>
    </r>
    <phoneticPr fontId="1" type="noConversion"/>
  </si>
  <si>
    <t>FB89</t>
    <phoneticPr fontId="1" type="noConversion"/>
  </si>
  <si>
    <r>
      <t>F</t>
    </r>
    <r>
      <rPr>
        <b/>
        <sz val="10"/>
        <color rgb="FFFF0000"/>
        <rFont val="Book Antiqua"/>
        <family val="1"/>
      </rPr>
      <t>B90</t>
    </r>
    <phoneticPr fontId="1" type="noConversion"/>
  </si>
  <si>
    <t>FB91</t>
    <phoneticPr fontId="1" type="noConversion"/>
  </si>
  <si>
    <r>
      <t>F</t>
    </r>
    <r>
      <rPr>
        <b/>
        <sz val="10"/>
        <color rgb="FFFF0000"/>
        <rFont val="Book Antiqua"/>
        <family val="1"/>
      </rPr>
      <t>B92</t>
    </r>
    <phoneticPr fontId="1" type="noConversion"/>
  </si>
  <si>
    <t>FB93</t>
    <phoneticPr fontId="1" type="noConversion"/>
  </si>
  <si>
    <r>
      <t>F</t>
    </r>
    <r>
      <rPr>
        <b/>
        <sz val="10"/>
        <color rgb="FFFF0000"/>
        <rFont val="Book Antiqua"/>
        <family val="1"/>
      </rPr>
      <t>B94</t>
    </r>
    <phoneticPr fontId="1" type="noConversion"/>
  </si>
  <si>
    <t>FB95</t>
    <phoneticPr fontId="1" type="noConversion"/>
  </si>
  <si>
    <r>
      <t>F</t>
    </r>
    <r>
      <rPr>
        <b/>
        <sz val="10"/>
        <color rgb="FFFF0000"/>
        <rFont val="Book Antiqua"/>
        <family val="1"/>
      </rPr>
      <t>B96</t>
    </r>
    <phoneticPr fontId="1" type="noConversion"/>
  </si>
  <si>
    <t>FB97</t>
    <phoneticPr fontId="1" type="noConversion"/>
  </si>
  <si>
    <r>
      <t>F</t>
    </r>
    <r>
      <rPr>
        <b/>
        <sz val="10"/>
        <color rgb="FFFF0000"/>
        <rFont val="Book Antiqua"/>
        <family val="1"/>
      </rPr>
      <t>B98</t>
    </r>
    <phoneticPr fontId="1" type="noConversion"/>
  </si>
  <si>
    <t>FB99</t>
    <phoneticPr fontId="1" type="noConversion"/>
  </si>
  <si>
    <r>
      <t>F</t>
    </r>
    <r>
      <rPr>
        <b/>
        <sz val="10"/>
        <color rgb="FFFF0000"/>
        <rFont val="Book Antiqua"/>
        <family val="1"/>
      </rPr>
      <t>B100</t>
    </r>
    <phoneticPr fontId="1" type="noConversion"/>
  </si>
  <si>
    <t>FB101</t>
    <phoneticPr fontId="1" type="noConversion"/>
  </si>
  <si>
    <r>
      <t>F</t>
    </r>
    <r>
      <rPr>
        <b/>
        <sz val="10"/>
        <color rgb="FFFF0000"/>
        <rFont val="Book Antiqua"/>
        <family val="1"/>
      </rPr>
      <t>B102</t>
    </r>
    <phoneticPr fontId="1" type="noConversion"/>
  </si>
  <si>
    <t>FB103</t>
    <phoneticPr fontId="1" type="noConversion"/>
  </si>
  <si>
    <r>
      <t>F</t>
    </r>
    <r>
      <rPr>
        <b/>
        <sz val="10"/>
        <color rgb="FFFF0000"/>
        <rFont val="Book Antiqua"/>
        <family val="1"/>
      </rPr>
      <t>B104</t>
    </r>
    <phoneticPr fontId="1" type="noConversion"/>
  </si>
  <si>
    <t>FB105</t>
    <phoneticPr fontId="1" type="noConversion"/>
  </si>
  <si>
    <t>Fb0</t>
    <phoneticPr fontId="1" type="noConversion"/>
  </si>
  <si>
    <t>Fb1</t>
    <phoneticPr fontId="1" type="noConversion"/>
  </si>
  <si>
    <t>Fb2</t>
    <phoneticPr fontId="1" type="noConversion"/>
  </si>
  <si>
    <t>Fb1a</t>
    <phoneticPr fontId="1" type="noConversion"/>
  </si>
  <si>
    <t>Fb3</t>
    <phoneticPr fontId="1" type="noConversion"/>
  </si>
  <si>
    <t>Fb4</t>
    <phoneticPr fontId="1" type="noConversion"/>
  </si>
  <si>
    <t>Fb5</t>
    <phoneticPr fontId="1" type="noConversion"/>
  </si>
  <si>
    <t>Fb6</t>
    <phoneticPr fontId="1" type="noConversion"/>
  </si>
  <si>
    <t>Fb7</t>
    <phoneticPr fontId="1" type="noConversion"/>
  </si>
  <si>
    <t>Fb8</t>
    <phoneticPr fontId="1" type="noConversion"/>
  </si>
  <si>
    <t>Fb9</t>
    <phoneticPr fontId="1" type="noConversion"/>
  </si>
  <si>
    <t>Fb10</t>
    <phoneticPr fontId="1" type="noConversion"/>
  </si>
  <si>
    <t>Fb11</t>
    <phoneticPr fontId="1" type="noConversion"/>
  </si>
  <si>
    <t>Fb12</t>
    <phoneticPr fontId="1" type="noConversion"/>
  </si>
  <si>
    <t>Fb13</t>
    <phoneticPr fontId="1" type="noConversion"/>
  </si>
  <si>
    <t>Fb14</t>
    <phoneticPr fontId="1" type="noConversion"/>
  </si>
  <si>
    <t>Fb15</t>
    <phoneticPr fontId="1" type="noConversion"/>
  </si>
  <si>
    <t>Fb16</t>
    <phoneticPr fontId="1" type="noConversion"/>
  </si>
  <si>
    <t>Fb17</t>
    <phoneticPr fontId="1" type="noConversion"/>
  </si>
  <si>
    <t>Fb18</t>
    <phoneticPr fontId="1" type="noConversion"/>
  </si>
  <si>
    <t>Fb19</t>
    <phoneticPr fontId="1" type="noConversion"/>
  </si>
  <si>
    <t>Fb20</t>
    <phoneticPr fontId="1" type="noConversion"/>
  </si>
  <si>
    <t>Fb21</t>
    <phoneticPr fontId="1" type="noConversion"/>
  </si>
  <si>
    <t>Fb22</t>
    <phoneticPr fontId="1" type="noConversion"/>
  </si>
  <si>
    <t>Fb23</t>
    <phoneticPr fontId="1" type="noConversion"/>
  </si>
  <si>
    <t>Fb24</t>
    <phoneticPr fontId="1" type="noConversion"/>
  </si>
  <si>
    <t>Fb25</t>
    <phoneticPr fontId="1" type="noConversion"/>
  </si>
  <si>
    <t>Fb26</t>
    <phoneticPr fontId="1" type="noConversion"/>
  </si>
  <si>
    <t>Fb25a</t>
    <phoneticPr fontId="1" type="noConversion"/>
  </si>
  <si>
    <t>Fb26a</t>
    <phoneticPr fontId="1" type="noConversion"/>
  </si>
  <si>
    <t>Fb27</t>
    <phoneticPr fontId="1" type="noConversion"/>
  </si>
  <si>
    <t>Fb28</t>
    <phoneticPr fontId="1" type="noConversion"/>
  </si>
  <si>
    <t>Fb29</t>
    <phoneticPr fontId="1" type="noConversion"/>
  </si>
  <si>
    <t>Fb29a</t>
    <phoneticPr fontId="1" type="noConversion"/>
  </si>
  <si>
    <t>Fb29b</t>
    <phoneticPr fontId="1" type="noConversion"/>
  </si>
  <si>
    <t>Fb30</t>
    <phoneticPr fontId="1" type="noConversion"/>
  </si>
  <si>
    <t>Fb31</t>
    <phoneticPr fontId="1" type="noConversion"/>
  </si>
  <si>
    <t>Fb32</t>
    <phoneticPr fontId="1" type="noConversion"/>
  </si>
  <si>
    <t>Fb33</t>
    <phoneticPr fontId="1" type="noConversion"/>
  </si>
  <si>
    <t>Fb34</t>
    <phoneticPr fontId="1" type="noConversion"/>
  </si>
  <si>
    <t>Fb35</t>
    <phoneticPr fontId="1" type="noConversion"/>
  </si>
  <si>
    <t>Fb36</t>
    <phoneticPr fontId="1" type="noConversion"/>
  </si>
  <si>
    <t>Fb37</t>
    <phoneticPr fontId="1" type="noConversion"/>
  </si>
  <si>
    <t>Fb38</t>
    <phoneticPr fontId="1" type="noConversion"/>
  </si>
  <si>
    <t>Fb39</t>
    <phoneticPr fontId="1" type="noConversion"/>
  </si>
  <si>
    <t>Fb40</t>
    <phoneticPr fontId="1" type="noConversion"/>
  </si>
  <si>
    <t>Fb41</t>
    <phoneticPr fontId="1" type="noConversion"/>
  </si>
  <si>
    <t>Fb42</t>
    <phoneticPr fontId="1" type="noConversion"/>
  </si>
  <si>
    <t>Fb43</t>
    <phoneticPr fontId="1" type="noConversion"/>
  </si>
  <si>
    <t>Fb44</t>
    <phoneticPr fontId="1" type="noConversion"/>
  </si>
  <si>
    <t>Fb45</t>
    <phoneticPr fontId="1" type="noConversion"/>
  </si>
  <si>
    <t>Fb46</t>
    <phoneticPr fontId="1" type="noConversion"/>
  </si>
  <si>
    <t>Fb47</t>
    <phoneticPr fontId="1" type="noConversion"/>
  </si>
  <si>
    <t>Fb48</t>
    <phoneticPr fontId="1" type="noConversion"/>
  </si>
  <si>
    <t>Fb49</t>
    <phoneticPr fontId="1" type="noConversion"/>
  </si>
  <si>
    <t>Fb50</t>
    <phoneticPr fontId="1" type="noConversion"/>
  </si>
  <si>
    <t>Fb51</t>
    <phoneticPr fontId="1" type="noConversion"/>
  </si>
  <si>
    <t>Fb47a</t>
    <phoneticPr fontId="1" type="noConversion"/>
  </si>
  <si>
    <t>Fb48a</t>
    <phoneticPr fontId="1" type="noConversion"/>
  </si>
  <si>
    <t>Fb49a</t>
    <phoneticPr fontId="1" type="noConversion"/>
  </si>
  <si>
    <t>Fb50a</t>
    <phoneticPr fontId="1" type="noConversion"/>
  </si>
  <si>
    <t>Fb52</t>
    <phoneticPr fontId="1" type="noConversion"/>
  </si>
  <si>
    <t>Fb53</t>
    <phoneticPr fontId="1" type="noConversion"/>
  </si>
  <si>
    <t>Fb54</t>
    <phoneticPr fontId="1" type="noConversion"/>
  </si>
  <si>
    <t>Fb55</t>
    <phoneticPr fontId="1" type="noConversion"/>
  </si>
  <si>
    <t>Fb56</t>
    <phoneticPr fontId="1" type="noConversion"/>
  </si>
  <si>
    <t>容許主筋支數
(單層)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</si>
</sst>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&quot;D&quot;0"/>
    <numFmt numFmtId="177" formatCode="0_ "/>
    <numFmt numFmtId="178" formatCode="0_);[Red]\(0\)"/>
    <numFmt numFmtId="179" formatCode="0.0_);[Red]\(0.0\)"/>
  </numFmts>
  <fonts count="2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vertAlign val="superscript"/>
      <sz val="12"/>
      <color theme="1"/>
      <name val="新細明體"/>
      <family val="1"/>
      <charset val="136"/>
      <scheme val="minor"/>
    </font>
    <font>
      <sz val="8"/>
      <color theme="1"/>
      <name val="新細明體"/>
      <family val="2"/>
      <charset val="136"/>
      <scheme val="minor"/>
    </font>
    <font>
      <sz val="8"/>
      <color theme="1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12"/>
      <name val="華康新特明體"/>
      <family val="3"/>
      <charset val="136"/>
    </font>
    <font>
      <sz val="12"/>
      <name val="Book Antiqua"/>
      <family val="1"/>
    </font>
    <font>
      <vertAlign val="superscript"/>
      <sz val="12"/>
      <name val="Book Antiqua"/>
      <family val="1"/>
    </font>
    <font>
      <sz val="10"/>
      <name val="華康新特明體"/>
      <family val="3"/>
      <charset val="136"/>
    </font>
    <font>
      <vertAlign val="superscript"/>
      <sz val="12"/>
      <name val="華康新特明體"/>
      <family val="3"/>
      <charset val="136"/>
    </font>
    <font>
      <vertAlign val="superscript"/>
      <sz val="10"/>
      <name val="華康新特明體"/>
      <family val="3"/>
      <charset val="136"/>
    </font>
    <font>
      <sz val="18"/>
      <name val="華康正顏楷體W7"/>
      <family val="4"/>
      <charset val="136"/>
    </font>
    <font>
      <sz val="12"/>
      <color theme="1"/>
      <name val="Book Antiqua"/>
      <family val="1"/>
    </font>
    <font>
      <sz val="10"/>
      <color theme="1"/>
      <name val="華康新特明體"/>
      <family val="3"/>
      <charset val="136"/>
    </font>
    <font>
      <sz val="10"/>
      <color theme="1"/>
      <name val="新細明體"/>
      <family val="2"/>
      <charset val="136"/>
      <scheme val="minor"/>
    </font>
    <font>
      <sz val="10"/>
      <color rgb="FFFF0000"/>
      <name val="Book Antiqua"/>
      <family val="1"/>
    </font>
    <font>
      <sz val="10"/>
      <color theme="1"/>
      <name val="Book Antiqua"/>
      <family val="1"/>
    </font>
    <font>
      <sz val="9"/>
      <name val="華康新特明體"/>
      <family val="3"/>
      <charset val="136"/>
    </font>
    <font>
      <vertAlign val="superscript"/>
      <sz val="9"/>
      <name val="華康新特明體"/>
      <family val="3"/>
      <charset val="136"/>
    </font>
    <font>
      <sz val="10"/>
      <name val="Book Antiqua"/>
      <family val="1"/>
    </font>
    <font>
      <b/>
      <sz val="10"/>
      <color rgb="FFFF0000"/>
      <name val="Book Antiqua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5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178" fontId="8" fillId="0" borderId="0" xfId="0" applyNumberFormat="1" applyFont="1" applyAlignment="1">
      <alignment horizontal="center" vertical="center"/>
    </xf>
    <xf numFmtId="179" fontId="8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178" fontId="2" fillId="2" borderId="0" xfId="0" applyNumberFormat="1" applyFont="1" applyFill="1" applyAlignment="1">
      <alignment horizontal="center" vertical="center"/>
    </xf>
    <xf numFmtId="179" fontId="2" fillId="2" borderId="0" xfId="0" applyNumberFormat="1" applyFont="1" applyFill="1" applyAlignment="1">
      <alignment horizontal="center" vertical="center"/>
    </xf>
    <xf numFmtId="176" fontId="2" fillId="2" borderId="0" xfId="0" applyNumberFormat="1" applyFont="1" applyFill="1" applyAlignment="1">
      <alignment horizontal="center" vertical="center"/>
    </xf>
    <xf numFmtId="177" fontId="2" fillId="2" borderId="0" xfId="0" applyNumberFormat="1" applyFont="1" applyFill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76" fontId="10" fillId="0" borderId="1" xfId="0" applyNumberFormat="1" applyFont="1" applyBorder="1" applyAlignment="1">
      <alignment horizontal="center" vertical="center"/>
    </xf>
    <xf numFmtId="178" fontId="10" fillId="0" borderId="4" xfId="0" applyNumberFormat="1" applyFont="1" applyBorder="1" applyAlignment="1">
      <alignment horizontal="center" vertical="center"/>
    </xf>
    <xf numFmtId="179" fontId="10" fillId="0" borderId="4" xfId="0" applyNumberFormat="1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177" fontId="10" fillId="0" borderId="1" xfId="0" applyNumberFormat="1" applyFont="1" applyBorder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176" fontId="9" fillId="0" borderId="1" xfId="0" applyNumberFormat="1" applyFont="1" applyBorder="1" applyAlignment="1">
      <alignment horizontal="center" vertical="center"/>
    </xf>
    <xf numFmtId="176" fontId="9" fillId="0" borderId="4" xfId="0" applyNumberFormat="1" applyFont="1" applyBorder="1" applyAlignment="1">
      <alignment horizontal="center" vertical="center"/>
    </xf>
    <xf numFmtId="0" fontId="18" fillId="0" borderId="0" xfId="0" applyFont="1">
      <alignment vertical="center"/>
    </xf>
    <xf numFmtId="0" fontId="19" fillId="2" borderId="1" xfId="0" applyFont="1" applyFill="1" applyBorder="1" applyAlignment="1">
      <alignment horizontal="center" vertical="center"/>
    </xf>
    <xf numFmtId="178" fontId="18" fillId="0" borderId="0" xfId="0" applyNumberFormat="1" applyFont="1" applyAlignment="1">
      <alignment horizontal="center" vertical="center"/>
    </xf>
    <xf numFmtId="179" fontId="18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0" xfId="0" applyFont="1" applyFill="1" applyAlignment="1">
      <alignment horizontal="center" vertical="center"/>
    </xf>
    <xf numFmtId="0" fontId="19" fillId="3" borderId="1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20" fillId="3" borderId="1" xfId="0" applyFont="1" applyFill="1" applyBorder="1" applyAlignment="1">
      <alignment horizontal="center" vertical="center"/>
    </xf>
    <xf numFmtId="0" fontId="19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20" fillId="0" borderId="1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20" fillId="0" borderId="1" xfId="0" applyFont="1" applyFill="1" applyBorder="1" applyAlignment="1">
      <alignment horizontal="center" vertical="center"/>
    </xf>
    <xf numFmtId="0" fontId="20" fillId="3" borderId="1" xfId="0" applyFont="1" applyFill="1" applyBorder="1" applyAlignment="1">
      <alignment horizontal="center" vertical="center"/>
    </xf>
    <xf numFmtId="0" fontId="19" fillId="0" borderId="1" xfId="0" applyFont="1" applyFill="1" applyBorder="1" applyAlignment="1">
      <alignment horizontal="center" vertical="center"/>
    </xf>
    <xf numFmtId="0" fontId="20" fillId="0" borderId="1" xfId="0" applyFont="1" applyFill="1" applyBorder="1" applyAlignment="1">
      <alignment horizontal="center" vertical="center"/>
    </xf>
    <xf numFmtId="0" fontId="19" fillId="3" borderId="1" xfId="0" applyFont="1" applyFill="1" applyBorder="1" applyAlignment="1">
      <alignment horizontal="center" vertical="center"/>
    </xf>
    <xf numFmtId="0" fontId="20" fillId="3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19" fillId="0" borderId="0" xfId="0" applyFont="1" applyAlignment="1">
      <alignment horizontal="center" vertical="center"/>
    </xf>
    <xf numFmtId="0" fontId="20" fillId="0" borderId="1" xfId="0" applyFont="1" applyFill="1" applyBorder="1" applyAlignment="1">
      <alignment horizontal="center" vertical="center"/>
    </xf>
    <xf numFmtId="0" fontId="20" fillId="3" borderId="1" xfId="0" applyFont="1" applyFill="1" applyBorder="1" applyAlignment="1">
      <alignment horizontal="center" vertical="center"/>
    </xf>
    <xf numFmtId="0" fontId="19" fillId="0" borderId="1" xfId="0" applyFont="1" applyFill="1" applyBorder="1" applyAlignment="1">
      <alignment horizontal="center" vertical="center"/>
    </xf>
    <xf numFmtId="0" fontId="19" fillId="3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19" fillId="0" borderId="1" xfId="0" applyFont="1" applyFill="1" applyBorder="1" applyAlignment="1">
      <alignment horizontal="center" vertical="center"/>
    </xf>
    <xf numFmtId="0" fontId="20" fillId="0" borderId="1" xfId="0" applyFont="1" applyFill="1" applyBorder="1" applyAlignment="1">
      <alignment horizontal="center" vertical="center"/>
    </xf>
    <xf numFmtId="0" fontId="19" fillId="3" borderId="1" xfId="0" applyFont="1" applyFill="1" applyBorder="1" applyAlignment="1">
      <alignment horizontal="center" vertical="center"/>
    </xf>
    <xf numFmtId="0" fontId="20" fillId="3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20" fillId="0" borderId="1" xfId="0" applyFont="1" applyFill="1" applyBorder="1" applyAlignment="1">
      <alignment horizontal="center" vertical="center"/>
    </xf>
    <xf numFmtId="0" fontId="20" fillId="3" borderId="1" xfId="0" applyFont="1" applyFill="1" applyBorder="1" applyAlignment="1">
      <alignment horizontal="center" vertical="center"/>
    </xf>
    <xf numFmtId="0" fontId="19" fillId="0" borderId="1" xfId="0" applyFont="1" applyFill="1" applyBorder="1" applyAlignment="1">
      <alignment horizontal="center" vertical="center"/>
    </xf>
    <xf numFmtId="0" fontId="19" fillId="3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20" fillId="3" borderId="1" xfId="0" applyFont="1" applyFill="1" applyBorder="1" applyAlignment="1">
      <alignment horizontal="center" vertical="center"/>
    </xf>
    <xf numFmtId="0" fontId="20" fillId="0" borderId="1" xfId="0" applyFont="1" applyFill="1" applyBorder="1" applyAlignment="1">
      <alignment horizontal="center" vertical="center"/>
    </xf>
    <xf numFmtId="0" fontId="19" fillId="0" borderId="1" xfId="0" applyFont="1" applyFill="1" applyBorder="1" applyAlignment="1">
      <alignment horizontal="center" vertical="center"/>
    </xf>
    <xf numFmtId="0" fontId="19" fillId="3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19" fillId="4" borderId="1" xfId="0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178" fontId="9" fillId="0" borderId="2" xfId="0" applyNumberFormat="1" applyFont="1" applyBorder="1" applyAlignment="1">
      <alignment horizontal="center" vertical="center"/>
    </xf>
    <xf numFmtId="178" fontId="9" fillId="0" borderId="3" xfId="0" applyNumberFormat="1" applyFont="1" applyBorder="1" applyAlignment="1">
      <alignment horizontal="center" vertical="center"/>
    </xf>
    <xf numFmtId="179" fontId="9" fillId="0" borderId="2" xfId="0" applyNumberFormat="1" applyFont="1" applyBorder="1" applyAlignment="1">
      <alignment horizontal="center" vertical="center"/>
    </xf>
    <xf numFmtId="179" fontId="9" fillId="0" borderId="3" xfId="0" applyNumberFormat="1" applyFont="1" applyBorder="1" applyAlignment="1">
      <alignment horizontal="center" vertical="center"/>
    </xf>
    <xf numFmtId="178" fontId="9" fillId="0" borderId="2" xfId="0" applyNumberFormat="1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 wrapText="1"/>
    </xf>
    <xf numFmtId="178" fontId="10" fillId="0" borderId="1" xfId="0" applyNumberFormat="1" applyFont="1" applyBorder="1" applyAlignment="1">
      <alignment horizontal="center" vertical="center"/>
    </xf>
    <xf numFmtId="179" fontId="10" fillId="0" borderId="1" xfId="0" applyNumberFormat="1" applyFont="1" applyBorder="1" applyAlignment="1">
      <alignment horizontal="center" vertical="center"/>
    </xf>
    <xf numFmtId="176" fontId="10" fillId="0" borderId="1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178" fontId="12" fillId="0" borderId="1" xfId="0" applyNumberFormat="1" applyFont="1" applyBorder="1" applyAlignment="1">
      <alignment horizontal="center" vertical="center" wrapText="1"/>
    </xf>
    <xf numFmtId="178" fontId="12" fillId="0" borderId="1" xfId="0" applyNumberFormat="1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 wrapText="1"/>
    </xf>
    <xf numFmtId="0" fontId="19" fillId="0" borderId="2" xfId="0" applyFont="1" applyFill="1" applyBorder="1" applyAlignment="1">
      <alignment horizontal="center" vertical="center"/>
    </xf>
    <xf numFmtId="0" fontId="19" fillId="0" borderId="4" xfId="0" applyFont="1" applyFill="1" applyBorder="1" applyAlignment="1">
      <alignment horizontal="center" vertical="center"/>
    </xf>
    <xf numFmtId="178" fontId="19" fillId="0" borderId="1" xfId="0" applyNumberFormat="1" applyFont="1" applyFill="1" applyBorder="1" applyAlignment="1">
      <alignment horizontal="center" vertical="center"/>
    </xf>
    <xf numFmtId="179" fontId="23" fillId="0" borderId="1" xfId="0" applyNumberFormat="1" applyFont="1" applyFill="1" applyBorder="1" applyAlignment="1">
      <alignment horizontal="center" vertical="center"/>
    </xf>
    <xf numFmtId="178" fontId="23" fillId="0" borderId="1" xfId="0" applyNumberFormat="1" applyFont="1" applyFill="1" applyBorder="1" applyAlignment="1">
      <alignment horizontal="center" vertical="center"/>
    </xf>
    <xf numFmtId="176" fontId="19" fillId="0" borderId="1" xfId="0" applyNumberFormat="1" applyFont="1" applyFill="1" applyBorder="1" applyAlignment="1">
      <alignment horizontal="center" vertical="center"/>
    </xf>
    <xf numFmtId="177" fontId="19" fillId="0" borderId="1" xfId="0" applyNumberFormat="1" applyFont="1" applyFill="1" applyBorder="1" applyAlignment="1">
      <alignment horizontal="center" vertical="center"/>
    </xf>
    <xf numFmtId="0" fontId="20" fillId="0" borderId="1" xfId="0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0" fontId="19" fillId="3" borderId="4" xfId="0" applyFont="1" applyFill="1" applyBorder="1" applyAlignment="1">
      <alignment horizontal="center" vertical="center"/>
    </xf>
    <xf numFmtId="178" fontId="19" fillId="3" borderId="1" xfId="0" applyNumberFormat="1" applyFont="1" applyFill="1" applyBorder="1" applyAlignment="1">
      <alignment horizontal="center" vertical="center"/>
    </xf>
    <xf numFmtId="179" fontId="19" fillId="3" borderId="1" xfId="0" applyNumberFormat="1" applyFont="1" applyFill="1" applyBorder="1" applyAlignment="1">
      <alignment horizontal="center" vertical="center"/>
    </xf>
    <xf numFmtId="176" fontId="19" fillId="3" borderId="1" xfId="0" applyNumberFormat="1" applyFont="1" applyFill="1" applyBorder="1" applyAlignment="1">
      <alignment horizontal="center" vertical="center"/>
    </xf>
    <xf numFmtId="177" fontId="19" fillId="3" borderId="1" xfId="0" applyNumberFormat="1" applyFont="1" applyFill="1" applyBorder="1" applyAlignment="1">
      <alignment horizontal="center" vertical="center"/>
    </xf>
    <xf numFmtId="0" fontId="20" fillId="3" borderId="1" xfId="0" applyFont="1" applyFill="1" applyBorder="1" applyAlignment="1">
      <alignment horizontal="center" vertical="center"/>
    </xf>
    <xf numFmtId="0" fontId="19" fillId="3" borderId="1" xfId="0" applyFont="1" applyFill="1" applyBorder="1" applyAlignment="1">
      <alignment horizontal="center" vertical="center"/>
    </xf>
    <xf numFmtId="0" fontId="19" fillId="0" borderId="1" xfId="0" applyFont="1" applyFill="1" applyBorder="1" applyAlignment="1">
      <alignment horizontal="center" vertical="center"/>
    </xf>
    <xf numFmtId="179" fontId="19" fillId="0" borderId="1" xfId="0" applyNumberFormat="1" applyFont="1" applyFill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178" fontId="21" fillId="0" borderId="1" xfId="0" applyNumberFormat="1" applyFont="1" applyBorder="1" applyAlignment="1">
      <alignment horizontal="center" vertical="center" wrapText="1"/>
    </xf>
    <xf numFmtId="178" fontId="21" fillId="0" borderId="1" xfId="0" applyNumberFormat="1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/>
    </xf>
    <xf numFmtId="179" fontId="12" fillId="0" borderId="1" xfId="0" applyNumberFormat="1" applyFont="1" applyBorder="1" applyAlignment="1">
      <alignment horizontal="center" vertical="center" wrapText="1"/>
    </xf>
    <xf numFmtId="179" fontId="12" fillId="0" borderId="1" xfId="0" applyNumberFormat="1" applyFont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 wrapText="1"/>
    </xf>
    <xf numFmtId="0" fontId="17" fillId="0" borderId="1" xfId="0" applyFont="1" applyFill="1" applyBorder="1" applyAlignment="1">
      <alignment horizontal="center" vertical="center"/>
    </xf>
    <xf numFmtId="0" fontId="19" fillId="4" borderId="2" xfId="0" applyFont="1" applyFill="1" applyBorder="1" applyAlignment="1">
      <alignment horizontal="center" vertical="center"/>
    </xf>
    <xf numFmtId="0" fontId="19" fillId="4" borderId="4" xfId="0" applyFont="1" applyFill="1" applyBorder="1" applyAlignment="1">
      <alignment horizontal="center" vertical="center"/>
    </xf>
    <xf numFmtId="178" fontId="19" fillId="4" borderId="1" xfId="0" applyNumberFormat="1" applyFont="1" applyFill="1" applyBorder="1" applyAlignment="1">
      <alignment horizontal="center" vertical="center"/>
    </xf>
    <xf numFmtId="179" fontId="19" fillId="4" borderId="1" xfId="0" applyNumberFormat="1" applyFont="1" applyFill="1" applyBorder="1" applyAlignment="1">
      <alignment horizontal="center" vertical="center"/>
    </xf>
    <xf numFmtId="176" fontId="19" fillId="4" borderId="1" xfId="0" applyNumberFormat="1" applyFont="1" applyFill="1" applyBorder="1" applyAlignment="1">
      <alignment horizontal="center" vertical="center"/>
    </xf>
    <xf numFmtId="177" fontId="19" fillId="4" borderId="1" xfId="0" applyNumberFormat="1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 wrapText="1"/>
    </xf>
    <xf numFmtId="178" fontId="0" fillId="0" borderId="0" xfId="0" applyNumberForma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178" fontId="7" fillId="0" borderId="0" xfId="0" applyNumberFormat="1" applyFon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176" fontId="10" fillId="0" borderId="2" xfId="0" applyNumberFormat="1" applyFont="1" applyBorder="1" applyAlignment="1">
      <alignment horizontal="center" vertical="center"/>
    </xf>
    <xf numFmtId="176" fontId="10" fillId="0" borderId="4" xfId="0" applyNumberFormat="1" applyFont="1" applyBorder="1" applyAlignment="1">
      <alignment horizontal="center" vertical="center"/>
    </xf>
    <xf numFmtId="178" fontId="10" fillId="0" borderId="2" xfId="0" applyNumberFormat="1" applyFont="1" applyBorder="1" applyAlignment="1">
      <alignment horizontal="center" vertical="center"/>
    </xf>
    <xf numFmtId="178" fontId="10" fillId="0" borderId="3" xfId="0" applyNumberFormat="1" applyFont="1" applyBorder="1" applyAlignment="1">
      <alignment horizontal="center" vertical="center"/>
    </xf>
    <xf numFmtId="178" fontId="10" fillId="0" borderId="4" xfId="0" applyNumberFormat="1" applyFont="1" applyBorder="1" applyAlignment="1">
      <alignment horizontal="center" vertical="center"/>
    </xf>
    <xf numFmtId="176" fontId="10" fillId="0" borderId="3" xfId="0" applyNumberFormat="1" applyFont="1" applyBorder="1" applyAlignment="1">
      <alignment horizontal="center" vertical="center"/>
    </xf>
    <xf numFmtId="179" fontId="10" fillId="0" borderId="2" xfId="0" applyNumberFormat="1" applyFont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/>
    </xf>
    <xf numFmtId="179" fontId="10" fillId="0" borderId="4" xfId="0" applyNumberFormat="1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178" fontId="15" fillId="0" borderId="0" xfId="0" applyNumberFormat="1" applyFont="1" applyAlignment="1">
      <alignment horizontal="center" vertical="center"/>
    </xf>
    <xf numFmtId="179" fontId="9" fillId="0" borderId="2" xfId="0" applyNumberFormat="1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/>
    </xf>
    <xf numFmtId="178" fontId="12" fillId="0" borderId="2" xfId="0" applyNumberFormat="1" applyFont="1" applyBorder="1" applyAlignment="1">
      <alignment horizontal="center" vertical="center" wrapText="1"/>
    </xf>
    <xf numFmtId="178" fontId="12" fillId="0" borderId="3" xfId="0" applyNumberFormat="1" applyFont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AD545"/>
  <sheetViews>
    <sheetView showGridLines="0" topLeftCell="C532" zoomScale="108" zoomScaleNormal="108" workbookViewId="0">
      <selection activeCell="AG11" sqref="AG11"/>
    </sheetView>
  </sheetViews>
  <sheetFormatPr defaultRowHeight="16.5"/>
  <cols>
    <col min="1" max="1" width="5.375" style="33" bestFit="1" customWidth="1"/>
    <col min="2" max="2" width="5" style="35" bestFit="1" customWidth="1"/>
    <col min="3" max="3" width="5" style="36" bestFit="1" customWidth="1"/>
    <col min="4" max="4" width="8.25" style="35" bestFit="1" customWidth="1"/>
    <col min="5" max="5" width="5" style="37" bestFit="1" customWidth="1"/>
    <col min="6" max="6" width="5" style="38" bestFit="1" customWidth="1"/>
    <col min="7" max="7" width="8.25" style="35" customWidth="1"/>
    <col min="8" max="8" width="5" style="33" bestFit="1" customWidth="1"/>
    <col min="9" max="9" width="8.5" style="33" customWidth="1"/>
    <col min="10" max="10" width="4.75" style="33" customWidth="1"/>
    <col min="11" max="11" width="5" style="33" bestFit="1" customWidth="1"/>
    <col min="12" max="29" width="4.875" style="33" customWidth="1"/>
  </cols>
  <sheetData>
    <row r="1" spans="1:30">
      <c r="A1" s="115" t="s">
        <v>106</v>
      </c>
      <c r="B1" s="115"/>
      <c r="C1" s="115"/>
      <c r="D1" s="54">
        <v>1</v>
      </c>
      <c r="E1" s="53" t="s">
        <v>105</v>
      </c>
    </row>
    <row r="2" spans="1:30" ht="21.75" customHeight="1">
      <c r="A2" s="94" t="s">
        <v>77</v>
      </c>
      <c r="B2" s="94" t="s">
        <v>24</v>
      </c>
      <c r="C2" s="121" t="s">
        <v>80</v>
      </c>
      <c r="D2" s="116" t="s">
        <v>78</v>
      </c>
      <c r="E2" s="93" t="s">
        <v>22</v>
      </c>
      <c r="F2" s="123" t="s">
        <v>76</v>
      </c>
      <c r="G2" s="116" t="s">
        <v>79</v>
      </c>
      <c r="H2" s="93" t="s">
        <v>23</v>
      </c>
      <c r="I2" s="93" t="s">
        <v>104</v>
      </c>
      <c r="J2" s="93" t="s">
        <v>75</v>
      </c>
      <c r="K2" s="118" t="s">
        <v>31</v>
      </c>
      <c r="L2" s="120" t="s">
        <v>6</v>
      </c>
      <c r="M2" s="120"/>
      <c r="N2" s="120"/>
      <c r="O2" s="120"/>
      <c r="P2" s="120"/>
      <c r="Q2" s="120"/>
      <c r="R2" s="120"/>
      <c r="S2" s="120"/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93" t="s">
        <v>103</v>
      </c>
    </row>
    <row r="3" spans="1:30" ht="26.25" customHeight="1">
      <c r="A3" s="95"/>
      <c r="B3" s="95"/>
      <c r="C3" s="122"/>
      <c r="D3" s="117"/>
      <c r="E3" s="93"/>
      <c r="F3" s="124"/>
      <c r="G3" s="117"/>
      <c r="H3" s="93"/>
      <c r="I3" s="93"/>
      <c r="J3" s="93"/>
      <c r="K3" s="119"/>
      <c r="L3" s="34">
        <v>3</v>
      </c>
      <c r="M3" s="34">
        <v>4</v>
      </c>
      <c r="N3" s="34">
        <v>5</v>
      </c>
      <c r="O3" s="34">
        <v>6</v>
      </c>
      <c r="P3" s="34">
        <v>7</v>
      </c>
      <c r="Q3" s="34">
        <v>8</v>
      </c>
      <c r="R3" s="34">
        <v>9</v>
      </c>
      <c r="S3" s="34">
        <v>10</v>
      </c>
      <c r="T3" s="34">
        <v>11</v>
      </c>
      <c r="U3" s="34">
        <v>12</v>
      </c>
      <c r="V3" s="34">
        <v>13</v>
      </c>
      <c r="W3" s="34">
        <v>14</v>
      </c>
      <c r="X3" s="34">
        <v>15</v>
      </c>
      <c r="Y3" s="34">
        <v>16</v>
      </c>
      <c r="Z3" s="34">
        <v>17</v>
      </c>
      <c r="AA3" s="34">
        <v>18</v>
      </c>
      <c r="AB3" s="34">
        <v>19</v>
      </c>
      <c r="AC3" s="34">
        <v>20</v>
      </c>
      <c r="AD3" s="93"/>
    </row>
    <row r="4" spans="1:30">
      <c r="A4" s="112" t="s">
        <v>35</v>
      </c>
      <c r="B4" s="107">
        <v>30</v>
      </c>
      <c r="C4" s="108">
        <v>5</v>
      </c>
      <c r="D4" s="107">
        <v>4200</v>
      </c>
      <c r="E4" s="109">
        <v>13</v>
      </c>
      <c r="F4" s="110">
        <v>10</v>
      </c>
      <c r="G4" s="107">
        <v>350</v>
      </c>
      <c r="H4" s="109">
        <v>25</v>
      </c>
      <c r="I4" s="111">
        <f>ROUNDDOWN(($B4-2*$C4-2*$E4/10-$H4/10)/(($D$1+1)*$H4/10),0)+1</f>
        <v>3</v>
      </c>
      <c r="J4" s="39">
        <v>3</v>
      </c>
      <c r="K4" s="40" t="s">
        <v>34</v>
      </c>
      <c r="L4" s="41">
        <f>IF($J4=L$3,IF(L$3&gt;$I4,"-",ROUNDUP(Ld_cal($B4, $C4, $D4, $G4,$E4, $F4, $H4, L$3)*1.3*1.3,0)),"-")</f>
        <v>107</v>
      </c>
      <c r="M4" s="41" t="str">
        <f>IF($J4=M$3,IF(M$3&gt;$I4,"-",ROUNDUP(Ld_cal($B4, $C4, $D4, $G4,$E4, $F4, $H4, M$3)*1.3*1.3,0)),"-")</f>
        <v>-</v>
      </c>
      <c r="N4" s="41" t="str">
        <f>IF($J4=N$3,IF(N$3&gt;$I4,"-",ROUNDUP(Ld_cal($B4, $C4, $D4, $G4,$E4, $F4, $H4, N$3)*1.3*1.3,0)),"-")</f>
        <v>-</v>
      </c>
      <c r="O4" s="41" t="str">
        <f>IF($J4=O$3,IF(O$3&gt;$I4,"-",ROUNDUP(Ld_cal($B4, $C4, $D4, $G4,$E4, $F4, $H4, O$3)*1.3*1.3,0)),"-")</f>
        <v>-</v>
      </c>
      <c r="P4" s="41" t="str">
        <f>IF($J4=P$3,IF(P$3&gt;$I4,"-",ROUNDUP(Ld_cal($B4, $C4, $D4, $G4,$E4, $F4, $H4, P$3)*1.3*1.3,0)),"-")</f>
        <v>-</v>
      </c>
      <c r="Q4" s="41" t="str">
        <f>IF($J4=Q$3,IF(Q$3&gt;$I4,"-",ROUNDUP(Ld_cal($B4, $C4, $D4, $G4,$E4, $F4, $H4, Q$3)*1.3*1.3,0)),"-")</f>
        <v>-</v>
      </c>
      <c r="R4" s="41" t="str">
        <f>IF($J4=R$3,IF(R$3&gt;$I4,"-",ROUNDUP(Ld_cal($B4, $C4, $D4, $G4,$E4, $F4, $H4, R$3)*1.3*1.3,0)),"-")</f>
        <v>-</v>
      </c>
      <c r="S4" s="41" t="str">
        <f>IF($J4=S$3,IF(S$3&gt;$I4,"-",ROUNDUP(Ld_cal($B4, $C4, $D4, $G4,$E4, $F4, $H4, S$3)*1.3*1.3,0)),"-")</f>
        <v>-</v>
      </c>
      <c r="T4" s="41" t="str">
        <f>IF($J4=T$3,IF(T$3&gt;$I4,"-",ROUNDUP(Ld_cal($B4, $C4, $D4, $G4,$E4, $F4, $H4, T$3)*1.3*1.3,0)),"-")</f>
        <v>-</v>
      </c>
      <c r="U4" s="41" t="str">
        <f>IF($J4=U$3,IF(U$3&gt;$I4,"-",ROUNDUP(Ld_cal($B4, $C4, $D4, $G4,$E4, $F4, $H4, U$3)*1.3*1.3,0)),"-")</f>
        <v>-</v>
      </c>
      <c r="V4" s="41" t="str">
        <f>IF($J4=V$3,IF(V$3&gt;$I4,"-",ROUNDUP(Ld_cal($B4, $C4, $D4, $G4,$E4, $F4, $H4, V$3)*1.3*1.3,0)),"-")</f>
        <v>-</v>
      </c>
      <c r="W4" s="41" t="str">
        <f>IF($J4=W$3,IF(W$3&gt;$I4,"-",ROUNDUP(Ld_cal($B4, $C4, $D4, $G4,$E4, $F4, $H4, W$3)*1.3*1.3,0)),"-")</f>
        <v>-</v>
      </c>
      <c r="X4" s="41" t="str">
        <f>IF($J4=X$3,IF(X$3&gt;$I4,"-",ROUNDUP(Ld_cal($B4, $C4, $D4, $G4,$E4, $F4, $H4, X$3)*1.3*1.3,0)),"-")</f>
        <v>-</v>
      </c>
      <c r="Y4" s="41" t="str">
        <f>IF($J4=Y$3,IF(Y$3&gt;$I4,"-",ROUNDUP(Ld_cal($B4, $C4, $D4, $G4,$E4, $F4, $H4, Y$3)*1.3*1.3,0)),"-")</f>
        <v>-</v>
      </c>
      <c r="Z4" s="41" t="str">
        <f>IF($J4=Z$3,IF(Z$3&gt;$I4,"-",ROUNDUP(Ld_cal($B4, $C4, $D4, $G4,$E4, $F4, $H4, Z$3)*1.3*1.3,0)),"-")</f>
        <v>-</v>
      </c>
      <c r="AA4" s="41" t="str">
        <f>IF($J4=AA$3,IF(AA$3&gt;$I4,"-",ROUNDUP(Ld_cal($B4, $C4, $D4, $G4,$E4, $F4, $H4, AA$3)*1.3*1.3,0)),"-")</f>
        <v>-</v>
      </c>
      <c r="AB4" s="41" t="str">
        <f>IF($J4=AB$3,IF(AB$3&gt;$I4,"-",ROUNDUP(Ld_cal($B4, $C4, $D4, $G4,$E4, $F4, $H4, AB$3)*1.3*1.3,0)),"-")</f>
        <v>-</v>
      </c>
      <c r="AC4" s="41" t="str">
        <f>IF($J4=AC$3,IF(AC$3&gt;$I4,"-",ROUNDUP(Ld_cal($B4, $C4, $D4, $G4,$E4, $F4, $H4, AC$3)*1.3*1.3,0)),"-")</f>
        <v>-</v>
      </c>
      <c r="AD4" s="47">
        <f>IF(J4&gt;I4,"依標準圖",MAX(L4:AC4))</f>
        <v>107</v>
      </c>
    </row>
    <row r="5" spans="1:30">
      <c r="A5" s="112"/>
      <c r="B5" s="107"/>
      <c r="C5" s="108"/>
      <c r="D5" s="107"/>
      <c r="E5" s="109"/>
      <c r="F5" s="110"/>
      <c r="G5" s="107"/>
      <c r="H5" s="109"/>
      <c r="I5" s="111"/>
      <c r="J5" s="39">
        <v>3</v>
      </c>
      <c r="K5" s="40" t="s">
        <v>33</v>
      </c>
      <c r="L5" s="41">
        <f>IF($J5=L$3,IF(L$3&gt;$I4,"-",ROUNDUP(Ld_cal($B4, $C4, $D4, $G4,$E4, $F4, $H4, L$3)*1.3,0)),"-")</f>
        <v>82</v>
      </c>
      <c r="M5" s="41" t="str">
        <f>IF($J5=M$3,IF(M$3&gt;$I4,"-",ROUNDUP(Ld_cal($B4, $C4, $D4, $G4,$E4, $F4, $H4, M$3)*1.3,0)),"-")</f>
        <v>-</v>
      </c>
      <c r="N5" s="41" t="str">
        <f>IF($J5=N$3,IF(N$3&gt;$I4,"-",ROUNDUP(Ld_cal($B4, $C4, $D4, $G4,$E4, $F4, $H4, N$3)*1.3,0)),"-")</f>
        <v>-</v>
      </c>
      <c r="O5" s="41" t="str">
        <f>IF($J5=O$3,IF(O$3&gt;$I4,"-",ROUNDUP(Ld_cal($B4, $C4, $D4, $G4,$E4, $F4, $H4, O$3)*1.3,0)),"-")</f>
        <v>-</v>
      </c>
      <c r="P5" s="41" t="str">
        <f>IF($J5=P$3,IF(P$3&gt;$I4,"-",ROUNDUP(Ld_cal($B4, $C4, $D4, $G4,$E4, $F4, $H4, P$3)*1.3,0)),"-")</f>
        <v>-</v>
      </c>
      <c r="Q5" s="41" t="str">
        <f>IF($J5=Q$3,IF(Q$3&gt;$I4,"-",ROUNDUP(Ld_cal($B4, $C4, $D4, $G4,$E4, $F4, $H4, Q$3)*1.3,0)),"-")</f>
        <v>-</v>
      </c>
      <c r="R5" s="41" t="str">
        <f>IF($J5=R$3,IF(R$3&gt;$I4,"-",ROUNDUP(Ld_cal($B4, $C4, $D4, $G4,$E4, $F4, $H4, R$3)*1.3,0)),"-")</f>
        <v>-</v>
      </c>
      <c r="S5" s="41" t="str">
        <f>IF($J5=S$3,IF(S$3&gt;$I4,"-",ROUNDUP(Ld_cal($B4, $C4, $D4, $G4,$E4, $F4, $H4, S$3)*1.3,0)),"-")</f>
        <v>-</v>
      </c>
      <c r="T5" s="41" t="str">
        <f>IF($J5=T$3,IF(T$3&gt;$I4,"-",ROUNDUP(Ld_cal($B4, $C4, $D4, $G4,$E4, $F4, $H4, T$3)*1.3,0)),"-")</f>
        <v>-</v>
      </c>
      <c r="U5" s="41" t="str">
        <f>IF($J5=U$3,IF(U$3&gt;$I4,"-",ROUNDUP(Ld_cal($B4, $C4, $D4, $G4,$E4, $F4, $H4, U$3)*1.3,0)),"-")</f>
        <v>-</v>
      </c>
      <c r="V5" s="41" t="str">
        <f>IF($J5=V$3,IF(V$3&gt;$I4,"-",ROUNDUP(Ld_cal($B4, $C4, $D4, $G4,$E4, $F4, $H4, V$3)*1.3,0)),"-")</f>
        <v>-</v>
      </c>
      <c r="W5" s="41" t="str">
        <f>IF($J5=W$3,IF(W$3&gt;$I4,"-",ROUNDUP(Ld_cal($B4, $C4, $D4, $G4,$E4, $F4, $H4, W$3)*1.3,0)),"-")</f>
        <v>-</v>
      </c>
      <c r="X5" s="41" t="str">
        <f>IF($J5=X$3,IF(X$3&gt;$I4,"-",ROUNDUP(Ld_cal($B4, $C4, $D4, $G4,$E4, $F4, $H4, X$3)*1.3,0)),"-")</f>
        <v>-</v>
      </c>
      <c r="Y5" s="41" t="str">
        <f>IF($J5=Y$3,IF(Y$3&gt;$I4,"-",ROUNDUP(Ld_cal($B4, $C4, $D4, $G4,$E4, $F4, $H4, Y$3)*1.3,0)),"-")</f>
        <v>-</v>
      </c>
      <c r="Z5" s="41" t="str">
        <f>IF($J5=Z$3,IF(Z$3&gt;$I4,"-",ROUNDUP(Ld_cal($B4, $C4, $D4, $G4,$E4, $F4, $H4, Z$3)*1.3,0)),"-")</f>
        <v>-</v>
      </c>
      <c r="AA5" s="41" t="str">
        <f>IF($J5=AA$3,IF(AA$3&gt;$I4,"-",ROUNDUP(Ld_cal($B4, $C4, $D4, $G4,$E4, $F4, $H4, AA$3)*1.3,0)),"-")</f>
        <v>-</v>
      </c>
      <c r="AB5" s="41" t="str">
        <f>IF($J5=AB$3,IF(AB$3&gt;$I4,"-",ROUNDUP(Ld_cal($B4, $C4, $D4, $G4,$E4, $F4, $H4, AB$3)*1.3,0)),"-")</f>
        <v>-</v>
      </c>
      <c r="AC5" s="41" t="str">
        <f>IF($J5=AC$3,IF(AC$3&gt;$I4,"-",ROUNDUP(Ld_cal($B4, $C4, $D4, $G4,$E4, $F4, $H4, AC$3)*1.3,0)),"-")</f>
        <v>-</v>
      </c>
      <c r="AD5" s="47">
        <f>IF(J5&gt;I4,"依標準圖",MAX(L5:AC5))</f>
        <v>82</v>
      </c>
    </row>
    <row r="6" spans="1:30" s="45" customFormat="1">
      <c r="A6" s="113" t="s">
        <v>36</v>
      </c>
      <c r="B6" s="99">
        <v>60</v>
      </c>
      <c r="C6" s="114">
        <v>7.5</v>
      </c>
      <c r="D6" s="99">
        <v>4200</v>
      </c>
      <c r="E6" s="102">
        <v>13</v>
      </c>
      <c r="F6" s="103">
        <v>10</v>
      </c>
      <c r="G6" s="99">
        <v>350</v>
      </c>
      <c r="H6" s="102">
        <v>25</v>
      </c>
      <c r="I6" s="104">
        <f>ROUNDDOWN(($B6-2*$C6-2*$E6/10-$H6/10)/(($D$1+1)*$H6/10),0)+1</f>
        <v>8</v>
      </c>
      <c r="J6" s="42">
        <v>4</v>
      </c>
      <c r="K6" s="43" t="s">
        <v>34</v>
      </c>
      <c r="L6" s="44" t="str">
        <f>IF($J6=L$3,IF(L$3&gt;$I6,"-",ROUNDUP(Ld_cal($B6, $C6, $D6, $G6,$E6, $F6, $H6, L$3)*1.3*1.3,0)),"-")</f>
        <v>-</v>
      </c>
      <c r="M6" s="44">
        <f>IF($J6=M$3,IF(M$3&gt;$I6,"-",ROUNDUP(Ld_cal($B6, $C6, $D6, $G6,$E6, $F6, $H6, M$3)*1.3*1.3,0)),"-")</f>
        <v>107</v>
      </c>
      <c r="N6" s="44" t="str">
        <f>IF($J6=N$3,IF(N$3&gt;$I6,"-",ROUNDUP(Ld_cal($B6, $C6, $D6, $G6,$E6, $F6, $H6, N$3)*1.3*1.3,0)),"-")</f>
        <v>-</v>
      </c>
      <c r="O6" s="44" t="str">
        <f>IF($J6=O$3,IF(O$3&gt;$I6,"-",ROUNDUP(Ld_cal($B6, $C6, $D6, $G6,$E6, $F6, $H6, O$3)*1.3*1.3,0)),"-")</f>
        <v>-</v>
      </c>
      <c r="P6" s="44" t="str">
        <f>IF($J6=P$3,IF(P$3&gt;$I6,"-",ROUNDUP(Ld_cal($B6, $C6, $D6, $G6,$E6, $F6, $H6, P$3)*1.3*1.3,0)),"-")</f>
        <v>-</v>
      </c>
      <c r="Q6" s="44" t="str">
        <f>IF($J6=Q$3,IF(Q$3&gt;$I6,"-",ROUNDUP(Ld_cal($B6, $C6, $D6, $G6,$E6, $F6, $H6, Q$3)*1.3*1.3,0)),"-")</f>
        <v>-</v>
      </c>
      <c r="R6" s="44" t="str">
        <f>IF($J6=R$3,IF(R$3&gt;$I6,"-",ROUNDUP(Ld_cal($B6, $C6, $D6, $G6,$E6, $F6, $H6, R$3)*1.3*1.3,0)),"-")</f>
        <v>-</v>
      </c>
      <c r="S6" s="44" t="str">
        <f>IF($J6=S$3,IF(S$3&gt;$I6,"-",ROUNDUP(Ld_cal($B6, $C6, $D6, $G6,$E6, $F6, $H6, S$3)*1.3*1.3,0)),"-")</f>
        <v>-</v>
      </c>
      <c r="T6" s="44" t="str">
        <f>IF($J6=T$3,IF(T$3&gt;$I6,"-",ROUNDUP(Ld_cal($B6, $C6, $D6, $G6,$E6, $F6, $H6, T$3)*1.3*1.3,0)),"-")</f>
        <v>-</v>
      </c>
      <c r="U6" s="44" t="str">
        <f>IF($J6=U$3,IF(U$3&gt;$I6,"-",ROUNDUP(Ld_cal($B6, $C6, $D6, $G6,$E6, $F6, $H6, U$3)*1.3*1.3,0)),"-")</f>
        <v>-</v>
      </c>
      <c r="V6" s="44" t="str">
        <f>IF($J6=V$3,IF(V$3&gt;$I6,"-",ROUNDUP(Ld_cal($B6, $C6, $D6, $G6,$E6, $F6, $H6, V$3)*1.3*1.3,0)),"-")</f>
        <v>-</v>
      </c>
      <c r="W6" s="44" t="str">
        <f>IF($J6=W$3,IF(W$3&gt;$I6,"-",ROUNDUP(Ld_cal($B6, $C6, $D6, $G6,$E6, $F6, $H6, W$3)*1.3*1.3,0)),"-")</f>
        <v>-</v>
      </c>
      <c r="X6" s="44" t="str">
        <f>IF($J6=X$3,IF(X$3&gt;$I6,"-",ROUNDUP(Ld_cal($B6, $C6, $D6, $G6,$E6, $F6, $H6, X$3)*1.3*1.3,0)),"-")</f>
        <v>-</v>
      </c>
      <c r="Y6" s="44" t="str">
        <f>IF($J6=Y$3,IF(Y$3&gt;$I6,"-",ROUNDUP(Ld_cal($B6, $C6, $D6, $G6,$E6, $F6, $H6, Y$3)*1.3*1.3,0)),"-")</f>
        <v>-</v>
      </c>
      <c r="Z6" s="44" t="str">
        <f>IF($J6=Z$3,IF(Z$3&gt;$I6,"-",ROUNDUP(Ld_cal($B6, $C6, $D6, $G6,$E6, $F6, $H6, Z$3)*1.3*1.3,0)),"-")</f>
        <v>-</v>
      </c>
      <c r="AA6" s="44" t="str">
        <f>IF($J6=AA$3,IF(AA$3&gt;$I6,"-",ROUNDUP(Ld_cal($B6, $C6, $D6, $G6,$E6, $F6, $H6, AA$3)*1.3*1.3,0)),"-")</f>
        <v>-</v>
      </c>
      <c r="AB6" s="44" t="str">
        <f>IF($J6=AB$3,IF(AB$3&gt;$I6,"-",ROUNDUP(Ld_cal($B6, $C6, $D6, $G6,$E6, $F6, $H6, AB$3)*1.3*1.3,0)),"-")</f>
        <v>-</v>
      </c>
      <c r="AC6" s="44" t="str">
        <f>IF($J6=AC$3,IF(AC$3&gt;$I6,"-",ROUNDUP(Ld_cal($B6, $C6, $D6, $G6,$E6, $F6, $H6, AC$3)*1.3*1.3,0)),"-")</f>
        <v>-</v>
      </c>
      <c r="AD6" s="46">
        <f t="shared" ref="AD6" si="0">IF(J6&gt;I6,"依標準圖",MAX(L6:AC6))</f>
        <v>107</v>
      </c>
    </row>
    <row r="7" spans="1:30" s="45" customFormat="1">
      <c r="A7" s="113"/>
      <c r="B7" s="99"/>
      <c r="C7" s="114"/>
      <c r="D7" s="99"/>
      <c r="E7" s="102"/>
      <c r="F7" s="103"/>
      <c r="G7" s="99"/>
      <c r="H7" s="102"/>
      <c r="I7" s="104"/>
      <c r="J7" s="42">
        <v>4</v>
      </c>
      <c r="K7" s="43" t="s">
        <v>33</v>
      </c>
      <c r="L7" s="44" t="str">
        <f>IF($J7=L$3,IF(L$3&gt;$I6,"-",ROUNDUP(Ld_cal($B6, $C6, $D6, $G6,$E6, $F6, $H6, L$3)*1.3,0)),"-")</f>
        <v>-</v>
      </c>
      <c r="M7" s="44">
        <f>IF($J7=M$3,IF(M$3&gt;$I6,"-",ROUNDUP(Ld_cal($B6, $C6, $D6, $G6,$E6, $F6, $H6, M$3)*1.3,0)),"-")</f>
        <v>82</v>
      </c>
      <c r="N7" s="44" t="str">
        <f>IF($J7=N$3,IF(N$3&gt;$I6,"-",ROUNDUP(Ld_cal($B6, $C6, $D6, $G6,$E6, $F6, $H6, N$3)*1.3,0)),"-")</f>
        <v>-</v>
      </c>
      <c r="O7" s="44" t="str">
        <f>IF($J7=O$3,IF(O$3&gt;$I6,"-",ROUNDUP(Ld_cal($B6, $C6, $D6, $G6,$E6, $F6, $H6, O$3)*1.3,0)),"-")</f>
        <v>-</v>
      </c>
      <c r="P7" s="44" t="str">
        <f>IF($J7=P$3,IF(P$3&gt;$I6,"-",ROUNDUP(Ld_cal($B6, $C6, $D6, $G6,$E6, $F6, $H6, P$3)*1.3,0)),"-")</f>
        <v>-</v>
      </c>
      <c r="Q7" s="44" t="str">
        <f>IF($J7=Q$3,IF(Q$3&gt;$I6,"-",ROUNDUP(Ld_cal($B6, $C6, $D6, $G6,$E6, $F6, $H6, Q$3)*1.3,0)),"-")</f>
        <v>-</v>
      </c>
      <c r="R7" s="44" t="str">
        <f>IF($J7=R$3,IF(R$3&gt;$I6,"-",ROUNDUP(Ld_cal($B6, $C6, $D6, $G6,$E6, $F6, $H6, R$3)*1.3,0)),"-")</f>
        <v>-</v>
      </c>
      <c r="S7" s="44" t="str">
        <f>IF($J7=S$3,IF(S$3&gt;$I6,"-",ROUNDUP(Ld_cal($B6, $C6, $D6, $G6,$E6, $F6, $H6, S$3)*1.3,0)),"-")</f>
        <v>-</v>
      </c>
      <c r="T7" s="44" t="str">
        <f>IF($J7=T$3,IF(T$3&gt;$I6,"-",ROUNDUP(Ld_cal($B6, $C6, $D6, $G6,$E6, $F6, $H6, T$3)*1.3,0)),"-")</f>
        <v>-</v>
      </c>
      <c r="U7" s="44" t="str">
        <f>IF($J7=U$3,IF(U$3&gt;$I6,"-",ROUNDUP(Ld_cal($B6, $C6, $D6, $G6,$E6, $F6, $H6, U$3)*1.3,0)),"-")</f>
        <v>-</v>
      </c>
      <c r="V7" s="44" t="str">
        <f>IF($J7=V$3,IF(V$3&gt;$I6,"-",ROUNDUP(Ld_cal($B6, $C6, $D6, $G6,$E6, $F6, $H6, V$3)*1.3,0)),"-")</f>
        <v>-</v>
      </c>
      <c r="W7" s="44" t="str">
        <f>IF($J7=W$3,IF(W$3&gt;$I6,"-",ROUNDUP(Ld_cal($B6, $C6, $D6, $G6,$E6, $F6, $H6, W$3)*1.3,0)),"-")</f>
        <v>-</v>
      </c>
      <c r="X7" s="44" t="str">
        <f>IF($J7=X$3,IF(X$3&gt;$I6,"-",ROUNDUP(Ld_cal($B6, $C6, $D6, $G6,$E6, $F6, $H6, X$3)*1.3,0)),"-")</f>
        <v>-</v>
      </c>
      <c r="Y7" s="44" t="str">
        <f>IF($J7=Y$3,IF(Y$3&gt;$I6,"-",ROUNDUP(Ld_cal($B6, $C6, $D6, $G6,$E6, $F6, $H6, Y$3)*1.3,0)),"-")</f>
        <v>-</v>
      </c>
      <c r="Z7" s="44" t="str">
        <f>IF($J7=Z$3,IF(Z$3&gt;$I6,"-",ROUNDUP(Ld_cal($B6, $C6, $D6, $G6,$E6, $F6, $H6, Z$3)*1.3,0)),"-")</f>
        <v>-</v>
      </c>
      <c r="AA7" s="44" t="str">
        <f>IF($J7=AA$3,IF(AA$3&gt;$I6,"-",ROUNDUP(Ld_cal($B6, $C6, $D6, $G6,$E6, $F6, $H6, AA$3)*1.3,0)),"-")</f>
        <v>-</v>
      </c>
      <c r="AB7" s="44" t="str">
        <f>IF($J7=AB$3,IF(AB$3&gt;$I6,"-",ROUNDUP(Ld_cal($B6, $C6, $D6, $G6,$E6, $F6, $H6, AB$3)*1.3,0)),"-")</f>
        <v>-</v>
      </c>
      <c r="AC7" s="44" t="str">
        <f>IF($J7=AC$3,IF(AC$3&gt;$I6,"-",ROUNDUP(Ld_cal($B6, $C6, $D6, $G6,$E6, $F6, $H6, AC$3)*1.3,0)),"-")</f>
        <v>-</v>
      </c>
      <c r="AD7" s="46">
        <f t="shared" ref="AD7" si="1">IF(J7&gt;I6,"依標準圖",MAX(L7:AC7))</f>
        <v>82</v>
      </c>
    </row>
    <row r="8" spans="1:30">
      <c r="A8" s="112" t="s">
        <v>81</v>
      </c>
      <c r="B8" s="107">
        <v>80</v>
      </c>
      <c r="C8" s="108">
        <v>7.5</v>
      </c>
      <c r="D8" s="107">
        <v>4200</v>
      </c>
      <c r="E8" s="109">
        <v>13</v>
      </c>
      <c r="F8" s="110">
        <v>10</v>
      </c>
      <c r="G8" s="107">
        <v>350</v>
      </c>
      <c r="H8" s="109">
        <v>25</v>
      </c>
      <c r="I8" s="111">
        <f>ROUNDDOWN(($B8-2*$C8-2*$E8/10-$H8/10)/(($D$1+1)*$H8/10),0)+1</f>
        <v>12</v>
      </c>
      <c r="J8" s="39">
        <v>7</v>
      </c>
      <c r="K8" s="40" t="s">
        <v>82</v>
      </c>
      <c r="L8" s="41" t="str">
        <f>IF($J8=L$3,IF(L$3&gt;$I8,"-",ROUNDUP(Ld_cal($B8, $C8, $D8, $G8,$E8, $F8, $H8, L$3)*1.3*1.3,0)),"-")</f>
        <v>-</v>
      </c>
      <c r="M8" s="41" t="str">
        <f>IF($J8=M$3,IF(M$3&gt;$I8,"-",ROUNDUP(Ld_cal($B8, $C8, $D8, $G8,$E8, $F8, $H8, M$3)*1.3*1.3,0)),"-")</f>
        <v>-</v>
      </c>
      <c r="N8" s="41" t="str">
        <f>IF($J8=N$3,IF(N$3&gt;$I8,"-",ROUNDUP(Ld_cal($B8, $C8, $D8, $G8,$E8, $F8, $H8, N$3)*1.3*1.3,0)),"-")</f>
        <v>-</v>
      </c>
      <c r="O8" s="41" t="str">
        <f>IF($J8=O$3,IF(O$3&gt;$I8,"-",ROUNDUP(Ld_cal($B8, $C8, $D8, $G8,$E8, $F8, $H8, O$3)*1.3*1.3,0)),"-")</f>
        <v>-</v>
      </c>
      <c r="P8" s="41">
        <f>IF($J8=P$3,IF(P$3&gt;$I8,"-",ROUNDUP(Ld_cal($B8, $C8, $D8, $G8,$E8, $F8, $H8, P$3)*1.3*1.3,0)),"-")</f>
        <v>107</v>
      </c>
      <c r="Q8" s="41" t="str">
        <f>IF($J8=Q$3,IF(Q$3&gt;$I8,"-",ROUNDUP(Ld_cal($B8, $C8, $D8, $G8,$E8, $F8, $H8, Q$3)*1.3*1.3,0)),"-")</f>
        <v>-</v>
      </c>
      <c r="R8" s="41" t="str">
        <f>IF($J8=R$3,IF(R$3&gt;$I8,"-",ROUNDUP(Ld_cal($B8, $C8, $D8, $G8,$E8, $F8, $H8, R$3)*1.3*1.3,0)),"-")</f>
        <v>-</v>
      </c>
      <c r="S8" s="41" t="str">
        <f>IF($J8=S$3,IF(S$3&gt;$I8,"-",ROUNDUP(Ld_cal($B8, $C8, $D8, $G8,$E8, $F8, $H8, S$3)*1.3*1.3,0)),"-")</f>
        <v>-</v>
      </c>
      <c r="T8" s="41" t="str">
        <f>IF($J8=T$3,IF(T$3&gt;$I8,"-",ROUNDUP(Ld_cal($B8, $C8, $D8, $G8,$E8, $F8, $H8, T$3)*1.3*1.3,0)),"-")</f>
        <v>-</v>
      </c>
      <c r="U8" s="41" t="str">
        <f>IF($J8=U$3,IF(U$3&gt;$I8,"-",ROUNDUP(Ld_cal($B8, $C8, $D8, $G8,$E8, $F8, $H8, U$3)*1.3*1.3,0)),"-")</f>
        <v>-</v>
      </c>
      <c r="V8" s="41" t="str">
        <f>IF($J8=V$3,IF(V$3&gt;$I8,"-",ROUNDUP(Ld_cal($B8, $C8, $D8, $G8,$E8, $F8, $H8, V$3)*1.3*1.3,0)),"-")</f>
        <v>-</v>
      </c>
      <c r="W8" s="41" t="str">
        <f>IF($J8=W$3,IF(W$3&gt;$I8,"-",ROUNDUP(Ld_cal($B8, $C8, $D8, $G8,$E8, $F8, $H8, W$3)*1.3*1.3,0)),"-")</f>
        <v>-</v>
      </c>
      <c r="X8" s="41" t="str">
        <f>IF($J8=X$3,IF(X$3&gt;$I8,"-",ROUNDUP(Ld_cal($B8, $C8, $D8, $G8,$E8, $F8, $H8, X$3)*1.3*1.3,0)),"-")</f>
        <v>-</v>
      </c>
      <c r="Y8" s="41" t="str">
        <f>IF($J8=Y$3,IF(Y$3&gt;$I8,"-",ROUNDUP(Ld_cal($B8, $C8, $D8, $G8,$E8, $F8, $H8, Y$3)*1.3*1.3,0)),"-")</f>
        <v>-</v>
      </c>
      <c r="Z8" s="41" t="str">
        <f>IF($J8=Z$3,IF(Z$3&gt;$I8,"-",ROUNDUP(Ld_cal($B8, $C8, $D8, $G8,$E8, $F8, $H8, Z$3)*1.3*1.3,0)),"-")</f>
        <v>-</v>
      </c>
      <c r="AA8" s="41" t="str">
        <f>IF($J8=AA$3,IF(AA$3&gt;$I8,"-",ROUNDUP(Ld_cal($B8, $C8, $D8, $G8,$E8, $F8, $H8, AA$3)*1.3*1.3,0)),"-")</f>
        <v>-</v>
      </c>
      <c r="AB8" s="41" t="str">
        <f>IF($J8=AB$3,IF(AB$3&gt;$I8,"-",ROUNDUP(Ld_cal($B8, $C8, $D8, $G8,$E8, $F8, $H8, AB$3)*1.3*1.3,0)),"-")</f>
        <v>-</v>
      </c>
      <c r="AC8" s="41" t="str">
        <f>IF($J8=AC$3,IF(AC$3&gt;$I8,"-",ROUNDUP(Ld_cal($B8, $C8, $D8, $G8,$E8, $F8, $H8, AC$3)*1.3*1.3,0)),"-")</f>
        <v>-</v>
      </c>
      <c r="AD8" s="47">
        <f t="shared" ref="AD8" si="2">IF(J8&gt;I8,"依標準圖",MAX(L8:AC8))</f>
        <v>107</v>
      </c>
    </row>
    <row r="9" spans="1:30">
      <c r="A9" s="112"/>
      <c r="B9" s="107"/>
      <c r="C9" s="108"/>
      <c r="D9" s="107"/>
      <c r="E9" s="109"/>
      <c r="F9" s="110"/>
      <c r="G9" s="107"/>
      <c r="H9" s="109"/>
      <c r="I9" s="111"/>
      <c r="J9" s="39">
        <v>7</v>
      </c>
      <c r="K9" s="40" t="s">
        <v>83</v>
      </c>
      <c r="L9" s="41" t="str">
        <f>IF($J9=L$3,IF(L$3&gt;$I8,"-",ROUNDUP(Ld_cal($B8, $C8, $D8, $G8,$E8, $F8, $H8, L$3)*1.3,0)),"-")</f>
        <v>-</v>
      </c>
      <c r="M9" s="41" t="str">
        <f>IF($J9=M$3,IF(M$3&gt;$I8,"-",ROUNDUP(Ld_cal($B8, $C8, $D8, $G8,$E8, $F8, $H8, M$3)*1.3,0)),"-")</f>
        <v>-</v>
      </c>
      <c r="N9" s="41" t="str">
        <f>IF($J9=N$3,IF(N$3&gt;$I8,"-",ROUNDUP(Ld_cal($B8, $C8, $D8, $G8,$E8, $F8, $H8, N$3)*1.3,0)),"-")</f>
        <v>-</v>
      </c>
      <c r="O9" s="41" t="str">
        <f>IF($J9=O$3,IF(O$3&gt;$I8,"-",ROUNDUP(Ld_cal($B8, $C8, $D8, $G8,$E8, $F8, $H8, O$3)*1.3,0)),"-")</f>
        <v>-</v>
      </c>
      <c r="P9" s="41">
        <f>IF($J9=P$3,IF(P$3&gt;$I8,"-",ROUNDUP(Ld_cal($B8, $C8, $D8, $G8,$E8, $F8, $H8, P$3)*1.3,0)),"-")</f>
        <v>82</v>
      </c>
      <c r="Q9" s="41" t="str">
        <f>IF($J9=Q$3,IF(Q$3&gt;$I8,"-",ROUNDUP(Ld_cal($B8, $C8, $D8, $G8,$E8, $F8, $H8, Q$3)*1.3,0)),"-")</f>
        <v>-</v>
      </c>
      <c r="R9" s="41" t="str">
        <f>IF($J9=R$3,IF(R$3&gt;$I8,"-",ROUNDUP(Ld_cal($B8, $C8, $D8, $G8,$E8, $F8, $H8, R$3)*1.3,0)),"-")</f>
        <v>-</v>
      </c>
      <c r="S9" s="41" t="str">
        <f>IF($J9=S$3,IF(S$3&gt;$I8,"-",ROUNDUP(Ld_cal($B8, $C8, $D8, $G8,$E8, $F8, $H8, S$3)*1.3,0)),"-")</f>
        <v>-</v>
      </c>
      <c r="T9" s="41" t="str">
        <f>IF($J9=T$3,IF(T$3&gt;$I8,"-",ROUNDUP(Ld_cal($B8, $C8, $D8, $G8,$E8, $F8, $H8, T$3)*1.3,0)),"-")</f>
        <v>-</v>
      </c>
      <c r="U9" s="41" t="str">
        <f>IF($J9=U$3,IF(U$3&gt;$I8,"-",ROUNDUP(Ld_cal($B8, $C8, $D8, $G8,$E8, $F8, $H8, U$3)*1.3,0)),"-")</f>
        <v>-</v>
      </c>
      <c r="V9" s="41" t="str">
        <f>IF($J9=V$3,IF(V$3&gt;$I8,"-",ROUNDUP(Ld_cal($B8, $C8, $D8, $G8,$E8, $F8, $H8, V$3)*1.3,0)),"-")</f>
        <v>-</v>
      </c>
      <c r="W9" s="41" t="str">
        <f>IF($J9=W$3,IF(W$3&gt;$I8,"-",ROUNDUP(Ld_cal($B8, $C8, $D8, $G8,$E8, $F8, $H8, W$3)*1.3,0)),"-")</f>
        <v>-</v>
      </c>
      <c r="X9" s="41" t="str">
        <f>IF($J9=X$3,IF(X$3&gt;$I8,"-",ROUNDUP(Ld_cal($B8, $C8, $D8, $G8,$E8, $F8, $H8, X$3)*1.3,0)),"-")</f>
        <v>-</v>
      </c>
      <c r="Y9" s="41" t="str">
        <f>IF($J9=Y$3,IF(Y$3&gt;$I8,"-",ROUNDUP(Ld_cal($B8, $C8, $D8, $G8,$E8, $F8, $H8, Y$3)*1.3,0)),"-")</f>
        <v>-</v>
      </c>
      <c r="Z9" s="41" t="str">
        <f>IF($J9=Z$3,IF(Z$3&gt;$I8,"-",ROUNDUP(Ld_cal($B8, $C8, $D8, $G8,$E8, $F8, $H8, Z$3)*1.3,0)),"-")</f>
        <v>-</v>
      </c>
      <c r="AA9" s="41" t="str">
        <f>IF($J9=AA$3,IF(AA$3&gt;$I8,"-",ROUNDUP(Ld_cal($B8, $C8, $D8, $G8,$E8, $F8, $H8, AA$3)*1.3,0)),"-")</f>
        <v>-</v>
      </c>
      <c r="AB9" s="41" t="str">
        <f>IF($J9=AB$3,IF(AB$3&gt;$I8,"-",ROUNDUP(Ld_cal($B8, $C8, $D8, $G8,$E8, $F8, $H8, AB$3)*1.3,0)),"-")</f>
        <v>-</v>
      </c>
      <c r="AC9" s="41" t="str">
        <f>IF($J9=AC$3,IF(AC$3&gt;$I8,"-",ROUNDUP(Ld_cal($B8, $C8, $D8, $G8,$E8, $F8, $H8, AC$3)*1.3,0)),"-")</f>
        <v>-</v>
      </c>
      <c r="AD9" s="47">
        <f t="shared" ref="AD9" si="3">IF(J9&gt;I8,"依標準圖",MAX(L9:AC9))</f>
        <v>82</v>
      </c>
    </row>
    <row r="10" spans="1:30" s="45" customFormat="1">
      <c r="A10" s="113" t="s">
        <v>37</v>
      </c>
      <c r="B10" s="99">
        <v>30</v>
      </c>
      <c r="C10" s="114">
        <v>5</v>
      </c>
      <c r="D10" s="99">
        <v>4200</v>
      </c>
      <c r="E10" s="102">
        <v>16</v>
      </c>
      <c r="F10" s="103">
        <v>10</v>
      </c>
      <c r="G10" s="99">
        <v>350</v>
      </c>
      <c r="H10" s="102">
        <v>25</v>
      </c>
      <c r="I10" s="104">
        <f>ROUNDDOWN(($B10-2*$C10-2*$E10/10-$H10/10)/(($D$1+1)*$H10/10),0)+1</f>
        <v>3</v>
      </c>
      <c r="J10" s="42">
        <v>3</v>
      </c>
      <c r="K10" s="43" t="s">
        <v>34</v>
      </c>
      <c r="L10" s="44">
        <f>IF($J10=L$3,IF(L$3&gt;$I10,"-",ROUNDUP(Ld_cal($B10, $C10, $D10, $G10,$E10, $F10, $H10, L$3)*1.3*1.3,0)),"-")</f>
        <v>107</v>
      </c>
      <c r="M10" s="44" t="str">
        <f>IF($J10=M$3,IF(M$3&gt;$I10,"-",ROUNDUP(Ld_cal($B10, $C10, $D10, $G10,$E10, $F10, $H10, M$3)*1.3*1.3,0)),"-")</f>
        <v>-</v>
      </c>
      <c r="N10" s="44" t="str">
        <f>IF($J10=N$3,IF(N$3&gt;$I10,"-",ROUNDUP(Ld_cal($B10, $C10, $D10, $G10,$E10, $F10, $H10, N$3)*1.3*1.3,0)),"-")</f>
        <v>-</v>
      </c>
      <c r="O10" s="44" t="str">
        <f>IF($J10=O$3,IF(O$3&gt;$I10,"-",ROUNDUP(Ld_cal($B10, $C10, $D10, $G10,$E10, $F10, $H10, O$3)*1.3*1.3,0)),"-")</f>
        <v>-</v>
      </c>
      <c r="P10" s="44" t="str">
        <f>IF($J10=P$3,IF(P$3&gt;$I10,"-",ROUNDUP(Ld_cal($B10, $C10, $D10, $G10,$E10, $F10, $H10, P$3)*1.3*1.3,0)),"-")</f>
        <v>-</v>
      </c>
      <c r="Q10" s="44" t="str">
        <f>IF($J10=Q$3,IF(Q$3&gt;$I10,"-",ROUNDUP(Ld_cal($B10, $C10, $D10, $G10,$E10, $F10, $H10, Q$3)*1.3*1.3,0)),"-")</f>
        <v>-</v>
      </c>
      <c r="R10" s="44" t="str">
        <f>IF($J10=R$3,IF(R$3&gt;$I10,"-",ROUNDUP(Ld_cal($B10, $C10, $D10, $G10,$E10, $F10, $H10, R$3)*1.3*1.3,0)),"-")</f>
        <v>-</v>
      </c>
      <c r="S10" s="44" t="str">
        <f>IF($J10=S$3,IF(S$3&gt;$I10,"-",ROUNDUP(Ld_cal($B10, $C10, $D10, $G10,$E10, $F10, $H10, S$3)*1.3*1.3,0)),"-")</f>
        <v>-</v>
      </c>
      <c r="T10" s="44" t="str">
        <f>IF($J10=T$3,IF(T$3&gt;$I10,"-",ROUNDUP(Ld_cal($B10, $C10, $D10, $G10,$E10, $F10, $H10, T$3)*1.3*1.3,0)),"-")</f>
        <v>-</v>
      </c>
      <c r="U10" s="44" t="str">
        <f>IF($J10=U$3,IF(U$3&gt;$I10,"-",ROUNDUP(Ld_cal($B10, $C10, $D10, $G10,$E10, $F10, $H10, U$3)*1.3*1.3,0)),"-")</f>
        <v>-</v>
      </c>
      <c r="V10" s="44" t="str">
        <f>IF($J10=V$3,IF(V$3&gt;$I10,"-",ROUNDUP(Ld_cal($B10, $C10, $D10, $G10,$E10, $F10, $H10, V$3)*1.3*1.3,0)),"-")</f>
        <v>-</v>
      </c>
      <c r="W10" s="44" t="str">
        <f>IF($J10=W$3,IF(W$3&gt;$I10,"-",ROUNDUP(Ld_cal($B10, $C10, $D10, $G10,$E10, $F10, $H10, W$3)*1.3*1.3,0)),"-")</f>
        <v>-</v>
      </c>
      <c r="X10" s="44" t="str">
        <f>IF($J10=X$3,IF(X$3&gt;$I10,"-",ROUNDUP(Ld_cal($B10, $C10, $D10, $G10,$E10, $F10, $H10, X$3)*1.3*1.3,0)),"-")</f>
        <v>-</v>
      </c>
      <c r="Y10" s="44" t="str">
        <f>IF($J10=Y$3,IF(Y$3&gt;$I10,"-",ROUNDUP(Ld_cal($B10, $C10, $D10, $G10,$E10, $F10, $H10, Y$3)*1.3*1.3,0)),"-")</f>
        <v>-</v>
      </c>
      <c r="Z10" s="44" t="str">
        <f>IF($J10=Z$3,IF(Z$3&gt;$I10,"-",ROUNDUP(Ld_cal($B10, $C10, $D10, $G10,$E10, $F10, $H10, Z$3)*1.3*1.3,0)),"-")</f>
        <v>-</v>
      </c>
      <c r="AA10" s="44" t="str">
        <f>IF($J10=AA$3,IF(AA$3&gt;$I10,"-",ROUNDUP(Ld_cal($B10, $C10, $D10, $G10,$E10, $F10, $H10, AA$3)*1.3*1.3,0)),"-")</f>
        <v>-</v>
      </c>
      <c r="AB10" s="44" t="str">
        <f>IF($J10=AB$3,IF(AB$3&gt;$I10,"-",ROUNDUP(Ld_cal($B10, $C10, $D10, $G10,$E10, $F10, $H10, AB$3)*1.3*1.3,0)),"-")</f>
        <v>-</v>
      </c>
      <c r="AC10" s="44" t="str">
        <f>IF($J10=AC$3,IF(AC$3&gt;$I10,"-",ROUNDUP(Ld_cal($B10, $C10, $D10, $G10,$E10, $F10, $H10, AC$3)*1.3*1.3,0)),"-")</f>
        <v>-</v>
      </c>
      <c r="AD10" s="46">
        <f t="shared" ref="AD10" si="4">IF(J10&gt;I10,"依標準圖",MAX(L10:AC10))</f>
        <v>107</v>
      </c>
    </row>
    <row r="11" spans="1:30" s="45" customFormat="1">
      <c r="A11" s="113"/>
      <c r="B11" s="99"/>
      <c r="C11" s="114"/>
      <c r="D11" s="99"/>
      <c r="E11" s="102"/>
      <c r="F11" s="103"/>
      <c r="G11" s="99"/>
      <c r="H11" s="102"/>
      <c r="I11" s="104"/>
      <c r="J11" s="42">
        <v>3</v>
      </c>
      <c r="K11" s="43" t="s">
        <v>33</v>
      </c>
      <c r="L11" s="44">
        <f>IF($J11=L$3,IF(L$3&gt;$I10,"-",ROUNDUP(Ld_cal($B10, $C10, $D10, $G10,$E10, $F10, $H10, L$3)*1.3,0)),"-")</f>
        <v>82</v>
      </c>
      <c r="M11" s="44" t="str">
        <f>IF($J11=M$3,IF(M$3&gt;$I10,"-",ROUNDUP(Ld_cal($B10, $C10, $D10, $G10,$E10, $F10, $H10, M$3)*1.3,0)),"-")</f>
        <v>-</v>
      </c>
      <c r="N11" s="44" t="str">
        <f>IF($J11=N$3,IF(N$3&gt;$I10,"-",ROUNDUP(Ld_cal($B10, $C10, $D10, $G10,$E10, $F10, $H10, N$3)*1.3,0)),"-")</f>
        <v>-</v>
      </c>
      <c r="O11" s="44" t="str">
        <f>IF($J11=O$3,IF(O$3&gt;$I10,"-",ROUNDUP(Ld_cal($B10, $C10, $D10, $G10,$E10, $F10, $H10, O$3)*1.3,0)),"-")</f>
        <v>-</v>
      </c>
      <c r="P11" s="44" t="str">
        <f>IF($J11=P$3,IF(P$3&gt;$I10,"-",ROUNDUP(Ld_cal($B10, $C10, $D10, $G10,$E10, $F10, $H10, P$3)*1.3,0)),"-")</f>
        <v>-</v>
      </c>
      <c r="Q11" s="44" t="str">
        <f>IF($J11=Q$3,IF(Q$3&gt;$I10,"-",ROUNDUP(Ld_cal($B10, $C10, $D10, $G10,$E10, $F10, $H10, Q$3)*1.3,0)),"-")</f>
        <v>-</v>
      </c>
      <c r="R11" s="44" t="str">
        <f>IF($J11=R$3,IF(R$3&gt;$I10,"-",ROUNDUP(Ld_cal($B10, $C10, $D10, $G10,$E10, $F10, $H10, R$3)*1.3,0)),"-")</f>
        <v>-</v>
      </c>
      <c r="S11" s="44" t="str">
        <f>IF($J11=S$3,IF(S$3&gt;$I10,"-",ROUNDUP(Ld_cal($B10, $C10, $D10, $G10,$E10, $F10, $H10, S$3)*1.3,0)),"-")</f>
        <v>-</v>
      </c>
      <c r="T11" s="44" t="str">
        <f>IF($J11=T$3,IF(T$3&gt;$I10,"-",ROUNDUP(Ld_cal($B10, $C10, $D10, $G10,$E10, $F10, $H10, T$3)*1.3,0)),"-")</f>
        <v>-</v>
      </c>
      <c r="U11" s="44" t="str">
        <f>IF($J11=U$3,IF(U$3&gt;$I10,"-",ROUNDUP(Ld_cal($B10, $C10, $D10, $G10,$E10, $F10, $H10, U$3)*1.3,0)),"-")</f>
        <v>-</v>
      </c>
      <c r="V11" s="44" t="str">
        <f>IF($J11=V$3,IF(V$3&gt;$I10,"-",ROUNDUP(Ld_cal($B10, $C10, $D10, $G10,$E10, $F10, $H10, V$3)*1.3,0)),"-")</f>
        <v>-</v>
      </c>
      <c r="W11" s="44" t="str">
        <f>IF($J11=W$3,IF(W$3&gt;$I10,"-",ROUNDUP(Ld_cal($B10, $C10, $D10, $G10,$E10, $F10, $H10, W$3)*1.3,0)),"-")</f>
        <v>-</v>
      </c>
      <c r="X11" s="44" t="str">
        <f>IF($J11=X$3,IF(X$3&gt;$I10,"-",ROUNDUP(Ld_cal($B10, $C10, $D10, $G10,$E10, $F10, $H10, X$3)*1.3,0)),"-")</f>
        <v>-</v>
      </c>
      <c r="Y11" s="44" t="str">
        <f>IF($J11=Y$3,IF(Y$3&gt;$I10,"-",ROUNDUP(Ld_cal($B10, $C10, $D10, $G10,$E10, $F10, $H10, Y$3)*1.3,0)),"-")</f>
        <v>-</v>
      </c>
      <c r="Z11" s="44" t="str">
        <f>IF($J11=Z$3,IF(Z$3&gt;$I10,"-",ROUNDUP(Ld_cal($B10, $C10, $D10, $G10,$E10, $F10, $H10, Z$3)*1.3,0)),"-")</f>
        <v>-</v>
      </c>
      <c r="AA11" s="44" t="str">
        <f>IF($J11=AA$3,IF(AA$3&gt;$I10,"-",ROUNDUP(Ld_cal($B10, $C10, $D10, $G10,$E10, $F10, $H10, AA$3)*1.3,0)),"-")</f>
        <v>-</v>
      </c>
      <c r="AB11" s="44" t="str">
        <f>IF($J11=AB$3,IF(AB$3&gt;$I10,"-",ROUNDUP(Ld_cal($B10, $C10, $D10, $G10,$E10, $F10, $H10, AB$3)*1.3,0)),"-")</f>
        <v>-</v>
      </c>
      <c r="AC11" s="44" t="str">
        <f>IF($J11=AC$3,IF(AC$3&gt;$I10,"-",ROUNDUP(Ld_cal($B10, $C10, $D10, $G10,$E10, $F10, $H10, AC$3)*1.3,0)),"-")</f>
        <v>-</v>
      </c>
      <c r="AD11" s="46">
        <f t="shared" ref="AD11" si="5">IF(J11&gt;I10,"依標準圖",MAX(L11:AC11))</f>
        <v>82</v>
      </c>
    </row>
    <row r="12" spans="1:30">
      <c r="A12" s="112" t="s">
        <v>38</v>
      </c>
      <c r="B12" s="107">
        <v>60</v>
      </c>
      <c r="C12" s="108">
        <v>7.5</v>
      </c>
      <c r="D12" s="107">
        <v>4200</v>
      </c>
      <c r="E12" s="109">
        <v>16</v>
      </c>
      <c r="F12" s="110">
        <v>10</v>
      </c>
      <c r="G12" s="107">
        <v>350</v>
      </c>
      <c r="H12" s="109">
        <v>25</v>
      </c>
      <c r="I12" s="111">
        <f>ROUNDDOWN(($B12-2*$C12-2*$E12/10-$H12/10)/(($D$1+1)*$H12/10),0)+1</f>
        <v>8</v>
      </c>
      <c r="J12" s="39">
        <v>4</v>
      </c>
      <c r="K12" s="40" t="s">
        <v>30</v>
      </c>
      <c r="L12" s="41" t="str">
        <f>IF($J12=L$3,IF(L$3&gt;$I12,"-",ROUNDUP(Ld_cal($B12, $C12, $D12, $G12,$E12, $F12, $H12, L$3)*1.3*1.3,0)),"-")</f>
        <v>-</v>
      </c>
      <c r="M12" s="41">
        <f>IF($J12=M$3,IF(M$3&gt;$I12,"-",ROUNDUP(Ld_cal($B12, $C12, $D12, $G12,$E12, $F12, $H12, M$3)*1.3*1.3,0)),"-")</f>
        <v>107</v>
      </c>
      <c r="N12" s="41" t="str">
        <f>IF($J12=N$3,IF(N$3&gt;$I12,"-",ROUNDUP(Ld_cal($B12, $C12, $D12, $G12,$E12, $F12, $H12, N$3)*1.3*1.3,0)),"-")</f>
        <v>-</v>
      </c>
      <c r="O12" s="41" t="str">
        <f>IF($J12=O$3,IF(O$3&gt;$I12,"-",ROUNDUP(Ld_cal($B12, $C12, $D12, $G12,$E12, $F12, $H12, O$3)*1.3*1.3,0)),"-")</f>
        <v>-</v>
      </c>
      <c r="P12" s="41" t="str">
        <f>IF($J12=P$3,IF(P$3&gt;$I12,"-",ROUNDUP(Ld_cal($B12, $C12, $D12, $G12,$E12, $F12, $H12, P$3)*1.3*1.3,0)),"-")</f>
        <v>-</v>
      </c>
      <c r="Q12" s="41" t="str">
        <f>IF($J12=Q$3,IF(Q$3&gt;$I12,"-",ROUNDUP(Ld_cal($B12, $C12, $D12, $G12,$E12, $F12, $H12, Q$3)*1.3*1.3,0)),"-")</f>
        <v>-</v>
      </c>
      <c r="R12" s="41" t="str">
        <f>IF($J12=R$3,IF(R$3&gt;$I12,"-",ROUNDUP(Ld_cal($B12, $C12, $D12, $G12,$E12, $F12, $H12, R$3)*1.3*1.3,0)),"-")</f>
        <v>-</v>
      </c>
      <c r="S12" s="41" t="str">
        <f>IF($J12=S$3,IF(S$3&gt;$I12,"-",ROUNDUP(Ld_cal($B12, $C12, $D12, $G12,$E12, $F12, $H12, S$3)*1.3*1.3,0)),"-")</f>
        <v>-</v>
      </c>
      <c r="T12" s="41" t="str">
        <f>IF($J12=T$3,IF(T$3&gt;$I12,"-",ROUNDUP(Ld_cal($B12, $C12, $D12, $G12,$E12, $F12, $H12, T$3)*1.3*1.3,0)),"-")</f>
        <v>-</v>
      </c>
      <c r="U12" s="41" t="str">
        <f>IF($J12=U$3,IF(U$3&gt;$I12,"-",ROUNDUP(Ld_cal($B12, $C12, $D12, $G12,$E12, $F12, $H12, U$3)*1.3*1.3,0)),"-")</f>
        <v>-</v>
      </c>
      <c r="V12" s="41" t="str">
        <f>IF($J12=V$3,IF(V$3&gt;$I12,"-",ROUNDUP(Ld_cal($B12, $C12, $D12, $G12,$E12, $F12, $H12, V$3)*1.3*1.3,0)),"-")</f>
        <v>-</v>
      </c>
      <c r="W12" s="41" t="str">
        <f>IF($J12=W$3,IF(W$3&gt;$I12,"-",ROUNDUP(Ld_cal($B12, $C12, $D12, $G12,$E12, $F12, $H12, W$3)*1.3*1.3,0)),"-")</f>
        <v>-</v>
      </c>
      <c r="X12" s="41" t="str">
        <f>IF($J12=X$3,IF(X$3&gt;$I12,"-",ROUNDUP(Ld_cal($B12, $C12, $D12, $G12,$E12, $F12, $H12, X$3)*1.3*1.3,0)),"-")</f>
        <v>-</v>
      </c>
      <c r="Y12" s="41" t="str">
        <f>IF($J12=Y$3,IF(Y$3&gt;$I12,"-",ROUNDUP(Ld_cal($B12, $C12, $D12, $G12,$E12, $F12, $H12, Y$3)*1.3*1.3,0)),"-")</f>
        <v>-</v>
      </c>
      <c r="Z12" s="41" t="str">
        <f>IF($J12=Z$3,IF(Z$3&gt;$I12,"-",ROUNDUP(Ld_cal($B12, $C12, $D12, $G12,$E12, $F12, $H12, Z$3)*1.3*1.3,0)),"-")</f>
        <v>-</v>
      </c>
      <c r="AA12" s="41" t="str">
        <f>IF($J12=AA$3,IF(AA$3&gt;$I12,"-",ROUNDUP(Ld_cal($B12, $C12, $D12, $G12,$E12, $F12, $H12, AA$3)*1.3*1.3,0)),"-")</f>
        <v>-</v>
      </c>
      <c r="AB12" s="41" t="str">
        <f>IF($J12=AB$3,IF(AB$3&gt;$I12,"-",ROUNDUP(Ld_cal($B12, $C12, $D12, $G12,$E12, $F12, $H12, AB$3)*1.3*1.3,0)),"-")</f>
        <v>-</v>
      </c>
      <c r="AC12" s="41" t="str">
        <f>IF($J12=AC$3,IF(AC$3&gt;$I12,"-",ROUNDUP(Ld_cal($B12, $C12, $D12, $G12,$E12, $F12, $H12, AC$3)*1.3*1.3,0)),"-")</f>
        <v>-</v>
      </c>
      <c r="AD12" s="47">
        <f t="shared" ref="AD12" si="6">IF(J12&gt;I12,"依標準圖",MAX(L12:AC12))</f>
        <v>107</v>
      </c>
    </row>
    <row r="13" spans="1:30">
      <c r="A13" s="112"/>
      <c r="B13" s="107"/>
      <c r="C13" s="108"/>
      <c r="D13" s="107"/>
      <c r="E13" s="109"/>
      <c r="F13" s="110"/>
      <c r="G13" s="107"/>
      <c r="H13" s="109"/>
      <c r="I13" s="111"/>
      <c r="J13" s="39">
        <v>4</v>
      </c>
      <c r="K13" s="40" t="s">
        <v>29</v>
      </c>
      <c r="L13" s="41" t="str">
        <f>IF($J13=L$3,IF(L$3&gt;$I12,"-",ROUNDUP(Ld_cal($B12, $C12, $D12, $G12,$E12, $F12, $H12, L$3)*1.3,0)),"-")</f>
        <v>-</v>
      </c>
      <c r="M13" s="41">
        <f>IF($J13=M$3,IF(M$3&gt;$I12,"-",ROUNDUP(Ld_cal($B12, $C12, $D12, $G12,$E12, $F12, $H12, M$3)*1.3,0)),"-")</f>
        <v>82</v>
      </c>
      <c r="N13" s="41" t="str">
        <f>IF($J13=N$3,IF(N$3&gt;$I12,"-",ROUNDUP(Ld_cal($B12, $C12, $D12, $G12,$E12, $F12, $H12, N$3)*1.3,0)),"-")</f>
        <v>-</v>
      </c>
      <c r="O13" s="41" t="str">
        <f>IF($J13=O$3,IF(O$3&gt;$I12,"-",ROUNDUP(Ld_cal($B12, $C12, $D12, $G12,$E12, $F12, $H12, O$3)*1.3,0)),"-")</f>
        <v>-</v>
      </c>
      <c r="P13" s="41" t="str">
        <f>IF($J13=P$3,IF(P$3&gt;$I12,"-",ROUNDUP(Ld_cal($B12, $C12, $D12, $G12,$E12, $F12, $H12, P$3)*1.3,0)),"-")</f>
        <v>-</v>
      </c>
      <c r="Q13" s="41" t="str">
        <f>IF($J13=Q$3,IF(Q$3&gt;$I12,"-",ROUNDUP(Ld_cal($B12, $C12, $D12, $G12,$E12, $F12, $H12, Q$3)*1.3,0)),"-")</f>
        <v>-</v>
      </c>
      <c r="R13" s="41" t="str">
        <f>IF($J13=R$3,IF(R$3&gt;$I12,"-",ROUNDUP(Ld_cal($B12, $C12, $D12, $G12,$E12, $F12, $H12, R$3)*1.3,0)),"-")</f>
        <v>-</v>
      </c>
      <c r="S13" s="41" t="str">
        <f>IF($J13=S$3,IF(S$3&gt;$I12,"-",ROUNDUP(Ld_cal($B12, $C12, $D12, $G12,$E12, $F12, $H12, S$3)*1.3,0)),"-")</f>
        <v>-</v>
      </c>
      <c r="T13" s="41" t="str">
        <f>IF($J13=T$3,IF(T$3&gt;$I12,"-",ROUNDUP(Ld_cal($B12, $C12, $D12, $G12,$E12, $F12, $H12, T$3)*1.3,0)),"-")</f>
        <v>-</v>
      </c>
      <c r="U13" s="41" t="str">
        <f>IF($J13=U$3,IF(U$3&gt;$I12,"-",ROUNDUP(Ld_cal($B12, $C12, $D12, $G12,$E12, $F12, $H12, U$3)*1.3,0)),"-")</f>
        <v>-</v>
      </c>
      <c r="V13" s="41" t="str">
        <f>IF($J13=V$3,IF(V$3&gt;$I12,"-",ROUNDUP(Ld_cal($B12, $C12, $D12, $G12,$E12, $F12, $H12, V$3)*1.3,0)),"-")</f>
        <v>-</v>
      </c>
      <c r="W13" s="41" t="str">
        <f>IF($J13=W$3,IF(W$3&gt;$I12,"-",ROUNDUP(Ld_cal($B12, $C12, $D12, $G12,$E12, $F12, $H12, W$3)*1.3,0)),"-")</f>
        <v>-</v>
      </c>
      <c r="X13" s="41" t="str">
        <f>IF($J13=X$3,IF(X$3&gt;$I12,"-",ROUNDUP(Ld_cal($B12, $C12, $D12, $G12,$E12, $F12, $H12, X$3)*1.3,0)),"-")</f>
        <v>-</v>
      </c>
      <c r="Y13" s="41" t="str">
        <f>IF($J13=Y$3,IF(Y$3&gt;$I12,"-",ROUNDUP(Ld_cal($B12, $C12, $D12, $G12,$E12, $F12, $H12, Y$3)*1.3,0)),"-")</f>
        <v>-</v>
      </c>
      <c r="Z13" s="41" t="str">
        <f>IF($J13=Z$3,IF(Z$3&gt;$I12,"-",ROUNDUP(Ld_cal($B12, $C12, $D12, $G12,$E12, $F12, $H12, Z$3)*1.3,0)),"-")</f>
        <v>-</v>
      </c>
      <c r="AA13" s="41" t="str">
        <f>IF($J13=AA$3,IF(AA$3&gt;$I12,"-",ROUNDUP(Ld_cal($B12, $C12, $D12, $G12,$E12, $F12, $H12, AA$3)*1.3,0)),"-")</f>
        <v>-</v>
      </c>
      <c r="AB13" s="41" t="str">
        <f>IF($J13=AB$3,IF(AB$3&gt;$I12,"-",ROUNDUP(Ld_cal($B12, $C12, $D12, $G12,$E12, $F12, $H12, AB$3)*1.3,0)),"-")</f>
        <v>-</v>
      </c>
      <c r="AC13" s="41" t="str">
        <f>IF($J13=AC$3,IF(AC$3&gt;$I12,"-",ROUNDUP(Ld_cal($B12, $C12, $D12, $G12,$E12, $F12, $H12, AC$3)*1.3,0)),"-")</f>
        <v>-</v>
      </c>
      <c r="AD13" s="47">
        <f t="shared" ref="AD13" si="7">IF(J13&gt;I12,"依標準圖",MAX(L13:AC13))</f>
        <v>82</v>
      </c>
    </row>
    <row r="14" spans="1:30" s="45" customFormat="1">
      <c r="A14" s="113" t="s">
        <v>39</v>
      </c>
      <c r="B14" s="99">
        <v>120</v>
      </c>
      <c r="C14" s="114">
        <v>7.5</v>
      </c>
      <c r="D14" s="99">
        <v>4200</v>
      </c>
      <c r="E14" s="102">
        <v>16</v>
      </c>
      <c r="F14" s="103">
        <v>10</v>
      </c>
      <c r="G14" s="99">
        <v>350</v>
      </c>
      <c r="H14" s="102">
        <v>32</v>
      </c>
      <c r="I14" s="104">
        <f>ROUNDDOWN(($B14-2*$C14-2*$E14/10-$H14/10)/(($D$1+1)*$H14/10),0)+1</f>
        <v>16</v>
      </c>
      <c r="J14" s="42">
        <v>9</v>
      </c>
      <c r="K14" s="43" t="s">
        <v>34</v>
      </c>
      <c r="L14" s="44" t="str">
        <f>IF($J14=L$3,IF(L$3&gt;$I14,"-",ROUNDUP(Ld_cal($B14, $C14, $D14, $G14,$E14, $F14, $H14, L$3)*1.3*1.3,0)),"-")</f>
        <v>-</v>
      </c>
      <c r="M14" s="44" t="str">
        <f>IF($J14=M$3,IF(M$3&gt;$I14,"-",ROUNDUP(Ld_cal($B14, $C14, $D14, $G14,$E14, $F14, $H14, M$3)*1.3*1.3,0)),"-")</f>
        <v>-</v>
      </c>
      <c r="N14" s="44" t="str">
        <f>IF($J14=N$3,IF(N$3&gt;$I14,"-",ROUNDUP(Ld_cal($B14, $C14, $D14, $G14,$E14, $F14, $H14, N$3)*1.3*1.3,0)),"-")</f>
        <v>-</v>
      </c>
      <c r="O14" s="44" t="str">
        <f>IF($J14=O$3,IF(O$3&gt;$I14,"-",ROUNDUP(Ld_cal($B14, $C14, $D14, $G14,$E14, $F14, $H14, O$3)*1.3*1.3,0)),"-")</f>
        <v>-</v>
      </c>
      <c r="P14" s="44" t="str">
        <f>IF($J14=P$3,IF(P$3&gt;$I14,"-",ROUNDUP(Ld_cal($B14, $C14, $D14, $G14,$E14, $F14, $H14, P$3)*1.3*1.3,0)),"-")</f>
        <v>-</v>
      </c>
      <c r="Q14" s="44" t="str">
        <f>IF($J14=Q$3,IF(Q$3&gt;$I14,"-",ROUNDUP(Ld_cal($B14, $C14, $D14, $G14,$E14, $F14, $H14, Q$3)*1.3*1.3,0)),"-")</f>
        <v>-</v>
      </c>
      <c r="R14" s="44">
        <f>IF($J14=R$3,IF(R$3&gt;$I14,"-",ROUNDUP(Ld_cal($B14, $C14, $D14, $G14,$E14, $F14, $H14, R$3)*1.3*1.3,0)),"-")</f>
        <v>137</v>
      </c>
      <c r="S14" s="44" t="str">
        <f>IF($J14=S$3,IF(S$3&gt;$I14,"-",ROUNDUP(Ld_cal($B14, $C14, $D14, $G14,$E14, $F14, $H14, S$3)*1.3*1.3,0)),"-")</f>
        <v>-</v>
      </c>
      <c r="T14" s="44" t="str">
        <f>IF($J14=T$3,IF(T$3&gt;$I14,"-",ROUNDUP(Ld_cal($B14, $C14, $D14, $G14,$E14, $F14, $H14, T$3)*1.3*1.3,0)),"-")</f>
        <v>-</v>
      </c>
      <c r="U14" s="44" t="str">
        <f>IF($J14=U$3,IF(U$3&gt;$I14,"-",ROUNDUP(Ld_cal($B14, $C14, $D14, $G14,$E14, $F14, $H14, U$3)*1.3*1.3,0)),"-")</f>
        <v>-</v>
      </c>
      <c r="V14" s="44" t="str">
        <f>IF($J14=V$3,IF(V$3&gt;$I14,"-",ROUNDUP(Ld_cal($B14, $C14, $D14, $G14,$E14, $F14, $H14, V$3)*1.3*1.3,0)),"-")</f>
        <v>-</v>
      </c>
      <c r="W14" s="44" t="str">
        <f>IF($J14=W$3,IF(W$3&gt;$I14,"-",ROUNDUP(Ld_cal($B14, $C14, $D14, $G14,$E14, $F14, $H14, W$3)*1.3*1.3,0)),"-")</f>
        <v>-</v>
      </c>
      <c r="X14" s="44" t="str">
        <f>IF($J14=X$3,IF(X$3&gt;$I14,"-",ROUNDUP(Ld_cal($B14, $C14, $D14, $G14,$E14, $F14, $H14, X$3)*1.3*1.3,0)),"-")</f>
        <v>-</v>
      </c>
      <c r="Y14" s="44" t="str">
        <f>IF($J14=Y$3,IF(Y$3&gt;$I14,"-",ROUNDUP(Ld_cal($B14, $C14, $D14, $G14,$E14, $F14, $H14, Y$3)*1.3*1.3,0)),"-")</f>
        <v>-</v>
      </c>
      <c r="Z14" s="44" t="str">
        <f>IF($J14=Z$3,IF(Z$3&gt;$I14,"-",ROUNDUP(Ld_cal($B14, $C14, $D14, $G14,$E14, $F14, $H14, Z$3)*1.3*1.3,0)),"-")</f>
        <v>-</v>
      </c>
      <c r="AA14" s="44" t="str">
        <f>IF($J14=AA$3,IF(AA$3&gt;$I14,"-",ROUNDUP(Ld_cal($B14, $C14, $D14, $G14,$E14, $F14, $H14, AA$3)*1.3*1.3,0)),"-")</f>
        <v>-</v>
      </c>
      <c r="AB14" s="44" t="str">
        <f>IF($J14=AB$3,IF(AB$3&gt;$I14,"-",ROUNDUP(Ld_cal($B14, $C14, $D14, $G14,$E14, $F14, $H14, AB$3)*1.3*1.3,0)),"-")</f>
        <v>-</v>
      </c>
      <c r="AC14" s="44" t="str">
        <f>IF($J14=AC$3,IF(AC$3&gt;$I14,"-",ROUNDUP(Ld_cal($B14, $C14, $D14, $G14,$E14, $F14, $H14, AC$3)*1.3*1.3,0)),"-")</f>
        <v>-</v>
      </c>
      <c r="AD14" s="46">
        <f t="shared" ref="AD14" si="8">IF(J14&gt;I14,"依標準圖",MAX(L14:AC14))</f>
        <v>137</v>
      </c>
    </row>
    <row r="15" spans="1:30" s="45" customFormat="1">
      <c r="A15" s="113"/>
      <c r="B15" s="99"/>
      <c r="C15" s="114"/>
      <c r="D15" s="99"/>
      <c r="E15" s="102"/>
      <c r="F15" s="103"/>
      <c r="G15" s="99"/>
      <c r="H15" s="102"/>
      <c r="I15" s="104"/>
      <c r="J15" s="42">
        <v>5</v>
      </c>
      <c r="K15" s="43" t="s">
        <v>33</v>
      </c>
      <c r="L15" s="44" t="str">
        <f>IF($J15=L$3,IF(L$3&gt;$I14,"-",ROUNDUP(Ld_cal($B14, $C14, $D14, $G14,$E14, $F14, $H14, L$3)*1.3,0)),"-")</f>
        <v>-</v>
      </c>
      <c r="M15" s="44" t="str">
        <f>IF($J15=M$3,IF(M$3&gt;$I14,"-",ROUNDUP(Ld_cal($B14, $C14, $D14, $G14,$E14, $F14, $H14, M$3)*1.3,0)),"-")</f>
        <v>-</v>
      </c>
      <c r="N15" s="44">
        <f>IF($J15=N$3,IF(N$3&gt;$I14,"-",ROUNDUP(Ld_cal($B14, $C14, $D14, $G14,$E14, $F14, $H14, N$3)*1.3,0)),"-")</f>
        <v>105</v>
      </c>
      <c r="O15" s="44" t="str">
        <f>IF($J15=O$3,IF(O$3&gt;$I14,"-",ROUNDUP(Ld_cal($B14, $C14, $D14, $G14,$E14, $F14, $H14, O$3)*1.3,0)),"-")</f>
        <v>-</v>
      </c>
      <c r="P15" s="44" t="str">
        <f>IF($J15=P$3,IF(P$3&gt;$I14,"-",ROUNDUP(Ld_cal($B14, $C14, $D14, $G14,$E14, $F14, $H14, P$3)*1.3,0)),"-")</f>
        <v>-</v>
      </c>
      <c r="Q15" s="44" t="str">
        <f>IF($J15=Q$3,IF(Q$3&gt;$I14,"-",ROUNDUP(Ld_cal($B14, $C14, $D14, $G14,$E14, $F14, $H14, Q$3)*1.3,0)),"-")</f>
        <v>-</v>
      </c>
      <c r="R15" s="44" t="str">
        <f>IF($J15=R$3,IF(R$3&gt;$I14,"-",ROUNDUP(Ld_cal($B14, $C14, $D14, $G14,$E14, $F14, $H14, R$3)*1.3,0)),"-")</f>
        <v>-</v>
      </c>
      <c r="S15" s="44" t="str">
        <f>IF($J15=S$3,IF(S$3&gt;$I14,"-",ROUNDUP(Ld_cal($B14, $C14, $D14, $G14,$E14, $F14, $H14, S$3)*1.3,0)),"-")</f>
        <v>-</v>
      </c>
      <c r="T15" s="44" t="str">
        <f>IF($J15=T$3,IF(T$3&gt;$I14,"-",ROUNDUP(Ld_cal($B14, $C14, $D14, $G14,$E14, $F14, $H14, T$3)*1.3,0)),"-")</f>
        <v>-</v>
      </c>
      <c r="U15" s="44" t="str">
        <f>IF($J15=U$3,IF(U$3&gt;$I14,"-",ROUNDUP(Ld_cal($B14, $C14, $D14, $G14,$E14, $F14, $H14, U$3)*1.3,0)),"-")</f>
        <v>-</v>
      </c>
      <c r="V15" s="44" t="str">
        <f>IF($J15=V$3,IF(V$3&gt;$I14,"-",ROUNDUP(Ld_cal($B14, $C14, $D14, $G14,$E14, $F14, $H14, V$3)*1.3,0)),"-")</f>
        <v>-</v>
      </c>
      <c r="W15" s="44" t="str">
        <f>IF($J15=W$3,IF(W$3&gt;$I14,"-",ROUNDUP(Ld_cal($B14, $C14, $D14, $G14,$E14, $F14, $H14, W$3)*1.3,0)),"-")</f>
        <v>-</v>
      </c>
      <c r="X15" s="44" t="str">
        <f>IF($J15=X$3,IF(X$3&gt;$I14,"-",ROUNDUP(Ld_cal($B14, $C14, $D14, $G14,$E14, $F14, $H14, X$3)*1.3,0)),"-")</f>
        <v>-</v>
      </c>
      <c r="Y15" s="44" t="str">
        <f>IF($J15=Y$3,IF(Y$3&gt;$I14,"-",ROUNDUP(Ld_cal($B14, $C14, $D14, $G14,$E14, $F14, $H14, Y$3)*1.3,0)),"-")</f>
        <v>-</v>
      </c>
      <c r="Z15" s="44" t="str">
        <f>IF($J15=Z$3,IF(Z$3&gt;$I14,"-",ROUNDUP(Ld_cal($B14, $C14, $D14, $G14,$E14, $F14, $H14, Z$3)*1.3,0)),"-")</f>
        <v>-</v>
      </c>
      <c r="AA15" s="44" t="str">
        <f>IF($J15=AA$3,IF(AA$3&gt;$I14,"-",ROUNDUP(Ld_cal($B14, $C14, $D14, $G14,$E14, $F14, $H14, AA$3)*1.3,0)),"-")</f>
        <v>-</v>
      </c>
      <c r="AB15" s="44" t="str">
        <f>IF($J15=AB$3,IF(AB$3&gt;$I14,"-",ROUNDUP(Ld_cal($B14, $C14, $D14, $G14,$E14, $F14, $H14, AB$3)*1.3,0)),"-")</f>
        <v>-</v>
      </c>
      <c r="AC15" s="44" t="str">
        <f>IF($J15=AC$3,IF(AC$3&gt;$I14,"-",ROUNDUP(Ld_cal($B14, $C14, $D14, $G14,$E14, $F14, $H14, AC$3)*1.3,0)),"-")</f>
        <v>-</v>
      </c>
      <c r="AD15" s="46">
        <f t="shared" ref="AD15" si="9">IF(J15&gt;I14,"依標準圖",MAX(L15:AC15))</f>
        <v>105</v>
      </c>
    </row>
    <row r="16" spans="1:30">
      <c r="A16" s="112" t="s">
        <v>84</v>
      </c>
      <c r="B16" s="107">
        <v>120</v>
      </c>
      <c r="C16" s="108">
        <v>7.5</v>
      </c>
      <c r="D16" s="107">
        <v>4200</v>
      </c>
      <c r="E16" s="109">
        <v>16</v>
      </c>
      <c r="F16" s="110">
        <v>10</v>
      </c>
      <c r="G16" s="107">
        <v>350</v>
      </c>
      <c r="H16" s="109">
        <v>32</v>
      </c>
      <c r="I16" s="111">
        <f>ROUNDDOWN(($B16-2*$C16-2*$E16/10-$H16/10)/(($D$1+1)*$H16/10),0)+1</f>
        <v>16</v>
      </c>
      <c r="J16" s="39">
        <v>5</v>
      </c>
      <c r="K16" s="40" t="s">
        <v>30</v>
      </c>
      <c r="L16" s="41" t="str">
        <f>IF($J16=L$3,IF(L$3&gt;$I16,"-",ROUNDUP(Ld_cal($B16, $C16, $D16, $G16,$E16, $F16, $H16, L$3)*1.3*1.3,0)),"-")</f>
        <v>-</v>
      </c>
      <c r="M16" s="41" t="str">
        <f>IF($J16=M$3,IF(M$3&gt;$I16,"-",ROUNDUP(Ld_cal($B16, $C16, $D16, $G16,$E16, $F16, $H16, M$3)*1.3*1.3,0)),"-")</f>
        <v>-</v>
      </c>
      <c r="N16" s="41">
        <f>IF($J16=N$3,IF(N$3&gt;$I16,"-",ROUNDUP(Ld_cal($B16, $C16, $D16, $G16,$E16, $F16, $H16, N$3)*1.3*1.3,0)),"-")</f>
        <v>136</v>
      </c>
      <c r="O16" s="41" t="str">
        <f>IF($J16=O$3,IF(O$3&gt;$I16,"-",ROUNDUP(Ld_cal($B16, $C16, $D16, $G16,$E16, $F16, $H16, O$3)*1.3*1.3,0)),"-")</f>
        <v>-</v>
      </c>
      <c r="P16" s="41" t="str">
        <f>IF($J16=P$3,IF(P$3&gt;$I16,"-",ROUNDUP(Ld_cal($B16, $C16, $D16, $G16,$E16, $F16, $H16, P$3)*1.3*1.3,0)),"-")</f>
        <v>-</v>
      </c>
      <c r="Q16" s="41" t="str">
        <f>IF($J16=Q$3,IF(Q$3&gt;$I16,"-",ROUNDUP(Ld_cal($B16, $C16, $D16, $G16,$E16, $F16, $H16, Q$3)*1.3*1.3,0)),"-")</f>
        <v>-</v>
      </c>
      <c r="R16" s="41" t="str">
        <f>IF($J16=R$3,IF(R$3&gt;$I16,"-",ROUNDUP(Ld_cal($B16, $C16, $D16, $G16,$E16, $F16, $H16, R$3)*1.3*1.3,0)),"-")</f>
        <v>-</v>
      </c>
      <c r="S16" s="41" t="str">
        <f>IF($J16=S$3,IF(S$3&gt;$I16,"-",ROUNDUP(Ld_cal($B16, $C16, $D16, $G16,$E16, $F16, $H16, S$3)*1.3*1.3,0)),"-")</f>
        <v>-</v>
      </c>
      <c r="T16" s="41" t="str">
        <f>IF($J16=T$3,IF(T$3&gt;$I16,"-",ROUNDUP(Ld_cal($B16, $C16, $D16, $G16,$E16, $F16, $H16, T$3)*1.3*1.3,0)),"-")</f>
        <v>-</v>
      </c>
      <c r="U16" s="41" t="str">
        <f>IF($J16=U$3,IF(U$3&gt;$I16,"-",ROUNDUP(Ld_cal($B16, $C16, $D16, $G16,$E16, $F16, $H16, U$3)*1.3*1.3,0)),"-")</f>
        <v>-</v>
      </c>
      <c r="V16" s="41" t="str">
        <f>IF($J16=V$3,IF(V$3&gt;$I16,"-",ROUNDUP(Ld_cal($B16, $C16, $D16, $G16,$E16, $F16, $H16, V$3)*1.3*1.3,0)),"-")</f>
        <v>-</v>
      </c>
      <c r="W16" s="41" t="str">
        <f>IF($J16=W$3,IF(W$3&gt;$I16,"-",ROUNDUP(Ld_cal($B16, $C16, $D16, $G16,$E16, $F16, $H16, W$3)*1.3*1.3,0)),"-")</f>
        <v>-</v>
      </c>
      <c r="X16" s="41" t="str">
        <f>IF($J16=X$3,IF(X$3&gt;$I16,"-",ROUNDUP(Ld_cal($B16, $C16, $D16, $G16,$E16, $F16, $H16, X$3)*1.3*1.3,0)),"-")</f>
        <v>-</v>
      </c>
      <c r="Y16" s="41" t="str">
        <f>IF($J16=Y$3,IF(Y$3&gt;$I16,"-",ROUNDUP(Ld_cal($B16, $C16, $D16, $G16,$E16, $F16, $H16, Y$3)*1.3*1.3,0)),"-")</f>
        <v>-</v>
      </c>
      <c r="Z16" s="41" t="str">
        <f>IF($J16=Z$3,IF(Z$3&gt;$I16,"-",ROUNDUP(Ld_cal($B16, $C16, $D16, $G16,$E16, $F16, $H16, Z$3)*1.3*1.3,0)),"-")</f>
        <v>-</v>
      </c>
      <c r="AA16" s="41" t="str">
        <f>IF($J16=AA$3,IF(AA$3&gt;$I16,"-",ROUNDUP(Ld_cal($B16, $C16, $D16, $G16,$E16, $F16, $H16, AA$3)*1.3*1.3,0)),"-")</f>
        <v>-</v>
      </c>
      <c r="AB16" s="41" t="str">
        <f>IF($J16=AB$3,IF(AB$3&gt;$I16,"-",ROUNDUP(Ld_cal($B16, $C16, $D16, $G16,$E16, $F16, $H16, AB$3)*1.3*1.3,0)),"-")</f>
        <v>-</v>
      </c>
      <c r="AC16" s="41" t="str">
        <f>IF($J16=AC$3,IF(AC$3&gt;$I16,"-",ROUNDUP(Ld_cal($B16, $C16, $D16, $G16,$E16, $F16, $H16, AC$3)*1.3*1.3,0)),"-")</f>
        <v>-</v>
      </c>
      <c r="AD16" s="47">
        <f t="shared" ref="AD16" si="10">IF(J16&gt;I16,"依標準圖",MAX(L16:AC16))</f>
        <v>136</v>
      </c>
    </row>
    <row r="17" spans="1:30">
      <c r="A17" s="112"/>
      <c r="B17" s="107"/>
      <c r="C17" s="108"/>
      <c r="D17" s="107"/>
      <c r="E17" s="109"/>
      <c r="F17" s="110"/>
      <c r="G17" s="107"/>
      <c r="H17" s="109"/>
      <c r="I17" s="111"/>
      <c r="J17" s="39">
        <v>8</v>
      </c>
      <c r="K17" s="40" t="s">
        <v>29</v>
      </c>
      <c r="L17" s="41" t="str">
        <f>IF($J17=L$3,IF(L$3&gt;$I16,"-",ROUNDUP(Ld_cal($B16, $C16, $D16, $G16,$E16, $F16, $H16, L$3)*1.3,0)),"-")</f>
        <v>-</v>
      </c>
      <c r="M17" s="41" t="str">
        <f>IF($J17=M$3,IF(M$3&gt;$I16,"-",ROUNDUP(Ld_cal($B16, $C16, $D16, $G16,$E16, $F16, $H16, M$3)*1.3,0)),"-")</f>
        <v>-</v>
      </c>
      <c r="N17" s="41" t="str">
        <f>IF($J17=N$3,IF(N$3&gt;$I16,"-",ROUNDUP(Ld_cal($B16, $C16, $D16, $G16,$E16, $F16, $H16, N$3)*1.3,0)),"-")</f>
        <v>-</v>
      </c>
      <c r="O17" s="41" t="str">
        <f>IF($J17=O$3,IF(O$3&gt;$I16,"-",ROUNDUP(Ld_cal($B16, $C16, $D16, $G16,$E16, $F16, $H16, O$3)*1.3,0)),"-")</f>
        <v>-</v>
      </c>
      <c r="P17" s="41" t="str">
        <f>IF($J17=P$3,IF(P$3&gt;$I16,"-",ROUNDUP(Ld_cal($B16, $C16, $D16, $G16,$E16, $F16, $H16, P$3)*1.3,0)),"-")</f>
        <v>-</v>
      </c>
      <c r="Q17" s="41">
        <f>IF($J17=Q$3,IF(Q$3&gt;$I16,"-",ROUNDUP(Ld_cal($B16, $C16, $D16, $G16,$E16, $F16, $H16, Q$3)*1.3,0)),"-")</f>
        <v>105</v>
      </c>
      <c r="R17" s="41" t="str">
        <f>IF($J17=R$3,IF(R$3&gt;$I16,"-",ROUNDUP(Ld_cal($B16, $C16, $D16, $G16,$E16, $F16, $H16, R$3)*1.3,0)),"-")</f>
        <v>-</v>
      </c>
      <c r="S17" s="41" t="str">
        <f>IF($J17=S$3,IF(S$3&gt;$I16,"-",ROUNDUP(Ld_cal($B16, $C16, $D16, $G16,$E16, $F16, $H16, S$3)*1.3,0)),"-")</f>
        <v>-</v>
      </c>
      <c r="T17" s="41" t="str">
        <f>IF($J17=T$3,IF(T$3&gt;$I16,"-",ROUNDUP(Ld_cal($B16, $C16, $D16, $G16,$E16, $F16, $H16, T$3)*1.3,0)),"-")</f>
        <v>-</v>
      </c>
      <c r="U17" s="41" t="str">
        <f>IF($J17=U$3,IF(U$3&gt;$I16,"-",ROUNDUP(Ld_cal($B16, $C16, $D16, $G16,$E16, $F16, $H16, U$3)*1.3,0)),"-")</f>
        <v>-</v>
      </c>
      <c r="V17" s="41" t="str">
        <f>IF($J17=V$3,IF(V$3&gt;$I16,"-",ROUNDUP(Ld_cal($B16, $C16, $D16, $G16,$E16, $F16, $H16, V$3)*1.3,0)),"-")</f>
        <v>-</v>
      </c>
      <c r="W17" s="41" t="str">
        <f>IF($J17=W$3,IF(W$3&gt;$I16,"-",ROUNDUP(Ld_cal($B16, $C16, $D16, $G16,$E16, $F16, $H16, W$3)*1.3,0)),"-")</f>
        <v>-</v>
      </c>
      <c r="X17" s="41" t="str">
        <f>IF($J17=X$3,IF(X$3&gt;$I16,"-",ROUNDUP(Ld_cal($B16, $C16, $D16, $G16,$E16, $F16, $H16, X$3)*1.3,0)),"-")</f>
        <v>-</v>
      </c>
      <c r="Y17" s="41" t="str">
        <f>IF($J17=Y$3,IF(Y$3&gt;$I16,"-",ROUNDUP(Ld_cal($B16, $C16, $D16, $G16,$E16, $F16, $H16, Y$3)*1.3,0)),"-")</f>
        <v>-</v>
      </c>
      <c r="Z17" s="41" t="str">
        <f>IF($J17=Z$3,IF(Z$3&gt;$I16,"-",ROUNDUP(Ld_cal($B16, $C16, $D16, $G16,$E16, $F16, $H16, Z$3)*1.3,0)),"-")</f>
        <v>-</v>
      </c>
      <c r="AA17" s="41" t="str">
        <f>IF($J17=AA$3,IF(AA$3&gt;$I16,"-",ROUNDUP(Ld_cal($B16, $C16, $D16, $G16,$E16, $F16, $H16, AA$3)*1.3,0)),"-")</f>
        <v>-</v>
      </c>
      <c r="AB17" s="41" t="str">
        <f>IF($J17=AB$3,IF(AB$3&gt;$I16,"-",ROUNDUP(Ld_cal($B16, $C16, $D16, $G16,$E16, $F16, $H16, AB$3)*1.3,0)),"-")</f>
        <v>-</v>
      </c>
      <c r="AC17" s="41" t="str">
        <f>IF($J17=AC$3,IF(AC$3&gt;$I16,"-",ROUNDUP(Ld_cal($B16, $C16, $D16, $G16,$E16, $F16, $H16, AC$3)*1.3,0)),"-")</f>
        <v>-</v>
      </c>
      <c r="AD17" s="47">
        <f t="shared" ref="AD17" si="11">IF(J17&gt;I16,"依標準圖",MAX(L17:AC17))</f>
        <v>105</v>
      </c>
    </row>
    <row r="18" spans="1:30" s="45" customFormat="1">
      <c r="A18" s="113" t="s">
        <v>40</v>
      </c>
      <c r="B18" s="99">
        <v>120</v>
      </c>
      <c r="C18" s="114">
        <v>7.5</v>
      </c>
      <c r="D18" s="99">
        <v>4200</v>
      </c>
      <c r="E18" s="102">
        <v>16</v>
      </c>
      <c r="F18" s="103">
        <v>10</v>
      </c>
      <c r="G18" s="99">
        <v>350</v>
      </c>
      <c r="H18" s="102">
        <v>32</v>
      </c>
      <c r="I18" s="104">
        <f>ROUNDDOWN(($B18-2*$C18-2*$E18/10-$H18/10)/(($D$1+1)*$H18/10),0)+1</f>
        <v>16</v>
      </c>
      <c r="J18" s="42">
        <v>5</v>
      </c>
      <c r="K18" s="43" t="s">
        <v>30</v>
      </c>
      <c r="L18" s="44" t="str">
        <f>IF($J18=L$3,IF(L$3&gt;$I18,"-",ROUNDUP(Ld_cal($B18, $C18, $D18, $G18,$E18, $F18, $H18, L$3)*1.3*1.3,0)),"-")</f>
        <v>-</v>
      </c>
      <c r="M18" s="44" t="str">
        <f>IF($J18=M$3,IF(M$3&gt;$I18,"-",ROUNDUP(Ld_cal($B18, $C18, $D18, $G18,$E18, $F18, $H18, M$3)*1.3*1.3,0)),"-")</f>
        <v>-</v>
      </c>
      <c r="N18" s="44">
        <f>IF($J18=N$3,IF(N$3&gt;$I18,"-",ROUNDUP(Ld_cal($B18, $C18, $D18, $G18,$E18, $F18, $H18, N$3)*1.3*1.3,0)),"-")</f>
        <v>136</v>
      </c>
      <c r="O18" s="44" t="str">
        <f>IF($J18=O$3,IF(O$3&gt;$I18,"-",ROUNDUP(Ld_cal($B18, $C18, $D18, $G18,$E18, $F18, $H18, O$3)*1.3*1.3,0)),"-")</f>
        <v>-</v>
      </c>
      <c r="P18" s="44" t="str">
        <f>IF($J18=P$3,IF(P$3&gt;$I18,"-",ROUNDUP(Ld_cal($B18, $C18, $D18, $G18,$E18, $F18, $H18, P$3)*1.3*1.3,0)),"-")</f>
        <v>-</v>
      </c>
      <c r="Q18" s="44" t="str">
        <f>IF($J18=Q$3,IF(Q$3&gt;$I18,"-",ROUNDUP(Ld_cal($B18, $C18, $D18, $G18,$E18, $F18, $H18, Q$3)*1.3*1.3,0)),"-")</f>
        <v>-</v>
      </c>
      <c r="R18" s="44" t="str">
        <f>IF($J18=R$3,IF(R$3&gt;$I18,"-",ROUNDUP(Ld_cal($B18, $C18, $D18, $G18,$E18, $F18, $H18, R$3)*1.3*1.3,0)),"-")</f>
        <v>-</v>
      </c>
      <c r="S18" s="44" t="str">
        <f>IF($J18=S$3,IF(S$3&gt;$I18,"-",ROUNDUP(Ld_cal($B18, $C18, $D18, $G18,$E18, $F18, $H18, S$3)*1.3*1.3,0)),"-")</f>
        <v>-</v>
      </c>
      <c r="T18" s="44" t="str">
        <f>IF($J18=T$3,IF(T$3&gt;$I18,"-",ROUNDUP(Ld_cal($B18, $C18, $D18, $G18,$E18, $F18, $H18, T$3)*1.3*1.3,0)),"-")</f>
        <v>-</v>
      </c>
      <c r="U18" s="44" t="str">
        <f>IF($J18=U$3,IF(U$3&gt;$I18,"-",ROUNDUP(Ld_cal($B18, $C18, $D18, $G18,$E18, $F18, $H18, U$3)*1.3*1.3,0)),"-")</f>
        <v>-</v>
      </c>
      <c r="V18" s="44" t="str">
        <f>IF($J18=V$3,IF(V$3&gt;$I18,"-",ROUNDUP(Ld_cal($B18, $C18, $D18, $G18,$E18, $F18, $H18, V$3)*1.3*1.3,0)),"-")</f>
        <v>-</v>
      </c>
      <c r="W18" s="44" t="str">
        <f>IF($J18=W$3,IF(W$3&gt;$I18,"-",ROUNDUP(Ld_cal($B18, $C18, $D18, $G18,$E18, $F18, $H18, W$3)*1.3*1.3,0)),"-")</f>
        <v>-</v>
      </c>
      <c r="X18" s="44" t="str">
        <f>IF($J18=X$3,IF(X$3&gt;$I18,"-",ROUNDUP(Ld_cal($B18, $C18, $D18, $G18,$E18, $F18, $H18, X$3)*1.3*1.3,0)),"-")</f>
        <v>-</v>
      </c>
      <c r="Y18" s="44" t="str">
        <f>IF($J18=Y$3,IF(Y$3&gt;$I18,"-",ROUNDUP(Ld_cal($B18, $C18, $D18, $G18,$E18, $F18, $H18, Y$3)*1.3*1.3,0)),"-")</f>
        <v>-</v>
      </c>
      <c r="Z18" s="44" t="str">
        <f>IF($J18=Z$3,IF(Z$3&gt;$I18,"-",ROUNDUP(Ld_cal($B18, $C18, $D18, $G18,$E18, $F18, $H18, Z$3)*1.3*1.3,0)),"-")</f>
        <v>-</v>
      </c>
      <c r="AA18" s="44" t="str">
        <f>IF($J18=AA$3,IF(AA$3&gt;$I18,"-",ROUNDUP(Ld_cal($B18, $C18, $D18, $G18,$E18, $F18, $H18, AA$3)*1.3*1.3,0)),"-")</f>
        <v>-</v>
      </c>
      <c r="AB18" s="44" t="str">
        <f>IF($J18=AB$3,IF(AB$3&gt;$I18,"-",ROUNDUP(Ld_cal($B18, $C18, $D18, $G18,$E18, $F18, $H18, AB$3)*1.3*1.3,0)),"-")</f>
        <v>-</v>
      </c>
      <c r="AC18" s="44" t="str">
        <f>IF($J18=AC$3,IF(AC$3&gt;$I18,"-",ROUNDUP(Ld_cal($B18, $C18, $D18, $G18,$E18, $F18, $H18, AC$3)*1.3*1.3,0)),"-")</f>
        <v>-</v>
      </c>
      <c r="AD18" s="46">
        <f t="shared" ref="AD18" si="12">IF(J18&gt;I18,"依標準圖",MAX(L18:AC18))</f>
        <v>136</v>
      </c>
    </row>
    <row r="19" spans="1:30" s="45" customFormat="1">
      <c r="A19" s="113"/>
      <c r="B19" s="99"/>
      <c r="C19" s="114"/>
      <c r="D19" s="99"/>
      <c r="E19" s="102"/>
      <c r="F19" s="103"/>
      <c r="G19" s="99"/>
      <c r="H19" s="102"/>
      <c r="I19" s="104"/>
      <c r="J19" s="42">
        <v>7</v>
      </c>
      <c r="K19" s="43" t="s">
        <v>29</v>
      </c>
      <c r="L19" s="44" t="str">
        <f>IF($J19=L$3,IF(L$3&gt;$I18,"-",ROUNDUP(Ld_cal($B18, $C18, $D18, $G18,$E18, $F18, $H18, L$3)*1.3,0)),"-")</f>
        <v>-</v>
      </c>
      <c r="M19" s="44" t="str">
        <f>IF($J19=M$3,IF(M$3&gt;$I18,"-",ROUNDUP(Ld_cal($B18, $C18, $D18, $G18,$E18, $F18, $H18, M$3)*1.3,0)),"-")</f>
        <v>-</v>
      </c>
      <c r="N19" s="44" t="str">
        <f>IF($J19=N$3,IF(N$3&gt;$I18,"-",ROUNDUP(Ld_cal($B18, $C18, $D18, $G18,$E18, $F18, $H18, N$3)*1.3,0)),"-")</f>
        <v>-</v>
      </c>
      <c r="O19" s="44" t="str">
        <f>IF($J19=O$3,IF(O$3&gt;$I18,"-",ROUNDUP(Ld_cal($B18, $C18, $D18, $G18,$E18, $F18, $H18, O$3)*1.3,0)),"-")</f>
        <v>-</v>
      </c>
      <c r="P19" s="44">
        <f>IF($J19=P$3,IF(P$3&gt;$I18,"-",ROUNDUP(Ld_cal($B18, $C18, $D18, $G18,$E18, $F18, $H18, P$3)*1.3,0)),"-")</f>
        <v>105</v>
      </c>
      <c r="Q19" s="44" t="str">
        <f>IF($J19=Q$3,IF(Q$3&gt;$I18,"-",ROUNDUP(Ld_cal($B18, $C18, $D18, $G18,$E18, $F18, $H18, Q$3)*1.3,0)),"-")</f>
        <v>-</v>
      </c>
      <c r="R19" s="44" t="str">
        <f>IF($J19=R$3,IF(R$3&gt;$I18,"-",ROUNDUP(Ld_cal($B18, $C18, $D18, $G18,$E18, $F18, $H18, R$3)*1.3,0)),"-")</f>
        <v>-</v>
      </c>
      <c r="S19" s="44" t="str">
        <f>IF($J19=S$3,IF(S$3&gt;$I18,"-",ROUNDUP(Ld_cal($B18, $C18, $D18, $G18,$E18, $F18, $H18, S$3)*1.3,0)),"-")</f>
        <v>-</v>
      </c>
      <c r="T19" s="44" t="str">
        <f>IF($J19=T$3,IF(T$3&gt;$I18,"-",ROUNDUP(Ld_cal($B18, $C18, $D18, $G18,$E18, $F18, $H18, T$3)*1.3,0)),"-")</f>
        <v>-</v>
      </c>
      <c r="U19" s="44" t="str">
        <f>IF($J19=U$3,IF(U$3&gt;$I18,"-",ROUNDUP(Ld_cal($B18, $C18, $D18, $G18,$E18, $F18, $H18, U$3)*1.3,0)),"-")</f>
        <v>-</v>
      </c>
      <c r="V19" s="44" t="str">
        <f>IF($J19=V$3,IF(V$3&gt;$I18,"-",ROUNDUP(Ld_cal($B18, $C18, $D18, $G18,$E18, $F18, $H18, V$3)*1.3,0)),"-")</f>
        <v>-</v>
      </c>
      <c r="W19" s="44" t="str">
        <f>IF($J19=W$3,IF(W$3&gt;$I18,"-",ROUNDUP(Ld_cal($B18, $C18, $D18, $G18,$E18, $F18, $H18, W$3)*1.3,0)),"-")</f>
        <v>-</v>
      </c>
      <c r="X19" s="44" t="str">
        <f>IF($J19=X$3,IF(X$3&gt;$I18,"-",ROUNDUP(Ld_cal($B18, $C18, $D18, $G18,$E18, $F18, $H18, X$3)*1.3,0)),"-")</f>
        <v>-</v>
      </c>
      <c r="Y19" s="44" t="str">
        <f>IF($J19=Y$3,IF(Y$3&gt;$I18,"-",ROUNDUP(Ld_cal($B18, $C18, $D18, $G18,$E18, $F18, $H18, Y$3)*1.3,0)),"-")</f>
        <v>-</v>
      </c>
      <c r="Z19" s="44" t="str">
        <f>IF($J19=Z$3,IF(Z$3&gt;$I18,"-",ROUNDUP(Ld_cal($B18, $C18, $D18, $G18,$E18, $F18, $H18, Z$3)*1.3,0)),"-")</f>
        <v>-</v>
      </c>
      <c r="AA19" s="44" t="str">
        <f>IF($J19=AA$3,IF(AA$3&gt;$I18,"-",ROUNDUP(Ld_cal($B18, $C18, $D18, $G18,$E18, $F18, $H18, AA$3)*1.3,0)),"-")</f>
        <v>-</v>
      </c>
      <c r="AB19" s="44" t="str">
        <f>IF($J19=AB$3,IF(AB$3&gt;$I18,"-",ROUNDUP(Ld_cal($B18, $C18, $D18, $G18,$E18, $F18, $H18, AB$3)*1.3,0)),"-")</f>
        <v>-</v>
      </c>
      <c r="AC19" s="44" t="str">
        <f>IF($J19=AC$3,IF(AC$3&gt;$I18,"-",ROUNDUP(Ld_cal($B18, $C18, $D18, $G18,$E18, $F18, $H18, AC$3)*1.3,0)),"-")</f>
        <v>-</v>
      </c>
      <c r="AD19" s="46">
        <f t="shared" ref="AD19" si="13">IF(J19&gt;I18,"依標準圖",MAX(L19:AC19))</f>
        <v>105</v>
      </c>
    </row>
    <row r="20" spans="1:30">
      <c r="A20" s="112" t="s">
        <v>41</v>
      </c>
      <c r="B20" s="107">
        <v>120</v>
      </c>
      <c r="C20" s="108">
        <v>7.5</v>
      </c>
      <c r="D20" s="107">
        <v>4200</v>
      </c>
      <c r="E20" s="109">
        <v>16</v>
      </c>
      <c r="F20" s="110">
        <v>10</v>
      </c>
      <c r="G20" s="107">
        <v>350</v>
      </c>
      <c r="H20" s="109">
        <v>32</v>
      </c>
      <c r="I20" s="111">
        <f>ROUNDDOWN(($B20-2*$C20-2*$E20/10-$H20/10)/(($D$1+1)*$H20/10),0)+1</f>
        <v>16</v>
      </c>
      <c r="J20" s="39">
        <v>5</v>
      </c>
      <c r="K20" s="40" t="s">
        <v>30</v>
      </c>
      <c r="L20" s="41" t="str">
        <f>IF($J20=L$3,IF(L$3&gt;$I20,"-",ROUNDUP(Ld_cal($B20, $C20, $D20, $G20,$E20, $F20, $H20, L$3)*1.3*1.3,0)),"-")</f>
        <v>-</v>
      </c>
      <c r="M20" s="41" t="str">
        <f>IF($J20=M$3,IF(M$3&gt;$I20,"-",ROUNDUP(Ld_cal($B20, $C20, $D20, $G20,$E20, $F20, $H20, M$3)*1.3*1.3,0)),"-")</f>
        <v>-</v>
      </c>
      <c r="N20" s="41">
        <f>IF($J20=N$3,IF(N$3&gt;$I20,"-",ROUNDUP(Ld_cal($B20, $C20, $D20, $G20,$E20, $F20, $H20, N$3)*1.3*1.3,0)),"-")</f>
        <v>136</v>
      </c>
      <c r="O20" s="41" t="str">
        <f>IF($J20=O$3,IF(O$3&gt;$I20,"-",ROUNDUP(Ld_cal($B20, $C20, $D20, $G20,$E20, $F20, $H20, O$3)*1.3*1.3,0)),"-")</f>
        <v>-</v>
      </c>
      <c r="P20" s="41" t="str">
        <f>IF($J20=P$3,IF(P$3&gt;$I20,"-",ROUNDUP(Ld_cal($B20, $C20, $D20, $G20,$E20, $F20, $H20, P$3)*1.3*1.3,0)),"-")</f>
        <v>-</v>
      </c>
      <c r="Q20" s="41" t="str">
        <f>IF($J20=Q$3,IF(Q$3&gt;$I20,"-",ROUNDUP(Ld_cal($B20, $C20, $D20, $G20,$E20, $F20, $H20, Q$3)*1.3*1.3,0)),"-")</f>
        <v>-</v>
      </c>
      <c r="R20" s="41" t="str">
        <f>IF($J20=R$3,IF(R$3&gt;$I20,"-",ROUNDUP(Ld_cal($B20, $C20, $D20, $G20,$E20, $F20, $H20, R$3)*1.3*1.3,0)),"-")</f>
        <v>-</v>
      </c>
      <c r="S20" s="41" t="str">
        <f>IF($J20=S$3,IF(S$3&gt;$I20,"-",ROUNDUP(Ld_cal($B20, $C20, $D20, $G20,$E20, $F20, $H20, S$3)*1.3*1.3,0)),"-")</f>
        <v>-</v>
      </c>
      <c r="T20" s="41" t="str">
        <f>IF($J20=T$3,IF(T$3&gt;$I20,"-",ROUNDUP(Ld_cal($B20, $C20, $D20, $G20,$E20, $F20, $H20, T$3)*1.3*1.3,0)),"-")</f>
        <v>-</v>
      </c>
      <c r="U20" s="41" t="str">
        <f>IF($J20=U$3,IF(U$3&gt;$I20,"-",ROUNDUP(Ld_cal($B20, $C20, $D20, $G20,$E20, $F20, $H20, U$3)*1.3*1.3,0)),"-")</f>
        <v>-</v>
      </c>
      <c r="V20" s="41" t="str">
        <f>IF($J20=V$3,IF(V$3&gt;$I20,"-",ROUNDUP(Ld_cal($B20, $C20, $D20, $G20,$E20, $F20, $H20, V$3)*1.3*1.3,0)),"-")</f>
        <v>-</v>
      </c>
      <c r="W20" s="41" t="str">
        <f>IF($J20=W$3,IF(W$3&gt;$I20,"-",ROUNDUP(Ld_cal($B20, $C20, $D20, $G20,$E20, $F20, $H20, W$3)*1.3*1.3,0)),"-")</f>
        <v>-</v>
      </c>
      <c r="X20" s="41" t="str">
        <f>IF($J20=X$3,IF(X$3&gt;$I20,"-",ROUNDUP(Ld_cal($B20, $C20, $D20, $G20,$E20, $F20, $H20, X$3)*1.3*1.3,0)),"-")</f>
        <v>-</v>
      </c>
      <c r="Y20" s="41" t="str">
        <f>IF($J20=Y$3,IF(Y$3&gt;$I20,"-",ROUNDUP(Ld_cal($B20, $C20, $D20, $G20,$E20, $F20, $H20, Y$3)*1.3*1.3,0)),"-")</f>
        <v>-</v>
      </c>
      <c r="Z20" s="41" t="str">
        <f>IF($J20=Z$3,IF(Z$3&gt;$I20,"-",ROUNDUP(Ld_cal($B20, $C20, $D20, $G20,$E20, $F20, $H20, Z$3)*1.3*1.3,0)),"-")</f>
        <v>-</v>
      </c>
      <c r="AA20" s="41" t="str">
        <f>IF($J20=AA$3,IF(AA$3&gt;$I20,"-",ROUNDUP(Ld_cal($B20, $C20, $D20, $G20,$E20, $F20, $H20, AA$3)*1.3*1.3,0)),"-")</f>
        <v>-</v>
      </c>
      <c r="AB20" s="41" t="str">
        <f>IF($J20=AB$3,IF(AB$3&gt;$I20,"-",ROUNDUP(Ld_cal($B20, $C20, $D20, $G20,$E20, $F20, $H20, AB$3)*1.3*1.3,0)),"-")</f>
        <v>-</v>
      </c>
      <c r="AC20" s="41" t="str">
        <f>IF($J20=AC$3,IF(AC$3&gt;$I20,"-",ROUNDUP(Ld_cal($B20, $C20, $D20, $G20,$E20, $F20, $H20, AC$3)*1.3*1.3,0)),"-")</f>
        <v>-</v>
      </c>
      <c r="AD20" s="47">
        <f t="shared" ref="AD20" si="14">IF(J20&gt;I20,"依標準圖",MAX(L20:AC20))</f>
        <v>136</v>
      </c>
    </row>
    <row r="21" spans="1:30">
      <c r="A21" s="112"/>
      <c r="B21" s="107"/>
      <c r="C21" s="108"/>
      <c r="D21" s="107"/>
      <c r="E21" s="109"/>
      <c r="F21" s="110"/>
      <c r="G21" s="107"/>
      <c r="H21" s="109"/>
      <c r="I21" s="111"/>
      <c r="J21" s="39">
        <v>5</v>
      </c>
      <c r="K21" s="40" t="s">
        <v>29</v>
      </c>
      <c r="L21" s="41" t="str">
        <f>IF($J21=L$3,IF(L$3&gt;$I20,"-",ROUNDUP(Ld_cal($B20, $C20, $D20, $G20,$E20, $F20, $H20, L$3)*1.3,0)),"-")</f>
        <v>-</v>
      </c>
      <c r="M21" s="41" t="str">
        <f>IF($J21=M$3,IF(M$3&gt;$I20,"-",ROUNDUP(Ld_cal($B20, $C20, $D20, $G20,$E20, $F20, $H20, M$3)*1.3,0)),"-")</f>
        <v>-</v>
      </c>
      <c r="N21" s="41">
        <f>IF($J21=N$3,IF(N$3&gt;$I20,"-",ROUNDUP(Ld_cal($B20, $C20, $D20, $G20,$E20, $F20, $H20, N$3)*1.3,0)),"-")</f>
        <v>105</v>
      </c>
      <c r="O21" s="41" t="str">
        <f>IF($J21=O$3,IF(O$3&gt;$I20,"-",ROUNDUP(Ld_cal($B20, $C20, $D20, $G20,$E20, $F20, $H20, O$3)*1.3,0)),"-")</f>
        <v>-</v>
      </c>
      <c r="P21" s="41" t="str">
        <f>IF($J21=P$3,IF(P$3&gt;$I20,"-",ROUNDUP(Ld_cal($B20, $C20, $D20, $G20,$E20, $F20, $H20, P$3)*1.3,0)),"-")</f>
        <v>-</v>
      </c>
      <c r="Q21" s="41" t="str">
        <f>IF($J21=Q$3,IF(Q$3&gt;$I20,"-",ROUNDUP(Ld_cal($B20, $C20, $D20, $G20,$E20, $F20, $H20, Q$3)*1.3,0)),"-")</f>
        <v>-</v>
      </c>
      <c r="R21" s="41" t="str">
        <f>IF($J21=R$3,IF(R$3&gt;$I20,"-",ROUNDUP(Ld_cal($B20, $C20, $D20, $G20,$E20, $F20, $H20, R$3)*1.3,0)),"-")</f>
        <v>-</v>
      </c>
      <c r="S21" s="41" t="str">
        <f>IF($J21=S$3,IF(S$3&gt;$I20,"-",ROUNDUP(Ld_cal($B20, $C20, $D20, $G20,$E20, $F20, $H20, S$3)*1.3,0)),"-")</f>
        <v>-</v>
      </c>
      <c r="T21" s="41" t="str">
        <f>IF($J21=T$3,IF(T$3&gt;$I20,"-",ROUNDUP(Ld_cal($B20, $C20, $D20, $G20,$E20, $F20, $H20, T$3)*1.3,0)),"-")</f>
        <v>-</v>
      </c>
      <c r="U21" s="41" t="str">
        <f>IF($J21=U$3,IF(U$3&gt;$I20,"-",ROUNDUP(Ld_cal($B20, $C20, $D20, $G20,$E20, $F20, $H20, U$3)*1.3,0)),"-")</f>
        <v>-</v>
      </c>
      <c r="V21" s="41" t="str">
        <f>IF($J21=V$3,IF(V$3&gt;$I20,"-",ROUNDUP(Ld_cal($B20, $C20, $D20, $G20,$E20, $F20, $H20, V$3)*1.3,0)),"-")</f>
        <v>-</v>
      </c>
      <c r="W21" s="41" t="str">
        <f>IF($J21=W$3,IF(W$3&gt;$I20,"-",ROUNDUP(Ld_cal($B20, $C20, $D20, $G20,$E20, $F20, $H20, W$3)*1.3,0)),"-")</f>
        <v>-</v>
      </c>
      <c r="X21" s="41" t="str">
        <f>IF($J21=X$3,IF(X$3&gt;$I20,"-",ROUNDUP(Ld_cal($B20, $C20, $D20, $G20,$E20, $F20, $H20, X$3)*1.3,0)),"-")</f>
        <v>-</v>
      </c>
      <c r="Y21" s="41" t="str">
        <f>IF($J21=Y$3,IF(Y$3&gt;$I20,"-",ROUNDUP(Ld_cal($B20, $C20, $D20, $G20,$E20, $F20, $H20, Y$3)*1.3,0)),"-")</f>
        <v>-</v>
      </c>
      <c r="Z21" s="41" t="str">
        <f>IF($J21=Z$3,IF(Z$3&gt;$I20,"-",ROUNDUP(Ld_cal($B20, $C20, $D20, $G20,$E20, $F20, $H20, Z$3)*1.3,0)),"-")</f>
        <v>-</v>
      </c>
      <c r="AA21" s="41" t="str">
        <f>IF($J21=AA$3,IF(AA$3&gt;$I20,"-",ROUNDUP(Ld_cal($B20, $C20, $D20, $G20,$E20, $F20, $H20, AA$3)*1.3,0)),"-")</f>
        <v>-</v>
      </c>
      <c r="AB21" s="41" t="str">
        <f>IF($J21=AB$3,IF(AB$3&gt;$I20,"-",ROUNDUP(Ld_cal($B20, $C20, $D20, $G20,$E20, $F20, $H20, AB$3)*1.3,0)),"-")</f>
        <v>-</v>
      </c>
      <c r="AC21" s="41" t="str">
        <f>IF($J21=AC$3,IF(AC$3&gt;$I20,"-",ROUNDUP(Ld_cal($B20, $C20, $D20, $G20,$E20, $F20, $H20, AC$3)*1.3,0)),"-")</f>
        <v>-</v>
      </c>
      <c r="AD21" s="47">
        <f t="shared" ref="AD21" si="15">IF(J21&gt;I20,"依標準圖",MAX(L21:AC21))</f>
        <v>105</v>
      </c>
    </row>
    <row r="22" spans="1:30" s="45" customFormat="1">
      <c r="A22" s="113" t="s">
        <v>42</v>
      </c>
      <c r="B22" s="99">
        <v>120</v>
      </c>
      <c r="C22" s="114">
        <v>7.5</v>
      </c>
      <c r="D22" s="99">
        <v>4200</v>
      </c>
      <c r="E22" s="102">
        <v>16</v>
      </c>
      <c r="F22" s="103">
        <v>10</v>
      </c>
      <c r="G22" s="99">
        <v>350</v>
      </c>
      <c r="H22" s="102">
        <v>32</v>
      </c>
      <c r="I22" s="104">
        <f>ROUNDDOWN(($B22-2*$C22-2*$E22/10-$H22/10)/(($D$1+1)*$H22/10),0)+1</f>
        <v>16</v>
      </c>
      <c r="J22" s="42">
        <v>5</v>
      </c>
      <c r="K22" s="43" t="s">
        <v>30</v>
      </c>
      <c r="L22" s="44" t="str">
        <f>IF($J22=L$3,IF(L$3&gt;$I22,"-",ROUNDUP(Ld_cal($B22, $C22, $D22, $G22,$E22, $F22, $H22, L$3)*1.3*1.3,0)),"-")</f>
        <v>-</v>
      </c>
      <c r="M22" s="44" t="str">
        <f>IF($J22=M$3,IF(M$3&gt;$I22,"-",ROUNDUP(Ld_cal($B22, $C22, $D22, $G22,$E22, $F22, $H22, M$3)*1.3*1.3,0)),"-")</f>
        <v>-</v>
      </c>
      <c r="N22" s="44">
        <f>IF($J22=N$3,IF(N$3&gt;$I22,"-",ROUNDUP(Ld_cal($B22, $C22, $D22, $G22,$E22, $F22, $H22, N$3)*1.3*1.3,0)),"-")</f>
        <v>136</v>
      </c>
      <c r="O22" s="44" t="str">
        <f>IF($J22=O$3,IF(O$3&gt;$I22,"-",ROUNDUP(Ld_cal($B22, $C22, $D22, $G22,$E22, $F22, $H22, O$3)*1.3*1.3,0)),"-")</f>
        <v>-</v>
      </c>
      <c r="P22" s="44" t="str">
        <f>IF($J22=P$3,IF(P$3&gt;$I22,"-",ROUNDUP(Ld_cal($B22, $C22, $D22, $G22,$E22, $F22, $H22, P$3)*1.3*1.3,0)),"-")</f>
        <v>-</v>
      </c>
      <c r="Q22" s="44" t="str">
        <f>IF($J22=Q$3,IF(Q$3&gt;$I22,"-",ROUNDUP(Ld_cal($B22, $C22, $D22, $G22,$E22, $F22, $H22, Q$3)*1.3*1.3,0)),"-")</f>
        <v>-</v>
      </c>
      <c r="R22" s="44" t="str">
        <f>IF($J22=R$3,IF(R$3&gt;$I22,"-",ROUNDUP(Ld_cal($B22, $C22, $D22, $G22,$E22, $F22, $H22, R$3)*1.3*1.3,0)),"-")</f>
        <v>-</v>
      </c>
      <c r="S22" s="44" t="str">
        <f>IF($J22=S$3,IF(S$3&gt;$I22,"-",ROUNDUP(Ld_cal($B22, $C22, $D22, $G22,$E22, $F22, $H22, S$3)*1.3*1.3,0)),"-")</f>
        <v>-</v>
      </c>
      <c r="T22" s="44" t="str">
        <f>IF($J22=T$3,IF(T$3&gt;$I22,"-",ROUNDUP(Ld_cal($B22, $C22, $D22, $G22,$E22, $F22, $H22, T$3)*1.3*1.3,0)),"-")</f>
        <v>-</v>
      </c>
      <c r="U22" s="44" t="str">
        <f>IF($J22=U$3,IF(U$3&gt;$I22,"-",ROUNDUP(Ld_cal($B22, $C22, $D22, $G22,$E22, $F22, $H22, U$3)*1.3*1.3,0)),"-")</f>
        <v>-</v>
      </c>
      <c r="V22" s="44" t="str">
        <f>IF($J22=V$3,IF(V$3&gt;$I22,"-",ROUNDUP(Ld_cal($B22, $C22, $D22, $G22,$E22, $F22, $H22, V$3)*1.3*1.3,0)),"-")</f>
        <v>-</v>
      </c>
      <c r="W22" s="44" t="str">
        <f>IF($J22=W$3,IF(W$3&gt;$I22,"-",ROUNDUP(Ld_cal($B22, $C22, $D22, $G22,$E22, $F22, $H22, W$3)*1.3*1.3,0)),"-")</f>
        <v>-</v>
      </c>
      <c r="X22" s="44" t="str">
        <f>IF($J22=X$3,IF(X$3&gt;$I22,"-",ROUNDUP(Ld_cal($B22, $C22, $D22, $G22,$E22, $F22, $H22, X$3)*1.3*1.3,0)),"-")</f>
        <v>-</v>
      </c>
      <c r="Y22" s="44" t="str">
        <f>IF($J22=Y$3,IF(Y$3&gt;$I22,"-",ROUNDUP(Ld_cal($B22, $C22, $D22, $G22,$E22, $F22, $H22, Y$3)*1.3*1.3,0)),"-")</f>
        <v>-</v>
      </c>
      <c r="Z22" s="44" t="str">
        <f>IF($J22=Z$3,IF(Z$3&gt;$I22,"-",ROUNDUP(Ld_cal($B22, $C22, $D22, $G22,$E22, $F22, $H22, Z$3)*1.3*1.3,0)),"-")</f>
        <v>-</v>
      </c>
      <c r="AA22" s="44" t="str">
        <f>IF($J22=AA$3,IF(AA$3&gt;$I22,"-",ROUNDUP(Ld_cal($B22, $C22, $D22, $G22,$E22, $F22, $H22, AA$3)*1.3*1.3,0)),"-")</f>
        <v>-</v>
      </c>
      <c r="AB22" s="44" t="str">
        <f>IF($J22=AB$3,IF(AB$3&gt;$I22,"-",ROUNDUP(Ld_cal($B22, $C22, $D22, $G22,$E22, $F22, $H22, AB$3)*1.3*1.3,0)),"-")</f>
        <v>-</v>
      </c>
      <c r="AC22" s="44" t="str">
        <f>IF($J22=AC$3,IF(AC$3&gt;$I22,"-",ROUNDUP(Ld_cal($B22, $C22, $D22, $G22,$E22, $F22, $H22, AC$3)*1.3*1.3,0)),"-")</f>
        <v>-</v>
      </c>
      <c r="AD22" s="46">
        <f t="shared" ref="AD22" si="16">IF(J22&gt;I22,"依標準圖",MAX(L22:AC22))</f>
        <v>136</v>
      </c>
    </row>
    <row r="23" spans="1:30" s="45" customFormat="1">
      <c r="A23" s="113"/>
      <c r="B23" s="99"/>
      <c r="C23" s="114"/>
      <c r="D23" s="99"/>
      <c r="E23" s="102"/>
      <c r="F23" s="103"/>
      <c r="G23" s="99"/>
      <c r="H23" s="102"/>
      <c r="I23" s="104"/>
      <c r="J23" s="42">
        <v>5</v>
      </c>
      <c r="K23" s="43" t="s">
        <v>29</v>
      </c>
      <c r="L23" s="44" t="str">
        <f>IF($J23=L$3,IF(L$3&gt;$I22,"-",ROUNDUP(Ld_cal($B22, $C22, $D22, $G22,$E22, $F22, $H22, L$3)*1.3,0)),"-")</f>
        <v>-</v>
      </c>
      <c r="M23" s="44" t="str">
        <f>IF($J23=M$3,IF(M$3&gt;$I22,"-",ROUNDUP(Ld_cal($B22, $C22, $D22, $G22,$E22, $F22, $H22, M$3)*1.3,0)),"-")</f>
        <v>-</v>
      </c>
      <c r="N23" s="44">
        <f>IF($J23=N$3,IF(N$3&gt;$I22,"-",ROUNDUP(Ld_cal($B22, $C22, $D22, $G22,$E22, $F22, $H22, N$3)*1.3,0)),"-")</f>
        <v>105</v>
      </c>
      <c r="O23" s="44" t="str">
        <f>IF($J23=O$3,IF(O$3&gt;$I22,"-",ROUNDUP(Ld_cal($B22, $C22, $D22, $G22,$E22, $F22, $H22, O$3)*1.3,0)),"-")</f>
        <v>-</v>
      </c>
      <c r="P23" s="44" t="str">
        <f>IF($J23=P$3,IF(P$3&gt;$I22,"-",ROUNDUP(Ld_cal($B22, $C22, $D22, $G22,$E22, $F22, $H22, P$3)*1.3,0)),"-")</f>
        <v>-</v>
      </c>
      <c r="Q23" s="44" t="str">
        <f>IF($J23=Q$3,IF(Q$3&gt;$I22,"-",ROUNDUP(Ld_cal($B22, $C22, $D22, $G22,$E22, $F22, $H22, Q$3)*1.3,0)),"-")</f>
        <v>-</v>
      </c>
      <c r="R23" s="44" t="str">
        <f>IF($J23=R$3,IF(R$3&gt;$I22,"-",ROUNDUP(Ld_cal($B22, $C22, $D22, $G22,$E22, $F22, $H22, R$3)*1.3,0)),"-")</f>
        <v>-</v>
      </c>
      <c r="S23" s="44" t="str">
        <f>IF($J23=S$3,IF(S$3&gt;$I22,"-",ROUNDUP(Ld_cal($B22, $C22, $D22, $G22,$E22, $F22, $H22, S$3)*1.3,0)),"-")</f>
        <v>-</v>
      </c>
      <c r="T23" s="44" t="str">
        <f>IF($J23=T$3,IF(T$3&gt;$I22,"-",ROUNDUP(Ld_cal($B22, $C22, $D22, $G22,$E22, $F22, $H22, T$3)*1.3,0)),"-")</f>
        <v>-</v>
      </c>
      <c r="U23" s="44" t="str">
        <f>IF($J23=U$3,IF(U$3&gt;$I22,"-",ROUNDUP(Ld_cal($B22, $C22, $D22, $G22,$E22, $F22, $H22, U$3)*1.3,0)),"-")</f>
        <v>-</v>
      </c>
      <c r="V23" s="44" t="str">
        <f>IF($J23=V$3,IF(V$3&gt;$I22,"-",ROUNDUP(Ld_cal($B22, $C22, $D22, $G22,$E22, $F22, $H22, V$3)*1.3,0)),"-")</f>
        <v>-</v>
      </c>
      <c r="W23" s="44" t="str">
        <f>IF($J23=W$3,IF(W$3&gt;$I22,"-",ROUNDUP(Ld_cal($B22, $C22, $D22, $G22,$E22, $F22, $H22, W$3)*1.3,0)),"-")</f>
        <v>-</v>
      </c>
      <c r="X23" s="44" t="str">
        <f>IF($J23=X$3,IF(X$3&gt;$I22,"-",ROUNDUP(Ld_cal($B22, $C22, $D22, $G22,$E22, $F22, $H22, X$3)*1.3,0)),"-")</f>
        <v>-</v>
      </c>
      <c r="Y23" s="44" t="str">
        <f>IF($J23=Y$3,IF(Y$3&gt;$I22,"-",ROUNDUP(Ld_cal($B22, $C22, $D22, $G22,$E22, $F22, $H22, Y$3)*1.3,0)),"-")</f>
        <v>-</v>
      </c>
      <c r="Z23" s="44" t="str">
        <f>IF($J23=Z$3,IF(Z$3&gt;$I22,"-",ROUNDUP(Ld_cal($B22, $C22, $D22, $G22,$E22, $F22, $H22, Z$3)*1.3,0)),"-")</f>
        <v>-</v>
      </c>
      <c r="AA23" s="44" t="str">
        <f>IF($J23=AA$3,IF(AA$3&gt;$I22,"-",ROUNDUP(Ld_cal($B22, $C22, $D22, $G22,$E22, $F22, $H22, AA$3)*1.3,0)),"-")</f>
        <v>-</v>
      </c>
      <c r="AB23" s="44" t="str">
        <f>IF($J23=AB$3,IF(AB$3&gt;$I22,"-",ROUNDUP(Ld_cal($B22, $C22, $D22, $G22,$E22, $F22, $H22, AB$3)*1.3,0)),"-")</f>
        <v>-</v>
      </c>
      <c r="AC23" s="44" t="str">
        <f>IF($J23=AC$3,IF(AC$3&gt;$I22,"-",ROUNDUP(Ld_cal($B22, $C22, $D22, $G22,$E22, $F22, $H22, AC$3)*1.3,0)),"-")</f>
        <v>-</v>
      </c>
      <c r="AD23" s="46">
        <f t="shared" ref="AD23" si="17">IF(J23&gt;I22,"依標準圖",MAX(L23:AC23))</f>
        <v>105</v>
      </c>
    </row>
    <row r="24" spans="1:30">
      <c r="A24" s="112" t="s">
        <v>43</v>
      </c>
      <c r="B24" s="107">
        <v>120</v>
      </c>
      <c r="C24" s="108">
        <v>7.5</v>
      </c>
      <c r="D24" s="107">
        <v>4200</v>
      </c>
      <c r="E24" s="109">
        <v>16</v>
      </c>
      <c r="F24" s="110">
        <v>10</v>
      </c>
      <c r="G24" s="107">
        <v>350</v>
      </c>
      <c r="H24" s="109">
        <v>32</v>
      </c>
      <c r="I24" s="111">
        <f>ROUNDDOWN(($B24-2*$C24-2*$E24/10-$H24/10)/(($D$1+1)*$H24/10),0)+1</f>
        <v>16</v>
      </c>
      <c r="J24" s="39">
        <v>5</v>
      </c>
      <c r="K24" s="40" t="s">
        <v>30</v>
      </c>
      <c r="L24" s="41" t="str">
        <f>IF($J24=L$3,IF(L$3&gt;$I24,"-",ROUNDUP(Ld_cal($B24, $C24, $D24, $G24,$E24, $F24, $H24, L$3)*1.3*1.3,0)),"-")</f>
        <v>-</v>
      </c>
      <c r="M24" s="41" t="str">
        <f>IF($J24=M$3,IF(M$3&gt;$I24,"-",ROUNDUP(Ld_cal($B24, $C24, $D24, $G24,$E24, $F24, $H24, M$3)*1.3*1.3,0)),"-")</f>
        <v>-</v>
      </c>
      <c r="N24" s="41">
        <f>IF($J24=N$3,IF(N$3&gt;$I24,"-",ROUNDUP(Ld_cal($B24, $C24, $D24, $G24,$E24, $F24, $H24, N$3)*1.3*1.3,0)),"-")</f>
        <v>136</v>
      </c>
      <c r="O24" s="41" t="str">
        <f>IF($J24=O$3,IF(O$3&gt;$I24,"-",ROUNDUP(Ld_cal($B24, $C24, $D24, $G24,$E24, $F24, $H24, O$3)*1.3*1.3,0)),"-")</f>
        <v>-</v>
      </c>
      <c r="P24" s="41" t="str">
        <f>IF($J24=P$3,IF(P$3&gt;$I24,"-",ROUNDUP(Ld_cal($B24, $C24, $D24, $G24,$E24, $F24, $H24, P$3)*1.3*1.3,0)),"-")</f>
        <v>-</v>
      </c>
      <c r="Q24" s="41" t="str">
        <f>IF($J24=Q$3,IF(Q$3&gt;$I24,"-",ROUNDUP(Ld_cal($B24, $C24, $D24, $G24,$E24, $F24, $H24, Q$3)*1.3*1.3,0)),"-")</f>
        <v>-</v>
      </c>
      <c r="R24" s="41" t="str">
        <f>IF($J24=R$3,IF(R$3&gt;$I24,"-",ROUNDUP(Ld_cal($B24, $C24, $D24, $G24,$E24, $F24, $H24, R$3)*1.3*1.3,0)),"-")</f>
        <v>-</v>
      </c>
      <c r="S24" s="41" t="str">
        <f>IF($J24=S$3,IF(S$3&gt;$I24,"-",ROUNDUP(Ld_cal($B24, $C24, $D24, $G24,$E24, $F24, $H24, S$3)*1.3*1.3,0)),"-")</f>
        <v>-</v>
      </c>
      <c r="T24" s="41" t="str">
        <f>IF($J24=T$3,IF(T$3&gt;$I24,"-",ROUNDUP(Ld_cal($B24, $C24, $D24, $G24,$E24, $F24, $H24, T$3)*1.3*1.3,0)),"-")</f>
        <v>-</v>
      </c>
      <c r="U24" s="41" t="str">
        <f>IF($J24=U$3,IF(U$3&gt;$I24,"-",ROUNDUP(Ld_cal($B24, $C24, $D24, $G24,$E24, $F24, $H24, U$3)*1.3*1.3,0)),"-")</f>
        <v>-</v>
      </c>
      <c r="V24" s="41" t="str">
        <f>IF($J24=V$3,IF(V$3&gt;$I24,"-",ROUNDUP(Ld_cal($B24, $C24, $D24, $G24,$E24, $F24, $H24, V$3)*1.3*1.3,0)),"-")</f>
        <v>-</v>
      </c>
      <c r="W24" s="41" t="str">
        <f>IF($J24=W$3,IF(W$3&gt;$I24,"-",ROUNDUP(Ld_cal($B24, $C24, $D24, $G24,$E24, $F24, $H24, W$3)*1.3*1.3,0)),"-")</f>
        <v>-</v>
      </c>
      <c r="X24" s="41" t="str">
        <f>IF($J24=X$3,IF(X$3&gt;$I24,"-",ROUNDUP(Ld_cal($B24, $C24, $D24, $G24,$E24, $F24, $H24, X$3)*1.3*1.3,0)),"-")</f>
        <v>-</v>
      </c>
      <c r="Y24" s="41" t="str">
        <f>IF($J24=Y$3,IF(Y$3&gt;$I24,"-",ROUNDUP(Ld_cal($B24, $C24, $D24, $G24,$E24, $F24, $H24, Y$3)*1.3*1.3,0)),"-")</f>
        <v>-</v>
      </c>
      <c r="Z24" s="41" t="str">
        <f>IF($J24=Z$3,IF(Z$3&gt;$I24,"-",ROUNDUP(Ld_cal($B24, $C24, $D24, $G24,$E24, $F24, $H24, Z$3)*1.3*1.3,0)),"-")</f>
        <v>-</v>
      </c>
      <c r="AA24" s="41" t="str">
        <f>IF($J24=AA$3,IF(AA$3&gt;$I24,"-",ROUNDUP(Ld_cal($B24, $C24, $D24, $G24,$E24, $F24, $H24, AA$3)*1.3*1.3,0)),"-")</f>
        <v>-</v>
      </c>
      <c r="AB24" s="41" t="str">
        <f>IF($J24=AB$3,IF(AB$3&gt;$I24,"-",ROUNDUP(Ld_cal($B24, $C24, $D24, $G24,$E24, $F24, $H24, AB$3)*1.3*1.3,0)),"-")</f>
        <v>-</v>
      </c>
      <c r="AC24" s="41" t="str">
        <f>IF($J24=AC$3,IF(AC$3&gt;$I24,"-",ROUNDUP(Ld_cal($B24, $C24, $D24, $G24,$E24, $F24, $H24, AC$3)*1.3*1.3,0)),"-")</f>
        <v>-</v>
      </c>
      <c r="AD24" s="47">
        <f t="shared" ref="AD24" si="18">IF(J24&gt;I24,"依標準圖",MAX(L24:AC24))</f>
        <v>136</v>
      </c>
    </row>
    <row r="25" spans="1:30">
      <c r="A25" s="112"/>
      <c r="B25" s="107"/>
      <c r="C25" s="108"/>
      <c r="D25" s="107"/>
      <c r="E25" s="109"/>
      <c r="F25" s="110"/>
      <c r="G25" s="107"/>
      <c r="H25" s="109"/>
      <c r="I25" s="111"/>
      <c r="J25" s="39">
        <v>5</v>
      </c>
      <c r="K25" s="40" t="s">
        <v>29</v>
      </c>
      <c r="L25" s="41" t="str">
        <f>IF($J25=L$3,IF(L$3&gt;$I24,"-",ROUNDUP(Ld_cal($B24, $C24, $D24, $G24,$E24, $F24, $H24, L$3)*1.3,0)),"-")</f>
        <v>-</v>
      </c>
      <c r="M25" s="41" t="str">
        <f>IF($J25=M$3,IF(M$3&gt;$I24,"-",ROUNDUP(Ld_cal($B24, $C24, $D24, $G24,$E24, $F24, $H24, M$3)*1.3,0)),"-")</f>
        <v>-</v>
      </c>
      <c r="N25" s="41">
        <f>IF($J25=N$3,IF(N$3&gt;$I24,"-",ROUNDUP(Ld_cal($B24, $C24, $D24, $G24,$E24, $F24, $H24, N$3)*1.3,0)),"-")</f>
        <v>105</v>
      </c>
      <c r="O25" s="41" t="str">
        <f>IF($J25=O$3,IF(O$3&gt;$I24,"-",ROUNDUP(Ld_cal($B24, $C24, $D24, $G24,$E24, $F24, $H24, O$3)*1.3,0)),"-")</f>
        <v>-</v>
      </c>
      <c r="P25" s="41" t="str">
        <f>IF($J25=P$3,IF(P$3&gt;$I24,"-",ROUNDUP(Ld_cal($B24, $C24, $D24, $G24,$E24, $F24, $H24, P$3)*1.3,0)),"-")</f>
        <v>-</v>
      </c>
      <c r="Q25" s="41" t="str">
        <f>IF($J25=Q$3,IF(Q$3&gt;$I24,"-",ROUNDUP(Ld_cal($B24, $C24, $D24, $G24,$E24, $F24, $H24, Q$3)*1.3,0)),"-")</f>
        <v>-</v>
      </c>
      <c r="R25" s="41" t="str">
        <f>IF($J25=R$3,IF(R$3&gt;$I24,"-",ROUNDUP(Ld_cal($B24, $C24, $D24, $G24,$E24, $F24, $H24, R$3)*1.3,0)),"-")</f>
        <v>-</v>
      </c>
      <c r="S25" s="41" t="str">
        <f>IF($J25=S$3,IF(S$3&gt;$I24,"-",ROUNDUP(Ld_cal($B24, $C24, $D24, $G24,$E24, $F24, $H24, S$3)*1.3,0)),"-")</f>
        <v>-</v>
      </c>
      <c r="T25" s="41" t="str">
        <f>IF($J25=T$3,IF(T$3&gt;$I24,"-",ROUNDUP(Ld_cal($B24, $C24, $D24, $G24,$E24, $F24, $H24, T$3)*1.3,0)),"-")</f>
        <v>-</v>
      </c>
      <c r="U25" s="41" t="str">
        <f>IF($J25=U$3,IF(U$3&gt;$I24,"-",ROUNDUP(Ld_cal($B24, $C24, $D24, $G24,$E24, $F24, $H24, U$3)*1.3,0)),"-")</f>
        <v>-</v>
      </c>
      <c r="V25" s="41" t="str">
        <f>IF($J25=V$3,IF(V$3&gt;$I24,"-",ROUNDUP(Ld_cal($B24, $C24, $D24, $G24,$E24, $F24, $H24, V$3)*1.3,0)),"-")</f>
        <v>-</v>
      </c>
      <c r="W25" s="41" t="str">
        <f>IF($J25=W$3,IF(W$3&gt;$I24,"-",ROUNDUP(Ld_cal($B24, $C24, $D24, $G24,$E24, $F24, $H24, W$3)*1.3,0)),"-")</f>
        <v>-</v>
      </c>
      <c r="X25" s="41" t="str">
        <f>IF($J25=X$3,IF(X$3&gt;$I24,"-",ROUNDUP(Ld_cal($B24, $C24, $D24, $G24,$E24, $F24, $H24, X$3)*1.3,0)),"-")</f>
        <v>-</v>
      </c>
      <c r="Y25" s="41" t="str">
        <f>IF($J25=Y$3,IF(Y$3&gt;$I24,"-",ROUNDUP(Ld_cal($B24, $C24, $D24, $G24,$E24, $F24, $H24, Y$3)*1.3,0)),"-")</f>
        <v>-</v>
      </c>
      <c r="Z25" s="41" t="str">
        <f>IF($J25=Z$3,IF(Z$3&gt;$I24,"-",ROUNDUP(Ld_cal($B24, $C24, $D24, $G24,$E24, $F24, $H24, Z$3)*1.3,0)),"-")</f>
        <v>-</v>
      </c>
      <c r="AA25" s="41" t="str">
        <f>IF($J25=AA$3,IF(AA$3&gt;$I24,"-",ROUNDUP(Ld_cal($B24, $C24, $D24, $G24,$E24, $F24, $H24, AA$3)*1.3,0)),"-")</f>
        <v>-</v>
      </c>
      <c r="AB25" s="41" t="str">
        <f>IF($J25=AB$3,IF(AB$3&gt;$I24,"-",ROUNDUP(Ld_cal($B24, $C24, $D24, $G24,$E24, $F24, $H24, AB$3)*1.3,0)),"-")</f>
        <v>-</v>
      </c>
      <c r="AC25" s="41" t="str">
        <f>IF($J25=AC$3,IF(AC$3&gt;$I24,"-",ROUNDUP(Ld_cal($B24, $C24, $D24, $G24,$E24, $F24, $H24, AC$3)*1.3,0)),"-")</f>
        <v>-</v>
      </c>
      <c r="AD25" s="47">
        <f t="shared" ref="AD25" si="19">IF(J25&gt;I24,"依標準圖",MAX(L25:AC25))</f>
        <v>105</v>
      </c>
    </row>
    <row r="26" spans="1:30" s="45" customFormat="1">
      <c r="A26" s="113" t="s">
        <v>44</v>
      </c>
      <c r="B26" s="99">
        <v>120</v>
      </c>
      <c r="C26" s="114">
        <v>7.5</v>
      </c>
      <c r="D26" s="99">
        <v>4200</v>
      </c>
      <c r="E26" s="102">
        <v>16</v>
      </c>
      <c r="F26" s="103">
        <v>10</v>
      </c>
      <c r="G26" s="99">
        <v>350</v>
      </c>
      <c r="H26" s="102">
        <v>32</v>
      </c>
      <c r="I26" s="104">
        <f>ROUNDDOWN(($B26-2*$C26-2*$E26/10-$H26/10)/(($D$1+1)*$H26/10),0)+1</f>
        <v>16</v>
      </c>
      <c r="J26" s="42">
        <v>5</v>
      </c>
      <c r="K26" s="43" t="s">
        <v>30</v>
      </c>
      <c r="L26" s="44" t="str">
        <f>IF($J26=L$3,IF(L$3&gt;$I26,"-",ROUNDUP(Ld_cal($B26, $C26, $D26, $G26,$E26, $F26, $H26, L$3)*1.3*1.3,0)),"-")</f>
        <v>-</v>
      </c>
      <c r="M26" s="44" t="str">
        <f>IF($J26=M$3,IF(M$3&gt;$I26,"-",ROUNDUP(Ld_cal($B26, $C26, $D26, $G26,$E26, $F26, $H26, M$3)*1.3*1.3,0)),"-")</f>
        <v>-</v>
      </c>
      <c r="N26" s="44">
        <f>IF($J26=N$3,IF(N$3&gt;$I26,"-",ROUNDUP(Ld_cal($B26, $C26, $D26, $G26,$E26, $F26, $H26, N$3)*1.3*1.3,0)),"-")</f>
        <v>136</v>
      </c>
      <c r="O26" s="44" t="str">
        <f>IF($J26=O$3,IF(O$3&gt;$I26,"-",ROUNDUP(Ld_cal($B26, $C26, $D26, $G26,$E26, $F26, $H26, O$3)*1.3*1.3,0)),"-")</f>
        <v>-</v>
      </c>
      <c r="P26" s="44" t="str">
        <f>IF($J26=P$3,IF(P$3&gt;$I26,"-",ROUNDUP(Ld_cal($B26, $C26, $D26, $G26,$E26, $F26, $H26, P$3)*1.3*1.3,0)),"-")</f>
        <v>-</v>
      </c>
      <c r="Q26" s="44" t="str">
        <f>IF($J26=Q$3,IF(Q$3&gt;$I26,"-",ROUNDUP(Ld_cal($B26, $C26, $D26, $G26,$E26, $F26, $H26, Q$3)*1.3*1.3,0)),"-")</f>
        <v>-</v>
      </c>
      <c r="R26" s="44" t="str">
        <f>IF($J26=R$3,IF(R$3&gt;$I26,"-",ROUNDUP(Ld_cal($B26, $C26, $D26, $G26,$E26, $F26, $H26, R$3)*1.3*1.3,0)),"-")</f>
        <v>-</v>
      </c>
      <c r="S26" s="44" t="str">
        <f>IF($J26=S$3,IF(S$3&gt;$I26,"-",ROUNDUP(Ld_cal($B26, $C26, $D26, $G26,$E26, $F26, $H26, S$3)*1.3*1.3,0)),"-")</f>
        <v>-</v>
      </c>
      <c r="T26" s="44" t="str">
        <f>IF($J26=T$3,IF(T$3&gt;$I26,"-",ROUNDUP(Ld_cal($B26, $C26, $D26, $G26,$E26, $F26, $H26, T$3)*1.3*1.3,0)),"-")</f>
        <v>-</v>
      </c>
      <c r="U26" s="44" t="str">
        <f>IF($J26=U$3,IF(U$3&gt;$I26,"-",ROUNDUP(Ld_cal($B26, $C26, $D26, $G26,$E26, $F26, $H26, U$3)*1.3*1.3,0)),"-")</f>
        <v>-</v>
      </c>
      <c r="V26" s="44" t="str">
        <f>IF($J26=V$3,IF(V$3&gt;$I26,"-",ROUNDUP(Ld_cal($B26, $C26, $D26, $G26,$E26, $F26, $H26, V$3)*1.3*1.3,0)),"-")</f>
        <v>-</v>
      </c>
      <c r="W26" s="44" t="str">
        <f>IF($J26=W$3,IF(W$3&gt;$I26,"-",ROUNDUP(Ld_cal($B26, $C26, $D26, $G26,$E26, $F26, $H26, W$3)*1.3*1.3,0)),"-")</f>
        <v>-</v>
      </c>
      <c r="X26" s="44" t="str">
        <f>IF($J26=X$3,IF(X$3&gt;$I26,"-",ROUNDUP(Ld_cal($B26, $C26, $D26, $G26,$E26, $F26, $H26, X$3)*1.3*1.3,0)),"-")</f>
        <v>-</v>
      </c>
      <c r="Y26" s="44" t="str">
        <f>IF($J26=Y$3,IF(Y$3&gt;$I26,"-",ROUNDUP(Ld_cal($B26, $C26, $D26, $G26,$E26, $F26, $H26, Y$3)*1.3*1.3,0)),"-")</f>
        <v>-</v>
      </c>
      <c r="Z26" s="44" t="str">
        <f>IF($J26=Z$3,IF(Z$3&gt;$I26,"-",ROUNDUP(Ld_cal($B26, $C26, $D26, $G26,$E26, $F26, $H26, Z$3)*1.3*1.3,0)),"-")</f>
        <v>-</v>
      </c>
      <c r="AA26" s="44" t="str">
        <f>IF($J26=AA$3,IF(AA$3&gt;$I26,"-",ROUNDUP(Ld_cal($B26, $C26, $D26, $G26,$E26, $F26, $H26, AA$3)*1.3*1.3,0)),"-")</f>
        <v>-</v>
      </c>
      <c r="AB26" s="44" t="str">
        <f>IF($J26=AB$3,IF(AB$3&gt;$I26,"-",ROUNDUP(Ld_cal($B26, $C26, $D26, $G26,$E26, $F26, $H26, AB$3)*1.3*1.3,0)),"-")</f>
        <v>-</v>
      </c>
      <c r="AC26" s="44" t="str">
        <f>IF($J26=AC$3,IF(AC$3&gt;$I26,"-",ROUNDUP(Ld_cal($B26, $C26, $D26, $G26,$E26, $F26, $H26, AC$3)*1.3*1.3,0)),"-")</f>
        <v>-</v>
      </c>
      <c r="AD26" s="46">
        <f t="shared" ref="AD26" si="20">IF(J26&gt;I26,"依標準圖",MAX(L26:AC26))</f>
        <v>136</v>
      </c>
    </row>
    <row r="27" spans="1:30" s="45" customFormat="1">
      <c r="A27" s="113"/>
      <c r="B27" s="99"/>
      <c r="C27" s="114"/>
      <c r="D27" s="99"/>
      <c r="E27" s="102"/>
      <c r="F27" s="103"/>
      <c r="G27" s="99"/>
      <c r="H27" s="102"/>
      <c r="I27" s="104"/>
      <c r="J27" s="42">
        <v>5</v>
      </c>
      <c r="K27" s="43" t="s">
        <v>29</v>
      </c>
      <c r="L27" s="44" t="str">
        <f>IF($J27=L$3,IF(L$3&gt;$I26,"-",ROUNDUP(Ld_cal($B26, $C26, $D26, $G26,$E26, $F26, $H26, L$3)*1.3,0)),"-")</f>
        <v>-</v>
      </c>
      <c r="M27" s="44" t="str">
        <f>IF($J27=M$3,IF(M$3&gt;$I26,"-",ROUNDUP(Ld_cal($B26, $C26, $D26, $G26,$E26, $F26, $H26, M$3)*1.3,0)),"-")</f>
        <v>-</v>
      </c>
      <c r="N27" s="44">
        <f>IF($J27=N$3,IF(N$3&gt;$I26,"-",ROUNDUP(Ld_cal($B26, $C26, $D26, $G26,$E26, $F26, $H26, N$3)*1.3,0)),"-")</f>
        <v>105</v>
      </c>
      <c r="O27" s="44" t="str">
        <f>IF($J27=O$3,IF(O$3&gt;$I26,"-",ROUNDUP(Ld_cal($B26, $C26, $D26, $G26,$E26, $F26, $H26, O$3)*1.3,0)),"-")</f>
        <v>-</v>
      </c>
      <c r="P27" s="44" t="str">
        <f>IF($J27=P$3,IF(P$3&gt;$I26,"-",ROUNDUP(Ld_cal($B26, $C26, $D26, $G26,$E26, $F26, $H26, P$3)*1.3,0)),"-")</f>
        <v>-</v>
      </c>
      <c r="Q27" s="44" t="str">
        <f>IF($J27=Q$3,IF(Q$3&gt;$I26,"-",ROUNDUP(Ld_cal($B26, $C26, $D26, $G26,$E26, $F26, $H26, Q$3)*1.3,0)),"-")</f>
        <v>-</v>
      </c>
      <c r="R27" s="44" t="str">
        <f>IF($J27=R$3,IF(R$3&gt;$I26,"-",ROUNDUP(Ld_cal($B26, $C26, $D26, $G26,$E26, $F26, $H26, R$3)*1.3,0)),"-")</f>
        <v>-</v>
      </c>
      <c r="S27" s="44" t="str">
        <f>IF($J27=S$3,IF(S$3&gt;$I26,"-",ROUNDUP(Ld_cal($B26, $C26, $D26, $G26,$E26, $F26, $H26, S$3)*1.3,0)),"-")</f>
        <v>-</v>
      </c>
      <c r="T27" s="44" t="str">
        <f>IF($J27=T$3,IF(T$3&gt;$I26,"-",ROUNDUP(Ld_cal($B26, $C26, $D26, $G26,$E26, $F26, $H26, T$3)*1.3,0)),"-")</f>
        <v>-</v>
      </c>
      <c r="U27" s="44" t="str">
        <f>IF($J27=U$3,IF(U$3&gt;$I26,"-",ROUNDUP(Ld_cal($B26, $C26, $D26, $G26,$E26, $F26, $H26, U$3)*1.3,0)),"-")</f>
        <v>-</v>
      </c>
      <c r="V27" s="44" t="str">
        <f>IF($J27=V$3,IF(V$3&gt;$I26,"-",ROUNDUP(Ld_cal($B26, $C26, $D26, $G26,$E26, $F26, $H26, V$3)*1.3,0)),"-")</f>
        <v>-</v>
      </c>
      <c r="W27" s="44" t="str">
        <f>IF($J27=W$3,IF(W$3&gt;$I26,"-",ROUNDUP(Ld_cal($B26, $C26, $D26, $G26,$E26, $F26, $H26, W$3)*1.3,0)),"-")</f>
        <v>-</v>
      </c>
      <c r="X27" s="44" t="str">
        <f>IF($J27=X$3,IF(X$3&gt;$I26,"-",ROUNDUP(Ld_cal($B26, $C26, $D26, $G26,$E26, $F26, $H26, X$3)*1.3,0)),"-")</f>
        <v>-</v>
      </c>
      <c r="Y27" s="44" t="str">
        <f>IF($J27=Y$3,IF(Y$3&gt;$I26,"-",ROUNDUP(Ld_cal($B26, $C26, $D26, $G26,$E26, $F26, $H26, Y$3)*1.3,0)),"-")</f>
        <v>-</v>
      </c>
      <c r="Z27" s="44" t="str">
        <f>IF($J27=Z$3,IF(Z$3&gt;$I26,"-",ROUNDUP(Ld_cal($B26, $C26, $D26, $G26,$E26, $F26, $H26, Z$3)*1.3,0)),"-")</f>
        <v>-</v>
      </c>
      <c r="AA27" s="44" t="str">
        <f>IF($J27=AA$3,IF(AA$3&gt;$I26,"-",ROUNDUP(Ld_cal($B26, $C26, $D26, $G26,$E26, $F26, $H26, AA$3)*1.3,0)),"-")</f>
        <v>-</v>
      </c>
      <c r="AB27" s="44" t="str">
        <f>IF($J27=AB$3,IF(AB$3&gt;$I26,"-",ROUNDUP(Ld_cal($B26, $C26, $D26, $G26,$E26, $F26, $H26, AB$3)*1.3,0)),"-")</f>
        <v>-</v>
      </c>
      <c r="AC27" s="44" t="str">
        <f>IF($J27=AC$3,IF(AC$3&gt;$I26,"-",ROUNDUP(Ld_cal($B26, $C26, $D26, $G26,$E26, $F26, $H26, AC$3)*1.3,0)),"-")</f>
        <v>-</v>
      </c>
      <c r="AD27" s="46">
        <f t="shared" ref="AD27" si="21">IF(J27&gt;I26,"依標準圖",MAX(L27:AC27))</f>
        <v>105</v>
      </c>
    </row>
    <row r="28" spans="1:30">
      <c r="A28" s="112" t="s">
        <v>45</v>
      </c>
      <c r="B28" s="107">
        <v>120</v>
      </c>
      <c r="C28" s="108">
        <v>7.5</v>
      </c>
      <c r="D28" s="107">
        <v>4200</v>
      </c>
      <c r="E28" s="109">
        <v>16</v>
      </c>
      <c r="F28" s="110">
        <v>10</v>
      </c>
      <c r="G28" s="107">
        <v>350</v>
      </c>
      <c r="H28" s="109">
        <v>32</v>
      </c>
      <c r="I28" s="111">
        <f>ROUNDDOWN(($B28-2*$C28-2*$E28/10-$H28/10)/(($D$1+1)*$H28/10),0)+1</f>
        <v>16</v>
      </c>
      <c r="J28" s="39">
        <v>5</v>
      </c>
      <c r="K28" s="40" t="s">
        <v>30</v>
      </c>
      <c r="L28" s="41" t="str">
        <f>IF($J28=L$3,IF(L$3&gt;$I28,"-",ROUNDUP(Ld_cal($B28, $C28, $D28, $G28,$E28, $F28, $H28, L$3)*1.3*1.3,0)),"-")</f>
        <v>-</v>
      </c>
      <c r="M28" s="41" t="str">
        <f>IF($J28=M$3,IF(M$3&gt;$I28,"-",ROUNDUP(Ld_cal($B28, $C28, $D28, $G28,$E28, $F28, $H28, M$3)*1.3*1.3,0)),"-")</f>
        <v>-</v>
      </c>
      <c r="N28" s="41">
        <f>IF($J28=N$3,IF(N$3&gt;$I28,"-",ROUNDUP(Ld_cal($B28, $C28, $D28, $G28,$E28, $F28, $H28, N$3)*1.3*1.3,0)),"-")</f>
        <v>136</v>
      </c>
      <c r="O28" s="41" t="str">
        <f>IF($J28=O$3,IF(O$3&gt;$I28,"-",ROUNDUP(Ld_cal($B28, $C28, $D28, $G28,$E28, $F28, $H28, O$3)*1.3*1.3,0)),"-")</f>
        <v>-</v>
      </c>
      <c r="P28" s="41" t="str">
        <f>IF($J28=P$3,IF(P$3&gt;$I28,"-",ROUNDUP(Ld_cal($B28, $C28, $D28, $G28,$E28, $F28, $H28, P$3)*1.3*1.3,0)),"-")</f>
        <v>-</v>
      </c>
      <c r="Q28" s="41" t="str">
        <f>IF($J28=Q$3,IF(Q$3&gt;$I28,"-",ROUNDUP(Ld_cal($B28, $C28, $D28, $G28,$E28, $F28, $H28, Q$3)*1.3*1.3,0)),"-")</f>
        <v>-</v>
      </c>
      <c r="R28" s="41" t="str">
        <f>IF($J28=R$3,IF(R$3&gt;$I28,"-",ROUNDUP(Ld_cal($B28, $C28, $D28, $G28,$E28, $F28, $H28, R$3)*1.3*1.3,0)),"-")</f>
        <v>-</v>
      </c>
      <c r="S28" s="41" t="str">
        <f>IF($J28=S$3,IF(S$3&gt;$I28,"-",ROUNDUP(Ld_cal($B28, $C28, $D28, $G28,$E28, $F28, $H28, S$3)*1.3*1.3,0)),"-")</f>
        <v>-</v>
      </c>
      <c r="T28" s="41" t="str">
        <f>IF($J28=T$3,IF(T$3&gt;$I28,"-",ROUNDUP(Ld_cal($B28, $C28, $D28, $G28,$E28, $F28, $H28, T$3)*1.3*1.3,0)),"-")</f>
        <v>-</v>
      </c>
      <c r="U28" s="41" t="str">
        <f>IF($J28=U$3,IF(U$3&gt;$I28,"-",ROUNDUP(Ld_cal($B28, $C28, $D28, $G28,$E28, $F28, $H28, U$3)*1.3*1.3,0)),"-")</f>
        <v>-</v>
      </c>
      <c r="V28" s="41" t="str">
        <f>IF($J28=V$3,IF(V$3&gt;$I28,"-",ROUNDUP(Ld_cal($B28, $C28, $D28, $G28,$E28, $F28, $H28, V$3)*1.3*1.3,0)),"-")</f>
        <v>-</v>
      </c>
      <c r="W28" s="41" t="str">
        <f>IF($J28=W$3,IF(W$3&gt;$I28,"-",ROUNDUP(Ld_cal($B28, $C28, $D28, $G28,$E28, $F28, $H28, W$3)*1.3*1.3,0)),"-")</f>
        <v>-</v>
      </c>
      <c r="X28" s="41" t="str">
        <f>IF($J28=X$3,IF(X$3&gt;$I28,"-",ROUNDUP(Ld_cal($B28, $C28, $D28, $G28,$E28, $F28, $H28, X$3)*1.3*1.3,0)),"-")</f>
        <v>-</v>
      </c>
      <c r="Y28" s="41" t="str">
        <f>IF($J28=Y$3,IF(Y$3&gt;$I28,"-",ROUNDUP(Ld_cal($B28, $C28, $D28, $G28,$E28, $F28, $H28, Y$3)*1.3*1.3,0)),"-")</f>
        <v>-</v>
      </c>
      <c r="Z28" s="41" t="str">
        <f>IF($J28=Z$3,IF(Z$3&gt;$I28,"-",ROUNDUP(Ld_cal($B28, $C28, $D28, $G28,$E28, $F28, $H28, Z$3)*1.3*1.3,0)),"-")</f>
        <v>-</v>
      </c>
      <c r="AA28" s="41" t="str">
        <f>IF($J28=AA$3,IF(AA$3&gt;$I28,"-",ROUNDUP(Ld_cal($B28, $C28, $D28, $G28,$E28, $F28, $H28, AA$3)*1.3*1.3,0)),"-")</f>
        <v>-</v>
      </c>
      <c r="AB28" s="41" t="str">
        <f>IF($J28=AB$3,IF(AB$3&gt;$I28,"-",ROUNDUP(Ld_cal($B28, $C28, $D28, $G28,$E28, $F28, $H28, AB$3)*1.3*1.3,0)),"-")</f>
        <v>-</v>
      </c>
      <c r="AC28" s="41" t="str">
        <f>IF($J28=AC$3,IF(AC$3&gt;$I28,"-",ROUNDUP(Ld_cal($B28, $C28, $D28, $G28,$E28, $F28, $H28, AC$3)*1.3*1.3,0)),"-")</f>
        <v>-</v>
      </c>
      <c r="AD28" s="47">
        <f t="shared" ref="AD28" si="22">IF(J28&gt;I28,"依標準圖",MAX(L28:AC28))</f>
        <v>136</v>
      </c>
    </row>
    <row r="29" spans="1:30">
      <c r="A29" s="112"/>
      <c r="B29" s="107"/>
      <c r="C29" s="108"/>
      <c r="D29" s="107"/>
      <c r="E29" s="109"/>
      <c r="F29" s="110"/>
      <c r="G29" s="107"/>
      <c r="H29" s="109"/>
      <c r="I29" s="111"/>
      <c r="J29" s="39">
        <v>5</v>
      </c>
      <c r="K29" s="40" t="s">
        <v>29</v>
      </c>
      <c r="L29" s="41" t="str">
        <f>IF($J29=L$3,IF(L$3&gt;$I28,"-",ROUNDUP(Ld_cal($B28, $C28, $D28, $G28,$E28, $F28, $H28, L$3)*1.3,0)),"-")</f>
        <v>-</v>
      </c>
      <c r="M29" s="41" t="str">
        <f>IF($J29=M$3,IF(M$3&gt;$I28,"-",ROUNDUP(Ld_cal($B28, $C28, $D28, $G28,$E28, $F28, $H28, M$3)*1.3,0)),"-")</f>
        <v>-</v>
      </c>
      <c r="N29" s="41">
        <f>IF($J29=N$3,IF(N$3&gt;$I28,"-",ROUNDUP(Ld_cal($B28, $C28, $D28, $G28,$E28, $F28, $H28, N$3)*1.3,0)),"-")</f>
        <v>105</v>
      </c>
      <c r="O29" s="41" t="str">
        <f>IF($J29=O$3,IF(O$3&gt;$I28,"-",ROUNDUP(Ld_cal($B28, $C28, $D28, $G28,$E28, $F28, $H28, O$3)*1.3,0)),"-")</f>
        <v>-</v>
      </c>
      <c r="P29" s="41" t="str">
        <f>IF($J29=P$3,IF(P$3&gt;$I28,"-",ROUNDUP(Ld_cal($B28, $C28, $D28, $G28,$E28, $F28, $H28, P$3)*1.3,0)),"-")</f>
        <v>-</v>
      </c>
      <c r="Q29" s="41" t="str">
        <f>IF($J29=Q$3,IF(Q$3&gt;$I28,"-",ROUNDUP(Ld_cal($B28, $C28, $D28, $G28,$E28, $F28, $H28, Q$3)*1.3,0)),"-")</f>
        <v>-</v>
      </c>
      <c r="R29" s="41" t="str">
        <f>IF($J29=R$3,IF(R$3&gt;$I28,"-",ROUNDUP(Ld_cal($B28, $C28, $D28, $G28,$E28, $F28, $H28, R$3)*1.3,0)),"-")</f>
        <v>-</v>
      </c>
      <c r="S29" s="41" t="str">
        <f>IF($J29=S$3,IF(S$3&gt;$I28,"-",ROUNDUP(Ld_cal($B28, $C28, $D28, $G28,$E28, $F28, $H28, S$3)*1.3,0)),"-")</f>
        <v>-</v>
      </c>
      <c r="T29" s="41" t="str">
        <f>IF($J29=T$3,IF(T$3&gt;$I28,"-",ROUNDUP(Ld_cal($B28, $C28, $D28, $G28,$E28, $F28, $H28, T$3)*1.3,0)),"-")</f>
        <v>-</v>
      </c>
      <c r="U29" s="41" t="str">
        <f>IF($J29=U$3,IF(U$3&gt;$I28,"-",ROUNDUP(Ld_cal($B28, $C28, $D28, $G28,$E28, $F28, $H28, U$3)*1.3,0)),"-")</f>
        <v>-</v>
      </c>
      <c r="V29" s="41" t="str">
        <f>IF($J29=V$3,IF(V$3&gt;$I28,"-",ROUNDUP(Ld_cal($B28, $C28, $D28, $G28,$E28, $F28, $H28, V$3)*1.3,0)),"-")</f>
        <v>-</v>
      </c>
      <c r="W29" s="41" t="str">
        <f>IF($J29=W$3,IF(W$3&gt;$I28,"-",ROUNDUP(Ld_cal($B28, $C28, $D28, $G28,$E28, $F28, $H28, W$3)*1.3,0)),"-")</f>
        <v>-</v>
      </c>
      <c r="X29" s="41" t="str">
        <f>IF($J29=X$3,IF(X$3&gt;$I28,"-",ROUNDUP(Ld_cal($B28, $C28, $D28, $G28,$E28, $F28, $H28, X$3)*1.3,0)),"-")</f>
        <v>-</v>
      </c>
      <c r="Y29" s="41" t="str">
        <f>IF($J29=Y$3,IF(Y$3&gt;$I28,"-",ROUNDUP(Ld_cal($B28, $C28, $D28, $G28,$E28, $F28, $H28, Y$3)*1.3,0)),"-")</f>
        <v>-</v>
      </c>
      <c r="Z29" s="41" t="str">
        <f>IF($J29=Z$3,IF(Z$3&gt;$I28,"-",ROUNDUP(Ld_cal($B28, $C28, $D28, $G28,$E28, $F28, $H28, Z$3)*1.3,0)),"-")</f>
        <v>-</v>
      </c>
      <c r="AA29" s="41" t="str">
        <f>IF($J29=AA$3,IF(AA$3&gt;$I28,"-",ROUNDUP(Ld_cal($B28, $C28, $D28, $G28,$E28, $F28, $H28, AA$3)*1.3,0)),"-")</f>
        <v>-</v>
      </c>
      <c r="AB29" s="41" t="str">
        <f>IF($J29=AB$3,IF(AB$3&gt;$I28,"-",ROUNDUP(Ld_cal($B28, $C28, $D28, $G28,$E28, $F28, $H28, AB$3)*1.3,0)),"-")</f>
        <v>-</v>
      </c>
      <c r="AC29" s="41" t="str">
        <f>IF($J29=AC$3,IF(AC$3&gt;$I28,"-",ROUNDUP(Ld_cal($B28, $C28, $D28, $G28,$E28, $F28, $H28, AC$3)*1.3,0)),"-")</f>
        <v>-</v>
      </c>
      <c r="AD29" s="47">
        <f t="shared" ref="AD29" si="23">IF(J29&gt;I28,"依標準圖",MAX(L29:AC29))</f>
        <v>105</v>
      </c>
    </row>
    <row r="30" spans="1:30" s="45" customFormat="1">
      <c r="A30" s="113" t="s">
        <v>46</v>
      </c>
      <c r="B30" s="99">
        <v>120</v>
      </c>
      <c r="C30" s="114">
        <v>7.5</v>
      </c>
      <c r="D30" s="99">
        <v>4200</v>
      </c>
      <c r="E30" s="102">
        <v>16</v>
      </c>
      <c r="F30" s="103">
        <v>10</v>
      </c>
      <c r="G30" s="99">
        <v>350</v>
      </c>
      <c r="H30" s="102">
        <v>32</v>
      </c>
      <c r="I30" s="104">
        <f>ROUNDDOWN(($B30-2*$C30-2*$E30/10-$H30/10)/(($D$1+1)*$H30/10),0)+1</f>
        <v>16</v>
      </c>
      <c r="J30" s="42">
        <v>6</v>
      </c>
      <c r="K30" s="43" t="s">
        <v>30</v>
      </c>
      <c r="L30" s="44" t="str">
        <f>IF($J30=L$3,IF(L$3&gt;$I30,"-",ROUNDUP(Ld_cal($B30, $C30, $D30, $G30,$E30, $F30, $H30, L$3)*1.3*1.3,0)),"-")</f>
        <v>-</v>
      </c>
      <c r="M30" s="44" t="str">
        <f>IF($J30=M$3,IF(M$3&gt;$I30,"-",ROUNDUP(Ld_cal($B30, $C30, $D30, $G30,$E30, $F30, $H30, M$3)*1.3*1.3,0)),"-")</f>
        <v>-</v>
      </c>
      <c r="N30" s="44" t="str">
        <f>IF($J30=N$3,IF(N$3&gt;$I30,"-",ROUNDUP(Ld_cal($B30, $C30, $D30, $G30,$E30, $F30, $H30, N$3)*1.3*1.3,0)),"-")</f>
        <v>-</v>
      </c>
      <c r="O30" s="44">
        <f>IF($J30=O$3,IF(O$3&gt;$I30,"-",ROUNDUP(Ld_cal($B30, $C30, $D30, $G30,$E30, $F30, $H30, O$3)*1.3*1.3,0)),"-")</f>
        <v>136</v>
      </c>
      <c r="P30" s="44" t="str">
        <f>IF($J30=P$3,IF(P$3&gt;$I30,"-",ROUNDUP(Ld_cal($B30, $C30, $D30, $G30,$E30, $F30, $H30, P$3)*1.3*1.3,0)),"-")</f>
        <v>-</v>
      </c>
      <c r="Q30" s="44" t="str">
        <f>IF($J30=Q$3,IF(Q$3&gt;$I30,"-",ROUNDUP(Ld_cal($B30, $C30, $D30, $G30,$E30, $F30, $H30, Q$3)*1.3*1.3,0)),"-")</f>
        <v>-</v>
      </c>
      <c r="R30" s="44" t="str">
        <f>IF($J30=R$3,IF(R$3&gt;$I30,"-",ROUNDUP(Ld_cal($B30, $C30, $D30, $G30,$E30, $F30, $H30, R$3)*1.3*1.3,0)),"-")</f>
        <v>-</v>
      </c>
      <c r="S30" s="44" t="str">
        <f>IF($J30=S$3,IF(S$3&gt;$I30,"-",ROUNDUP(Ld_cal($B30, $C30, $D30, $G30,$E30, $F30, $H30, S$3)*1.3*1.3,0)),"-")</f>
        <v>-</v>
      </c>
      <c r="T30" s="44" t="str">
        <f>IF($J30=T$3,IF(T$3&gt;$I30,"-",ROUNDUP(Ld_cal($B30, $C30, $D30, $G30,$E30, $F30, $H30, T$3)*1.3*1.3,0)),"-")</f>
        <v>-</v>
      </c>
      <c r="U30" s="44" t="str">
        <f>IF($J30=U$3,IF(U$3&gt;$I30,"-",ROUNDUP(Ld_cal($B30, $C30, $D30, $G30,$E30, $F30, $H30, U$3)*1.3*1.3,0)),"-")</f>
        <v>-</v>
      </c>
      <c r="V30" s="44" t="str">
        <f>IF($J30=V$3,IF(V$3&gt;$I30,"-",ROUNDUP(Ld_cal($B30, $C30, $D30, $G30,$E30, $F30, $H30, V$3)*1.3*1.3,0)),"-")</f>
        <v>-</v>
      </c>
      <c r="W30" s="44" t="str">
        <f>IF($J30=W$3,IF(W$3&gt;$I30,"-",ROUNDUP(Ld_cal($B30, $C30, $D30, $G30,$E30, $F30, $H30, W$3)*1.3*1.3,0)),"-")</f>
        <v>-</v>
      </c>
      <c r="X30" s="44" t="str">
        <f>IF($J30=X$3,IF(X$3&gt;$I30,"-",ROUNDUP(Ld_cal($B30, $C30, $D30, $G30,$E30, $F30, $H30, X$3)*1.3*1.3,0)),"-")</f>
        <v>-</v>
      </c>
      <c r="Y30" s="44" t="str">
        <f>IF($J30=Y$3,IF(Y$3&gt;$I30,"-",ROUNDUP(Ld_cal($B30, $C30, $D30, $G30,$E30, $F30, $H30, Y$3)*1.3*1.3,0)),"-")</f>
        <v>-</v>
      </c>
      <c r="Z30" s="44" t="str">
        <f>IF($J30=Z$3,IF(Z$3&gt;$I30,"-",ROUNDUP(Ld_cal($B30, $C30, $D30, $G30,$E30, $F30, $H30, Z$3)*1.3*1.3,0)),"-")</f>
        <v>-</v>
      </c>
      <c r="AA30" s="44" t="str">
        <f>IF($J30=AA$3,IF(AA$3&gt;$I30,"-",ROUNDUP(Ld_cal($B30, $C30, $D30, $G30,$E30, $F30, $H30, AA$3)*1.3*1.3,0)),"-")</f>
        <v>-</v>
      </c>
      <c r="AB30" s="44" t="str">
        <f>IF($J30=AB$3,IF(AB$3&gt;$I30,"-",ROUNDUP(Ld_cal($B30, $C30, $D30, $G30,$E30, $F30, $H30, AB$3)*1.3*1.3,0)),"-")</f>
        <v>-</v>
      </c>
      <c r="AC30" s="44" t="str">
        <f>IF($J30=AC$3,IF(AC$3&gt;$I30,"-",ROUNDUP(Ld_cal($B30, $C30, $D30, $G30,$E30, $F30, $H30, AC$3)*1.3*1.3,0)),"-")</f>
        <v>-</v>
      </c>
      <c r="AD30" s="46">
        <f t="shared" ref="AD30" si="24">IF(J30&gt;I30,"依標準圖",MAX(L30:AC30))</f>
        <v>136</v>
      </c>
    </row>
    <row r="31" spans="1:30" s="45" customFormat="1">
      <c r="A31" s="113"/>
      <c r="B31" s="99"/>
      <c r="C31" s="114"/>
      <c r="D31" s="99"/>
      <c r="E31" s="102"/>
      <c r="F31" s="103"/>
      <c r="G31" s="99"/>
      <c r="H31" s="102"/>
      <c r="I31" s="104"/>
      <c r="J31" s="42">
        <v>5</v>
      </c>
      <c r="K31" s="43" t="s">
        <v>29</v>
      </c>
      <c r="L31" s="44" t="str">
        <f>IF($J31=L$3,IF(L$3&gt;$I30,"-",ROUNDUP(Ld_cal($B30, $C30, $D30, $G30,$E30, $F30, $H30, L$3)*1.3,0)),"-")</f>
        <v>-</v>
      </c>
      <c r="M31" s="44" t="str">
        <f>IF($J31=M$3,IF(M$3&gt;$I30,"-",ROUNDUP(Ld_cal($B30, $C30, $D30, $G30,$E30, $F30, $H30, M$3)*1.3,0)),"-")</f>
        <v>-</v>
      </c>
      <c r="N31" s="44">
        <f>IF($J31=N$3,IF(N$3&gt;$I30,"-",ROUNDUP(Ld_cal($B30, $C30, $D30, $G30,$E30, $F30, $H30, N$3)*1.3,0)),"-")</f>
        <v>105</v>
      </c>
      <c r="O31" s="44" t="str">
        <f>IF($J31=O$3,IF(O$3&gt;$I30,"-",ROUNDUP(Ld_cal($B30, $C30, $D30, $G30,$E30, $F30, $H30, O$3)*1.3,0)),"-")</f>
        <v>-</v>
      </c>
      <c r="P31" s="44" t="str">
        <f>IF($J31=P$3,IF(P$3&gt;$I30,"-",ROUNDUP(Ld_cal($B30, $C30, $D30, $G30,$E30, $F30, $H30, P$3)*1.3,0)),"-")</f>
        <v>-</v>
      </c>
      <c r="Q31" s="44" t="str">
        <f>IF($J31=Q$3,IF(Q$3&gt;$I30,"-",ROUNDUP(Ld_cal($B30, $C30, $D30, $G30,$E30, $F30, $H30, Q$3)*1.3,0)),"-")</f>
        <v>-</v>
      </c>
      <c r="R31" s="44" t="str">
        <f>IF($J31=R$3,IF(R$3&gt;$I30,"-",ROUNDUP(Ld_cal($B30, $C30, $D30, $G30,$E30, $F30, $H30, R$3)*1.3,0)),"-")</f>
        <v>-</v>
      </c>
      <c r="S31" s="44" t="str">
        <f>IF($J31=S$3,IF(S$3&gt;$I30,"-",ROUNDUP(Ld_cal($B30, $C30, $D30, $G30,$E30, $F30, $H30, S$3)*1.3,0)),"-")</f>
        <v>-</v>
      </c>
      <c r="T31" s="44" t="str">
        <f>IF($J31=T$3,IF(T$3&gt;$I30,"-",ROUNDUP(Ld_cal($B30, $C30, $D30, $G30,$E30, $F30, $H30, T$3)*1.3,0)),"-")</f>
        <v>-</v>
      </c>
      <c r="U31" s="44" t="str">
        <f>IF($J31=U$3,IF(U$3&gt;$I30,"-",ROUNDUP(Ld_cal($B30, $C30, $D30, $G30,$E30, $F30, $H30, U$3)*1.3,0)),"-")</f>
        <v>-</v>
      </c>
      <c r="V31" s="44" t="str">
        <f>IF($J31=V$3,IF(V$3&gt;$I30,"-",ROUNDUP(Ld_cal($B30, $C30, $D30, $G30,$E30, $F30, $H30, V$3)*1.3,0)),"-")</f>
        <v>-</v>
      </c>
      <c r="W31" s="44" t="str">
        <f>IF($J31=W$3,IF(W$3&gt;$I30,"-",ROUNDUP(Ld_cal($B30, $C30, $D30, $G30,$E30, $F30, $H30, W$3)*1.3,0)),"-")</f>
        <v>-</v>
      </c>
      <c r="X31" s="44" t="str">
        <f>IF($J31=X$3,IF(X$3&gt;$I30,"-",ROUNDUP(Ld_cal($B30, $C30, $D30, $G30,$E30, $F30, $H30, X$3)*1.3,0)),"-")</f>
        <v>-</v>
      </c>
      <c r="Y31" s="44" t="str">
        <f>IF($J31=Y$3,IF(Y$3&gt;$I30,"-",ROUNDUP(Ld_cal($B30, $C30, $D30, $G30,$E30, $F30, $H30, Y$3)*1.3,0)),"-")</f>
        <v>-</v>
      </c>
      <c r="Z31" s="44" t="str">
        <f>IF($J31=Z$3,IF(Z$3&gt;$I30,"-",ROUNDUP(Ld_cal($B30, $C30, $D30, $G30,$E30, $F30, $H30, Z$3)*1.3,0)),"-")</f>
        <v>-</v>
      </c>
      <c r="AA31" s="44" t="str">
        <f>IF($J31=AA$3,IF(AA$3&gt;$I30,"-",ROUNDUP(Ld_cal($B30, $C30, $D30, $G30,$E30, $F30, $H30, AA$3)*1.3,0)),"-")</f>
        <v>-</v>
      </c>
      <c r="AB31" s="44" t="str">
        <f>IF($J31=AB$3,IF(AB$3&gt;$I30,"-",ROUNDUP(Ld_cal($B30, $C30, $D30, $G30,$E30, $F30, $H30, AB$3)*1.3,0)),"-")</f>
        <v>-</v>
      </c>
      <c r="AC31" s="44" t="str">
        <f>IF($J31=AC$3,IF(AC$3&gt;$I30,"-",ROUNDUP(Ld_cal($B30, $C30, $D30, $G30,$E30, $F30, $H30, AC$3)*1.3,0)),"-")</f>
        <v>-</v>
      </c>
      <c r="AD31" s="46">
        <f t="shared" ref="AD31" si="25">IF(J31&gt;I30,"依標準圖",MAX(L31:AC31))</f>
        <v>105</v>
      </c>
    </row>
    <row r="32" spans="1:30">
      <c r="A32" s="112" t="s">
        <v>47</v>
      </c>
      <c r="B32" s="107">
        <v>120</v>
      </c>
      <c r="C32" s="108">
        <v>7.5</v>
      </c>
      <c r="D32" s="107">
        <v>4200</v>
      </c>
      <c r="E32" s="109">
        <v>16</v>
      </c>
      <c r="F32" s="110">
        <v>10</v>
      </c>
      <c r="G32" s="107">
        <v>350</v>
      </c>
      <c r="H32" s="109">
        <v>32</v>
      </c>
      <c r="I32" s="111">
        <f>ROUNDDOWN(($B32-2*$C32-2*$E32/10-$H32/10)/(($D$1+1)*$H32/10),0)+1</f>
        <v>16</v>
      </c>
      <c r="J32" s="39">
        <v>9</v>
      </c>
      <c r="K32" s="40" t="s">
        <v>30</v>
      </c>
      <c r="L32" s="41" t="str">
        <f>IF($J32=L$3,IF(L$3&gt;$I32,"-",ROUNDUP(Ld_cal($B32, $C32, $D32, $G32,$E32, $F32, $H32, L$3)*1.3*1.3,0)),"-")</f>
        <v>-</v>
      </c>
      <c r="M32" s="41" t="str">
        <f>IF($J32=M$3,IF(M$3&gt;$I32,"-",ROUNDUP(Ld_cal($B32, $C32, $D32, $G32,$E32, $F32, $H32, M$3)*1.3*1.3,0)),"-")</f>
        <v>-</v>
      </c>
      <c r="N32" s="41" t="str">
        <f>IF($J32=N$3,IF(N$3&gt;$I32,"-",ROUNDUP(Ld_cal($B32, $C32, $D32, $G32,$E32, $F32, $H32, N$3)*1.3*1.3,0)),"-")</f>
        <v>-</v>
      </c>
      <c r="O32" s="41" t="str">
        <f>IF($J32=O$3,IF(O$3&gt;$I32,"-",ROUNDUP(Ld_cal($B32, $C32, $D32, $G32,$E32, $F32, $H32, O$3)*1.3*1.3,0)),"-")</f>
        <v>-</v>
      </c>
      <c r="P32" s="41" t="str">
        <f>IF($J32=P$3,IF(P$3&gt;$I32,"-",ROUNDUP(Ld_cal($B32, $C32, $D32, $G32,$E32, $F32, $H32, P$3)*1.3*1.3,0)),"-")</f>
        <v>-</v>
      </c>
      <c r="Q32" s="41" t="str">
        <f>IF($J32=Q$3,IF(Q$3&gt;$I32,"-",ROUNDUP(Ld_cal($B32, $C32, $D32, $G32,$E32, $F32, $H32, Q$3)*1.3*1.3,0)),"-")</f>
        <v>-</v>
      </c>
      <c r="R32" s="41">
        <f>IF($J32=R$3,IF(R$3&gt;$I32,"-",ROUNDUP(Ld_cal($B32, $C32, $D32, $G32,$E32, $F32, $H32, R$3)*1.3*1.3,0)),"-")</f>
        <v>137</v>
      </c>
      <c r="S32" s="41" t="str">
        <f>IF($J32=S$3,IF(S$3&gt;$I32,"-",ROUNDUP(Ld_cal($B32, $C32, $D32, $G32,$E32, $F32, $H32, S$3)*1.3*1.3,0)),"-")</f>
        <v>-</v>
      </c>
      <c r="T32" s="41" t="str">
        <f>IF($J32=T$3,IF(T$3&gt;$I32,"-",ROUNDUP(Ld_cal($B32, $C32, $D32, $G32,$E32, $F32, $H32, T$3)*1.3*1.3,0)),"-")</f>
        <v>-</v>
      </c>
      <c r="U32" s="41" t="str">
        <f>IF($J32=U$3,IF(U$3&gt;$I32,"-",ROUNDUP(Ld_cal($B32, $C32, $D32, $G32,$E32, $F32, $H32, U$3)*1.3*1.3,0)),"-")</f>
        <v>-</v>
      </c>
      <c r="V32" s="41" t="str">
        <f>IF($J32=V$3,IF(V$3&gt;$I32,"-",ROUNDUP(Ld_cal($B32, $C32, $D32, $G32,$E32, $F32, $H32, V$3)*1.3*1.3,0)),"-")</f>
        <v>-</v>
      </c>
      <c r="W32" s="41" t="str">
        <f>IF($J32=W$3,IF(W$3&gt;$I32,"-",ROUNDUP(Ld_cal($B32, $C32, $D32, $G32,$E32, $F32, $H32, W$3)*1.3*1.3,0)),"-")</f>
        <v>-</v>
      </c>
      <c r="X32" s="41" t="str">
        <f>IF($J32=X$3,IF(X$3&gt;$I32,"-",ROUNDUP(Ld_cal($B32, $C32, $D32, $G32,$E32, $F32, $H32, X$3)*1.3*1.3,0)),"-")</f>
        <v>-</v>
      </c>
      <c r="Y32" s="41" t="str">
        <f>IF($J32=Y$3,IF(Y$3&gt;$I32,"-",ROUNDUP(Ld_cal($B32, $C32, $D32, $G32,$E32, $F32, $H32, Y$3)*1.3*1.3,0)),"-")</f>
        <v>-</v>
      </c>
      <c r="Z32" s="41" t="str">
        <f>IF($J32=Z$3,IF(Z$3&gt;$I32,"-",ROUNDUP(Ld_cal($B32, $C32, $D32, $G32,$E32, $F32, $H32, Z$3)*1.3*1.3,0)),"-")</f>
        <v>-</v>
      </c>
      <c r="AA32" s="41" t="str">
        <f>IF($J32=AA$3,IF(AA$3&gt;$I32,"-",ROUNDUP(Ld_cal($B32, $C32, $D32, $G32,$E32, $F32, $H32, AA$3)*1.3*1.3,0)),"-")</f>
        <v>-</v>
      </c>
      <c r="AB32" s="41" t="str">
        <f>IF($J32=AB$3,IF(AB$3&gt;$I32,"-",ROUNDUP(Ld_cal($B32, $C32, $D32, $G32,$E32, $F32, $H32, AB$3)*1.3*1.3,0)),"-")</f>
        <v>-</v>
      </c>
      <c r="AC32" s="41" t="str">
        <f>IF($J32=AC$3,IF(AC$3&gt;$I32,"-",ROUNDUP(Ld_cal($B32, $C32, $D32, $G32,$E32, $F32, $H32, AC$3)*1.3*1.3,0)),"-")</f>
        <v>-</v>
      </c>
      <c r="AD32" s="47">
        <f t="shared" ref="AD32" si="26">IF(J32&gt;I32,"依標準圖",MAX(L32:AC32))</f>
        <v>137</v>
      </c>
    </row>
    <row r="33" spans="1:30">
      <c r="A33" s="112"/>
      <c r="B33" s="107"/>
      <c r="C33" s="108"/>
      <c r="D33" s="107"/>
      <c r="E33" s="109"/>
      <c r="F33" s="110"/>
      <c r="G33" s="107"/>
      <c r="H33" s="109"/>
      <c r="I33" s="111"/>
      <c r="J33" s="39">
        <v>5</v>
      </c>
      <c r="K33" s="40" t="s">
        <v>29</v>
      </c>
      <c r="L33" s="41" t="str">
        <f>IF($J33=L$3,IF(L$3&gt;$I32,"-",ROUNDUP(Ld_cal($B32, $C32, $D32, $G32,$E32, $F32, $H32, L$3)*1.3,0)),"-")</f>
        <v>-</v>
      </c>
      <c r="M33" s="41" t="str">
        <f>IF($J33=M$3,IF(M$3&gt;$I32,"-",ROUNDUP(Ld_cal($B32, $C32, $D32, $G32,$E32, $F32, $H32, M$3)*1.3,0)),"-")</f>
        <v>-</v>
      </c>
      <c r="N33" s="41">
        <f>IF($J33=N$3,IF(N$3&gt;$I32,"-",ROUNDUP(Ld_cal($B32, $C32, $D32, $G32,$E32, $F32, $H32, N$3)*1.3,0)),"-")</f>
        <v>105</v>
      </c>
      <c r="O33" s="41" t="str">
        <f>IF($J33=O$3,IF(O$3&gt;$I32,"-",ROUNDUP(Ld_cal($B32, $C32, $D32, $G32,$E32, $F32, $H32, O$3)*1.3,0)),"-")</f>
        <v>-</v>
      </c>
      <c r="P33" s="41" t="str">
        <f>IF($J33=P$3,IF(P$3&gt;$I32,"-",ROUNDUP(Ld_cal($B32, $C32, $D32, $G32,$E32, $F32, $H32, P$3)*1.3,0)),"-")</f>
        <v>-</v>
      </c>
      <c r="Q33" s="41" t="str">
        <f>IF($J33=Q$3,IF(Q$3&gt;$I32,"-",ROUNDUP(Ld_cal($B32, $C32, $D32, $G32,$E32, $F32, $H32, Q$3)*1.3,0)),"-")</f>
        <v>-</v>
      </c>
      <c r="R33" s="41" t="str">
        <f>IF($J33=R$3,IF(R$3&gt;$I32,"-",ROUNDUP(Ld_cal($B32, $C32, $D32, $G32,$E32, $F32, $H32, R$3)*1.3,0)),"-")</f>
        <v>-</v>
      </c>
      <c r="S33" s="41" t="str">
        <f>IF($J33=S$3,IF(S$3&gt;$I32,"-",ROUNDUP(Ld_cal($B32, $C32, $D32, $G32,$E32, $F32, $H32, S$3)*1.3,0)),"-")</f>
        <v>-</v>
      </c>
      <c r="T33" s="41" t="str">
        <f>IF($J33=T$3,IF(T$3&gt;$I32,"-",ROUNDUP(Ld_cal($B32, $C32, $D32, $G32,$E32, $F32, $H32, T$3)*1.3,0)),"-")</f>
        <v>-</v>
      </c>
      <c r="U33" s="41" t="str">
        <f>IF($J33=U$3,IF(U$3&gt;$I32,"-",ROUNDUP(Ld_cal($B32, $C32, $D32, $G32,$E32, $F32, $H32, U$3)*1.3,0)),"-")</f>
        <v>-</v>
      </c>
      <c r="V33" s="41" t="str">
        <f>IF($J33=V$3,IF(V$3&gt;$I32,"-",ROUNDUP(Ld_cal($B32, $C32, $D32, $G32,$E32, $F32, $H32, V$3)*1.3,0)),"-")</f>
        <v>-</v>
      </c>
      <c r="W33" s="41" t="str">
        <f>IF($J33=W$3,IF(W$3&gt;$I32,"-",ROUNDUP(Ld_cal($B32, $C32, $D32, $G32,$E32, $F32, $H32, W$3)*1.3,0)),"-")</f>
        <v>-</v>
      </c>
      <c r="X33" s="41" t="str">
        <f>IF($J33=X$3,IF(X$3&gt;$I32,"-",ROUNDUP(Ld_cal($B32, $C32, $D32, $G32,$E32, $F32, $H32, X$3)*1.3,0)),"-")</f>
        <v>-</v>
      </c>
      <c r="Y33" s="41" t="str">
        <f>IF($J33=Y$3,IF(Y$3&gt;$I32,"-",ROUNDUP(Ld_cal($B32, $C32, $D32, $G32,$E32, $F32, $H32, Y$3)*1.3,0)),"-")</f>
        <v>-</v>
      </c>
      <c r="Z33" s="41" t="str">
        <f>IF($J33=Z$3,IF(Z$3&gt;$I32,"-",ROUNDUP(Ld_cal($B32, $C32, $D32, $G32,$E32, $F32, $H32, Z$3)*1.3,0)),"-")</f>
        <v>-</v>
      </c>
      <c r="AA33" s="41" t="str">
        <f>IF($J33=AA$3,IF(AA$3&gt;$I32,"-",ROUNDUP(Ld_cal($B32, $C32, $D32, $G32,$E32, $F32, $H32, AA$3)*1.3,0)),"-")</f>
        <v>-</v>
      </c>
      <c r="AB33" s="41" t="str">
        <f>IF($J33=AB$3,IF(AB$3&gt;$I32,"-",ROUNDUP(Ld_cal($B32, $C32, $D32, $G32,$E32, $F32, $H32, AB$3)*1.3,0)),"-")</f>
        <v>-</v>
      </c>
      <c r="AC33" s="41" t="str">
        <f>IF($J33=AC$3,IF(AC$3&gt;$I32,"-",ROUNDUP(Ld_cal($B32, $C32, $D32, $G32,$E32, $F32, $H32, AC$3)*1.3,0)),"-")</f>
        <v>-</v>
      </c>
      <c r="AD33" s="47">
        <f t="shared" ref="AD33" si="27">IF(J33&gt;I32,"依標準圖",MAX(L33:AC33))</f>
        <v>105</v>
      </c>
    </row>
    <row r="34" spans="1:30" s="45" customFormat="1">
      <c r="A34" s="113" t="s">
        <v>48</v>
      </c>
      <c r="B34" s="99">
        <v>120</v>
      </c>
      <c r="C34" s="114">
        <v>7.5</v>
      </c>
      <c r="D34" s="99">
        <v>4200</v>
      </c>
      <c r="E34" s="102">
        <v>16</v>
      </c>
      <c r="F34" s="103">
        <v>10</v>
      </c>
      <c r="G34" s="99">
        <v>350</v>
      </c>
      <c r="H34" s="102">
        <v>32</v>
      </c>
      <c r="I34" s="104">
        <f>ROUNDDOWN(($B34-2*$C34-2*$E34/10-$H34/10)/(($D$1+1)*$H34/10),0)+1</f>
        <v>16</v>
      </c>
      <c r="J34" s="42">
        <v>6</v>
      </c>
      <c r="K34" s="43" t="s">
        <v>30</v>
      </c>
      <c r="L34" s="44" t="str">
        <f>IF($J34=L$3,IF(L$3&gt;$I34,"-",ROUNDUP(Ld_cal($B34, $C34, $D34, $G34,$E34, $F34, $H34, L$3)*1.3*1.3,0)),"-")</f>
        <v>-</v>
      </c>
      <c r="M34" s="44" t="str">
        <f>IF($J34=M$3,IF(M$3&gt;$I34,"-",ROUNDUP(Ld_cal($B34, $C34, $D34, $G34,$E34, $F34, $H34, M$3)*1.3*1.3,0)),"-")</f>
        <v>-</v>
      </c>
      <c r="N34" s="44" t="str">
        <f>IF($J34=N$3,IF(N$3&gt;$I34,"-",ROUNDUP(Ld_cal($B34, $C34, $D34, $G34,$E34, $F34, $H34, N$3)*1.3*1.3,0)),"-")</f>
        <v>-</v>
      </c>
      <c r="O34" s="44">
        <f>IF($J34=O$3,IF(O$3&gt;$I34,"-",ROUNDUP(Ld_cal($B34, $C34, $D34, $G34,$E34, $F34, $H34, O$3)*1.3*1.3,0)),"-")</f>
        <v>136</v>
      </c>
      <c r="P34" s="44" t="str">
        <f>IF($J34=P$3,IF(P$3&gt;$I34,"-",ROUNDUP(Ld_cal($B34, $C34, $D34, $G34,$E34, $F34, $H34, P$3)*1.3*1.3,0)),"-")</f>
        <v>-</v>
      </c>
      <c r="Q34" s="44" t="str">
        <f>IF($J34=Q$3,IF(Q$3&gt;$I34,"-",ROUNDUP(Ld_cal($B34, $C34, $D34, $G34,$E34, $F34, $H34, Q$3)*1.3*1.3,0)),"-")</f>
        <v>-</v>
      </c>
      <c r="R34" s="44" t="str">
        <f>IF($J34=R$3,IF(R$3&gt;$I34,"-",ROUNDUP(Ld_cal($B34, $C34, $D34, $G34,$E34, $F34, $H34, R$3)*1.3*1.3,0)),"-")</f>
        <v>-</v>
      </c>
      <c r="S34" s="44" t="str">
        <f>IF($J34=S$3,IF(S$3&gt;$I34,"-",ROUNDUP(Ld_cal($B34, $C34, $D34, $G34,$E34, $F34, $H34, S$3)*1.3*1.3,0)),"-")</f>
        <v>-</v>
      </c>
      <c r="T34" s="44" t="str">
        <f>IF($J34=T$3,IF(T$3&gt;$I34,"-",ROUNDUP(Ld_cal($B34, $C34, $D34, $G34,$E34, $F34, $H34, T$3)*1.3*1.3,0)),"-")</f>
        <v>-</v>
      </c>
      <c r="U34" s="44" t="str">
        <f>IF($J34=U$3,IF(U$3&gt;$I34,"-",ROUNDUP(Ld_cal($B34, $C34, $D34, $G34,$E34, $F34, $H34, U$3)*1.3*1.3,0)),"-")</f>
        <v>-</v>
      </c>
      <c r="V34" s="44" t="str">
        <f>IF($J34=V$3,IF(V$3&gt;$I34,"-",ROUNDUP(Ld_cal($B34, $C34, $D34, $G34,$E34, $F34, $H34, V$3)*1.3*1.3,0)),"-")</f>
        <v>-</v>
      </c>
      <c r="W34" s="44" t="str">
        <f>IF($J34=W$3,IF(W$3&gt;$I34,"-",ROUNDUP(Ld_cal($B34, $C34, $D34, $G34,$E34, $F34, $H34, W$3)*1.3*1.3,0)),"-")</f>
        <v>-</v>
      </c>
      <c r="X34" s="44" t="str">
        <f>IF($J34=X$3,IF(X$3&gt;$I34,"-",ROUNDUP(Ld_cal($B34, $C34, $D34, $G34,$E34, $F34, $H34, X$3)*1.3*1.3,0)),"-")</f>
        <v>-</v>
      </c>
      <c r="Y34" s="44" t="str">
        <f>IF($J34=Y$3,IF(Y$3&gt;$I34,"-",ROUNDUP(Ld_cal($B34, $C34, $D34, $G34,$E34, $F34, $H34, Y$3)*1.3*1.3,0)),"-")</f>
        <v>-</v>
      </c>
      <c r="Z34" s="44" t="str">
        <f>IF($J34=Z$3,IF(Z$3&gt;$I34,"-",ROUNDUP(Ld_cal($B34, $C34, $D34, $G34,$E34, $F34, $H34, Z$3)*1.3*1.3,0)),"-")</f>
        <v>-</v>
      </c>
      <c r="AA34" s="44" t="str">
        <f>IF($J34=AA$3,IF(AA$3&gt;$I34,"-",ROUNDUP(Ld_cal($B34, $C34, $D34, $G34,$E34, $F34, $H34, AA$3)*1.3*1.3,0)),"-")</f>
        <v>-</v>
      </c>
      <c r="AB34" s="44" t="str">
        <f>IF($J34=AB$3,IF(AB$3&gt;$I34,"-",ROUNDUP(Ld_cal($B34, $C34, $D34, $G34,$E34, $F34, $H34, AB$3)*1.3*1.3,0)),"-")</f>
        <v>-</v>
      </c>
      <c r="AC34" s="44" t="str">
        <f>IF($J34=AC$3,IF(AC$3&gt;$I34,"-",ROUNDUP(Ld_cal($B34, $C34, $D34, $G34,$E34, $F34, $H34, AC$3)*1.3*1.3,0)),"-")</f>
        <v>-</v>
      </c>
      <c r="AD34" s="46">
        <f t="shared" ref="AD34" si="28">IF(J34&gt;I34,"依標準圖",MAX(L34:AC34))</f>
        <v>136</v>
      </c>
    </row>
    <row r="35" spans="1:30" s="45" customFormat="1">
      <c r="A35" s="113"/>
      <c r="B35" s="99"/>
      <c r="C35" s="114"/>
      <c r="D35" s="99"/>
      <c r="E35" s="102"/>
      <c r="F35" s="103"/>
      <c r="G35" s="99"/>
      <c r="H35" s="102"/>
      <c r="I35" s="104"/>
      <c r="J35" s="42">
        <v>5</v>
      </c>
      <c r="K35" s="43" t="s">
        <v>29</v>
      </c>
      <c r="L35" s="44" t="str">
        <f>IF($J35=L$3,IF(L$3&gt;$I34,"-",ROUNDUP(Ld_cal($B34, $C34, $D34, $G34,$E34, $F34, $H34, L$3)*1.3,0)),"-")</f>
        <v>-</v>
      </c>
      <c r="M35" s="44" t="str">
        <f>IF($J35=M$3,IF(M$3&gt;$I34,"-",ROUNDUP(Ld_cal($B34, $C34, $D34, $G34,$E34, $F34, $H34, M$3)*1.3,0)),"-")</f>
        <v>-</v>
      </c>
      <c r="N35" s="44">
        <f>IF($J35=N$3,IF(N$3&gt;$I34,"-",ROUNDUP(Ld_cal($B34, $C34, $D34, $G34,$E34, $F34, $H34, N$3)*1.3,0)),"-")</f>
        <v>105</v>
      </c>
      <c r="O35" s="44" t="str">
        <f>IF($J35=O$3,IF(O$3&gt;$I34,"-",ROUNDUP(Ld_cal($B34, $C34, $D34, $G34,$E34, $F34, $H34, O$3)*1.3,0)),"-")</f>
        <v>-</v>
      </c>
      <c r="P35" s="44" t="str">
        <f>IF($J35=P$3,IF(P$3&gt;$I34,"-",ROUNDUP(Ld_cal($B34, $C34, $D34, $G34,$E34, $F34, $H34, P$3)*1.3,0)),"-")</f>
        <v>-</v>
      </c>
      <c r="Q35" s="44" t="str">
        <f>IF($J35=Q$3,IF(Q$3&gt;$I34,"-",ROUNDUP(Ld_cal($B34, $C34, $D34, $G34,$E34, $F34, $H34, Q$3)*1.3,0)),"-")</f>
        <v>-</v>
      </c>
      <c r="R35" s="44" t="str">
        <f>IF($J35=R$3,IF(R$3&gt;$I34,"-",ROUNDUP(Ld_cal($B34, $C34, $D34, $G34,$E34, $F34, $H34, R$3)*1.3,0)),"-")</f>
        <v>-</v>
      </c>
      <c r="S35" s="44" t="str">
        <f>IF($J35=S$3,IF(S$3&gt;$I34,"-",ROUNDUP(Ld_cal($B34, $C34, $D34, $G34,$E34, $F34, $H34, S$3)*1.3,0)),"-")</f>
        <v>-</v>
      </c>
      <c r="T35" s="44" t="str">
        <f>IF($J35=T$3,IF(T$3&gt;$I34,"-",ROUNDUP(Ld_cal($B34, $C34, $D34, $G34,$E34, $F34, $H34, T$3)*1.3,0)),"-")</f>
        <v>-</v>
      </c>
      <c r="U35" s="44" t="str">
        <f>IF($J35=U$3,IF(U$3&gt;$I34,"-",ROUNDUP(Ld_cal($B34, $C34, $D34, $G34,$E34, $F34, $H34, U$3)*1.3,0)),"-")</f>
        <v>-</v>
      </c>
      <c r="V35" s="44" t="str">
        <f>IF($J35=V$3,IF(V$3&gt;$I34,"-",ROUNDUP(Ld_cal($B34, $C34, $D34, $G34,$E34, $F34, $H34, V$3)*1.3,0)),"-")</f>
        <v>-</v>
      </c>
      <c r="W35" s="44" t="str">
        <f>IF($J35=W$3,IF(W$3&gt;$I34,"-",ROUNDUP(Ld_cal($B34, $C34, $D34, $G34,$E34, $F34, $H34, W$3)*1.3,0)),"-")</f>
        <v>-</v>
      </c>
      <c r="X35" s="44" t="str">
        <f>IF($J35=X$3,IF(X$3&gt;$I34,"-",ROUNDUP(Ld_cal($B34, $C34, $D34, $G34,$E34, $F34, $H34, X$3)*1.3,0)),"-")</f>
        <v>-</v>
      </c>
      <c r="Y35" s="44" t="str">
        <f>IF($J35=Y$3,IF(Y$3&gt;$I34,"-",ROUNDUP(Ld_cal($B34, $C34, $D34, $G34,$E34, $F34, $H34, Y$3)*1.3,0)),"-")</f>
        <v>-</v>
      </c>
      <c r="Z35" s="44" t="str">
        <f>IF($J35=Z$3,IF(Z$3&gt;$I34,"-",ROUNDUP(Ld_cal($B34, $C34, $D34, $G34,$E34, $F34, $H34, Z$3)*1.3,0)),"-")</f>
        <v>-</v>
      </c>
      <c r="AA35" s="44" t="str">
        <f>IF($J35=AA$3,IF(AA$3&gt;$I34,"-",ROUNDUP(Ld_cal($B34, $C34, $D34, $G34,$E34, $F34, $H34, AA$3)*1.3,0)),"-")</f>
        <v>-</v>
      </c>
      <c r="AB35" s="44" t="str">
        <f>IF($J35=AB$3,IF(AB$3&gt;$I34,"-",ROUNDUP(Ld_cal($B34, $C34, $D34, $G34,$E34, $F34, $H34, AB$3)*1.3,0)),"-")</f>
        <v>-</v>
      </c>
      <c r="AC35" s="44" t="str">
        <f>IF($J35=AC$3,IF(AC$3&gt;$I34,"-",ROUNDUP(Ld_cal($B34, $C34, $D34, $G34,$E34, $F34, $H34, AC$3)*1.3,0)),"-")</f>
        <v>-</v>
      </c>
      <c r="AD35" s="46">
        <f t="shared" ref="AD35" si="29">IF(J35&gt;I34,"依標準圖",MAX(L35:AC35))</f>
        <v>105</v>
      </c>
    </row>
    <row r="36" spans="1:30">
      <c r="A36" s="112" t="s">
        <v>49</v>
      </c>
      <c r="B36" s="107">
        <v>120</v>
      </c>
      <c r="C36" s="108">
        <v>7.5</v>
      </c>
      <c r="D36" s="107">
        <v>4200</v>
      </c>
      <c r="E36" s="109">
        <v>16</v>
      </c>
      <c r="F36" s="110">
        <v>10</v>
      </c>
      <c r="G36" s="107">
        <v>350</v>
      </c>
      <c r="H36" s="109">
        <v>32</v>
      </c>
      <c r="I36" s="111">
        <f>ROUNDDOWN(($B36-2*$C36-2*$E36/10-$H36/10)/(($D$1+1)*$H36/10),0)+1</f>
        <v>16</v>
      </c>
      <c r="J36" s="39">
        <v>9</v>
      </c>
      <c r="K36" s="40" t="s">
        <v>30</v>
      </c>
      <c r="L36" s="41" t="str">
        <f>IF($J36=L$3,IF(L$3&gt;$I36,"-",ROUNDUP(Ld_cal($B36, $C36, $D36, $G36,$E36, $F36, $H36, L$3)*1.3*1.3,0)),"-")</f>
        <v>-</v>
      </c>
      <c r="M36" s="41" t="str">
        <f>IF($J36=M$3,IF(M$3&gt;$I36,"-",ROUNDUP(Ld_cal($B36, $C36, $D36, $G36,$E36, $F36, $H36, M$3)*1.3*1.3,0)),"-")</f>
        <v>-</v>
      </c>
      <c r="N36" s="41" t="str">
        <f>IF($J36=N$3,IF(N$3&gt;$I36,"-",ROUNDUP(Ld_cal($B36, $C36, $D36, $G36,$E36, $F36, $H36, N$3)*1.3*1.3,0)),"-")</f>
        <v>-</v>
      </c>
      <c r="O36" s="41" t="str">
        <f>IF($J36=O$3,IF(O$3&gt;$I36,"-",ROUNDUP(Ld_cal($B36, $C36, $D36, $G36,$E36, $F36, $H36, O$3)*1.3*1.3,0)),"-")</f>
        <v>-</v>
      </c>
      <c r="P36" s="41" t="str">
        <f>IF($J36=P$3,IF(P$3&gt;$I36,"-",ROUNDUP(Ld_cal($B36, $C36, $D36, $G36,$E36, $F36, $H36, P$3)*1.3*1.3,0)),"-")</f>
        <v>-</v>
      </c>
      <c r="Q36" s="41" t="str">
        <f>IF($J36=Q$3,IF(Q$3&gt;$I36,"-",ROUNDUP(Ld_cal($B36, $C36, $D36, $G36,$E36, $F36, $H36, Q$3)*1.3*1.3,0)),"-")</f>
        <v>-</v>
      </c>
      <c r="R36" s="41">
        <f>IF($J36=R$3,IF(R$3&gt;$I36,"-",ROUNDUP(Ld_cal($B36, $C36, $D36, $G36,$E36, $F36, $H36, R$3)*1.3*1.3,0)),"-")</f>
        <v>137</v>
      </c>
      <c r="S36" s="41" t="str">
        <f>IF($J36=S$3,IF(S$3&gt;$I36,"-",ROUNDUP(Ld_cal($B36, $C36, $D36, $G36,$E36, $F36, $H36, S$3)*1.3*1.3,0)),"-")</f>
        <v>-</v>
      </c>
      <c r="T36" s="41" t="str">
        <f>IF($J36=T$3,IF(T$3&gt;$I36,"-",ROUNDUP(Ld_cal($B36, $C36, $D36, $G36,$E36, $F36, $H36, T$3)*1.3*1.3,0)),"-")</f>
        <v>-</v>
      </c>
      <c r="U36" s="41" t="str">
        <f>IF($J36=U$3,IF(U$3&gt;$I36,"-",ROUNDUP(Ld_cal($B36, $C36, $D36, $G36,$E36, $F36, $H36, U$3)*1.3*1.3,0)),"-")</f>
        <v>-</v>
      </c>
      <c r="V36" s="41" t="str">
        <f>IF($J36=V$3,IF(V$3&gt;$I36,"-",ROUNDUP(Ld_cal($B36, $C36, $D36, $G36,$E36, $F36, $H36, V$3)*1.3*1.3,0)),"-")</f>
        <v>-</v>
      </c>
      <c r="W36" s="41" t="str">
        <f>IF($J36=W$3,IF(W$3&gt;$I36,"-",ROUNDUP(Ld_cal($B36, $C36, $D36, $G36,$E36, $F36, $H36, W$3)*1.3*1.3,0)),"-")</f>
        <v>-</v>
      </c>
      <c r="X36" s="41" t="str">
        <f>IF($J36=X$3,IF(X$3&gt;$I36,"-",ROUNDUP(Ld_cal($B36, $C36, $D36, $G36,$E36, $F36, $H36, X$3)*1.3*1.3,0)),"-")</f>
        <v>-</v>
      </c>
      <c r="Y36" s="41" t="str">
        <f>IF($J36=Y$3,IF(Y$3&gt;$I36,"-",ROUNDUP(Ld_cal($B36, $C36, $D36, $G36,$E36, $F36, $H36, Y$3)*1.3*1.3,0)),"-")</f>
        <v>-</v>
      </c>
      <c r="Z36" s="41" t="str">
        <f>IF($J36=Z$3,IF(Z$3&gt;$I36,"-",ROUNDUP(Ld_cal($B36, $C36, $D36, $G36,$E36, $F36, $H36, Z$3)*1.3*1.3,0)),"-")</f>
        <v>-</v>
      </c>
      <c r="AA36" s="41" t="str">
        <f>IF($J36=AA$3,IF(AA$3&gt;$I36,"-",ROUNDUP(Ld_cal($B36, $C36, $D36, $G36,$E36, $F36, $H36, AA$3)*1.3*1.3,0)),"-")</f>
        <v>-</v>
      </c>
      <c r="AB36" s="41" t="str">
        <f>IF($J36=AB$3,IF(AB$3&gt;$I36,"-",ROUNDUP(Ld_cal($B36, $C36, $D36, $G36,$E36, $F36, $H36, AB$3)*1.3*1.3,0)),"-")</f>
        <v>-</v>
      </c>
      <c r="AC36" s="41" t="str">
        <f>IF($J36=AC$3,IF(AC$3&gt;$I36,"-",ROUNDUP(Ld_cal($B36, $C36, $D36, $G36,$E36, $F36, $H36, AC$3)*1.3*1.3,0)),"-")</f>
        <v>-</v>
      </c>
      <c r="AD36" s="47">
        <f t="shared" ref="AD36" si="30">IF(J36&gt;I36,"依標準圖",MAX(L36:AC36))</f>
        <v>137</v>
      </c>
    </row>
    <row r="37" spans="1:30">
      <c r="A37" s="112"/>
      <c r="B37" s="107"/>
      <c r="C37" s="108"/>
      <c r="D37" s="107"/>
      <c r="E37" s="109"/>
      <c r="F37" s="110"/>
      <c r="G37" s="107"/>
      <c r="H37" s="109"/>
      <c r="I37" s="111"/>
      <c r="J37" s="39">
        <v>5</v>
      </c>
      <c r="K37" s="40" t="s">
        <v>29</v>
      </c>
      <c r="L37" s="41" t="str">
        <f>IF($J37=L$3,IF(L$3&gt;$I36,"-",ROUNDUP(Ld_cal($B36, $C36, $D36, $G36,$E36, $F36, $H36, L$3)*1.3,0)),"-")</f>
        <v>-</v>
      </c>
      <c r="M37" s="41" t="str">
        <f>IF($J37=M$3,IF(M$3&gt;$I36,"-",ROUNDUP(Ld_cal($B36, $C36, $D36, $G36,$E36, $F36, $H36, M$3)*1.3,0)),"-")</f>
        <v>-</v>
      </c>
      <c r="N37" s="41">
        <f>IF($J37=N$3,IF(N$3&gt;$I36,"-",ROUNDUP(Ld_cal($B36, $C36, $D36, $G36,$E36, $F36, $H36, N$3)*1.3,0)),"-")</f>
        <v>105</v>
      </c>
      <c r="O37" s="41" t="str">
        <f>IF($J37=O$3,IF(O$3&gt;$I36,"-",ROUNDUP(Ld_cal($B36, $C36, $D36, $G36,$E36, $F36, $H36, O$3)*1.3,0)),"-")</f>
        <v>-</v>
      </c>
      <c r="P37" s="41" t="str">
        <f>IF($J37=P$3,IF(P$3&gt;$I36,"-",ROUNDUP(Ld_cal($B36, $C36, $D36, $G36,$E36, $F36, $H36, P$3)*1.3,0)),"-")</f>
        <v>-</v>
      </c>
      <c r="Q37" s="41" t="str">
        <f>IF($J37=Q$3,IF(Q$3&gt;$I36,"-",ROUNDUP(Ld_cal($B36, $C36, $D36, $G36,$E36, $F36, $H36, Q$3)*1.3,0)),"-")</f>
        <v>-</v>
      </c>
      <c r="R37" s="41" t="str">
        <f>IF($J37=R$3,IF(R$3&gt;$I36,"-",ROUNDUP(Ld_cal($B36, $C36, $D36, $G36,$E36, $F36, $H36, R$3)*1.3,0)),"-")</f>
        <v>-</v>
      </c>
      <c r="S37" s="41" t="str">
        <f>IF($J37=S$3,IF(S$3&gt;$I36,"-",ROUNDUP(Ld_cal($B36, $C36, $D36, $G36,$E36, $F36, $H36, S$3)*1.3,0)),"-")</f>
        <v>-</v>
      </c>
      <c r="T37" s="41" t="str">
        <f>IF($J37=T$3,IF(T$3&gt;$I36,"-",ROUNDUP(Ld_cal($B36, $C36, $D36, $G36,$E36, $F36, $H36, T$3)*1.3,0)),"-")</f>
        <v>-</v>
      </c>
      <c r="U37" s="41" t="str">
        <f>IF($J37=U$3,IF(U$3&gt;$I36,"-",ROUNDUP(Ld_cal($B36, $C36, $D36, $G36,$E36, $F36, $H36, U$3)*1.3,0)),"-")</f>
        <v>-</v>
      </c>
      <c r="V37" s="41" t="str">
        <f>IF($J37=V$3,IF(V$3&gt;$I36,"-",ROUNDUP(Ld_cal($B36, $C36, $D36, $G36,$E36, $F36, $H36, V$3)*1.3,0)),"-")</f>
        <v>-</v>
      </c>
      <c r="W37" s="41" t="str">
        <f>IF($J37=W$3,IF(W$3&gt;$I36,"-",ROUNDUP(Ld_cal($B36, $C36, $D36, $G36,$E36, $F36, $H36, W$3)*1.3,0)),"-")</f>
        <v>-</v>
      </c>
      <c r="X37" s="41" t="str">
        <f>IF($J37=X$3,IF(X$3&gt;$I36,"-",ROUNDUP(Ld_cal($B36, $C36, $D36, $G36,$E36, $F36, $H36, X$3)*1.3,0)),"-")</f>
        <v>-</v>
      </c>
      <c r="Y37" s="41" t="str">
        <f>IF($J37=Y$3,IF(Y$3&gt;$I36,"-",ROUNDUP(Ld_cal($B36, $C36, $D36, $G36,$E36, $F36, $H36, Y$3)*1.3,0)),"-")</f>
        <v>-</v>
      </c>
      <c r="Z37" s="41" t="str">
        <f>IF($J37=Z$3,IF(Z$3&gt;$I36,"-",ROUNDUP(Ld_cal($B36, $C36, $D36, $G36,$E36, $F36, $H36, Z$3)*1.3,0)),"-")</f>
        <v>-</v>
      </c>
      <c r="AA37" s="41" t="str">
        <f>IF($J37=AA$3,IF(AA$3&gt;$I36,"-",ROUNDUP(Ld_cal($B36, $C36, $D36, $G36,$E36, $F36, $H36, AA$3)*1.3,0)),"-")</f>
        <v>-</v>
      </c>
      <c r="AB37" s="41" t="str">
        <f>IF($J37=AB$3,IF(AB$3&gt;$I36,"-",ROUNDUP(Ld_cal($B36, $C36, $D36, $G36,$E36, $F36, $H36, AB$3)*1.3,0)),"-")</f>
        <v>-</v>
      </c>
      <c r="AC37" s="41" t="str">
        <f>IF($J37=AC$3,IF(AC$3&gt;$I36,"-",ROUNDUP(Ld_cal($B36, $C36, $D36, $G36,$E36, $F36, $H36, AC$3)*1.3,0)),"-")</f>
        <v>-</v>
      </c>
      <c r="AD37" s="47">
        <f t="shared" ref="AD37" si="31">IF(J37&gt;I36,"依標準圖",MAX(L37:AC37))</f>
        <v>105</v>
      </c>
    </row>
    <row r="38" spans="1:30" s="45" customFormat="1">
      <c r="A38" s="113" t="s">
        <v>50</v>
      </c>
      <c r="B38" s="99">
        <v>120</v>
      </c>
      <c r="C38" s="114">
        <v>7.5</v>
      </c>
      <c r="D38" s="99">
        <v>4200</v>
      </c>
      <c r="E38" s="102">
        <v>16</v>
      </c>
      <c r="F38" s="103">
        <v>10</v>
      </c>
      <c r="G38" s="99">
        <v>350</v>
      </c>
      <c r="H38" s="102">
        <v>32</v>
      </c>
      <c r="I38" s="104">
        <f>ROUNDDOWN(($B38-2*$C38-2*$E38/10-$H38/10)/(($D$1+1)*$H38/10),0)+1</f>
        <v>16</v>
      </c>
      <c r="J38" s="42">
        <v>5</v>
      </c>
      <c r="K38" s="43" t="s">
        <v>30</v>
      </c>
      <c r="L38" s="44" t="str">
        <f>IF($J38=L$3,IF(L$3&gt;$I38,"-",ROUNDUP(Ld_cal($B38, $C38, $D38, $G38,$E38, $F38, $H38, L$3)*1.3*1.3,0)),"-")</f>
        <v>-</v>
      </c>
      <c r="M38" s="44" t="str">
        <f>IF($J38=M$3,IF(M$3&gt;$I38,"-",ROUNDUP(Ld_cal($B38, $C38, $D38, $G38,$E38, $F38, $H38, M$3)*1.3*1.3,0)),"-")</f>
        <v>-</v>
      </c>
      <c r="N38" s="44">
        <f>IF($J38=N$3,IF(N$3&gt;$I38,"-",ROUNDUP(Ld_cal($B38, $C38, $D38, $G38,$E38, $F38, $H38, N$3)*1.3*1.3,0)),"-")</f>
        <v>136</v>
      </c>
      <c r="O38" s="44" t="str">
        <f>IF($J38=O$3,IF(O$3&gt;$I38,"-",ROUNDUP(Ld_cal($B38, $C38, $D38, $G38,$E38, $F38, $H38, O$3)*1.3*1.3,0)),"-")</f>
        <v>-</v>
      </c>
      <c r="P38" s="44" t="str">
        <f>IF($J38=P$3,IF(P$3&gt;$I38,"-",ROUNDUP(Ld_cal($B38, $C38, $D38, $G38,$E38, $F38, $H38, P$3)*1.3*1.3,0)),"-")</f>
        <v>-</v>
      </c>
      <c r="Q38" s="44" t="str">
        <f>IF($J38=Q$3,IF(Q$3&gt;$I38,"-",ROUNDUP(Ld_cal($B38, $C38, $D38, $G38,$E38, $F38, $H38, Q$3)*1.3*1.3,0)),"-")</f>
        <v>-</v>
      </c>
      <c r="R38" s="44" t="str">
        <f>IF($J38=R$3,IF(R$3&gt;$I38,"-",ROUNDUP(Ld_cal($B38, $C38, $D38, $G38,$E38, $F38, $H38, R$3)*1.3*1.3,0)),"-")</f>
        <v>-</v>
      </c>
      <c r="S38" s="44" t="str">
        <f>IF($J38=S$3,IF(S$3&gt;$I38,"-",ROUNDUP(Ld_cal($B38, $C38, $D38, $G38,$E38, $F38, $H38, S$3)*1.3*1.3,0)),"-")</f>
        <v>-</v>
      </c>
      <c r="T38" s="44" t="str">
        <f>IF($J38=T$3,IF(T$3&gt;$I38,"-",ROUNDUP(Ld_cal($B38, $C38, $D38, $G38,$E38, $F38, $H38, T$3)*1.3*1.3,0)),"-")</f>
        <v>-</v>
      </c>
      <c r="U38" s="44" t="str">
        <f>IF($J38=U$3,IF(U$3&gt;$I38,"-",ROUNDUP(Ld_cal($B38, $C38, $D38, $G38,$E38, $F38, $H38, U$3)*1.3*1.3,0)),"-")</f>
        <v>-</v>
      </c>
      <c r="V38" s="44" t="str">
        <f>IF($J38=V$3,IF(V$3&gt;$I38,"-",ROUNDUP(Ld_cal($B38, $C38, $D38, $G38,$E38, $F38, $H38, V$3)*1.3*1.3,0)),"-")</f>
        <v>-</v>
      </c>
      <c r="W38" s="44" t="str">
        <f>IF($J38=W$3,IF(W$3&gt;$I38,"-",ROUNDUP(Ld_cal($B38, $C38, $D38, $G38,$E38, $F38, $H38, W$3)*1.3*1.3,0)),"-")</f>
        <v>-</v>
      </c>
      <c r="X38" s="44" t="str">
        <f>IF($J38=X$3,IF(X$3&gt;$I38,"-",ROUNDUP(Ld_cal($B38, $C38, $D38, $G38,$E38, $F38, $H38, X$3)*1.3*1.3,0)),"-")</f>
        <v>-</v>
      </c>
      <c r="Y38" s="44" t="str">
        <f>IF($J38=Y$3,IF(Y$3&gt;$I38,"-",ROUNDUP(Ld_cal($B38, $C38, $D38, $G38,$E38, $F38, $H38, Y$3)*1.3*1.3,0)),"-")</f>
        <v>-</v>
      </c>
      <c r="Z38" s="44" t="str">
        <f>IF($J38=Z$3,IF(Z$3&gt;$I38,"-",ROUNDUP(Ld_cal($B38, $C38, $D38, $G38,$E38, $F38, $H38, Z$3)*1.3*1.3,0)),"-")</f>
        <v>-</v>
      </c>
      <c r="AA38" s="44" t="str">
        <f>IF($J38=AA$3,IF(AA$3&gt;$I38,"-",ROUNDUP(Ld_cal($B38, $C38, $D38, $G38,$E38, $F38, $H38, AA$3)*1.3*1.3,0)),"-")</f>
        <v>-</v>
      </c>
      <c r="AB38" s="44" t="str">
        <f>IF($J38=AB$3,IF(AB$3&gt;$I38,"-",ROUNDUP(Ld_cal($B38, $C38, $D38, $G38,$E38, $F38, $H38, AB$3)*1.3*1.3,0)),"-")</f>
        <v>-</v>
      </c>
      <c r="AC38" s="44" t="str">
        <f>IF($J38=AC$3,IF(AC$3&gt;$I38,"-",ROUNDUP(Ld_cal($B38, $C38, $D38, $G38,$E38, $F38, $H38, AC$3)*1.3*1.3,0)),"-")</f>
        <v>-</v>
      </c>
      <c r="AD38" s="46">
        <f t="shared" ref="AD38" si="32">IF(J38&gt;I38,"依標準圖",MAX(L38:AC38))</f>
        <v>136</v>
      </c>
    </row>
    <row r="39" spans="1:30" s="45" customFormat="1">
      <c r="A39" s="113"/>
      <c r="B39" s="99"/>
      <c r="C39" s="114"/>
      <c r="D39" s="99"/>
      <c r="E39" s="102"/>
      <c r="F39" s="103"/>
      <c r="G39" s="99"/>
      <c r="H39" s="102"/>
      <c r="I39" s="104"/>
      <c r="J39" s="42">
        <v>5</v>
      </c>
      <c r="K39" s="43" t="s">
        <v>29</v>
      </c>
      <c r="L39" s="44" t="str">
        <f>IF($J39=L$3,IF(L$3&gt;$I38,"-",ROUNDUP(Ld_cal($B38, $C38, $D38, $G38,$E38, $F38, $H38, L$3)*1.3,0)),"-")</f>
        <v>-</v>
      </c>
      <c r="M39" s="44" t="str">
        <f>IF($J39=M$3,IF(M$3&gt;$I38,"-",ROUNDUP(Ld_cal($B38, $C38, $D38, $G38,$E38, $F38, $H38, M$3)*1.3,0)),"-")</f>
        <v>-</v>
      </c>
      <c r="N39" s="44">
        <f>IF($J39=N$3,IF(N$3&gt;$I38,"-",ROUNDUP(Ld_cal($B38, $C38, $D38, $G38,$E38, $F38, $H38, N$3)*1.3,0)),"-")</f>
        <v>105</v>
      </c>
      <c r="O39" s="44" t="str">
        <f>IF($J39=O$3,IF(O$3&gt;$I38,"-",ROUNDUP(Ld_cal($B38, $C38, $D38, $G38,$E38, $F38, $H38, O$3)*1.3,0)),"-")</f>
        <v>-</v>
      </c>
      <c r="P39" s="44" t="str">
        <f>IF($J39=P$3,IF(P$3&gt;$I38,"-",ROUNDUP(Ld_cal($B38, $C38, $D38, $G38,$E38, $F38, $H38, P$3)*1.3,0)),"-")</f>
        <v>-</v>
      </c>
      <c r="Q39" s="44" t="str">
        <f>IF($J39=Q$3,IF(Q$3&gt;$I38,"-",ROUNDUP(Ld_cal($B38, $C38, $D38, $G38,$E38, $F38, $H38, Q$3)*1.3,0)),"-")</f>
        <v>-</v>
      </c>
      <c r="R39" s="44" t="str">
        <f>IF($J39=R$3,IF(R$3&gt;$I38,"-",ROUNDUP(Ld_cal($B38, $C38, $D38, $G38,$E38, $F38, $H38, R$3)*1.3,0)),"-")</f>
        <v>-</v>
      </c>
      <c r="S39" s="44" t="str">
        <f>IF($J39=S$3,IF(S$3&gt;$I38,"-",ROUNDUP(Ld_cal($B38, $C38, $D38, $G38,$E38, $F38, $H38, S$3)*1.3,0)),"-")</f>
        <v>-</v>
      </c>
      <c r="T39" s="44" t="str">
        <f>IF($J39=T$3,IF(T$3&gt;$I38,"-",ROUNDUP(Ld_cal($B38, $C38, $D38, $G38,$E38, $F38, $H38, T$3)*1.3,0)),"-")</f>
        <v>-</v>
      </c>
      <c r="U39" s="44" t="str">
        <f>IF($J39=U$3,IF(U$3&gt;$I38,"-",ROUNDUP(Ld_cal($B38, $C38, $D38, $G38,$E38, $F38, $H38, U$3)*1.3,0)),"-")</f>
        <v>-</v>
      </c>
      <c r="V39" s="44" t="str">
        <f>IF($J39=V$3,IF(V$3&gt;$I38,"-",ROUNDUP(Ld_cal($B38, $C38, $D38, $G38,$E38, $F38, $H38, V$3)*1.3,0)),"-")</f>
        <v>-</v>
      </c>
      <c r="W39" s="44" t="str">
        <f>IF($J39=W$3,IF(W$3&gt;$I38,"-",ROUNDUP(Ld_cal($B38, $C38, $D38, $G38,$E38, $F38, $H38, W$3)*1.3,0)),"-")</f>
        <v>-</v>
      </c>
      <c r="X39" s="44" t="str">
        <f>IF($J39=X$3,IF(X$3&gt;$I38,"-",ROUNDUP(Ld_cal($B38, $C38, $D38, $G38,$E38, $F38, $H38, X$3)*1.3,0)),"-")</f>
        <v>-</v>
      </c>
      <c r="Y39" s="44" t="str">
        <f>IF($J39=Y$3,IF(Y$3&gt;$I38,"-",ROUNDUP(Ld_cal($B38, $C38, $D38, $G38,$E38, $F38, $H38, Y$3)*1.3,0)),"-")</f>
        <v>-</v>
      </c>
      <c r="Z39" s="44" t="str">
        <f>IF($J39=Z$3,IF(Z$3&gt;$I38,"-",ROUNDUP(Ld_cal($B38, $C38, $D38, $G38,$E38, $F38, $H38, Z$3)*1.3,0)),"-")</f>
        <v>-</v>
      </c>
      <c r="AA39" s="44" t="str">
        <f>IF($J39=AA$3,IF(AA$3&gt;$I38,"-",ROUNDUP(Ld_cal($B38, $C38, $D38, $G38,$E38, $F38, $H38, AA$3)*1.3,0)),"-")</f>
        <v>-</v>
      </c>
      <c r="AB39" s="44" t="str">
        <f>IF($J39=AB$3,IF(AB$3&gt;$I38,"-",ROUNDUP(Ld_cal($B38, $C38, $D38, $G38,$E38, $F38, $H38, AB$3)*1.3,0)),"-")</f>
        <v>-</v>
      </c>
      <c r="AC39" s="44" t="str">
        <f>IF($J39=AC$3,IF(AC$3&gt;$I38,"-",ROUNDUP(Ld_cal($B38, $C38, $D38, $G38,$E38, $F38, $H38, AC$3)*1.3,0)),"-")</f>
        <v>-</v>
      </c>
      <c r="AD39" s="46">
        <f t="shared" ref="AD39" si="33">IF(J39&gt;I38,"依標準圖",MAX(L39:AC39))</f>
        <v>105</v>
      </c>
    </row>
    <row r="40" spans="1:30">
      <c r="A40" s="112" t="s">
        <v>51</v>
      </c>
      <c r="B40" s="107">
        <v>120</v>
      </c>
      <c r="C40" s="108">
        <v>7.5</v>
      </c>
      <c r="D40" s="107">
        <v>4200</v>
      </c>
      <c r="E40" s="109">
        <v>16</v>
      </c>
      <c r="F40" s="110">
        <v>10</v>
      </c>
      <c r="G40" s="107">
        <v>350</v>
      </c>
      <c r="H40" s="109">
        <v>32</v>
      </c>
      <c r="I40" s="111">
        <f>ROUNDDOWN(($B40-2*$C40-2*$E40/10-$H40/10)/(($D$1+1)*$H40/10),0)+1</f>
        <v>16</v>
      </c>
      <c r="J40" s="39">
        <v>5</v>
      </c>
      <c r="K40" s="40" t="s">
        <v>30</v>
      </c>
      <c r="L40" s="41" t="str">
        <f>IF($J40=L$3,IF(L$3&gt;$I40,"-",ROUNDUP(Ld_cal($B40, $C40, $D40, $G40,$E40, $F40, $H40, L$3)*1.3*1.3,0)),"-")</f>
        <v>-</v>
      </c>
      <c r="M40" s="41" t="str">
        <f>IF($J40=M$3,IF(M$3&gt;$I40,"-",ROUNDUP(Ld_cal($B40, $C40, $D40, $G40,$E40, $F40, $H40, M$3)*1.3*1.3,0)),"-")</f>
        <v>-</v>
      </c>
      <c r="N40" s="41">
        <f>IF($J40=N$3,IF(N$3&gt;$I40,"-",ROUNDUP(Ld_cal($B40, $C40, $D40, $G40,$E40, $F40, $H40, N$3)*1.3*1.3,0)),"-")</f>
        <v>136</v>
      </c>
      <c r="O40" s="41" t="str">
        <f>IF($J40=O$3,IF(O$3&gt;$I40,"-",ROUNDUP(Ld_cal($B40, $C40, $D40, $G40,$E40, $F40, $H40, O$3)*1.3*1.3,0)),"-")</f>
        <v>-</v>
      </c>
      <c r="P40" s="41" t="str">
        <f>IF($J40=P$3,IF(P$3&gt;$I40,"-",ROUNDUP(Ld_cal($B40, $C40, $D40, $G40,$E40, $F40, $H40, P$3)*1.3*1.3,0)),"-")</f>
        <v>-</v>
      </c>
      <c r="Q40" s="41" t="str">
        <f>IF($J40=Q$3,IF(Q$3&gt;$I40,"-",ROUNDUP(Ld_cal($B40, $C40, $D40, $G40,$E40, $F40, $H40, Q$3)*1.3*1.3,0)),"-")</f>
        <v>-</v>
      </c>
      <c r="R40" s="41" t="str">
        <f>IF($J40=R$3,IF(R$3&gt;$I40,"-",ROUNDUP(Ld_cal($B40, $C40, $D40, $G40,$E40, $F40, $H40, R$3)*1.3*1.3,0)),"-")</f>
        <v>-</v>
      </c>
      <c r="S40" s="41" t="str">
        <f>IF($J40=S$3,IF(S$3&gt;$I40,"-",ROUNDUP(Ld_cal($B40, $C40, $D40, $G40,$E40, $F40, $H40, S$3)*1.3*1.3,0)),"-")</f>
        <v>-</v>
      </c>
      <c r="T40" s="41" t="str">
        <f>IF($J40=T$3,IF(T$3&gt;$I40,"-",ROUNDUP(Ld_cal($B40, $C40, $D40, $G40,$E40, $F40, $H40, T$3)*1.3*1.3,0)),"-")</f>
        <v>-</v>
      </c>
      <c r="U40" s="41" t="str">
        <f>IF($J40=U$3,IF(U$3&gt;$I40,"-",ROUNDUP(Ld_cal($B40, $C40, $D40, $G40,$E40, $F40, $H40, U$3)*1.3*1.3,0)),"-")</f>
        <v>-</v>
      </c>
      <c r="V40" s="41" t="str">
        <f>IF($J40=V$3,IF(V$3&gt;$I40,"-",ROUNDUP(Ld_cal($B40, $C40, $D40, $G40,$E40, $F40, $H40, V$3)*1.3*1.3,0)),"-")</f>
        <v>-</v>
      </c>
      <c r="W40" s="41" t="str">
        <f>IF($J40=W$3,IF(W$3&gt;$I40,"-",ROUNDUP(Ld_cal($B40, $C40, $D40, $G40,$E40, $F40, $H40, W$3)*1.3*1.3,0)),"-")</f>
        <v>-</v>
      </c>
      <c r="X40" s="41" t="str">
        <f>IF($J40=X$3,IF(X$3&gt;$I40,"-",ROUNDUP(Ld_cal($B40, $C40, $D40, $G40,$E40, $F40, $H40, X$3)*1.3*1.3,0)),"-")</f>
        <v>-</v>
      </c>
      <c r="Y40" s="41" t="str">
        <f>IF($J40=Y$3,IF(Y$3&gt;$I40,"-",ROUNDUP(Ld_cal($B40, $C40, $D40, $G40,$E40, $F40, $H40, Y$3)*1.3*1.3,0)),"-")</f>
        <v>-</v>
      </c>
      <c r="Z40" s="41" t="str">
        <f>IF($J40=Z$3,IF(Z$3&gt;$I40,"-",ROUNDUP(Ld_cal($B40, $C40, $D40, $G40,$E40, $F40, $H40, Z$3)*1.3*1.3,0)),"-")</f>
        <v>-</v>
      </c>
      <c r="AA40" s="41" t="str">
        <f>IF($J40=AA$3,IF(AA$3&gt;$I40,"-",ROUNDUP(Ld_cal($B40, $C40, $D40, $G40,$E40, $F40, $H40, AA$3)*1.3*1.3,0)),"-")</f>
        <v>-</v>
      </c>
      <c r="AB40" s="41" t="str">
        <f>IF($J40=AB$3,IF(AB$3&gt;$I40,"-",ROUNDUP(Ld_cal($B40, $C40, $D40, $G40,$E40, $F40, $H40, AB$3)*1.3*1.3,0)),"-")</f>
        <v>-</v>
      </c>
      <c r="AC40" s="41" t="str">
        <f>IF($J40=AC$3,IF(AC$3&gt;$I40,"-",ROUNDUP(Ld_cal($B40, $C40, $D40, $G40,$E40, $F40, $H40, AC$3)*1.3*1.3,0)),"-")</f>
        <v>-</v>
      </c>
      <c r="AD40" s="47">
        <f t="shared" ref="AD40" si="34">IF(J40&gt;I40,"依標準圖",MAX(L40:AC40))</f>
        <v>136</v>
      </c>
    </row>
    <row r="41" spans="1:30">
      <c r="A41" s="112"/>
      <c r="B41" s="107"/>
      <c r="C41" s="108"/>
      <c r="D41" s="107"/>
      <c r="E41" s="109"/>
      <c r="F41" s="110"/>
      <c r="G41" s="107"/>
      <c r="H41" s="109"/>
      <c r="I41" s="111"/>
      <c r="J41" s="39">
        <v>5</v>
      </c>
      <c r="K41" s="40" t="s">
        <v>29</v>
      </c>
      <c r="L41" s="41" t="str">
        <f>IF($J41=L$3,IF(L$3&gt;$I40,"-",ROUNDUP(Ld_cal($B40, $C40, $D40, $G40,$E40, $F40, $H40, L$3)*1.3,0)),"-")</f>
        <v>-</v>
      </c>
      <c r="M41" s="41" t="str">
        <f>IF($J41=M$3,IF(M$3&gt;$I40,"-",ROUNDUP(Ld_cal($B40, $C40, $D40, $G40,$E40, $F40, $H40, M$3)*1.3,0)),"-")</f>
        <v>-</v>
      </c>
      <c r="N41" s="41">
        <f>IF($J41=N$3,IF(N$3&gt;$I40,"-",ROUNDUP(Ld_cal($B40, $C40, $D40, $G40,$E40, $F40, $H40, N$3)*1.3,0)),"-")</f>
        <v>105</v>
      </c>
      <c r="O41" s="41" t="str">
        <f>IF($J41=O$3,IF(O$3&gt;$I40,"-",ROUNDUP(Ld_cal($B40, $C40, $D40, $G40,$E40, $F40, $H40, O$3)*1.3,0)),"-")</f>
        <v>-</v>
      </c>
      <c r="P41" s="41" t="str">
        <f>IF($J41=P$3,IF(P$3&gt;$I40,"-",ROUNDUP(Ld_cal($B40, $C40, $D40, $G40,$E40, $F40, $H40, P$3)*1.3,0)),"-")</f>
        <v>-</v>
      </c>
      <c r="Q41" s="41" t="str">
        <f>IF($J41=Q$3,IF(Q$3&gt;$I40,"-",ROUNDUP(Ld_cal($B40, $C40, $D40, $G40,$E40, $F40, $H40, Q$3)*1.3,0)),"-")</f>
        <v>-</v>
      </c>
      <c r="R41" s="41" t="str">
        <f>IF($J41=R$3,IF(R$3&gt;$I40,"-",ROUNDUP(Ld_cal($B40, $C40, $D40, $G40,$E40, $F40, $H40, R$3)*1.3,0)),"-")</f>
        <v>-</v>
      </c>
      <c r="S41" s="41" t="str">
        <f>IF($J41=S$3,IF(S$3&gt;$I40,"-",ROUNDUP(Ld_cal($B40, $C40, $D40, $G40,$E40, $F40, $H40, S$3)*1.3,0)),"-")</f>
        <v>-</v>
      </c>
      <c r="T41" s="41" t="str">
        <f>IF($J41=T$3,IF(T$3&gt;$I40,"-",ROUNDUP(Ld_cal($B40, $C40, $D40, $G40,$E40, $F40, $H40, T$3)*1.3,0)),"-")</f>
        <v>-</v>
      </c>
      <c r="U41" s="41" t="str">
        <f>IF($J41=U$3,IF(U$3&gt;$I40,"-",ROUNDUP(Ld_cal($B40, $C40, $D40, $G40,$E40, $F40, $H40, U$3)*1.3,0)),"-")</f>
        <v>-</v>
      </c>
      <c r="V41" s="41" t="str">
        <f>IF($J41=V$3,IF(V$3&gt;$I40,"-",ROUNDUP(Ld_cal($B40, $C40, $D40, $G40,$E40, $F40, $H40, V$3)*1.3,0)),"-")</f>
        <v>-</v>
      </c>
      <c r="W41" s="41" t="str">
        <f>IF($J41=W$3,IF(W$3&gt;$I40,"-",ROUNDUP(Ld_cal($B40, $C40, $D40, $G40,$E40, $F40, $H40, W$3)*1.3,0)),"-")</f>
        <v>-</v>
      </c>
      <c r="X41" s="41" t="str">
        <f>IF($J41=X$3,IF(X$3&gt;$I40,"-",ROUNDUP(Ld_cal($B40, $C40, $D40, $G40,$E40, $F40, $H40, X$3)*1.3,0)),"-")</f>
        <v>-</v>
      </c>
      <c r="Y41" s="41" t="str">
        <f>IF($J41=Y$3,IF(Y$3&gt;$I40,"-",ROUNDUP(Ld_cal($B40, $C40, $D40, $G40,$E40, $F40, $H40, Y$3)*1.3,0)),"-")</f>
        <v>-</v>
      </c>
      <c r="Z41" s="41" t="str">
        <f>IF($J41=Z$3,IF(Z$3&gt;$I40,"-",ROUNDUP(Ld_cal($B40, $C40, $D40, $G40,$E40, $F40, $H40, Z$3)*1.3,0)),"-")</f>
        <v>-</v>
      </c>
      <c r="AA41" s="41" t="str">
        <f>IF($J41=AA$3,IF(AA$3&gt;$I40,"-",ROUNDUP(Ld_cal($B40, $C40, $D40, $G40,$E40, $F40, $H40, AA$3)*1.3,0)),"-")</f>
        <v>-</v>
      </c>
      <c r="AB41" s="41" t="str">
        <f>IF($J41=AB$3,IF(AB$3&gt;$I40,"-",ROUNDUP(Ld_cal($B40, $C40, $D40, $G40,$E40, $F40, $H40, AB$3)*1.3,0)),"-")</f>
        <v>-</v>
      </c>
      <c r="AC41" s="41" t="str">
        <f>IF($J41=AC$3,IF(AC$3&gt;$I40,"-",ROUNDUP(Ld_cal($B40, $C40, $D40, $G40,$E40, $F40, $H40, AC$3)*1.3,0)),"-")</f>
        <v>-</v>
      </c>
      <c r="AD41" s="47">
        <f t="shared" ref="AD41" si="35">IF(J41&gt;I40,"依標準圖",MAX(L41:AC41))</f>
        <v>105</v>
      </c>
    </row>
    <row r="42" spans="1:30" s="45" customFormat="1">
      <c r="A42" s="113" t="s">
        <v>52</v>
      </c>
      <c r="B42" s="99">
        <v>120</v>
      </c>
      <c r="C42" s="114">
        <v>7.5</v>
      </c>
      <c r="D42" s="99">
        <v>4200</v>
      </c>
      <c r="E42" s="102">
        <v>16</v>
      </c>
      <c r="F42" s="103">
        <v>10</v>
      </c>
      <c r="G42" s="99">
        <v>350</v>
      </c>
      <c r="H42" s="102">
        <v>32</v>
      </c>
      <c r="I42" s="104">
        <f>ROUNDDOWN(($B42-2*$C42-2*$E42/10-$H42/10)/(($D$1+1)*$H42/10),0)+1</f>
        <v>16</v>
      </c>
      <c r="J42" s="42">
        <v>5</v>
      </c>
      <c r="K42" s="43" t="s">
        <v>30</v>
      </c>
      <c r="L42" s="44" t="str">
        <f>IF($J42=L$3,IF(L$3&gt;$I42,"-",ROUNDUP(Ld_cal($B42, $C42, $D42, $G42,$E42, $F42, $H42, L$3)*1.3*1.3,0)),"-")</f>
        <v>-</v>
      </c>
      <c r="M42" s="44" t="str">
        <f>IF($J42=M$3,IF(M$3&gt;$I42,"-",ROUNDUP(Ld_cal($B42, $C42, $D42, $G42,$E42, $F42, $H42, M$3)*1.3*1.3,0)),"-")</f>
        <v>-</v>
      </c>
      <c r="N42" s="44">
        <f>IF($J42=N$3,IF(N$3&gt;$I42,"-",ROUNDUP(Ld_cal($B42, $C42, $D42, $G42,$E42, $F42, $H42, N$3)*1.3*1.3,0)),"-")</f>
        <v>136</v>
      </c>
      <c r="O42" s="44" t="str">
        <f>IF($J42=O$3,IF(O$3&gt;$I42,"-",ROUNDUP(Ld_cal($B42, $C42, $D42, $G42,$E42, $F42, $H42, O$3)*1.3*1.3,0)),"-")</f>
        <v>-</v>
      </c>
      <c r="P42" s="44" t="str">
        <f>IF($J42=P$3,IF(P$3&gt;$I42,"-",ROUNDUP(Ld_cal($B42, $C42, $D42, $G42,$E42, $F42, $H42, P$3)*1.3*1.3,0)),"-")</f>
        <v>-</v>
      </c>
      <c r="Q42" s="44" t="str">
        <f>IF($J42=Q$3,IF(Q$3&gt;$I42,"-",ROUNDUP(Ld_cal($B42, $C42, $D42, $G42,$E42, $F42, $H42, Q$3)*1.3*1.3,0)),"-")</f>
        <v>-</v>
      </c>
      <c r="R42" s="44" t="str">
        <f>IF($J42=R$3,IF(R$3&gt;$I42,"-",ROUNDUP(Ld_cal($B42, $C42, $D42, $G42,$E42, $F42, $H42, R$3)*1.3*1.3,0)),"-")</f>
        <v>-</v>
      </c>
      <c r="S42" s="44" t="str">
        <f>IF($J42=S$3,IF(S$3&gt;$I42,"-",ROUNDUP(Ld_cal($B42, $C42, $D42, $G42,$E42, $F42, $H42, S$3)*1.3*1.3,0)),"-")</f>
        <v>-</v>
      </c>
      <c r="T42" s="44" t="str">
        <f>IF($J42=T$3,IF(T$3&gt;$I42,"-",ROUNDUP(Ld_cal($B42, $C42, $D42, $G42,$E42, $F42, $H42, T$3)*1.3*1.3,0)),"-")</f>
        <v>-</v>
      </c>
      <c r="U42" s="44" t="str">
        <f>IF($J42=U$3,IF(U$3&gt;$I42,"-",ROUNDUP(Ld_cal($B42, $C42, $D42, $G42,$E42, $F42, $H42, U$3)*1.3*1.3,0)),"-")</f>
        <v>-</v>
      </c>
      <c r="V42" s="44" t="str">
        <f>IF($J42=V$3,IF(V$3&gt;$I42,"-",ROUNDUP(Ld_cal($B42, $C42, $D42, $G42,$E42, $F42, $H42, V$3)*1.3*1.3,0)),"-")</f>
        <v>-</v>
      </c>
      <c r="W42" s="44" t="str">
        <f>IF($J42=W$3,IF(W$3&gt;$I42,"-",ROUNDUP(Ld_cal($B42, $C42, $D42, $G42,$E42, $F42, $H42, W$3)*1.3*1.3,0)),"-")</f>
        <v>-</v>
      </c>
      <c r="X42" s="44" t="str">
        <f>IF($J42=X$3,IF(X$3&gt;$I42,"-",ROUNDUP(Ld_cal($B42, $C42, $D42, $G42,$E42, $F42, $H42, X$3)*1.3*1.3,0)),"-")</f>
        <v>-</v>
      </c>
      <c r="Y42" s="44" t="str">
        <f>IF($J42=Y$3,IF(Y$3&gt;$I42,"-",ROUNDUP(Ld_cal($B42, $C42, $D42, $G42,$E42, $F42, $H42, Y$3)*1.3*1.3,0)),"-")</f>
        <v>-</v>
      </c>
      <c r="Z42" s="44" t="str">
        <f>IF($J42=Z$3,IF(Z$3&gt;$I42,"-",ROUNDUP(Ld_cal($B42, $C42, $D42, $G42,$E42, $F42, $H42, Z$3)*1.3*1.3,0)),"-")</f>
        <v>-</v>
      </c>
      <c r="AA42" s="44" t="str">
        <f>IF($J42=AA$3,IF(AA$3&gt;$I42,"-",ROUNDUP(Ld_cal($B42, $C42, $D42, $G42,$E42, $F42, $H42, AA$3)*1.3*1.3,0)),"-")</f>
        <v>-</v>
      </c>
      <c r="AB42" s="44" t="str">
        <f>IF($J42=AB$3,IF(AB$3&gt;$I42,"-",ROUNDUP(Ld_cal($B42, $C42, $D42, $G42,$E42, $F42, $H42, AB$3)*1.3*1.3,0)),"-")</f>
        <v>-</v>
      </c>
      <c r="AC42" s="44" t="str">
        <f>IF($J42=AC$3,IF(AC$3&gt;$I42,"-",ROUNDUP(Ld_cal($B42, $C42, $D42, $G42,$E42, $F42, $H42, AC$3)*1.3*1.3,0)),"-")</f>
        <v>-</v>
      </c>
      <c r="AD42" s="46">
        <f t="shared" ref="AD42" si="36">IF(J42&gt;I42,"依標準圖",MAX(L42:AC42))</f>
        <v>136</v>
      </c>
    </row>
    <row r="43" spans="1:30" s="45" customFormat="1">
      <c r="A43" s="113"/>
      <c r="B43" s="99"/>
      <c r="C43" s="114"/>
      <c r="D43" s="99"/>
      <c r="E43" s="102"/>
      <c r="F43" s="103"/>
      <c r="G43" s="99"/>
      <c r="H43" s="102"/>
      <c r="I43" s="104"/>
      <c r="J43" s="42">
        <v>5</v>
      </c>
      <c r="K43" s="43" t="s">
        <v>29</v>
      </c>
      <c r="L43" s="44" t="str">
        <f>IF($J43=L$3,IF(L$3&gt;$I42,"-",ROUNDUP(Ld_cal($B42, $C42, $D42, $G42,$E42, $F42, $H42, L$3)*1.3,0)),"-")</f>
        <v>-</v>
      </c>
      <c r="M43" s="44" t="str">
        <f>IF($J43=M$3,IF(M$3&gt;$I42,"-",ROUNDUP(Ld_cal($B42, $C42, $D42, $G42,$E42, $F42, $H42, M$3)*1.3,0)),"-")</f>
        <v>-</v>
      </c>
      <c r="N43" s="44">
        <f>IF($J43=N$3,IF(N$3&gt;$I42,"-",ROUNDUP(Ld_cal($B42, $C42, $D42, $G42,$E42, $F42, $H42, N$3)*1.3,0)),"-")</f>
        <v>105</v>
      </c>
      <c r="O43" s="44" t="str">
        <f>IF($J43=O$3,IF(O$3&gt;$I42,"-",ROUNDUP(Ld_cal($B42, $C42, $D42, $G42,$E42, $F42, $H42, O$3)*1.3,0)),"-")</f>
        <v>-</v>
      </c>
      <c r="P43" s="44" t="str">
        <f>IF($J43=P$3,IF(P$3&gt;$I42,"-",ROUNDUP(Ld_cal($B42, $C42, $D42, $G42,$E42, $F42, $H42, P$3)*1.3,0)),"-")</f>
        <v>-</v>
      </c>
      <c r="Q43" s="44" t="str">
        <f>IF($J43=Q$3,IF(Q$3&gt;$I42,"-",ROUNDUP(Ld_cal($B42, $C42, $D42, $G42,$E42, $F42, $H42, Q$3)*1.3,0)),"-")</f>
        <v>-</v>
      </c>
      <c r="R43" s="44" t="str">
        <f>IF($J43=R$3,IF(R$3&gt;$I42,"-",ROUNDUP(Ld_cal($B42, $C42, $D42, $G42,$E42, $F42, $H42, R$3)*1.3,0)),"-")</f>
        <v>-</v>
      </c>
      <c r="S43" s="44" t="str">
        <f>IF($J43=S$3,IF(S$3&gt;$I42,"-",ROUNDUP(Ld_cal($B42, $C42, $D42, $G42,$E42, $F42, $H42, S$3)*1.3,0)),"-")</f>
        <v>-</v>
      </c>
      <c r="T43" s="44" t="str">
        <f>IF($J43=T$3,IF(T$3&gt;$I42,"-",ROUNDUP(Ld_cal($B42, $C42, $D42, $G42,$E42, $F42, $H42, T$3)*1.3,0)),"-")</f>
        <v>-</v>
      </c>
      <c r="U43" s="44" t="str">
        <f>IF($J43=U$3,IF(U$3&gt;$I42,"-",ROUNDUP(Ld_cal($B42, $C42, $D42, $G42,$E42, $F42, $H42, U$3)*1.3,0)),"-")</f>
        <v>-</v>
      </c>
      <c r="V43" s="44" t="str">
        <f>IF($J43=V$3,IF(V$3&gt;$I42,"-",ROUNDUP(Ld_cal($B42, $C42, $D42, $G42,$E42, $F42, $H42, V$3)*1.3,0)),"-")</f>
        <v>-</v>
      </c>
      <c r="W43" s="44" t="str">
        <f>IF($J43=W$3,IF(W$3&gt;$I42,"-",ROUNDUP(Ld_cal($B42, $C42, $D42, $G42,$E42, $F42, $H42, W$3)*1.3,0)),"-")</f>
        <v>-</v>
      </c>
      <c r="X43" s="44" t="str">
        <f>IF($J43=X$3,IF(X$3&gt;$I42,"-",ROUNDUP(Ld_cal($B42, $C42, $D42, $G42,$E42, $F42, $H42, X$3)*1.3,0)),"-")</f>
        <v>-</v>
      </c>
      <c r="Y43" s="44" t="str">
        <f>IF($J43=Y$3,IF(Y$3&gt;$I42,"-",ROUNDUP(Ld_cal($B42, $C42, $D42, $G42,$E42, $F42, $H42, Y$3)*1.3,0)),"-")</f>
        <v>-</v>
      </c>
      <c r="Z43" s="44" t="str">
        <f>IF($J43=Z$3,IF(Z$3&gt;$I42,"-",ROUNDUP(Ld_cal($B42, $C42, $D42, $G42,$E42, $F42, $H42, Z$3)*1.3,0)),"-")</f>
        <v>-</v>
      </c>
      <c r="AA43" s="44" t="str">
        <f>IF($J43=AA$3,IF(AA$3&gt;$I42,"-",ROUNDUP(Ld_cal($B42, $C42, $D42, $G42,$E42, $F42, $H42, AA$3)*1.3,0)),"-")</f>
        <v>-</v>
      </c>
      <c r="AB43" s="44" t="str">
        <f>IF($J43=AB$3,IF(AB$3&gt;$I42,"-",ROUNDUP(Ld_cal($B42, $C42, $D42, $G42,$E42, $F42, $H42, AB$3)*1.3,0)),"-")</f>
        <v>-</v>
      </c>
      <c r="AC43" s="44" t="str">
        <f>IF($J43=AC$3,IF(AC$3&gt;$I42,"-",ROUNDUP(Ld_cal($B42, $C42, $D42, $G42,$E42, $F42, $H42, AC$3)*1.3,0)),"-")</f>
        <v>-</v>
      </c>
      <c r="AD43" s="46">
        <f t="shared" ref="AD43" si="37">IF(J43&gt;I42,"依標準圖",MAX(L43:AC43))</f>
        <v>105</v>
      </c>
    </row>
    <row r="44" spans="1:30">
      <c r="A44" s="112" t="s">
        <v>53</v>
      </c>
      <c r="B44" s="107">
        <v>120</v>
      </c>
      <c r="C44" s="108">
        <v>7.5</v>
      </c>
      <c r="D44" s="107">
        <v>4200</v>
      </c>
      <c r="E44" s="109">
        <v>16</v>
      </c>
      <c r="F44" s="110">
        <v>10</v>
      </c>
      <c r="G44" s="107">
        <v>350</v>
      </c>
      <c r="H44" s="109">
        <v>32</v>
      </c>
      <c r="I44" s="111">
        <f>ROUNDDOWN(($B44-2*$C44-2*$E44/10-$H44/10)/(($D$1+1)*$H44/10),0)+1</f>
        <v>16</v>
      </c>
      <c r="J44" s="39">
        <v>7</v>
      </c>
      <c r="K44" s="40" t="s">
        <v>30</v>
      </c>
      <c r="L44" s="41" t="str">
        <f>IF($J44=L$3,IF(L$3&gt;$I44,"-",ROUNDUP(Ld_cal($B44, $C44, $D44, $G44,$E44, $F44, $H44, L$3)*1.3*1.3,0)),"-")</f>
        <v>-</v>
      </c>
      <c r="M44" s="41" t="str">
        <f>IF($J44=M$3,IF(M$3&gt;$I44,"-",ROUNDUP(Ld_cal($B44, $C44, $D44, $G44,$E44, $F44, $H44, M$3)*1.3*1.3,0)),"-")</f>
        <v>-</v>
      </c>
      <c r="N44" s="41" t="str">
        <f>IF($J44=N$3,IF(N$3&gt;$I44,"-",ROUNDUP(Ld_cal($B44, $C44, $D44, $G44,$E44, $F44, $H44, N$3)*1.3*1.3,0)),"-")</f>
        <v>-</v>
      </c>
      <c r="O44" s="41" t="str">
        <f>IF($J44=O$3,IF(O$3&gt;$I44,"-",ROUNDUP(Ld_cal($B44, $C44, $D44, $G44,$E44, $F44, $H44, O$3)*1.3*1.3,0)),"-")</f>
        <v>-</v>
      </c>
      <c r="P44" s="41">
        <f>IF($J44=P$3,IF(P$3&gt;$I44,"-",ROUNDUP(Ld_cal($B44, $C44, $D44, $G44,$E44, $F44, $H44, P$3)*1.3*1.3,0)),"-")</f>
        <v>136</v>
      </c>
      <c r="Q44" s="41" t="str">
        <f>IF($J44=Q$3,IF(Q$3&gt;$I44,"-",ROUNDUP(Ld_cal($B44, $C44, $D44, $G44,$E44, $F44, $H44, Q$3)*1.3*1.3,0)),"-")</f>
        <v>-</v>
      </c>
      <c r="R44" s="41" t="str">
        <f>IF($J44=R$3,IF(R$3&gt;$I44,"-",ROUNDUP(Ld_cal($B44, $C44, $D44, $G44,$E44, $F44, $H44, R$3)*1.3*1.3,0)),"-")</f>
        <v>-</v>
      </c>
      <c r="S44" s="41" t="str">
        <f>IF($J44=S$3,IF(S$3&gt;$I44,"-",ROUNDUP(Ld_cal($B44, $C44, $D44, $G44,$E44, $F44, $H44, S$3)*1.3*1.3,0)),"-")</f>
        <v>-</v>
      </c>
      <c r="T44" s="41" t="str">
        <f>IF($J44=T$3,IF(T$3&gt;$I44,"-",ROUNDUP(Ld_cal($B44, $C44, $D44, $G44,$E44, $F44, $H44, T$3)*1.3*1.3,0)),"-")</f>
        <v>-</v>
      </c>
      <c r="U44" s="41" t="str">
        <f>IF($J44=U$3,IF(U$3&gt;$I44,"-",ROUNDUP(Ld_cal($B44, $C44, $D44, $G44,$E44, $F44, $H44, U$3)*1.3*1.3,0)),"-")</f>
        <v>-</v>
      </c>
      <c r="V44" s="41" t="str">
        <f>IF($J44=V$3,IF(V$3&gt;$I44,"-",ROUNDUP(Ld_cal($B44, $C44, $D44, $G44,$E44, $F44, $H44, V$3)*1.3*1.3,0)),"-")</f>
        <v>-</v>
      </c>
      <c r="W44" s="41" t="str">
        <f>IF($J44=W$3,IF(W$3&gt;$I44,"-",ROUNDUP(Ld_cal($B44, $C44, $D44, $G44,$E44, $F44, $H44, W$3)*1.3*1.3,0)),"-")</f>
        <v>-</v>
      </c>
      <c r="X44" s="41" t="str">
        <f>IF($J44=X$3,IF(X$3&gt;$I44,"-",ROUNDUP(Ld_cal($B44, $C44, $D44, $G44,$E44, $F44, $H44, X$3)*1.3*1.3,0)),"-")</f>
        <v>-</v>
      </c>
      <c r="Y44" s="41" t="str">
        <f>IF($J44=Y$3,IF(Y$3&gt;$I44,"-",ROUNDUP(Ld_cal($B44, $C44, $D44, $G44,$E44, $F44, $H44, Y$3)*1.3*1.3,0)),"-")</f>
        <v>-</v>
      </c>
      <c r="Z44" s="41" t="str">
        <f>IF($J44=Z$3,IF(Z$3&gt;$I44,"-",ROUNDUP(Ld_cal($B44, $C44, $D44, $G44,$E44, $F44, $H44, Z$3)*1.3*1.3,0)),"-")</f>
        <v>-</v>
      </c>
      <c r="AA44" s="41" t="str">
        <f>IF($J44=AA$3,IF(AA$3&gt;$I44,"-",ROUNDUP(Ld_cal($B44, $C44, $D44, $G44,$E44, $F44, $H44, AA$3)*1.3*1.3,0)),"-")</f>
        <v>-</v>
      </c>
      <c r="AB44" s="41" t="str">
        <f>IF($J44=AB$3,IF(AB$3&gt;$I44,"-",ROUNDUP(Ld_cal($B44, $C44, $D44, $G44,$E44, $F44, $H44, AB$3)*1.3*1.3,0)),"-")</f>
        <v>-</v>
      </c>
      <c r="AC44" s="41" t="str">
        <f>IF($J44=AC$3,IF(AC$3&gt;$I44,"-",ROUNDUP(Ld_cal($B44, $C44, $D44, $G44,$E44, $F44, $H44, AC$3)*1.3*1.3,0)),"-")</f>
        <v>-</v>
      </c>
      <c r="AD44" s="47">
        <f t="shared" ref="AD44" si="38">IF(J44&gt;I44,"依標準圖",MAX(L44:AC44))</f>
        <v>136</v>
      </c>
    </row>
    <row r="45" spans="1:30">
      <c r="A45" s="112"/>
      <c r="B45" s="107"/>
      <c r="C45" s="108"/>
      <c r="D45" s="107"/>
      <c r="E45" s="109"/>
      <c r="F45" s="110"/>
      <c r="G45" s="107"/>
      <c r="H45" s="109"/>
      <c r="I45" s="111"/>
      <c r="J45" s="39">
        <v>5</v>
      </c>
      <c r="K45" s="40" t="s">
        <v>29</v>
      </c>
      <c r="L45" s="41" t="str">
        <f>IF($J45=L$3,IF(L$3&gt;$I44,"-",ROUNDUP(Ld_cal($B44, $C44, $D44, $G44,$E44, $F44, $H44, L$3)*1.3,0)),"-")</f>
        <v>-</v>
      </c>
      <c r="M45" s="41" t="str">
        <f>IF($J45=M$3,IF(M$3&gt;$I44,"-",ROUNDUP(Ld_cal($B44, $C44, $D44, $G44,$E44, $F44, $H44, M$3)*1.3,0)),"-")</f>
        <v>-</v>
      </c>
      <c r="N45" s="41">
        <f>IF($J45=N$3,IF(N$3&gt;$I44,"-",ROUNDUP(Ld_cal($B44, $C44, $D44, $G44,$E44, $F44, $H44, N$3)*1.3,0)),"-")</f>
        <v>105</v>
      </c>
      <c r="O45" s="41" t="str">
        <f>IF($J45=O$3,IF(O$3&gt;$I44,"-",ROUNDUP(Ld_cal($B44, $C44, $D44, $G44,$E44, $F44, $H44, O$3)*1.3,0)),"-")</f>
        <v>-</v>
      </c>
      <c r="P45" s="41" t="str">
        <f>IF($J45=P$3,IF(P$3&gt;$I44,"-",ROUNDUP(Ld_cal($B44, $C44, $D44, $G44,$E44, $F44, $H44, P$3)*1.3,0)),"-")</f>
        <v>-</v>
      </c>
      <c r="Q45" s="41" t="str">
        <f>IF($J45=Q$3,IF(Q$3&gt;$I44,"-",ROUNDUP(Ld_cal($B44, $C44, $D44, $G44,$E44, $F44, $H44, Q$3)*1.3,0)),"-")</f>
        <v>-</v>
      </c>
      <c r="R45" s="41" t="str">
        <f>IF($J45=R$3,IF(R$3&gt;$I44,"-",ROUNDUP(Ld_cal($B44, $C44, $D44, $G44,$E44, $F44, $H44, R$3)*1.3,0)),"-")</f>
        <v>-</v>
      </c>
      <c r="S45" s="41" t="str">
        <f>IF($J45=S$3,IF(S$3&gt;$I44,"-",ROUNDUP(Ld_cal($B44, $C44, $D44, $G44,$E44, $F44, $H44, S$3)*1.3,0)),"-")</f>
        <v>-</v>
      </c>
      <c r="T45" s="41" t="str">
        <f>IF($J45=T$3,IF(T$3&gt;$I44,"-",ROUNDUP(Ld_cal($B44, $C44, $D44, $G44,$E44, $F44, $H44, T$3)*1.3,0)),"-")</f>
        <v>-</v>
      </c>
      <c r="U45" s="41" t="str">
        <f>IF($J45=U$3,IF(U$3&gt;$I44,"-",ROUNDUP(Ld_cal($B44, $C44, $D44, $G44,$E44, $F44, $H44, U$3)*1.3,0)),"-")</f>
        <v>-</v>
      </c>
      <c r="V45" s="41" t="str">
        <f>IF($J45=V$3,IF(V$3&gt;$I44,"-",ROUNDUP(Ld_cal($B44, $C44, $D44, $G44,$E44, $F44, $H44, V$3)*1.3,0)),"-")</f>
        <v>-</v>
      </c>
      <c r="W45" s="41" t="str">
        <f>IF($J45=W$3,IF(W$3&gt;$I44,"-",ROUNDUP(Ld_cal($B44, $C44, $D44, $G44,$E44, $F44, $H44, W$3)*1.3,0)),"-")</f>
        <v>-</v>
      </c>
      <c r="X45" s="41" t="str">
        <f>IF($J45=X$3,IF(X$3&gt;$I44,"-",ROUNDUP(Ld_cal($B44, $C44, $D44, $G44,$E44, $F44, $H44, X$3)*1.3,0)),"-")</f>
        <v>-</v>
      </c>
      <c r="Y45" s="41" t="str">
        <f>IF($J45=Y$3,IF(Y$3&gt;$I44,"-",ROUNDUP(Ld_cal($B44, $C44, $D44, $G44,$E44, $F44, $H44, Y$3)*1.3,0)),"-")</f>
        <v>-</v>
      </c>
      <c r="Z45" s="41" t="str">
        <f>IF($J45=Z$3,IF(Z$3&gt;$I44,"-",ROUNDUP(Ld_cal($B44, $C44, $D44, $G44,$E44, $F44, $H44, Z$3)*1.3,0)),"-")</f>
        <v>-</v>
      </c>
      <c r="AA45" s="41" t="str">
        <f>IF($J45=AA$3,IF(AA$3&gt;$I44,"-",ROUNDUP(Ld_cal($B44, $C44, $D44, $G44,$E44, $F44, $H44, AA$3)*1.3,0)),"-")</f>
        <v>-</v>
      </c>
      <c r="AB45" s="41" t="str">
        <f>IF($J45=AB$3,IF(AB$3&gt;$I44,"-",ROUNDUP(Ld_cal($B44, $C44, $D44, $G44,$E44, $F44, $H44, AB$3)*1.3,0)),"-")</f>
        <v>-</v>
      </c>
      <c r="AC45" s="41" t="str">
        <f>IF($J45=AC$3,IF(AC$3&gt;$I44,"-",ROUNDUP(Ld_cal($B44, $C44, $D44, $G44,$E44, $F44, $H44, AC$3)*1.3,0)),"-")</f>
        <v>-</v>
      </c>
      <c r="AD45" s="47">
        <f t="shared" ref="AD45" si="39">IF(J45&gt;I44,"依標準圖",MAX(L45:AC45))</f>
        <v>105</v>
      </c>
    </row>
    <row r="46" spans="1:30" s="45" customFormat="1">
      <c r="A46" s="113" t="s">
        <v>54</v>
      </c>
      <c r="B46" s="99">
        <v>120</v>
      </c>
      <c r="C46" s="114">
        <v>7.5</v>
      </c>
      <c r="D46" s="99">
        <v>4200</v>
      </c>
      <c r="E46" s="102">
        <v>16</v>
      </c>
      <c r="F46" s="103">
        <v>10</v>
      </c>
      <c r="G46" s="99">
        <v>350</v>
      </c>
      <c r="H46" s="102">
        <v>32</v>
      </c>
      <c r="I46" s="104">
        <f>ROUNDDOWN(($B46-2*$C46-2*$E46/10-$H46/10)/(($D$1+1)*$H46/10),0)+1</f>
        <v>16</v>
      </c>
      <c r="J46" s="42">
        <v>5</v>
      </c>
      <c r="K46" s="43" t="s">
        <v>30</v>
      </c>
      <c r="L46" s="44" t="str">
        <f>IF($J46=L$3,IF(L$3&gt;$I46,"-",ROUNDUP(Ld_cal($B46, $C46, $D46, $G46,$E46, $F46, $H46, L$3)*1.3*1.3,0)),"-")</f>
        <v>-</v>
      </c>
      <c r="M46" s="44" t="str">
        <f>IF($J46=M$3,IF(M$3&gt;$I46,"-",ROUNDUP(Ld_cal($B46, $C46, $D46, $G46,$E46, $F46, $H46, M$3)*1.3*1.3,0)),"-")</f>
        <v>-</v>
      </c>
      <c r="N46" s="44">
        <f>IF($J46=N$3,IF(N$3&gt;$I46,"-",ROUNDUP(Ld_cal($B46, $C46, $D46, $G46,$E46, $F46, $H46, N$3)*1.3*1.3,0)),"-")</f>
        <v>136</v>
      </c>
      <c r="O46" s="44" t="str">
        <f>IF($J46=O$3,IF(O$3&gt;$I46,"-",ROUNDUP(Ld_cal($B46, $C46, $D46, $G46,$E46, $F46, $H46, O$3)*1.3*1.3,0)),"-")</f>
        <v>-</v>
      </c>
      <c r="P46" s="44" t="str">
        <f>IF($J46=P$3,IF(P$3&gt;$I46,"-",ROUNDUP(Ld_cal($B46, $C46, $D46, $G46,$E46, $F46, $H46, P$3)*1.3*1.3,0)),"-")</f>
        <v>-</v>
      </c>
      <c r="Q46" s="44" t="str">
        <f>IF($J46=Q$3,IF(Q$3&gt;$I46,"-",ROUNDUP(Ld_cal($B46, $C46, $D46, $G46,$E46, $F46, $H46, Q$3)*1.3*1.3,0)),"-")</f>
        <v>-</v>
      </c>
      <c r="R46" s="44" t="str">
        <f>IF($J46=R$3,IF(R$3&gt;$I46,"-",ROUNDUP(Ld_cal($B46, $C46, $D46, $G46,$E46, $F46, $H46, R$3)*1.3*1.3,0)),"-")</f>
        <v>-</v>
      </c>
      <c r="S46" s="44" t="str">
        <f>IF($J46=S$3,IF(S$3&gt;$I46,"-",ROUNDUP(Ld_cal($B46, $C46, $D46, $G46,$E46, $F46, $H46, S$3)*1.3*1.3,0)),"-")</f>
        <v>-</v>
      </c>
      <c r="T46" s="44" t="str">
        <f>IF($J46=T$3,IF(T$3&gt;$I46,"-",ROUNDUP(Ld_cal($B46, $C46, $D46, $G46,$E46, $F46, $H46, T$3)*1.3*1.3,0)),"-")</f>
        <v>-</v>
      </c>
      <c r="U46" s="44" t="str">
        <f>IF($J46=U$3,IF(U$3&gt;$I46,"-",ROUNDUP(Ld_cal($B46, $C46, $D46, $G46,$E46, $F46, $H46, U$3)*1.3*1.3,0)),"-")</f>
        <v>-</v>
      </c>
      <c r="V46" s="44" t="str">
        <f>IF($J46=V$3,IF(V$3&gt;$I46,"-",ROUNDUP(Ld_cal($B46, $C46, $D46, $G46,$E46, $F46, $H46, V$3)*1.3*1.3,0)),"-")</f>
        <v>-</v>
      </c>
      <c r="W46" s="44" t="str">
        <f>IF($J46=W$3,IF(W$3&gt;$I46,"-",ROUNDUP(Ld_cal($B46, $C46, $D46, $G46,$E46, $F46, $H46, W$3)*1.3*1.3,0)),"-")</f>
        <v>-</v>
      </c>
      <c r="X46" s="44" t="str">
        <f>IF($J46=X$3,IF(X$3&gt;$I46,"-",ROUNDUP(Ld_cal($B46, $C46, $D46, $G46,$E46, $F46, $H46, X$3)*1.3*1.3,0)),"-")</f>
        <v>-</v>
      </c>
      <c r="Y46" s="44" t="str">
        <f>IF($J46=Y$3,IF(Y$3&gt;$I46,"-",ROUNDUP(Ld_cal($B46, $C46, $D46, $G46,$E46, $F46, $H46, Y$3)*1.3*1.3,0)),"-")</f>
        <v>-</v>
      </c>
      <c r="Z46" s="44" t="str">
        <f>IF($J46=Z$3,IF(Z$3&gt;$I46,"-",ROUNDUP(Ld_cal($B46, $C46, $D46, $G46,$E46, $F46, $H46, Z$3)*1.3*1.3,0)),"-")</f>
        <v>-</v>
      </c>
      <c r="AA46" s="44" t="str">
        <f>IF($J46=AA$3,IF(AA$3&gt;$I46,"-",ROUNDUP(Ld_cal($B46, $C46, $D46, $G46,$E46, $F46, $H46, AA$3)*1.3*1.3,0)),"-")</f>
        <v>-</v>
      </c>
      <c r="AB46" s="44" t="str">
        <f>IF($J46=AB$3,IF(AB$3&gt;$I46,"-",ROUNDUP(Ld_cal($B46, $C46, $D46, $G46,$E46, $F46, $H46, AB$3)*1.3*1.3,0)),"-")</f>
        <v>-</v>
      </c>
      <c r="AC46" s="44" t="str">
        <f>IF($J46=AC$3,IF(AC$3&gt;$I46,"-",ROUNDUP(Ld_cal($B46, $C46, $D46, $G46,$E46, $F46, $H46, AC$3)*1.3*1.3,0)),"-")</f>
        <v>-</v>
      </c>
      <c r="AD46" s="46">
        <f t="shared" ref="AD46" si="40">IF(J46&gt;I46,"依標準圖",MAX(L46:AC46))</f>
        <v>136</v>
      </c>
    </row>
    <row r="47" spans="1:30" s="45" customFormat="1">
      <c r="A47" s="113"/>
      <c r="B47" s="99"/>
      <c r="C47" s="114"/>
      <c r="D47" s="99"/>
      <c r="E47" s="102"/>
      <c r="F47" s="103"/>
      <c r="G47" s="99"/>
      <c r="H47" s="102"/>
      <c r="I47" s="104"/>
      <c r="J47" s="42">
        <v>5</v>
      </c>
      <c r="K47" s="43" t="s">
        <v>29</v>
      </c>
      <c r="L47" s="44" t="str">
        <f>IF($J47=L$3,IF(L$3&gt;$I46,"-",ROUNDUP(Ld_cal($B46, $C46, $D46, $G46,$E46, $F46, $H46, L$3)*1.3,0)),"-")</f>
        <v>-</v>
      </c>
      <c r="M47" s="44" t="str">
        <f>IF($J47=M$3,IF(M$3&gt;$I46,"-",ROUNDUP(Ld_cal($B46, $C46, $D46, $G46,$E46, $F46, $H46, M$3)*1.3,0)),"-")</f>
        <v>-</v>
      </c>
      <c r="N47" s="44">
        <f>IF($J47=N$3,IF(N$3&gt;$I46,"-",ROUNDUP(Ld_cal($B46, $C46, $D46, $G46,$E46, $F46, $H46, N$3)*1.3,0)),"-")</f>
        <v>105</v>
      </c>
      <c r="O47" s="44" t="str">
        <f>IF($J47=O$3,IF(O$3&gt;$I46,"-",ROUNDUP(Ld_cal($B46, $C46, $D46, $G46,$E46, $F46, $H46, O$3)*1.3,0)),"-")</f>
        <v>-</v>
      </c>
      <c r="P47" s="44" t="str">
        <f>IF($J47=P$3,IF(P$3&gt;$I46,"-",ROUNDUP(Ld_cal($B46, $C46, $D46, $G46,$E46, $F46, $H46, P$3)*1.3,0)),"-")</f>
        <v>-</v>
      </c>
      <c r="Q47" s="44" t="str">
        <f>IF($J47=Q$3,IF(Q$3&gt;$I46,"-",ROUNDUP(Ld_cal($B46, $C46, $D46, $G46,$E46, $F46, $H46, Q$3)*1.3,0)),"-")</f>
        <v>-</v>
      </c>
      <c r="R47" s="44" t="str">
        <f>IF($J47=R$3,IF(R$3&gt;$I46,"-",ROUNDUP(Ld_cal($B46, $C46, $D46, $G46,$E46, $F46, $H46, R$3)*1.3,0)),"-")</f>
        <v>-</v>
      </c>
      <c r="S47" s="44" t="str">
        <f>IF($J47=S$3,IF(S$3&gt;$I46,"-",ROUNDUP(Ld_cal($B46, $C46, $D46, $G46,$E46, $F46, $H46, S$3)*1.3,0)),"-")</f>
        <v>-</v>
      </c>
      <c r="T47" s="44" t="str">
        <f>IF($J47=T$3,IF(T$3&gt;$I46,"-",ROUNDUP(Ld_cal($B46, $C46, $D46, $G46,$E46, $F46, $H46, T$3)*1.3,0)),"-")</f>
        <v>-</v>
      </c>
      <c r="U47" s="44" t="str">
        <f>IF($J47=U$3,IF(U$3&gt;$I46,"-",ROUNDUP(Ld_cal($B46, $C46, $D46, $G46,$E46, $F46, $H46, U$3)*1.3,0)),"-")</f>
        <v>-</v>
      </c>
      <c r="V47" s="44" t="str">
        <f>IF($J47=V$3,IF(V$3&gt;$I46,"-",ROUNDUP(Ld_cal($B46, $C46, $D46, $G46,$E46, $F46, $H46, V$3)*1.3,0)),"-")</f>
        <v>-</v>
      </c>
      <c r="W47" s="44" t="str">
        <f>IF($J47=W$3,IF(W$3&gt;$I46,"-",ROUNDUP(Ld_cal($B46, $C46, $D46, $G46,$E46, $F46, $H46, W$3)*1.3,0)),"-")</f>
        <v>-</v>
      </c>
      <c r="X47" s="44" t="str">
        <f>IF($J47=X$3,IF(X$3&gt;$I46,"-",ROUNDUP(Ld_cal($B46, $C46, $D46, $G46,$E46, $F46, $H46, X$3)*1.3,0)),"-")</f>
        <v>-</v>
      </c>
      <c r="Y47" s="44" t="str">
        <f>IF($J47=Y$3,IF(Y$3&gt;$I46,"-",ROUNDUP(Ld_cal($B46, $C46, $D46, $G46,$E46, $F46, $H46, Y$3)*1.3,0)),"-")</f>
        <v>-</v>
      </c>
      <c r="Z47" s="44" t="str">
        <f>IF($J47=Z$3,IF(Z$3&gt;$I46,"-",ROUNDUP(Ld_cal($B46, $C46, $D46, $G46,$E46, $F46, $H46, Z$3)*1.3,0)),"-")</f>
        <v>-</v>
      </c>
      <c r="AA47" s="44" t="str">
        <f>IF($J47=AA$3,IF(AA$3&gt;$I46,"-",ROUNDUP(Ld_cal($B46, $C46, $D46, $G46,$E46, $F46, $H46, AA$3)*1.3,0)),"-")</f>
        <v>-</v>
      </c>
      <c r="AB47" s="44" t="str">
        <f>IF($J47=AB$3,IF(AB$3&gt;$I46,"-",ROUNDUP(Ld_cal($B46, $C46, $D46, $G46,$E46, $F46, $H46, AB$3)*1.3,0)),"-")</f>
        <v>-</v>
      </c>
      <c r="AC47" s="44" t="str">
        <f>IF($J47=AC$3,IF(AC$3&gt;$I46,"-",ROUNDUP(Ld_cal($B46, $C46, $D46, $G46,$E46, $F46, $H46, AC$3)*1.3,0)),"-")</f>
        <v>-</v>
      </c>
      <c r="AD47" s="46">
        <f t="shared" ref="AD47" si="41">IF(J47&gt;I46,"依標準圖",MAX(L47:AC47))</f>
        <v>105</v>
      </c>
    </row>
    <row r="48" spans="1:30">
      <c r="A48" s="112" t="s">
        <v>55</v>
      </c>
      <c r="B48" s="107">
        <v>120</v>
      </c>
      <c r="C48" s="108">
        <v>7.5</v>
      </c>
      <c r="D48" s="107">
        <v>4200</v>
      </c>
      <c r="E48" s="109">
        <v>16</v>
      </c>
      <c r="F48" s="110">
        <v>10</v>
      </c>
      <c r="G48" s="107">
        <v>350</v>
      </c>
      <c r="H48" s="109">
        <v>32</v>
      </c>
      <c r="I48" s="111">
        <f>ROUNDDOWN(($B48-2*$C48-2*$E48/10-$H48/10)/(($D$1+1)*$H48/10),0)+1</f>
        <v>16</v>
      </c>
      <c r="J48" s="39">
        <v>5</v>
      </c>
      <c r="K48" s="40" t="s">
        <v>30</v>
      </c>
      <c r="L48" s="41" t="str">
        <f>IF($J48=L$3,IF(L$3&gt;$I48,"-",ROUNDUP(Ld_cal($B48, $C48, $D48, $G48,$E48, $F48, $H48, L$3)*1.3*1.3,0)),"-")</f>
        <v>-</v>
      </c>
      <c r="M48" s="41" t="str">
        <f>IF($J48=M$3,IF(M$3&gt;$I48,"-",ROUNDUP(Ld_cal($B48, $C48, $D48, $G48,$E48, $F48, $H48, M$3)*1.3*1.3,0)),"-")</f>
        <v>-</v>
      </c>
      <c r="N48" s="41">
        <f>IF($J48=N$3,IF(N$3&gt;$I48,"-",ROUNDUP(Ld_cal($B48, $C48, $D48, $G48,$E48, $F48, $H48, N$3)*1.3*1.3,0)),"-")</f>
        <v>136</v>
      </c>
      <c r="O48" s="41" t="str">
        <f>IF($J48=O$3,IF(O$3&gt;$I48,"-",ROUNDUP(Ld_cal($B48, $C48, $D48, $G48,$E48, $F48, $H48, O$3)*1.3*1.3,0)),"-")</f>
        <v>-</v>
      </c>
      <c r="P48" s="41" t="str">
        <f>IF($J48=P$3,IF(P$3&gt;$I48,"-",ROUNDUP(Ld_cal($B48, $C48, $D48, $G48,$E48, $F48, $H48, P$3)*1.3*1.3,0)),"-")</f>
        <v>-</v>
      </c>
      <c r="Q48" s="41" t="str">
        <f>IF($J48=Q$3,IF(Q$3&gt;$I48,"-",ROUNDUP(Ld_cal($B48, $C48, $D48, $G48,$E48, $F48, $H48, Q$3)*1.3*1.3,0)),"-")</f>
        <v>-</v>
      </c>
      <c r="R48" s="41" t="str">
        <f>IF($J48=R$3,IF(R$3&gt;$I48,"-",ROUNDUP(Ld_cal($B48, $C48, $D48, $G48,$E48, $F48, $H48, R$3)*1.3*1.3,0)),"-")</f>
        <v>-</v>
      </c>
      <c r="S48" s="41" t="str">
        <f>IF($J48=S$3,IF(S$3&gt;$I48,"-",ROUNDUP(Ld_cal($B48, $C48, $D48, $G48,$E48, $F48, $H48, S$3)*1.3*1.3,0)),"-")</f>
        <v>-</v>
      </c>
      <c r="T48" s="41" t="str">
        <f>IF($J48=T$3,IF(T$3&gt;$I48,"-",ROUNDUP(Ld_cal($B48, $C48, $D48, $G48,$E48, $F48, $H48, T$3)*1.3*1.3,0)),"-")</f>
        <v>-</v>
      </c>
      <c r="U48" s="41" t="str">
        <f>IF($J48=U$3,IF(U$3&gt;$I48,"-",ROUNDUP(Ld_cal($B48, $C48, $D48, $G48,$E48, $F48, $H48, U$3)*1.3*1.3,0)),"-")</f>
        <v>-</v>
      </c>
      <c r="V48" s="41" t="str">
        <f>IF($J48=V$3,IF(V$3&gt;$I48,"-",ROUNDUP(Ld_cal($B48, $C48, $D48, $G48,$E48, $F48, $H48, V$3)*1.3*1.3,0)),"-")</f>
        <v>-</v>
      </c>
      <c r="W48" s="41" t="str">
        <f>IF($J48=W$3,IF(W$3&gt;$I48,"-",ROUNDUP(Ld_cal($B48, $C48, $D48, $G48,$E48, $F48, $H48, W$3)*1.3*1.3,0)),"-")</f>
        <v>-</v>
      </c>
      <c r="X48" s="41" t="str">
        <f>IF($J48=X$3,IF(X$3&gt;$I48,"-",ROUNDUP(Ld_cal($B48, $C48, $D48, $G48,$E48, $F48, $H48, X$3)*1.3*1.3,0)),"-")</f>
        <v>-</v>
      </c>
      <c r="Y48" s="41" t="str">
        <f>IF($J48=Y$3,IF(Y$3&gt;$I48,"-",ROUNDUP(Ld_cal($B48, $C48, $D48, $G48,$E48, $F48, $H48, Y$3)*1.3*1.3,0)),"-")</f>
        <v>-</v>
      </c>
      <c r="Z48" s="41" t="str">
        <f>IF($J48=Z$3,IF(Z$3&gt;$I48,"-",ROUNDUP(Ld_cal($B48, $C48, $D48, $G48,$E48, $F48, $H48, Z$3)*1.3*1.3,0)),"-")</f>
        <v>-</v>
      </c>
      <c r="AA48" s="41" t="str">
        <f>IF($J48=AA$3,IF(AA$3&gt;$I48,"-",ROUNDUP(Ld_cal($B48, $C48, $D48, $G48,$E48, $F48, $H48, AA$3)*1.3*1.3,0)),"-")</f>
        <v>-</v>
      </c>
      <c r="AB48" s="41" t="str">
        <f>IF($J48=AB$3,IF(AB$3&gt;$I48,"-",ROUNDUP(Ld_cal($B48, $C48, $D48, $G48,$E48, $F48, $H48, AB$3)*1.3*1.3,0)),"-")</f>
        <v>-</v>
      </c>
      <c r="AC48" s="41" t="str">
        <f>IF($J48=AC$3,IF(AC$3&gt;$I48,"-",ROUNDUP(Ld_cal($B48, $C48, $D48, $G48,$E48, $F48, $H48, AC$3)*1.3*1.3,0)),"-")</f>
        <v>-</v>
      </c>
      <c r="AD48" s="47">
        <f t="shared" ref="AD48" si="42">IF(J48&gt;I48,"依標準圖",MAX(L48:AC48))</f>
        <v>136</v>
      </c>
    </row>
    <row r="49" spans="1:30">
      <c r="A49" s="112"/>
      <c r="B49" s="107"/>
      <c r="C49" s="108"/>
      <c r="D49" s="107"/>
      <c r="E49" s="109"/>
      <c r="F49" s="110"/>
      <c r="G49" s="107"/>
      <c r="H49" s="109"/>
      <c r="I49" s="111"/>
      <c r="J49" s="39">
        <v>5</v>
      </c>
      <c r="K49" s="40" t="s">
        <v>29</v>
      </c>
      <c r="L49" s="41" t="str">
        <f>IF($J49=L$3,IF(L$3&gt;$I48,"-",ROUNDUP(Ld_cal($B48, $C48, $D48, $G48,$E48, $F48, $H48, L$3)*1.3,0)),"-")</f>
        <v>-</v>
      </c>
      <c r="M49" s="41" t="str">
        <f>IF($J49=M$3,IF(M$3&gt;$I48,"-",ROUNDUP(Ld_cal($B48, $C48, $D48, $G48,$E48, $F48, $H48, M$3)*1.3,0)),"-")</f>
        <v>-</v>
      </c>
      <c r="N49" s="41">
        <f>IF($J49=N$3,IF(N$3&gt;$I48,"-",ROUNDUP(Ld_cal($B48, $C48, $D48, $G48,$E48, $F48, $H48, N$3)*1.3,0)),"-")</f>
        <v>105</v>
      </c>
      <c r="O49" s="41" t="str">
        <f>IF($J49=O$3,IF(O$3&gt;$I48,"-",ROUNDUP(Ld_cal($B48, $C48, $D48, $G48,$E48, $F48, $H48, O$3)*1.3,0)),"-")</f>
        <v>-</v>
      </c>
      <c r="P49" s="41" t="str">
        <f>IF($J49=P$3,IF(P$3&gt;$I48,"-",ROUNDUP(Ld_cal($B48, $C48, $D48, $G48,$E48, $F48, $H48, P$3)*1.3,0)),"-")</f>
        <v>-</v>
      </c>
      <c r="Q49" s="41" t="str">
        <f>IF($J49=Q$3,IF(Q$3&gt;$I48,"-",ROUNDUP(Ld_cal($B48, $C48, $D48, $G48,$E48, $F48, $H48, Q$3)*1.3,0)),"-")</f>
        <v>-</v>
      </c>
      <c r="R49" s="41" t="str">
        <f>IF($J49=R$3,IF(R$3&gt;$I48,"-",ROUNDUP(Ld_cal($B48, $C48, $D48, $G48,$E48, $F48, $H48, R$3)*1.3,0)),"-")</f>
        <v>-</v>
      </c>
      <c r="S49" s="41" t="str">
        <f>IF($J49=S$3,IF(S$3&gt;$I48,"-",ROUNDUP(Ld_cal($B48, $C48, $D48, $G48,$E48, $F48, $H48, S$3)*1.3,0)),"-")</f>
        <v>-</v>
      </c>
      <c r="T49" s="41" t="str">
        <f>IF($J49=T$3,IF(T$3&gt;$I48,"-",ROUNDUP(Ld_cal($B48, $C48, $D48, $G48,$E48, $F48, $H48, T$3)*1.3,0)),"-")</f>
        <v>-</v>
      </c>
      <c r="U49" s="41" t="str">
        <f>IF($J49=U$3,IF(U$3&gt;$I48,"-",ROUNDUP(Ld_cal($B48, $C48, $D48, $G48,$E48, $F48, $H48, U$3)*1.3,0)),"-")</f>
        <v>-</v>
      </c>
      <c r="V49" s="41" t="str">
        <f>IF($J49=V$3,IF(V$3&gt;$I48,"-",ROUNDUP(Ld_cal($B48, $C48, $D48, $G48,$E48, $F48, $H48, V$3)*1.3,0)),"-")</f>
        <v>-</v>
      </c>
      <c r="W49" s="41" t="str">
        <f>IF($J49=W$3,IF(W$3&gt;$I48,"-",ROUNDUP(Ld_cal($B48, $C48, $D48, $G48,$E48, $F48, $H48, W$3)*1.3,0)),"-")</f>
        <v>-</v>
      </c>
      <c r="X49" s="41" t="str">
        <f>IF($J49=X$3,IF(X$3&gt;$I48,"-",ROUNDUP(Ld_cal($B48, $C48, $D48, $G48,$E48, $F48, $H48, X$3)*1.3,0)),"-")</f>
        <v>-</v>
      </c>
      <c r="Y49" s="41" t="str">
        <f>IF($J49=Y$3,IF(Y$3&gt;$I48,"-",ROUNDUP(Ld_cal($B48, $C48, $D48, $G48,$E48, $F48, $H48, Y$3)*1.3,0)),"-")</f>
        <v>-</v>
      </c>
      <c r="Z49" s="41" t="str">
        <f>IF($J49=Z$3,IF(Z$3&gt;$I48,"-",ROUNDUP(Ld_cal($B48, $C48, $D48, $G48,$E48, $F48, $H48, Z$3)*1.3,0)),"-")</f>
        <v>-</v>
      </c>
      <c r="AA49" s="41" t="str">
        <f>IF($J49=AA$3,IF(AA$3&gt;$I48,"-",ROUNDUP(Ld_cal($B48, $C48, $D48, $G48,$E48, $F48, $H48, AA$3)*1.3,0)),"-")</f>
        <v>-</v>
      </c>
      <c r="AB49" s="41" t="str">
        <f>IF($J49=AB$3,IF(AB$3&gt;$I48,"-",ROUNDUP(Ld_cal($B48, $C48, $D48, $G48,$E48, $F48, $H48, AB$3)*1.3,0)),"-")</f>
        <v>-</v>
      </c>
      <c r="AC49" s="41" t="str">
        <f>IF($J49=AC$3,IF(AC$3&gt;$I48,"-",ROUNDUP(Ld_cal($B48, $C48, $D48, $G48,$E48, $F48, $H48, AC$3)*1.3,0)),"-")</f>
        <v>-</v>
      </c>
      <c r="AD49" s="47">
        <f t="shared" ref="AD49" si="43">IF(J49&gt;I48,"依標準圖",MAX(L49:AC49))</f>
        <v>105</v>
      </c>
    </row>
    <row r="50" spans="1:30" s="45" customFormat="1">
      <c r="A50" s="113" t="s">
        <v>56</v>
      </c>
      <c r="B50" s="99">
        <v>120</v>
      </c>
      <c r="C50" s="114">
        <v>7.5</v>
      </c>
      <c r="D50" s="99">
        <v>4200</v>
      </c>
      <c r="E50" s="102">
        <v>16</v>
      </c>
      <c r="F50" s="103">
        <v>10</v>
      </c>
      <c r="G50" s="99">
        <v>350</v>
      </c>
      <c r="H50" s="102">
        <v>32</v>
      </c>
      <c r="I50" s="104">
        <f>ROUNDDOWN(($B50-2*$C50-2*$E50/10-$H50/10)/(($D$1+1)*$H50/10),0)+1</f>
        <v>16</v>
      </c>
      <c r="J50" s="42">
        <v>5</v>
      </c>
      <c r="K50" s="43" t="s">
        <v>30</v>
      </c>
      <c r="L50" s="44" t="str">
        <f>IF($J50=L$3,IF(L$3&gt;$I50,"-",ROUNDUP(Ld_cal($B50, $C50, $D50, $G50,$E50, $F50, $H50, L$3)*1.3*1.3,0)),"-")</f>
        <v>-</v>
      </c>
      <c r="M50" s="44" t="str">
        <f>IF($J50=M$3,IF(M$3&gt;$I50,"-",ROUNDUP(Ld_cal($B50, $C50, $D50, $G50,$E50, $F50, $H50, M$3)*1.3*1.3,0)),"-")</f>
        <v>-</v>
      </c>
      <c r="N50" s="44">
        <f>IF($J50=N$3,IF(N$3&gt;$I50,"-",ROUNDUP(Ld_cal($B50, $C50, $D50, $G50,$E50, $F50, $H50, N$3)*1.3*1.3,0)),"-")</f>
        <v>136</v>
      </c>
      <c r="O50" s="44" t="str">
        <f>IF($J50=O$3,IF(O$3&gt;$I50,"-",ROUNDUP(Ld_cal($B50, $C50, $D50, $G50,$E50, $F50, $H50, O$3)*1.3*1.3,0)),"-")</f>
        <v>-</v>
      </c>
      <c r="P50" s="44" t="str">
        <f>IF($J50=P$3,IF(P$3&gt;$I50,"-",ROUNDUP(Ld_cal($B50, $C50, $D50, $G50,$E50, $F50, $H50, P$3)*1.3*1.3,0)),"-")</f>
        <v>-</v>
      </c>
      <c r="Q50" s="44" t="str">
        <f>IF($J50=Q$3,IF(Q$3&gt;$I50,"-",ROUNDUP(Ld_cal($B50, $C50, $D50, $G50,$E50, $F50, $H50, Q$3)*1.3*1.3,0)),"-")</f>
        <v>-</v>
      </c>
      <c r="R50" s="44" t="str">
        <f>IF($J50=R$3,IF(R$3&gt;$I50,"-",ROUNDUP(Ld_cal($B50, $C50, $D50, $G50,$E50, $F50, $H50, R$3)*1.3*1.3,0)),"-")</f>
        <v>-</v>
      </c>
      <c r="S50" s="44" t="str">
        <f>IF($J50=S$3,IF(S$3&gt;$I50,"-",ROUNDUP(Ld_cal($B50, $C50, $D50, $G50,$E50, $F50, $H50, S$3)*1.3*1.3,0)),"-")</f>
        <v>-</v>
      </c>
      <c r="T50" s="44" t="str">
        <f>IF($J50=T$3,IF(T$3&gt;$I50,"-",ROUNDUP(Ld_cal($B50, $C50, $D50, $G50,$E50, $F50, $H50, T$3)*1.3*1.3,0)),"-")</f>
        <v>-</v>
      </c>
      <c r="U50" s="44" t="str">
        <f>IF($J50=U$3,IF(U$3&gt;$I50,"-",ROUNDUP(Ld_cal($B50, $C50, $D50, $G50,$E50, $F50, $H50, U$3)*1.3*1.3,0)),"-")</f>
        <v>-</v>
      </c>
      <c r="V50" s="44" t="str">
        <f>IF($J50=V$3,IF(V$3&gt;$I50,"-",ROUNDUP(Ld_cal($B50, $C50, $D50, $G50,$E50, $F50, $H50, V$3)*1.3*1.3,0)),"-")</f>
        <v>-</v>
      </c>
      <c r="W50" s="44" t="str">
        <f>IF($J50=W$3,IF(W$3&gt;$I50,"-",ROUNDUP(Ld_cal($B50, $C50, $D50, $G50,$E50, $F50, $H50, W$3)*1.3*1.3,0)),"-")</f>
        <v>-</v>
      </c>
      <c r="X50" s="44" t="str">
        <f>IF($J50=X$3,IF(X$3&gt;$I50,"-",ROUNDUP(Ld_cal($B50, $C50, $D50, $G50,$E50, $F50, $H50, X$3)*1.3*1.3,0)),"-")</f>
        <v>-</v>
      </c>
      <c r="Y50" s="44" t="str">
        <f>IF($J50=Y$3,IF(Y$3&gt;$I50,"-",ROUNDUP(Ld_cal($B50, $C50, $D50, $G50,$E50, $F50, $H50, Y$3)*1.3*1.3,0)),"-")</f>
        <v>-</v>
      </c>
      <c r="Z50" s="44" t="str">
        <f>IF($J50=Z$3,IF(Z$3&gt;$I50,"-",ROUNDUP(Ld_cal($B50, $C50, $D50, $G50,$E50, $F50, $H50, Z$3)*1.3*1.3,0)),"-")</f>
        <v>-</v>
      </c>
      <c r="AA50" s="44" t="str">
        <f>IF($J50=AA$3,IF(AA$3&gt;$I50,"-",ROUNDUP(Ld_cal($B50, $C50, $D50, $G50,$E50, $F50, $H50, AA$3)*1.3*1.3,0)),"-")</f>
        <v>-</v>
      </c>
      <c r="AB50" s="44" t="str">
        <f>IF($J50=AB$3,IF(AB$3&gt;$I50,"-",ROUNDUP(Ld_cal($B50, $C50, $D50, $G50,$E50, $F50, $H50, AB$3)*1.3*1.3,0)),"-")</f>
        <v>-</v>
      </c>
      <c r="AC50" s="44" t="str">
        <f>IF($J50=AC$3,IF(AC$3&gt;$I50,"-",ROUNDUP(Ld_cal($B50, $C50, $D50, $G50,$E50, $F50, $H50, AC$3)*1.3*1.3,0)),"-")</f>
        <v>-</v>
      </c>
      <c r="AD50" s="46">
        <f t="shared" ref="AD50" si="44">IF(J50&gt;I50,"依標準圖",MAX(L50:AC50))</f>
        <v>136</v>
      </c>
    </row>
    <row r="51" spans="1:30" s="45" customFormat="1">
      <c r="A51" s="113"/>
      <c r="B51" s="99"/>
      <c r="C51" s="114"/>
      <c r="D51" s="99"/>
      <c r="E51" s="102"/>
      <c r="F51" s="103"/>
      <c r="G51" s="99"/>
      <c r="H51" s="102"/>
      <c r="I51" s="104"/>
      <c r="J51" s="42">
        <v>5</v>
      </c>
      <c r="K51" s="43" t="s">
        <v>29</v>
      </c>
      <c r="L51" s="44" t="str">
        <f>IF($J51=L$3,IF(L$3&gt;$I50,"-",ROUNDUP(Ld_cal($B50, $C50, $D50, $G50,$E50, $F50, $H50, L$3)*1.3,0)),"-")</f>
        <v>-</v>
      </c>
      <c r="M51" s="44" t="str">
        <f>IF($J51=M$3,IF(M$3&gt;$I50,"-",ROUNDUP(Ld_cal($B50, $C50, $D50, $G50,$E50, $F50, $H50, M$3)*1.3,0)),"-")</f>
        <v>-</v>
      </c>
      <c r="N51" s="44">
        <f>IF($J51=N$3,IF(N$3&gt;$I50,"-",ROUNDUP(Ld_cal($B50, $C50, $D50, $G50,$E50, $F50, $H50, N$3)*1.3,0)),"-")</f>
        <v>105</v>
      </c>
      <c r="O51" s="44" t="str">
        <f>IF($J51=O$3,IF(O$3&gt;$I50,"-",ROUNDUP(Ld_cal($B50, $C50, $D50, $G50,$E50, $F50, $H50, O$3)*1.3,0)),"-")</f>
        <v>-</v>
      </c>
      <c r="P51" s="44" t="str">
        <f>IF($J51=P$3,IF(P$3&gt;$I50,"-",ROUNDUP(Ld_cal($B50, $C50, $D50, $G50,$E50, $F50, $H50, P$3)*1.3,0)),"-")</f>
        <v>-</v>
      </c>
      <c r="Q51" s="44" t="str">
        <f>IF($J51=Q$3,IF(Q$3&gt;$I50,"-",ROUNDUP(Ld_cal($B50, $C50, $D50, $G50,$E50, $F50, $H50, Q$3)*1.3,0)),"-")</f>
        <v>-</v>
      </c>
      <c r="R51" s="44" t="str">
        <f>IF($J51=R$3,IF(R$3&gt;$I50,"-",ROUNDUP(Ld_cal($B50, $C50, $D50, $G50,$E50, $F50, $H50, R$3)*1.3,0)),"-")</f>
        <v>-</v>
      </c>
      <c r="S51" s="44" t="str">
        <f>IF($J51=S$3,IF(S$3&gt;$I50,"-",ROUNDUP(Ld_cal($B50, $C50, $D50, $G50,$E50, $F50, $H50, S$3)*1.3,0)),"-")</f>
        <v>-</v>
      </c>
      <c r="T51" s="44" t="str">
        <f>IF($J51=T$3,IF(T$3&gt;$I50,"-",ROUNDUP(Ld_cal($B50, $C50, $D50, $G50,$E50, $F50, $H50, T$3)*1.3,0)),"-")</f>
        <v>-</v>
      </c>
      <c r="U51" s="44" t="str">
        <f>IF($J51=U$3,IF(U$3&gt;$I50,"-",ROUNDUP(Ld_cal($B50, $C50, $D50, $G50,$E50, $F50, $H50, U$3)*1.3,0)),"-")</f>
        <v>-</v>
      </c>
      <c r="V51" s="44" t="str">
        <f>IF($J51=V$3,IF(V$3&gt;$I50,"-",ROUNDUP(Ld_cal($B50, $C50, $D50, $G50,$E50, $F50, $H50, V$3)*1.3,0)),"-")</f>
        <v>-</v>
      </c>
      <c r="W51" s="44" t="str">
        <f>IF($J51=W$3,IF(W$3&gt;$I50,"-",ROUNDUP(Ld_cal($B50, $C50, $D50, $G50,$E50, $F50, $H50, W$3)*1.3,0)),"-")</f>
        <v>-</v>
      </c>
      <c r="X51" s="44" t="str">
        <f>IF($J51=X$3,IF(X$3&gt;$I50,"-",ROUNDUP(Ld_cal($B50, $C50, $D50, $G50,$E50, $F50, $H50, X$3)*1.3,0)),"-")</f>
        <v>-</v>
      </c>
      <c r="Y51" s="44" t="str">
        <f>IF($J51=Y$3,IF(Y$3&gt;$I50,"-",ROUNDUP(Ld_cal($B50, $C50, $D50, $G50,$E50, $F50, $H50, Y$3)*1.3,0)),"-")</f>
        <v>-</v>
      </c>
      <c r="Z51" s="44" t="str">
        <f>IF($J51=Z$3,IF(Z$3&gt;$I50,"-",ROUNDUP(Ld_cal($B50, $C50, $D50, $G50,$E50, $F50, $H50, Z$3)*1.3,0)),"-")</f>
        <v>-</v>
      </c>
      <c r="AA51" s="44" t="str">
        <f>IF($J51=AA$3,IF(AA$3&gt;$I50,"-",ROUNDUP(Ld_cal($B50, $C50, $D50, $G50,$E50, $F50, $H50, AA$3)*1.3,0)),"-")</f>
        <v>-</v>
      </c>
      <c r="AB51" s="44" t="str">
        <f>IF($J51=AB$3,IF(AB$3&gt;$I50,"-",ROUNDUP(Ld_cal($B50, $C50, $D50, $G50,$E50, $F50, $H50, AB$3)*1.3,0)),"-")</f>
        <v>-</v>
      </c>
      <c r="AC51" s="44" t="str">
        <f>IF($J51=AC$3,IF(AC$3&gt;$I50,"-",ROUNDUP(Ld_cal($B50, $C50, $D50, $G50,$E50, $F50, $H50, AC$3)*1.3,0)),"-")</f>
        <v>-</v>
      </c>
      <c r="AD51" s="46">
        <f t="shared" ref="AD51" si="45">IF(J51&gt;I50,"依標準圖",MAX(L51:AC51))</f>
        <v>105</v>
      </c>
    </row>
    <row r="52" spans="1:30">
      <c r="A52" s="112" t="s">
        <v>57</v>
      </c>
      <c r="B52" s="107">
        <v>120</v>
      </c>
      <c r="C52" s="108">
        <v>7.5</v>
      </c>
      <c r="D52" s="107">
        <v>4200</v>
      </c>
      <c r="E52" s="109">
        <v>16</v>
      </c>
      <c r="F52" s="110">
        <v>10</v>
      </c>
      <c r="G52" s="107">
        <v>350</v>
      </c>
      <c r="H52" s="109">
        <v>32</v>
      </c>
      <c r="I52" s="111">
        <f>ROUNDDOWN(($B52-2*$C52-2*$E52/10-$H52/10)/(($D$1+1)*$H52/10),0)+1</f>
        <v>16</v>
      </c>
      <c r="J52" s="39">
        <v>5</v>
      </c>
      <c r="K52" s="40" t="s">
        <v>30</v>
      </c>
      <c r="L52" s="41" t="str">
        <f>IF($J52=L$3,IF(L$3&gt;$I52,"-",ROUNDUP(Ld_cal($B52, $C52, $D52, $G52,$E52, $F52, $H52, L$3)*1.3*1.3,0)),"-")</f>
        <v>-</v>
      </c>
      <c r="M52" s="41" t="str">
        <f>IF($J52=M$3,IF(M$3&gt;$I52,"-",ROUNDUP(Ld_cal($B52, $C52, $D52, $G52,$E52, $F52, $H52, M$3)*1.3*1.3,0)),"-")</f>
        <v>-</v>
      </c>
      <c r="N52" s="41">
        <f>IF($J52=N$3,IF(N$3&gt;$I52,"-",ROUNDUP(Ld_cal($B52, $C52, $D52, $G52,$E52, $F52, $H52, N$3)*1.3*1.3,0)),"-")</f>
        <v>136</v>
      </c>
      <c r="O52" s="41" t="str">
        <f>IF($J52=O$3,IF(O$3&gt;$I52,"-",ROUNDUP(Ld_cal($B52, $C52, $D52, $G52,$E52, $F52, $H52, O$3)*1.3*1.3,0)),"-")</f>
        <v>-</v>
      </c>
      <c r="P52" s="41" t="str">
        <f>IF($J52=P$3,IF(P$3&gt;$I52,"-",ROUNDUP(Ld_cal($B52, $C52, $D52, $G52,$E52, $F52, $H52, P$3)*1.3*1.3,0)),"-")</f>
        <v>-</v>
      </c>
      <c r="Q52" s="41" t="str">
        <f>IF($J52=Q$3,IF(Q$3&gt;$I52,"-",ROUNDUP(Ld_cal($B52, $C52, $D52, $G52,$E52, $F52, $H52, Q$3)*1.3*1.3,0)),"-")</f>
        <v>-</v>
      </c>
      <c r="R52" s="41" t="str">
        <f>IF($J52=R$3,IF(R$3&gt;$I52,"-",ROUNDUP(Ld_cal($B52, $C52, $D52, $G52,$E52, $F52, $H52, R$3)*1.3*1.3,0)),"-")</f>
        <v>-</v>
      </c>
      <c r="S52" s="41" t="str">
        <f>IF($J52=S$3,IF(S$3&gt;$I52,"-",ROUNDUP(Ld_cal($B52, $C52, $D52, $G52,$E52, $F52, $H52, S$3)*1.3*1.3,0)),"-")</f>
        <v>-</v>
      </c>
      <c r="T52" s="41" t="str">
        <f>IF($J52=T$3,IF(T$3&gt;$I52,"-",ROUNDUP(Ld_cal($B52, $C52, $D52, $G52,$E52, $F52, $H52, T$3)*1.3*1.3,0)),"-")</f>
        <v>-</v>
      </c>
      <c r="U52" s="41" t="str">
        <f>IF($J52=U$3,IF(U$3&gt;$I52,"-",ROUNDUP(Ld_cal($B52, $C52, $D52, $G52,$E52, $F52, $H52, U$3)*1.3*1.3,0)),"-")</f>
        <v>-</v>
      </c>
      <c r="V52" s="41" t="str">
        <f>IF($J52=V$3,IF(V$3&gt;$I52,"-",ROUNDUP(Ld_cal($B52, $C52, $D52, $G52,$E52, $F52, $H52, V$3)*1.3*1.3,0)),"-")</f>
        <v>-</v>
      </c>
      <c r="W52" s="41" t="str">
        <f>IF($J52=W$3,IF(W$3&gt;$I52,"-",ROUNDUP(Ld_cal($B52, $C52, $D52, $G52,$E52, $F52, $H52, W$3)*1.3*1.3,0)),"-")</f>
        <v>-</v>
      </c>
      <c r="X52" s="41" t="str">
        <f>IF($J52=X$3,IF(X$3&gt;$I52,"-",ROUNDUP(Ld_cal($B52, $C52, $D52, $G52,$E52, $F52, $H52, X$3)*1.3*1.3,0)),"-")</f>
        <v>-</v>
      </c>
      <c r="Y52" s="41" t="str">
        <f>IF($J52=Y$3,IF(Y$3&gt;$I52,"-",ROUNDUP(Ld_cal($B52, $C52, $D52, $G52,$E52, $F52, $H52, Y$3)*1.3*1.3,0)),"-")</f>
        <v>-</v>
      </c>
      <c r="Z52" s="41" t="str">
        <f>IF($J52=Z$3,IF(Z$3&gt;$I52,"-",ROUNDUP(Ld_cal($B52, $C52, $D52, $G52,$E52, $F52, $H52, Z$3)*1.3*1.3,0)),"-")</f>
        <v>-</v>
      </c>
      <c r="AA52" s="41" t="str">
        <f>IF($J52=AA$3,IF(AA$3&gt;$I52,"-",ROUNDUP(Ld_cal($B52, $C52, $D52, $G52,$E52, $F52, $H52, AA$3)*1.3*1.3,0)),"-")</f>
        <v>-</v>
      </c>
      <c r="AB52" s="41" t="str">
        <f>IF($J52=AB$3,IF(AB$3&gt;$I52,"-",ROUNDUP(Ld_cal($B52, $C52, $D52, $G52,$E52, $F52, $H52, AB$3)*1.3*1.3,0)),"-")</f>
        <v>-</v>
      </c>
      <c r="AC52" s="41" t="str">
        <f>IF($J52=AC$3,IF(AC$3&gt;$I52,"-",ROUNDUP(Ld_cal($B52, $C52, $D52, $G52,$E52, $F52, $H52, AC$3)*1.3*1.3,0)),"-")</f>
        <v>-</v>
      </c>
      <c r="AD52" s="47">
        <f t="shared" ref="AD52" si="46">IF(J52&gt;I52,"依標準圖",MAX(L52:AC52))</f>
        <v>136</v>
      </c>
    </row>
    <row r="53" spans="1:30">
      <c r="A53" s="112"/>
      <c r="B53" s="107"/>
      <c r="C53" s="108"/>
      <c r="D53" s="107"/>
      <c r="E53" s="109"/>
      <c r="F53" s="110"/>
      <c r="G53" s="107"/>
      <c r="H53" s="109"/>
      <c r="I53" s="111"/>
      <c r="J53" s="39">
        <v>5</v>
      </c>
      <c r="K53" s="40" t="s">
        <v>29</v>
      </c>
      <c r="L53" s="41" t="str">
        <f>IF($J53=L$3,IF(L$3&gt;$I52,"-",ROUNDUP(Ld_cal($B52, $C52, $D52, $G52,$E52, $F52, $H52, L$3)*1.3,0)),"-")</f>
        <v>-</v>
      </c>
      <c r="M53" s="41" t="str">
        <f>IF($J53=M$3,IF(M$3&gt;$I52,"-",ROUNDUP(Ld_cal($B52, $C52, $D52, $G52,$E52, $F52, $H52, M$3)*1.3,0)),"-")</f>
        <v>-</v>
      </c>
      <c r="N53" s="41">
        <f>IF($J53=N$3,IF(N$3&gt;$I52,"-",ROUNDUP(Ld_cal($B52, $C52, $D52, $G52,$E52, $F52, $H52, N$3)*1.3,0)),"-")</f>
        <v>105</v>
      </c>
      <c r="O53" s="41" t="str">
        <f>IF($J53=O$3,IF(O$3&gt;$I52,"-",ROUNDUP(Ld_cal($B52, $C52, $D52, $G52,$E52, $F52, $H52, O$3)*1.3,0)),"-")</f>
        <v>-</v>
      </c>
      <c r="P53" s="41" t="str">
        <f>IF($J53=P$3,IF(P$3&gt;$I52,"-",ROUNDUP(Ld_cal($B52, $C52, $D52, $G52,$E52, $F52, $H52, P$3)*1.3,0)),"-")</f>
        <v>-</v>
      </c>
      <c r="Q53" s="41" t="str">
        <f>IF($J53=Q$3,IF(Q$3&gt;$I52,"-",ROUNDUP(Ld_cal($B52, $C52, $D52, $G52,$E52, $F52, $H52, Q$3)*1.3,0)),"-")</f>
        <v>-</v>
      </c>
      <c r="R53" s="41" t="str">
        <f>IF($J53=R$3,IF(R$3&gt;$I52,"-",ROUNDUP(Ld_cal($B52, $C52, $D52, $G52,$E52, $F52, $H52, R$3)*1.3,0)),"-")</f>
        <v>-</v>
      </c>
      <c r="S53" s="41" t="str">
        <f>IF($J53=S$3,IF(S$3&gt;$I52,"-",ROUNDUP(Ld_cal($B52, $C52, $D52, $G52,$E52, $F52, $H52, S$3)*1.3,0)),"-")</f>
        <v>-</v>
      </c>
      <c r="T53" s="41" t="str">
        <f>IF($J53=T$3,IF(T$3&gt;$I52,"-",ROUNDUP(Ld_cal($B52, $C52, $D52, $G52,$E52, $F52, $H52, T$3)*1.3,0)),"-")</f>
        <v>-</v>
      </c>
      <c r="U53" s="41" t="str">
        <f>IF($J53=U$3,IF(U$3&gt;$I52,"-",ROUNDUP(Ld_cal($B52, $C52, $D52, $G52,$E52, $F52, $H52, U$3)*1.3,0)),"-")</f>
        <v>-</v>
      </c>
      <c r="V53" s="41" t="str">
        <f>IF($J53=V$3,IF(V$3&gt;$I52,"-",ROUNDUP(Ld_cal($B52, $C52, $D52, $G52,$E52, $F52, $H52, V$3)*1.3,0)),"-")</f>
        <v>-</v>
      </c>
      <c r="W53" s="41" t="str">
        <f>IF($J53=W$3,IF(W$3&gt;$I52,"-",ROUNDUP(Ld_cal($B52, $C52, $D52, $G52,$E52, $F52, $H52, W$3)*1.3,0)),"-")</f>
        <v>-</v>
      </c>
      <c r="X53" s="41" t="str">
        <f>IF($J53=X$3,IF(X$3&gt;$I52,"-",ROUNDUP(Ld_cal($B52, $C52, $D52, $G52,$E52, $F52, $H52, X$3)*1.3,0)),"-")</f>
        <v>-</v>
      </c>
      <c r="Y53" s="41" t="str">
        <f>IF($J53=Y$3,IF(Y$3&gt;$I52,"-",ROUNDUP(Ld_cal($B52, $C52, $D52, $G52,$E52, $F52, $H52, Y$3)*1.3,0)),"-")</f>
        <v>-</v>
      </c>
      <c r="Z53" s="41" t="str">
        <f>IF($J53=Z$3,IF(Z$3&gt;$I52,"-",ROUNDUP(Ld_cal($B52, $C52, $D52, $G52,$E52, $F52, $H52, Z$3)*1.3,0)),"-")</f>
        <v>-</v>
      </c>
      <c r="AA53" s="41" t="str">
        <f>IF($J53=AA$3,IF(AA$3&gt;$I52,"-",ROUNDUP(Ld_cal($B52, $C52, $D52, $G52,$E52, $F52, $H52, AA$3)*1.3,0)),"-")</f>
        <v>-</v>
      </c>
      <c r="AB53" s="41" t="str">
        <f>IF($J53=AB$3,IF(AB$3&gt;$I52,"-",ROUNDUP(Ld_cal($B52, $C52, $D52, $G52,$E52, $F52, $H52, AB$3)*1.3,0)),"-")</f>
        <v>-</v>
      </c>
      <c r="AC53" s="41" t="str">
        <f>IF($J53=AC$3,IF(AC$3&gt;$I52,"-",ROUNDUP(Ld_cal($B52, $C52, $D52, $G52,$E52, $F52, $H52, AC$3)*1.3,0)),"-")</f>
        <v>-</v>
      </c>
      <c r="AD53" s="47">
        <f t="shared" ref="AD53" si="47">IF(J53&gt;I52,"依標準圖",MAX(L53:AC53))</f>
        <v>105</v>
      </c>
    </row>
    <row r="54" spans="1:30" s="45" customFormat="1">
      <c r="A54" s="113" t="s">
        <v>58</v>
      </c>
      <c r="B54" s="99">
        <v>120</v>
      </c>
      <c r="C54" s="114">
        <v>7.5</v>
      </c>
      <c r="D54" s="99">
        <v>4200</v>
      </c>
      <c r="E54" s="102">
        <v>16</v>
      </c>
      <c r="F54" s="103">
        <v>10</v>
      </c>
      <c r="G54" s="99">
        <v>350</v>
      </c>
      <c r="H54" s="102">
        <v>32</v>
      </c>
      <c r="I54" s="104">
        <f>ROUNDDOWN(($B54-2*$C54-2*$E54/10-$H54/10)/(($D$1+1)*$H54/10),0)+1</f>
        <v>16</v>
      </c>
      <c r="J54" s="42">
        <v>8</v>
      </c>
      <c r="K54" s="43" t="s">
        <v>30</v>
      </c>
      <c r="L54" s="44" t="str">
        <f>IF($J54=L$3,IF(L$3&gt;$I54,"-",ROUNDUP(Ld_cal($B54, $C54, $D54, $G54,$E54, $F54, $H54, L$3)*1.3*1.3,0)),"-")</f>
        <v>-</v>
      </c>
      <c r="M54" s="44" t="str">
        <f>IF($J54=M$3,IF(M$3&gt;$I54,"-",ROUNDUP(Ld_cal($B54, $C54, $D54, $G54,$E54, $F54, $H54, M$3)*1.3*1.3,0)),"-")</f>
        <v>-</v>
      </c>
      <c r="N54" s="44" t="str">
        <f>IF($J54=N$3,IF(N$3&gt;$I54,"-",ROUNDUP(Ld_cal($B54, $C54, $D54, $G54,$E54, $F54, $H54, N$3)*1.3*1.3,0)),"-")</f>
        <v>-</v>
      </c>
      <c r="O54" s="44" t="str">
        <f>IF($J54=O$3,IF(O$3&gt;$I54,"-",ROUNDUP(Ld_cal($B54, $C54, $D54, $G54,$E54, $F54, $H54, O$3)*1.3*1.3,0)),"-")</f>
        <v>-</v>
      </c>
      <c r="P54" s="44" t="str">
        <f>IF($J54=P$3,IF(P$3&gt;$I54,"-",ROUNDUP(Ld_cal($B54, $C54, $D54, $G54,$E54, $F54, $H54, P$3)*1.3*1.3,0)),"-")</f>
        <v>-</v>
      </c>
      <c r="Q54" s="44">
        <f>IF($J54=Q$3,IF(Q$3&gt;$I54,"-",ROUNDUP(Ld_cal($B54, $C54, $D54, $G54,$E54, $F54, $H54, Q$3)*1.3*1.3,0)),"-")</f>
        <v>136</v>
      </c>
      <c r="R54" s="44" t="str">
        <f>IF($J54=R$3,IF(R$3&gt;$I54,"-",ROUNDUP(Ld_cal($B54, $C54, $D54, $G54,$E54, $F54, $H54, R$3)*1.3*1.3,0)),"-")</f>
        <v>-</v>
      </c>
      <c r="S54" s="44" t="str">
        <f>IF($J54=S$3,IF(S$3&gt;$I54,"-",ROUNDUP(Ld_cal($B54, $C54, $D54, $G54,$E54, $F54, $H54, S$3)*1.3*1.3,0)),"-")</f>
        <v>-</v>
      </c>
      <c r="T54" s="44" t="str">
        <f>IF($J54=T$3,IF(T$3&gt;$I54,"-",ROUNDUP(Ld_cal($B54, $C54, $D54, $G54,$E54, $F54, $H54, T$3)*1.3*1.3,0)),"-")</f>
        <v>-</v>
      </c>
      <c r="U54" s="44" t="str">
        <f>IF($J54=U$3,IF(U$3&gt;$I54,"-",ROUNDUP(Ld_cal($B54, $C54, $D54, $G54,$E54, $F54, $H54, U$3)*1.3*1.3,0)),"-")</f>
        <v>-</v>
      </c>
      <c r="V54" s="44" t="str">
        <f>IF($J54=V$3,IF(V$3&gt;$I54,"-",ROUNDUP(Ld_cal($B54, $C54, $D54, $G54,$E54, $F54, $H54, V$3)*1.3*1.3,0)),"-")</f>
        <v>-</v>
      </c>
      <c r="W54" s="44" t="str">
        <f>IF($J54=W$3,IF(W$3&gt;$I54,"-",ROUNDUP(Ld_cal($B54, $C54, $D54, $G54,$E54, $F54, $H54, W$3)*1.3*1.3,0)),"-")</f>
        <v>-</v>
      </c>
      <c r="X54" s="44" t="str">
        <f>IF($J54=X$3,IF(X$3&gt;$I54,"-",ROUNDUP(Ld_cal($B54, $C54, $D54, $G54,$E54, $F54, $H54, X$3)*1.3*1.3,0)),"-")</f>
        <v>-</v>
      </c>
      <c r="Y54" s="44" t="str">
        <f>IF($J54=Y$3,IF(Y$3&gt;$I54,"-",ROUNDUP(Ld_cal($B54, $C54, $D54, $G54,$E54, $F54, $H54, Y$3)*1.3*1.3,0)),"-")</f>
        <v>-</v>
      </c>
      <c r="Z54" s="44" t="str">
        <f>IF($J54=Z$3,IF(Z$3&gt;$I54,"-",ROUNDUP(Ld_cal($B54, $C54, $D54, $G54,$E54, $F54, $H54, Z$3)*1.3*1.3,0)),"-")</f>
        <v>-</v>
      </c>
      <c r="AA54" s="44" t="str">
        <f>IF($J54=AA$3,IF(AA$3&gt;$I54,"-",ROUNDUP(Ld_cal($B54, $C54, $D54, $G54,$E54, $F54, $H54, AA$3)*1.3*1.3,0)),"-")</f>
        <v>-</v>
      </c>
      <c r="AB54" s="44" t="str">
        <f>IF($J54=AB$3,IF(AB$3&gt;$I54,"-",ROUNDUP(Ld_cal($B54, $C54, $D54, $G54,$E54, $F54, $H54, AB$3)*1.3*1.3,0)),"-")</f>
        <v>-</v>
      </c>
      <c r="AC54" s="44" t="str">
        <f>IF($J54=AC$3,IF(AC$3&gt;$I54,"-",ROUNDUP(Ld_cal($B54, $C54, $D54, $G54,$E54, $F54, $H54, AC$3)*1.3*1.3,0)),"-")</f>
        <v>-</v>
      </c>
      <c r="AD54" s="46">
        <f t="shared" ref="AD54" si="48">IF(J54&gt;I54,"依標準圖",MAX(L54:AC54))</f>
        <v>136</v>
      </c>
    </row>
    <row r="55" spans="1:30" s="45" customFormat="1">
      <c r="A55" s="113"/>
      <c r="B55" s="99"/>
      <c r="C55" s="114"/>
      <c r="D55" s="99"/>
      <c r="E55" s="102"/>
      <c r="F55" s="103"/>
      <c r="G55" s="99"/>
      <c r="H55" s="102"/>
      <c r="I55" s="104"/>
      <c r="J55" s="42">
        <v>5</v>
      </c>
      <c r="K55" s="43" t="s">
        <v>29</v>
      </c>
      <c r="L55" s="44" t="str">
        <f>IF($J55=L$3,IF(L$3&gt;$I54,"-",ROUNDUP(Ld_cal($B54, $C54, $D54, $G54,$E54, $F54, $H54, L$3)*1.3,0)),"-")</f>
        <v>-</v>
      </c>
      <c r="M55" s="44" t="str">
        <f>IF($J55=M$3,IF(M$3&gt;$I54,"-",ROUNDUP(Ld_cal($B54, $C54, $D54, $G54,$E54, $F54, $H54, M$3)*1.3,0)),"-")</f>
        <v>-</v>
      </c>
      <c r="N55" s="44">
        <f>IF($J55=N$3,IF(N$3&gt;$I54,"-",ROUNDUP(Ld_cal($B54, $C54, $D54, $G54,$E54, $F54, $H54, N$3)*1.3,0)),"-")</f>
        <v>105</v>
      </c>
      <c r="O55" s="44" t="str">
        <f>IF($J55=O$3,IF(O$3&gt;$I54,"-",ROUNDUP(Ld_cal($B54, $C54, $D54, $G54,$E54, $F54, $H54, O$3)*1.3,0)),"-")</f>
        <v>-</v>
      </c>
      <c r="P55" s="44" t="str">
        <f>IF($J55=P$3,IF(P$3&gt;$I54,"-",ROUNDUP(Ld_cal($B54, $C54, $D54, $G54,$E54, $F54, $H54, P$3)*1.3,0)),"-")</f>
        <v>-</v>
      </c>
      <c r="Q55" s="44" t="str">
        <f>IF($J55=Q$3,IF(Q$3&gt;$I54,"-",ROUNDUP(Ld_cal($B54, $C54, $D54, $G54,$E54, $F54, $H54, Q$3)*1.3,0)),"-")</f>
        <v>-</v>
      </c>
      <c r="R55" s="44" t="str">
        <f>IF($J55=R$3,IF(R$3&gt;$I54,"-",ROUNDUP(Ld_cal($B54, $C54, $D54, $G54,$E54, $F54, $H54, R$3)*1.3,0)),"-")</f>
        <v>-</v>
      </c>
      <c r="S55" s="44" t="str">
        <f>IF($J55=S$3,IF(S$3&gt;$I54,"-",ROUNDUP(Ld_cal($B54, $C54, $D54, $G54,$E54, $F54, $H54, S$3)*1.3,0)),"-")</f>
        <v>-</v>
      </c>
      <c r="T55" s="44" t="str">
        <f>IF($J55=T$3,IF(T$3&gt;$I54,"-",ROUNDUP(Ld_cal($B54, $C54, $D54, $G54,$E54, $F54, $H54, T$3)*1.3,0)),"-")</f>
        <v>-</v>
      </c>
      <c r="U55" s="44" t="str">
        <f>IF($J55=U$3,IF(U$3&gt;$I54,"-",ROUNDUP(Ld_cal($B54, $C54, $D54, $G54,$E54, $F54, $H54, U$3)*1.3,0)),"-")</f>
        <v>-</v>
      </c>
      <c r="V55" s="44" t="str">
        <f>IF($J55=V$3,IF(V$3&gt;$I54,"-",ROUNDUP(Ld_cal($B54, $C54, $D54, $G54,$E54, $F54, $H54, V$3)*1.3,0)),"-")</f>
        <v>-</v>
      </c>
      <c r="W55" s="44" t="str">
        <f>IF($J55=W$3,IF(W$3&gt;$I54,"-",ROUNDUP(Ld_cal($B54, $C54, $D54, $G54,$E54, $F54, $H54, W$3)*1.3,0)),"-")</f>
        <v>-</v>
      </c>
      <c r="X55" s="44" t="str">
        <f>IF($J55=X$3,IF(X$3&gt;$I54,"-",ROUNDUP(Ld_cal($B54, $C54, $D54, $G54,$E54, $F54, $H54, X$3)*1.3,0)),"-")</f>
        <v>-</v>
      </c>
      <c r="Y55" s="44" t="str">
        <f>IF($J55=Y$3,IF(Y$3&gt;$I54,"-",ROUNDUP(Ld_cal($B54, $C54, $D54, $G54,$E54, $F54, $H54, Y$3)*1.3,0)),"-")</f>
        <v>-</v>
      </c>
      <c r="Z55" s="44" t="str">
        <f>IF($J55=Z$3,IF(Z$3&gt;$I54,"-",ROUNDUP(Ld_cal($B54, $C54, $D54, $G54,$E54, $F54, $H54, Z$3)*1.3,0)),"-")</f>
        <v>-</v>
      </c>
      <c r="AA55" s="44" t="str">
        <f>IF($J55=AA$3,IF(AA$3&gt;$I54,"-",ROUNDUP(Ld_cal($B54, $C54, $D54, $G54,$E54, $F54, $H54, AA$3)*1.3,0)),"-")</f>
        <v>-</v>
      </c>
      <c r="AB55" s="44" t="str">
        <f>IF($J55=AB$3,IF(AB$3&gt;$I54,"-",ROUNDUP(Ld_cal($B54, $C54, $D54, $G54,$E54, $F54, $H54, AB$3)*1.3,0)),"-")</f>
        <v>-</v>
      </c>
      <c r="AC55" s="44" t="str">
        <f>IF($J55=AC$3,IF(AC$3&gt;$I54,"-",ROUNDUP(Ld_cal($B54, $C54, $D54, $G54,$E54, $F54, $H54, AC$3)*1.3,0)),"-")</f>
        <v>-</v>
      </c>
      <c r="AD55" s="46">
        <f t="shared" ref="AD55" si="49">IF(J55&gt;I54,"依標準圖",MAX(L55:AC55))</f>
        <v>105</v>
      </c>
    </row>
    <row r="56" spans="1:30">
      <c r="A56" s="112" t="s">
        <v>59</v>
      </c>
      <c r="B56" s="107">
        <v>120</v>
      </c>
      <c r="C56" s="108">
        <v>7.5</v>
      </c>
      <c r="D56" s="107">
        <v>4200</v>
      </c>
      <c r="E56" s="109">
        <v>16</v>
      </c>
      <c r="F56" s="110">
        <v>10</v>
      </c>
      <c r="G56" s="107">
        <v>350</v>
      </c>
      <c r="H56" s="109">
        <v>32</v>
      </c>
      <c r="I56" s="111">
        <f>ROUNDDOWN(($B56-2*$C56-2*$E56/10-$H56/10)/(($D$1+1)*$H56/10),0)+1</f>
        <v>16</v>
      </c>
      <c r="J56" s="39">
        <v>6</v>
      </c>
      <c r="K56" s="40" t="s">
        <v>30</v>
      </c>
      <c r="L56" s="41" t="str">
        <f>IF($J56=L$3,IF(L$3&gt;$I56,"-",ROUNDUP(Ld_cal($B56, $C56, $D56, $G56,$E56, $F56, $H56, L$3)*1.3*1.3,0)),"-")</f>
        <v>-</v>
      </c>
      <c r="M56" s="41" t="str">
        <f>IF($J56=M$3,IF(M$3&gt;$I56,"-",ROUNDUP(Ld_cal($B56, $C56, $D56, $G56,$E56, $F56, $H56, M$3)*1.3*1.3,0)),"-")</f>
        <v>-</v>
      </c>
      <c r="N56" s="41" t="str">
        <f>IF($J56=N$3,IF(N$3&gt;$I56,"-",ROUNDUP(Ld_cal($B56, $C56, $D56, $G56,$E56, $F56, $H56, N$3)*1.3*1.3,0)),"-")</f>
        <v>-</v>
      </c>
      <c r="O56" s="41">
        <f>IF($J56=O$3,IF(O$3&gt;$I56,"-",ROUNDUP(Ld_cal($B56, $C56, $D56, $G56,$E56, $F56, $H56, O$3)*1.3*1.3,0)),"-")</f>
        <v>136</v>
      </c>
      <c r="P56" s="41" t="str">
        <f>IF($J56=P$3,IF(P$3&gt;$I56,"-",ROUNDUP(Ld_cal($B56, $C56, $D56, $G56,$E56, $F56, $H56, P$3)*1.3*1.3,0)),"-")</f>
        <v>-</v>
      </c>
      <c r="Q56" s="41" t="str">
        <f>IF($J56=Q$3,IF(Q$3&gt;$I56,"-",ROUNDUP(Ld_cal($B56, $C56, $D56, $G56,$E56, $F56, $H56, Q$3)*1.3*1.3,0)),"-")</f>
        <v>-</v>
      </c>
      <c r="R56" s="41" t="str">
        <f>IF($J56=R$3,IF(R$3&gt;$I56,"-",ROUNDUP(Ld_cal($B56, $C56, $D56, $G56,$E56, $F56, $H56, R$3)*1.3*1.3,0)),"-")</f>
        <v>-</v>
      </c>
      <c r="S56" s="41" t="str">
        <f>IF($J56=S$3,IF(S$3&gt;$I56,"-",ROUNDUP(Ld_cal($B56, $C56, $D56, $G56,$E56, $F56, $H56, S$3)*1.3*1.3,0)),"-")</f>
        <v>-</v>
      </c>
      <c r="T56" s="41" t="str">
        <f>IF($J56=T$3,IF(T$3&gt;$I56,"-",ROUNDUP(Ld_cal($B56, $C56, $D56, $G56,$E56, $F56, $H56, T$3)*1.3*1.3,0)),"-")</f>
        <v>-</v>
      </c>
      <c r="U56" s="41" t="str">
        <f>IF($J56=U$3,IF(U$3&gt;$I56,"-",ROUNDUP(Ld_cal($B56, $C56, $D56, $G56,$E56, $F56, $H56, U$3)*1.3*1.3,0)),"-")</f>
        <v>-</v>
      </c>
      <c r="V56" s="41" t="str">
        <f>IF($J56=V$3,IF(V$3&gt;$I56,"-",ROUNDUP(Ld_cal($B56, $C56, $D56, $G56,$E56, $F56, $H56, V$3)*1.3*1.3,0)),"-")</f>
        <v>-</v>
      </c>
      <c r="W56" s="41" t="str">
        <f>IF($J56=W$3,IF(W$3&gt;$I56,"-",ROUNDUP(Ld_cal($B56, $C56, $D56, $G56,$E56, $F56, $H56, W$3)*1.3*1.3,0)),"-")</f>
        <v>-</v>
      </c>
      <c r="X56" s="41" t="str">
        <f>IF($J56=X$3,IF(X$3&gt;$I56,"-",ROUNDUP(Ld_cal($B56, $C56, $D56, $G56,$E56, $F56, $H56, X$3)*1.3*1.3,0)),"-")</f>
        <v>-</v>
      </c>
      <c r="Y56" s="41" t="str">
        <f>IF($J56=Y$3,IF(Y$3&gt;$I56,"-",ROUNDUP(Ld_cal($B56, $C56, $D56, $G56,$E56, $F56, $H56, Y$3)*1.3*1.3,0)),"-")</f>
        <v>-</v>
      </c>
      <c r="Z56" s="41" t="str">
        <f>IF($J56=Z$3,IF(Z$3&gt;$I56,"-",ROUNDUP(Ld_cal($B56, $C56, $D56, $G56,$E56, $F56, $H56, Z$3)*1.3*1.3,0)),"-")</f>
        <v>-</v>
      </c>
      <c r="AA56" s="41" t="str">
        <f>IF($J56=AA$3,IF(AA$3&gt;$I56,"-",ROUNDUP(Ld_cal($B56, $C56, $D56, $G56,$E56, $F56, $H56, AA$3)*1.3*1.3,0)),"-")</f>
        <v>-</v>
      </c>
      <c r="AB56" s="41" t="str">
        <f>IF($J56=AB$3,IF(AB$3&gt;$I56,"-",ROUNDUP(Ld_cal($B56, $C56, $D56, $G56,$E56, $F56, $H56, AB$3)*1.3*1.3,0)),"-")</f>
        <v>-</v>
      </c>
      <c r="AC56" s="41" t="str">
        <f>IF($J56=AC$3,IF(AC$3&gt;$I56,"-",ROUNDUP(Ld_cal($B56, $C56, $D56, $G56,$E56, $F56, $H56, AC$3)*1.3*1.3,0)),"-")</f>
        <v>-</v>
      </c>
      <c r="AD56" s="47">
        <f t="shared" ref="AD56" si="50">IF(J56&gt;I56,"依標準圖",MAX(L56:AC56))</f>
        <v>136</v>
      </c>
    </row>
    <row r="57" spans="1:30">
      <c r="A57" s="112"/>
      <c r="B57" s="107"/>
      <c r="C57" s="108"/>
      <c r="D57" s="107"/>
      <c r="E57" s="109"/>
      <c r="F57" s="110"/>
      <c r="G57" s="107"/>
      <c r="H57" s="109"/>
      <c r="I57" s="111"/>
      <c r="J57" s="39">
        <v>5</v>
      </c>
      <c r="K57" s="40" t="s">
        <v>29</v>
      </c>
      <c r="L57" s="41" t="str">
        <f>IF($J57=L$3,IF(L$3&gt;$I56,"-",ROUNDUP(Ld_cal($B56, $C56, $D56, $G56,$E56, $F56, $H56, L$3)*1.3,0)),"-")</f>
        <v>-</v>
      </c>
      <c r="M57" s="41" t="str">
        <f>IF($J57=M$3,IF(M$3&gt;$I56,"-",ROUNDUP(Ld_cal($B56, $C56, $D56, $G56,$E56, $F56, $H56, M$3)*1.3,0)),"-")</f>
        <v>-</v>
      </c>
      <c r="N57" s="41">
        <f>IF($J57=N$3,IF(N$3&gt;$I56,"-",ROUNDUP(Ld_cal($B56, $C56, $D56, $G56,$E56, $F56, $H56, N$3)*1.3,0)),"-")</f>
        <v>105</v>
      </c>
      <c r="O57" s="41" t="str">
        <f>IF($J57=O$3,IF(O$3&gt;$I56,"-",ROUNDUP(Ld_cal($B56, $C56, $D56, $G56,$E56, $F56, $H56, O$3)*1.3,0)),"-")</f>
        <v>-</v>
      </c>
      <c r="P57" s="41" t="str">
        <f>IF($J57=P$3,IF(P$3&gt;$I56,"-",ROUNDUP(Ld_cal($B56, $C56, $D56, $G56,$E56, $F56, $H56, P$3)*1.3,0)),"-")</f>
        <v>-</v>
      </c>
      <c r="Q57" s="41" t="str">
        <f>IF($J57=Q$3,IF(Q$3&gt;$I56,"-",ROUNDUP(Ld_cal($B56, $C56, $D56, $G56,$E56, $F56, $H56, Q$3)*1.3,0)),"-")</f>
        <v>-</v>
      </c>
      <c r="R57" s="41" t="str">
        <f>IF($J57=R$3,IF(R$3&gt;$I56,"-",ROUNDUP(Ld_cal($B56, $C56, $D56, $G56,$E56, $F56, $H56, R$3)*1.3,0)),"-")</f>
        <v>-</v>
      </c>
      <c r="S57" s="41" t="str">
        <f>IF($J57=S$3,IF(S$3&gt;$I56,"-",ROUNDUP(Ld_cal($B56, $C56, $D56, $G56,$E56, $F56, $H56, S$3)*1.3,0)),"-")</f>
        <v>-</v>
      </c>
      <c r="T57" s="41" t="str">
        <f>IF($J57=T$3,IF(T$3&gt;$I56,"-",ROUNDUP(Ld_cal($B56, $C56, $D56, $G56,$E56, $F56, $H56, T$3)*1.3,0)),"-")</f>
        <v>-</v>
      </c>
      <c r="U57" s="41" t="str">
        <f>IF($J57=U$3,IF(U$3&gt;$I56,"-",ROUNDUP(Ld_cal($B56, $C56, $D56, $G56,$E56, $F56, $H56, U$3)*1.3,0)),"-")</f>
        <v>-</v>
      </c>
      <c r="V57" s="41" t="str">
        <f>IF($J57=V$3,IF(V$3&gt;$I56,"-",ROUNDUP(Ld_cal($B56, $C56, $D56, $G56,$E56, $F56, $H56, V$3)*1.3,0)),"-")</f>
        <v>-</v>
      </c>
      <c r="W57" s="41" t="str">
        <f>IF($J57=W$3,IF(W$3&gt;$I56,"-",ROUNDUP(Ld_cal($B56, $C56, $D56, $G56,$E56, $F56, $H56, W$3)*1.3,0)),"-")</f>
        <v>-</v>
      </c>
      <c r="X57" s="41" t="str">
        <f>IF($J57=X$3,IF(X$3&gt;$I56,"-",ROUNDUP(Ld_cal($B56, $C56, $D56, $G56,$E56, $F56, $H56, X$3)*1.3,0)),"-")</f>
        <v>-</v>
      </c>
      <c r="Y57" s="41" t="str">
        <f>IF($J57=Y$3,IF(Y$3&gt;$I56,"-",ROUNDUP(Ld_cal($B56, $C56, $D56, $G56,$E56, $F56, $H56, Y$3)*1.3,0)),"-")</f>
        <v>-</v>
      </c>
      <c r="Z57" s="41" t="str">
        <f>IF($J57=Z$3,IF(Z$3&gt;$I56,"-",ROUNDUP(Ld_cal($B56, $C56, $D56, $G56,$E56, $F56, $H56, Z$3)*1.3,0)),"-")</f>
        <v>-</v>
      </c>
      <c r="AA57" s="41" t="str">
        <f>IF($J57=AA$3,IF(AA$3&gt;$I56,"-",ROUNDUP(Ld_cal($B56, $C56, $D56, $G56,$E56, $F56, $H56, AA$3)*1.3,0)),"-")</f>
        <v>-</v>
      </c>
      <c r="AB57" s="41" t="str">
        <f>IF($J57=AB$3,IF(AB$3&gt;$I56,"-",ROUNDUP(Ld_cal($B56, $C56, $D56, $G56,$E56, $F56, $H56, AB$3)*1.3,0)),"-")</f>
        <v>-</v>
      </c>
      <c r="AC57" s="41" t="str">
        <f>IF($J57=AC$3,IF(AC$3&gt;$I56,"-",ROUNDUP(Ld_cal($B56, $C56, $D56, $G56,$E56, $F56, $H56, AC$3)*1.3,0)),"-")</f>
        <v>-</v>
      </c>
      <c r="AD57" s="47">
        <f t="shared" ref="AD57" si="51">IF(J57&gt;I56,"依標準圖",MAX(L57:AC57))</f>
        <v>105</v>
      </c>
    </row>
    <row r="58" spans="1:30" s="45" customFormat="1">
      <c r="A58" s="113" t="s">
        <v>60</v>
      </c>
      <c r="B58" s="99">
        <v>120</v>
      </c>
      <c r="C58" s="114">
        <v>7.5</v>
      </c>
      <c r="D58" s="99">
        <v>4200</v>
      </c>
      <c r="E58" s="102">
        <v>16</v>
      </c>
      <c r="F58" s="103">
        <v>10</v>
      </c>
      <c r="G58" s="99">
        <v>350</v>
      </c>
      <c r="H58" s="102">
        <v>32</v>
      </c>
      <c r="I58" s="104">
        <f>ROUNDDOWN(($B58-2*$C58-2*$E58/10-$H58/10)/(($D$1+1)*$H58/10),0)+1</f>
        <v>16</v>
      </c>
      <c r="J58" s="42">
        <v>5</v>
      </c>
      <c r="K58" s="43" t="s">
        <v>30</v>
      </c>
      <c r="L58" s="44" t="str">
        <f>IF($J58=L$3,IF(L$3&gt;$I58,"-",ROUNDUP(Ld_cal($B58, $C58, $D58, $G58,$E58, $F58, $H58, L$3)*1.3*1.3,0)),"-")</f>
        <v>-</v>
      </c>
      <c r="M58" s="44" t="str">
        <f>IF($J58=M$3,IF(M$3&gt;$I58,"-",ROUNDUP(Ld_cal($B58, $C58, $D58, $G58,$E58, $F58, $H58, M$3)*1.3*1.3,0)),"-")</f>
        <v>-</v>
      </c>
      <c r="N58" s="44">
        <f>IF($J58=N$3,IF(N$3&gt;$I58,"-",ROUNDUP(Ld_cal($B58, $C58, $D58, $G58,$E58, $F58, $H58, N$3)*1.3*1.3,0)),"-")</f>
        <v>136</v>
      </c>
      <c r="O58" s="44" t="str">
        <f>IF($J58=O$3,IF(O$3&gt;$I58,"-",ROUNDUP(Ld_cal($B58, $C58, $D58, $G58,$E58, $F58, $H58, O$3)*1.3*1.3,0)),"-")</f>
        <v>-</v>
      </c>
      <c r="P58" s="44" t="str">
        <f>IF($J58=P$3,IF(P$3&gt;$I58,"-",ROUNDUP(Ld_cal($B58, $C58, $D58, $G58,$E58, $F58, $H58, P$3)*1.3*1.3,0)),"-")</f>
        <v>-</v>
      </c>
      <c r="Q58" s="44" t="str">
        <f>IF($J58=Q$3,IF(Q$3&gt;$I58,"-",ROUNDUP(Ld_cal($B58, $C58, $D58, $G58,$E58, $F58, $H58, Q$3)*1.3*1.3,0)),"-")</f>
        <v>-</v>
      </c>
      <c r="R58" s="44" t="str">
        <f>IF($J58=R$3,IF(R$3&gt;$I58,"-",ROUNDUP(Ld_cal($B58, $C58, $D58, $G58,$E58, $F58, $H58, R$3)*1.3*1.3,0)),"-")</f>
        <v>-</v>
      </c>
      <c r="S58" s="44" t="str">
        <f>IF($J58=S$3,IF(S$3&gt;$I58,"-",ROUNDUP(Ld_cal($B58, $C58, $D58, $G58,$E58, $F58, $H58, S$3)*1.3*1.3,0)),"-")</f>
        <v>-</v>
      </c>
      <c r="T58" s="44" t="str">
        <f>IF($J58=T$3,IF(T$3&gt;$I58,"-",ROUNDUP(Ld_cal($B58, $C58, $D58, $G58,$E58, $F58, $H58, T$3)*1.3*1.3,0)),"-")</f>
        <v>-</v>
      </c>
      <c r="U58" s="44" t="str">
        <f>IF($J58=U$3,IF(U$3&gt;$I58,"-",ROUNDUP(Ld_cal($B58, $C58, $D58, $G58,$E58, $F58, $H58, U$3)*1.3*1.3,0)),"-")</f>
        <v>-</v>
      </c>
      <c r="V58" s="44" t="str">
        <f>IF($J58=V$3,IF(V$3&gt;$I58,"-",ROUNDUP(Ld_cal($B58, $C58, $D58, $G58,$E58, $F58, $H58, V$3)*1.3*1.3,0)),"-")</f>
        <v>-</v>
      </c>
      <c r="W58" s="44" t="str">
        <f>IF($J58=W$3,IF(W$3&gt;$I58,"-",ROUNDUP(Ld_cal($B58, $C58, $D58, $G58,$E58, $F58, $H58, W$3)*1.3*1.3,0)),"-")</f>
        <v>-</v>
      </c>
      <c r="X58" s="44" t="str">
        <f>IF($J58=X$3,IF(X$3&gt;$I58,"-",ROUNDUP(Ld_cal($B58, $C58, $D58, $G58,$E58, $F58, $H58, X$3)*1.3*1.3,0)),"-")</f>
        <v>-</v>
      </c>
      <c r="Y58" s="44" t="str">
        <f>IF($J58=Y$3,IF(Y$3&gt;$I58,"-",ROUNDUP(Ld_cal($B58, $C58, $D58, $G58,$E58, $F58, $H58, Y$3)*1.3*1.3,0)),"-")</f>
        <v>-</v>
      </c>
      <c r="Z58" s="44" t="str">
        <f>IF($J58=Z$3,IF(Z$3&gt;$I58,"-",ROUNDUP(Ld_cal($B58, $C58, $D58, $G58,$E58, $F58, $H58, Z$3)*1.3*1.3,0)),"-")</f>
        <v>-</v>
      </c>
      <c r="AA58" s="44" t="str">
        <f>IF($J58=AA$3,IF(AA$3&gt;$I58,"-",ROUNDUP(Ld_cal($B58, $C58, $D58, $G58,$E58, $F58, $H58, AA$3)*1.3*1.3,0)),"-")</f>
        <v>-</v>
      </c>
      <c r="AB58" s="44" t="str">
        <f>IF($J58=AB$3,IF(AB$3&gt;$I58,"-",ROUNDUP(Ld_cal($B58, $C58, $D58, $G58,$E58, $F58, $H58, AB$3)*1.3*1.3,0)),"-")</f>
        <v>-</v>
      </c>
      <c r="AC58" s="44" t="str">
        <f>IF($J58=AC$3,IF(AC$3&gt;$I58,"-",ROUNDUP(Ld_cal($B58, $C58, $D58, $G58,$E58, $F58, $H58, AC$3)*1.3*1.3,0)),"-")</f>
        <v>-</v>
      </c>
      <c r="AD58" s="46">
        <f t="shared" ref="AD58" si="52">IF(J58&gt;I58,"依標準圖",MAX(L58:AC58))</f>
        <v>136</v>
      </c>
    </row>
    <row r="59" spans="1:30" s="45" customFormat="1">
      <c r="A59" s="113"/>
      <c r="B59" s="99"/>
      <c r="C59" s="114"/>
      <c r="D59" s="99"/>
      <c r="E59" s="102"/>
      <c r="F59" s="103"/>
      <c r="G59" s="99"/>
      <c r="H59" s="102"/>
      <c r="I59" s="104"/>
      <c r="J59" s="42">
        <v>7</v>
      </c>
      <c r="K59" s="43" t="s">
        <v>29</v>
      </c>
      <c r="L59" s="44" t="str">
        <f>IF($J59=L$3,IF(L$3&gt;$I58,"-",ROUNDUP(Ld_cal($B58, $C58, $D58, $G58,$E58, $F58, $H58, L$3)*1.3,0)),"-")</f>
        <v>-</v>
      </c>
      <c r="M59" s="44" t="str">
        <f>IF($J59=M$3,IF(M$3&gt;$I58,"-",ROUNDUP(Ld_cal($B58, $C58, $D58, $G58,$E58, $F58, $H58, M$3)*1.3,0)),"-")</f>
        <v>-</v>
      </c>
      <c r="N59" s="44" t="str">
        <f>IF($J59=N$3,IF(N$3&gt;$I58,"-",ROUNDUP(Ld_cal($B58, $C58, $D58, $G58,$E58, $F58, $H58, N$3)*1.3,0)),"-")</f>
        <v>-</v>
      </c>
      <c r="O59" s="44" t="str">
        <f>IF($J59=O$3,IF(O$3&gt;$I58,"-",ROUNDUP(Ld_cal($B58, $C58, $D58, $G58,$E58, $F58, $H58, O$3)*1.3,0)),"-")</f>
        <v>-</v>
      </c>
      <c r="P59" s="44">
        <f>IF($J59=P$3,IF(P$3&gt;$I58,"-",ROUNDUP(Ld_cal($B58, $C58, $D58, $G58,$E58, $F58, $H58, P$3)*1.3,0)),"-")</f>
        <v>105</v>
      </c>
      <c r="Q59" s="44" t="str">
        <f>IF($J59=Q$3,IF(Q$3&gt;$I58,"-",ROUNDUP(Ld_cal($B58, $C58, $D58, $G58,$E58, $F58, $H58, Q$3)*1.3,0)),"-")</f>
        <v>-</v>
      </c>
      <c r="R59" s="44" t="str">
        <f>IF($J59=R$3,IF(R$3&gt;$I58,"-",ROUNDUP(Ld_cal($B58, $C58, $D58, $G58,$E58, $F58, $H58, R$3)*1.3,0)),"-")</f>
        <v>-</v>
      </c>
      <c r="S59" s="44" t="str">
        <f>IF($J59=S$3,IF(S$3&gt;$I58,"-",ROUNDUP(Ld_cal($B58, $C58, $D58, $G58,$E58, $F58, $H58, S$3)*1.3,0)),"-")</f>
        <v>-</v>
      </c>
      <c r="T59" s="44" t="str">
        <f>IF($J59=T$3,IF(T$3&gt;$I58,"-",ROUNDUP(Ld_cal($B58, $C58, $D58, $G58,$E58, $F58, $H58, T$3)*1.3,0)),"-")</f>
        <v>-</v>
      </c>
      <c r="U59" s="44" t="str">
        <f>IF($J59=U$3,IF(U$3&gt;$I58,"-",ROUNDUP(Ld_cal($B58, $C58, $D58, $G58,$E58, $F58, $H58, U$3)*1.3,0)),"-")</f>
        <v>-</v>
      </c>
      <c r="V59" s="44" t="str">
        <f>IF($J59=V$3,IF(V$3&gt;$I58,"-",ROUNDUP(Ld_cal($B58, $C58, $D58, $G58,$E58, $F58, $H58, V$3)*1.3,0)),"-")</f>
        <v>-</v>
      </c>
      <c r="W59" s="44" t="str">
        <f>IF($J59=W$3,IF(W$3&gt;$I58,"-",ROUNDUP(Ld_cal($B58, $C58, $D58, $G58,$E58, $F58, $H58, W$3)*1.3,0)),"-")</f>
        <v>-</v>
      </c>
      <c r="X59" s="44" t="str">
        <f>IF($J59=X$3,IF(X$3&gt;$I58,"-",ROUNDUP(Ld_cal($B58, $C58, $D58, $G58,$E58, $F58, $H58, X$3)*1.3,0)),"-")</f>
        <v>-</v>
      </c>
      <c r="Y59" s="44" t="str">
        <f>IF($J59=Y$3,IF(Y$3&gt;$I58,"-",ROUNDUP(Ld_cal($B58, $C58, $D58, $G58,$E58, $F58, $H58, Y$3)*1.3,0)),"-")</f>
        <v>-</v>
      </c>
      <c r="Z59" s="44" t="str">
        <f>IF($J59=Z$3,IF(Z$3&gt;$I58,"-",ROUNDUP(Ld_cal($B58, $C58, $D58, $G58,$E58, $F58, $H58, Z$3)*1.3,0)),"-")</f>
        <v>-</v>
      </c>
      <c r="AA59" s="44" t="str">
        <f>IF($J59=AA$3,IF(AA$3&gt;$I58,"-",ROUNDUP(Ld_cal($B58, $C58, $D58, $G58,$E58, $F58, $H58, AA$3)*1.3,0)),"-")</f>
        <v>-</v>
      </c>
      <c r="AB59" s="44" t="str">
        <f>IF($J59=AB$3,IF(AB$3&gt;$I58,"-",ROUNDUP(Ld_cal($B58, $C58, $D58, $G58,$E58, $F58, $H58, AB$3)*1.3,0)),"-")</f>
        <v>-</v>
      </c>
      <c r="AC59" s="44" t="str">
        <f>IF($J59=AC$3,IF(AC$3&gt;$I58,"-",ROUNDUP(Ld_cal($B58, $C58, $D58, $G58,$E58, $F58, $H58, AC$3)*1.3,0)),"-")</f>
        <v>-</v>
      </c>
      <c r="AD59" s="46">
        <f t="shared" ref="AD59" si="53">IF(J59&gt;I58,"依標準圖",MAX(L59:AC59))</f>
        <v>105</v>
      </c>
    </row>
    <row r="60" spans="1:30">
      <c r="A60" s="112" t="s">
        <v>61</v>
      </c>
      <c r="B60" s="107">
        <v>120</v>
      </c>
      <c r="C60" s="108">
        <v>7.5</v>
      </c>
      <c r="D60" s="107">
        <v>4200</v>
      </c>
      <c r="E60" s="109">
        <v>13</v>
      </c>
      <c r="F60" s="110">
        <v>10</v>
      </c>
      <c r="G60" s="107">
        <v>350</v>
      </c>
      <c r="H60" s="109">
        <v>32</v>
      </c>
      <c r="I60" s="111">
        <f>ROUNDDOWN(($B60-2*$C60-2*$E60/10-$H60/10)/(($D$1+1)*$H60/10),0)+1</f>
        <v>16</v>
      </c>
      <c r="J60" s="39">
        <v>5</v>
      </c>
      <c r="K60" s="40" t="s">
        <v>30</v>
      </c>
      <c r="L60" s="41" t="str">
        <f>IF($J60=L$3,IF(L$3&gt;$I60,"-",ROUNDUP(Ld_cal($B60, $C60, $D60, $G60,$E60, $F60, $H60, L$3)*1.3*1.3,0)),"-")</f>
        <v>-</v>
      </c>
      <c r="M60" s="41" t="str">
        <f>IF($J60=M$3,IF(M$3&gt;$I60,"-",ROUNDUP(Ld_cal($B60, $C60, $D60, $G60,$E60, $F60, $H60, M$3)*1.3*1.3,0)),"-")</f>
        <v>-</v>
      </c>
      <c r="N60" s="41">
        <f>IF($J60=N$3,IF(N$3&gt;$I60,"-",ROUNDUP(Ld_cal($B60, $C60, $D60, $G60,$E60, $F60, $H60, N$3)*1.3*1.3,0)),"-")</f>
        <v>136</v>
      </c>
      <c r="O60" s="41" t="str">
        <f>IF($J60=O$3,IF(O$3&gt;$I60,"-",ROUNDUP(Ld_cal($B60, $C60, $D60, $G60,$E60, $F60, $H60, O$3)*1.3*1.3,0)),"-")</f>
        <v>-</v>
      </c>
      <c r="P60" s="41" t="str">
        <f>IF($J60=P$3,IF(P$3&gt;$I60,"-",ROUNDUP(Ld_cal($B60, $C60, $D60, $G60,$E60, $F60, $H60, P$3)*1.3*1.3,0)),"-")</f>
        <v>-</v>
      </c>
      <c r="Q60" s="41" t="str">
        <f>IF($J60=Q$3,IF(Q$3&gt;$I60,"-",ROUNDUP(Ld_cal($B60, $C60, $D60, $G60,$E60, $F60, $H60, Q$3)*1.3*1.3,0)),"-")</f>
        <v>-</v>
      </c>
      <c r="R60" s="41" t="str">
        <f>IF($J60=R$3,IF(R$3&gt;$I60,"-",ROUNDUP(Ld_cal($B60, $C60, $D60, $G60,$E60, $F60, $H60, R$3)*1.3*1.3,0)),"-")</f>
        <v>-</v>
      </c>
      <c r="S60" s="41" t="str">
        <f>IF($J60=S$3,IF(S$3&gt;$I60,"-",ROUNDUP(Ld_cal($B60, $C60, $D60, $G60,$E60, $F60, $H60, S$3)*1.3*1.3,0)),"-")</f>
        <v>-</v>
      </c>
      <c r="T60" s="41" t="str">
        <f>IF($J60=T$3,IF(T$3&gt;$I60,"-",ROUNDUP(Ld_cal($B60, $C60, $D60, $G60,$E60, $F60, $H60, T$3)*1.3*1.3,0)),"-")</f>
        <v>-</v>
      </c>
      <c r="U60" s="41" t="str">
        <f>IF($J60=U$3,IF(U$3&gt;$I60,"-",ROUNDUP(Ld_cal($B60, $C60, $D60, $G60,$E60, $F60, $H60, U$3)*1.3*1.3,0)),"-")</f>
        <v>-</v>
      </c>
      <c r="V60" s="41" t="str">
        <f>IF($J60=V$3,IF(V$3&gt;$I60,"-",ROUNDUP(Ld_cal($B60, $C60, $D60, $G60,$E60, $F60, $H60, V$3)*1.3*1.3,0)),"-")</f>
        <v>-</v>
      </c>
      <c r="W60" s="41" t="str">
        <f>IF($J60=W$3,IF(W$3&gt;$I60,"-",ROUNDUP(Ld_cal($B60, $C60, $D60, $G60,$E60, $F60, $H60, W$3)*1.3*1.3,0)),"-")</f>
        <v>-</v>
      </c>
      <c r="X60" s="41" t="str">
        <f>IF($J60=X$3,IF(X$3&gt;$I60,"-",ROUNDUP(Ld_cal($B60, $C60, $D60, $G60,$E60, $F60, $H60, X$3)*1.3*1.3,0)),"-")</f>
        <v>-</v>
      </c>
      <c r="Y60" s="41" t="str">
        <f>IF($J60=Y$3,IF(Y$3&gt;$I60,"-",ROUNDUP(Ld_cal($B60, $C60, $D60, $G60,$E60, $F60, $H60, Y$3)*1.3*1.3,0)),"-")</f>
        <v>-</v>
      </c>
      <c r="Z60" s="41" t="str">
        <f>IF($J60=Z$3,IF(Z$3&gt;$I60,"-",ROUNDUP(Ld_cal($B60, $C60, $D60, $G60,$E60, $F60, $H60, Z$3)*1.3*1.3,0)),"-")</f>
        <v>-</v>
      </c>
      <c r="AA60" s="41" t="str">
        <f>IF($J60=AA$3,IF(AA$3&gt;$I60,"-",ROUNDUP(Ld_cal($B60, $C60, $D60, $G60,$E60, $F60, $H60, AA$3)*1.3*1.3,0)),"-")</f>
        <v>-</v>
      </c>
      <c r="AB60" s="41" t="str">
        <f>IF($J60=AB$3,IF(AB$3&gt;$I60,"-",ROUNDUP(Ld_cal($B60, $C60, $D60, $G60,$E60, $F60, $H60, AB$3)*1.3*1.3,0)),"-")</f>
        <v>-</v>
      </c>
      <c r="AC60" s="41" t="str">
        <f>IF($J60=AC$3,IF(AC$3&gt;$I60,"-",ROUNDUP(Ld_cal($B60, $C60, $D60, $G60,$E60, $F60, $H60, AC$3)*1.3*1.3,0)),"-")</f>
        <v>-</v>
      </c>
      <c r="AD60" s="47">
        <f t="shared" ref="AD60" si="54">IF(J60&gt;I60,"依標準圖",MAX(L60:AC60))</f>
        <v>136</v>
      </c>
    </row>
    <row r="61" spans="1:30">
      <c r="A61" s="112"/>
      <c r="B61" s="107"/>
      <c r="C61" s="108"/>
      <c r="D61" s="107"/>
      <c r="E61" s="109"/>
      <c r="F61" s="110"/>
      <c r="G61" s="107"/>
      <c r="H61" s="109"/>
      <c r="I61" s="111"/>
      <c r="J61" s="39">
        <v>5</v>
      </c>
      <c r="K61" s="40" t="s">
        <v>29</v>
      </c>
      <c r="L61" s="41" t="str">
        <f>IF($J61=L$3,IF(L$3&gt;$I60,"-",ROUNDUP(Ld_cal($B60, $C60, $D60, $G60,$E60, $F60, $H60, L$3)*1.3,0)),"-")</f>
        <v>-</v>
      </c>
      <c r="M61" s="41" t="str">
        <f>IF($J61=M$3,IF(M$3&gt;$I60,"-",ROUNDUP(Ld_cal($B60, $C60, $D60, $G60,$E60, $F60, $H60, M$3)*1.3,0)),"-")</f>
        <v>-</v>
      </c>
      <c r="N61" s="41">
        <f>IF($J61=N$3,IF(N$3&gt;$I60,"-",ROUNDUP(Ld_cal($B60, $C60, $D60, $G60,$E60, $F60, $H60, N$3)*1.3,0)),"-")</f>
        <v>105</v>
      </c>
      <c r="O61" s="41" t="str">
        <f>IF($J61=O$3,IF(O$3&gt;$I60,"-",ROUNDUP(Ld_cal($B60, $C60, $D60, $G60,$E60, $F60, $H60, O$3)*1.3,0)),"-")</f>
        <v>-</v>
      </c>
      <c r="P61" s="41" t="str">
        <f>IF($J61=P$3,IF(P$3&gt;$I60,"-",ROUNDUP(Ld_cal($B60, $C60, $D60, $G60,$E60, $F60, $H60, P$3)*1.3,0)),"-")</f>
        <v>-</v>
      </c>
      <c r="Q61" s="41" t="str">
        <f>IF($J61=Q$3,IF(Q$3&gt;$I60,"-",ROUNDUP(Ld_cal($B60, $C60, $D60, $G60,$E60, $F60, $H60, Q$3)*1.3,0)),"-")</f>
        <v>-</v>
      </c>
      <c r="R61" s="41" t="str">
        <f>IF($J61=R$3,IF(R$3&gt;$I60,"-",ROUNDUP(Ld_cal($B60, $C60, $D60, $G60,$E60, $F60, $H60, R$3)*1.3,0)),"-")</f>
        <v>-</v>
      </c>
      <c r="S61" s="41" t="str">
        <f>IF($J61=S$3,IF(S$3&gt;$I60,"-",ROUNDUP(Ld_cal($B60, $C60, $D60, $G60,$E60, $F60, $H60, S$3)*1.3,0)),"-")</f>
        <v>-</v>
      </c>
      <c r="T61" s="41" t="str">
        <f>IF($J61=T$3,IF(T$3&gt;$I60,"-",ROUNDUP(Ld_cal($B60, $C60, $D60, $G60,$E60, $F60, $H60, T$3)*1.3,0)),"-")</f>
        <v>-</v>
      </c>
      <c r="U61" s="41" t="str">
        <f>IF($J61=U$3,IF(U$3&gt;$I60,"-",ROUNDUP(Ld_cal($B60, $C60, $D60, $G60,$E60, $F60, $H60, U$3)*1.3,0)),"-")</f>
        <v>-</v>
      </c>
      <c r="V61" s="41" t="str">
        <f>IF($J61=V$3,IF(V$3&gt;$I60,"-",ROUNDUP(Ld_cal($B60, $C60, $D60, $G60,$E60, $F60, $H60, V$3)*1.3,0)),"-")</f>
        <v>-</v>
      </c>
      <c r="W61" s="41" t="str">
        <f>IF($J61=W$3,IF(W$3&gt;$I60,"-",ROUNDUP(Ld_cal($B60, $C60, $D60, $G60,$E60, $F60, $H60, W$3)*1.3,0)),"-")</f>
        <v>-</v>
      </c>
      <c r="X61" s="41" t="str">
        <f>IF($J61=X$3,IF(X$3&gt;$I60,"-",ROUNDUP(Ld_cal($B60, $C60, $D60, $G60,$E60, $F60, $H60, X$3)*1.3,0)),"-")</f>
        <v>-</v>
      </c>
      <c r="Y61" s="41" t="str">
        <f>IF($J61=Y$3,IF(Y$3&gt;$I60,"-",ROUNDUP(Ld_cal($B60, $C60, $D60, $G60,$E60, $F60, $H60, Y$3)*1.3,0)),"-")</f>
        <v>-</v>
      </c>
      <c r="Z61" s="41" t="str">
        <f>IF($J61=Z$3,IF(Z$3&gt;$I60,"-",ROUNDUP(Ld_cal($B60, $C60, $D60, $G60,$E60, $F60, $H60, Z$3)*1.3,0)),"-")</f>
        <v>-</v>
      </c>
      <c r="AA61" s="41" t="str">
        <f>IF($J61=AA$3,IF(AA$3&gt;$I60,"-",ROUNDUP(Ld_cal($B60, $C60, $D60, $G60,$E60, $F60, $H60, AA$3)*1.3,0)),"-")</f>
        <v>-</v>
      </c>
      <c r="AB61" s="41" t="str">
        <f>IF($J61=AB$3,IF(AB$3&gt;$I60,"-",ROUNDUP(Ld_cal($B60, $C60, $D60, $G60,$E60, $F60, $H60, AB$3)*1.3,0)),"-")</f>
        <v>-</v>
      </c>
      <c r="AC61" s="41" t="str">
        <f>IF($J61=AC$3,IF(AC$3&gt;$I60,"-",ROUNDUP(Ld_cal($B60, $C60, $D60, $G60,$E60, $F60, $H60, AC$3)*1.3,0)),"-")</f>
        <v>-</v>
      </c>
      <c r="AD61" s="47">
        <f t="shared" ref="AD61" si="55">IF(J61&gt;I60,"依標準圖",MAX(L61:AC61))</f>
        <v>105</v>
      </c>
    </row>
    <row r="62" spans="1:30" s="45" customFormat="1">
      <c r="A62" s="113" t="s">
        <v>62</v>
      </c>
      <c r="B62" s="99">
        <v>120</v>
      </c>
      <c r="C62" s="114">
        <v>7.5</v>
      </c>
      <c r="D62" s="99">
        <v>4200</v>
      </c>
      <c r="E62" s="102">
        <v>13</v>
      </c>
      <c r="F62" s="103">
        <v>10</v>
      </c>
      <c r="G62" s="99">
        <v>350</v>
      </c>
      <c r="H62" s="102">
        <v>32</v>
      </c>
      <c r="I62" s="104">
        <f>ROUNDDOWN(($B62-2*$C62-2*$E62/10-$H62/10)/(($D$1+1)*$H62/10),0)+1</f>
        <v>16</v>
      </c>
      <c r="J62" s="42">
        <v>5</v>
      </c>
      <c r="K62" s="43" t="s">
        <v>30</v>
      </c>
      <c r="L62" s="44" t="str">
        <f>IF($J62=L$3,IF(L$3&gt;$I62,"-",ROUNDUP(Ld_cal($B62, $C62, $D62, $G62,$E62, $F62, $H62, L$3)*1.3*1.3,0)),"-")</f>
        <v>-</v>
      </c>
      <c r="M62" s="44" t="str">
        <f>IF($J62=M$3,IF(M$3&gt;$I62,"-",ROUNDUP(Ld_cal($B62, $C62, $D62, $G62,$E62, $F62, $H62, M$3)*1.3*1.3,0)),"-")</f>
        <v>-</v>
      </c>
      <c r="N62" s="44">
        <f>IF($J62=N$3,IF(N$3&gt;$I62,"-",ROUNDUP(Ld_cal($B62, $C62, $D62, $G62,$E62, $F62, $H62, N$3)*1.3*1.3,0)),"-")</f>
        <v>136</v>
      </c>
      <c r="O62" s="44" t="str">
        <f>IF($J62=O$3,IF(O$3&gt;$I62,"-",ROUNDUP(Ld_cal($B62, $C62, $D62, $G62,$E62, $F62, $H62, O$3)*1.3*1.3,0)),"-")</f>
        <v>-</v>
      </c>
      <c r="P62" s="44" t="str">
        <f>IF($J62=P$3,IF(P$3&gt;$I62,"-",ROUNDUP(Ld_cal($B62, $C62, $D62, $G62,$E62, $F62, $H62, P$3)*1.3*1.3,0)),"-")</f>
        <v>-</v>
      </c>
      <c r="Q62" s="44" t="str">
        <f>IF($J62=Q$3,IF(Q$3&gt;$I62,"-",ROUNDUP(Ld_cal($B62, $C62, $D62, $G62,$E62, $F62, $H62, Q$3)*1.3*1.3,0)),"-")</f>
        <v>-</v>
      </c>
      <c r="R62" s="44" t="str">
        <f>IF($J62=R$3,IF(R$3&gt;$I62,"-",ROUNDUP(Ld_cal($B62, $C62, $D62, $G62,$E62, $F62, $H62, R$3)*1.3*1.3,0)),"-")</f>
        <v>-</v>
      </c>
      <c r="S62" s="44" t="str">
        <f>IF($J62=S$3,IF(S$3&gt;$I62,"-",ROUNDUP(Ld_cal($B62, $C62, $D62, $G62,$E62, $F62, $H62, S$3)*1.3*1.3,0)),"-")</f>
        <v>-</v>
      </c>
      <c r="T62" s="44" t="str">
        <f>IF($J62=T$3,IF(T$3&gt;$I62,"-",ROUNDUP(Ld_cal($B62, $C62, $D62, $G62,$E62, $F62, $H62, T$3)*1.3*1.3,0)),"-")</f>
        <v>-</v>
      </c>
      <c r="U62" s="44" t="str">
        <f>IF($J62=U$3,IF(U$3&gt;$I62,"-",ROUNDUP(Ld_cal($B62, $C62, $D62, $G62,$E62, $F62, $H62, U$3)*1.3*1.3,0)),"-")</f>
        <v>-</v>
      </c>
      <c r="V62" s="44" t="str">
        <f>IF($J62=V$3,IF(V$3&gt;$I62,"-",ROUNDUP(Ld_cal($B62, $C62, $D62, $G62,$E62, $F62, $H62, V$3)*1.3*1.3,0)),"-")</f>
        <v>-</v>
      </c>
      <c r="W62" s="44" t="str">
        <f>IF($J62=W$3,IF(W$3&gt;$I62,"-",ROUNDUP(Ld_cal($B62, $C62, $D62, $G62,$E62, $F62, $H62, W$3)*1.3*1.3,0)),"-")</f>
        <v>-</v>
      </c>
      <c r="X62" s="44" t="str">
        <f>IF($J62=X$3,IF(X$3&gt;$I62,"-",ROUNDUP(Ld_cal($B62, $C62, $D62, $G62,$E62, $F62, $H62, X$3)*1.3*1.3,0)),"-")</f>
        <v>-</v>
      </c>
      <c r="Y62" s="44" t="str">
        <f>IF($J62=Y$3,IF(Y$3&gt;$I62,"-",ROUNDUP(Ld_cal($B62, $C62, $D62, $G62,$E62, $F62, $H62, Y$3)*1.3*1.3,0)),"-")</f>
        <v>-</v>
      </c>
      <c r="Z62" s="44" t="str">
        <f>IF($J62=Z$3,IF(Z$3&gt;$I62,"-",ROUNDUP(Ld_cal($B62, $C62, $D62, $G62,$E62, $F62, $H62, Z$3)*1.3*1.3,0)),"-")</f>
        <v>-</v>
      </c>
      <c r="AA62" s="44" t="str">
        <f>IF($J62=AA$3,IF(AA$3&gt;$I62,"-",ROUNDUP(Ld_cal($B62, $C62, $D62, $G62,$E62, $F62, $H62, AA$3)*1.3*1.3,0)),"-")</f>
        <v>-</v>
      </c>
      <c r="AB62" s="44" t="str">
        <f>IF($J62=AB$3,IF(AB$3&gt;$I62,"-",ROUNDUP(Ld_cal($B62, $C62, $D62, $G62,$E62, $F62, $H62, AB$3)*1.3*1.3,0)),"-")</f>
        <v>-</v>
      </c>
      <c r="AC62" s="44" t="str">
        <f>IF($J62=AC$3,IF(AC$3&gt;$I62,"-",ROUNDUP(Ld_cal($B62, $C62, $D62, $G62,$E62, $F62, $H62, AC$3)*1.3*1.3,0)),"-")</f>
        <v>-</v>
      </c>
      <c r="AD62" s="46">
        <f t="shared" ref="AD62" si="56">IF(J62&gt;I62,"依標準圖",MAX(L62:AC62))</f>
        <v>136</v>
      </c>
    </row>
    <row r="63" spans="1:30" s="45" customFormat="1">
      <c r="A63" s="113"/>
      <c r="B63" s="99"/>
      <c r="C63" s="114"/>
      <c r="D63" s="99"/>
      <c r="E63" s="102"/>
      <c r="F63" s="103"/>
      <c r="G63" s="99"/>
      <c r="H63" s="102"/>
      <c r="I63" s="104"/>
      <c r="J63" s="42">
        <v>5</v>
      </c>
      <c r="K63" s="43" t="s">
        <v>29</v>
      </c>
      <c r="L63" s="44" t="str">
        <f>IF($J63=L$3,IF(L$3&gt;$I62,"-",ROUNDUP(Ld_cal($B62, $C62, $D62, $G62,$E62, $F62, $H62, L$3)*1.3,0)),"-")</f>
        <v>-</v>
      </c>
      <c r="M63" s="44" t="str">
        <f>IF($J63=M$3,IF(M$3&gt;$I62,"-",ROUNDUP(Ld_cal($B62, $C62, $D62, $G62,$E62, $F62, $H62, M$3)*1.3,0)),"-")</f>
        <v>-</v>
      </c>
      <c r="N63" s="44">
        <f>IF($J63=N$3,IF(N$3&gt;$I62,"-",ROUNDUP(Ld_cal($B62, $C62, $D62, $G62,$E62, $F62, $H62, N$3)*1.3,0)),"-")</f>
        <v>105</v>
      </c>
      <c r="O63" s="44" t="str">
        <f>IF($J63=O$3,IF(O$3&gt;$I62,"-",ROUNDUP(Ld_cal($B62, $C62, $D62, $G62,$E62, $F62, $H62, O$3)*1.3,0)),"-")</f>
        <v>-</v>
      </c>
      <c r="P63" s="44" t="str">
        <f>IF($J63=P$3,IF(P$3&gt;$I62,"-",ROUNDUP(Ld_cal($B62, $C62, $D62, $G62,$E62, $F62, $H62, P$3)*1.3,0)),"-")</f>
        <v>-</v>
      </c>
      <c r="Q63" s="44" t="str">
        <f>IF($J63=Q$3,IF(Q$3&gt;$I62,"-",ROUNDUP(Ld_cal($B62, $C62, $D62, $G62,$E62, $F62, $H62, Q$3)*1.3,0)),"-")</f>
        <v>-</v>
      </c>
      <c r="R63" s="44" t="str">
        <f>IF($J63=R$3,IF(R$3&gt;$I62,"-",ROUNDUP(Ld_cal($B62, $C62, $D62, $G62,$E62, $F62, $H62, R$3)*1.3,0)),"-")</f>
        <v>-</v>
      </c>
      <c r="S63" s="44" t="str">
        <f>IF($J63=S$3,IF(S$3&gt;$I62,"-",ROUNDUP(Ld_cal($B62, $C62, $D62, $G62,$E62, $F62, $H62, S$3)*1.3,0)),"-")</f>
        <v>-</v>
      </c>
      <c r="T63" s="44" t="str">
        <f>IF($J63=T$3,IF(T$3&gt;$I62,"-",ROUNDUP(Ld_cal($B62, $C62, $D62, $G62,$E62, $F62, $H62, T$3)*1.3,0)),"-")</f>
        <v>-</v>
      </c>
      <c r="U63" s="44" t="str">
        <f>IF($J63=U$3,IF(U$3&gt;$I62,"-",ROUNDUP(Ld_cal($B62, $C62, $D62, $G62,$E62, $F62, $H62, U$3)*1.3,0)),"-")</f>
        <v>-</v>
      </c>
      <c r="V63" s="44" t="str">
        <f>IF($J63=V$3,IF(V$3&gt;$I62,"-",ROUNDUP(Ld_cal($B62, $C62, $D62, $G62,$E62, $F62, $H62, V$3)*1.3,0)),"-")</f>
        <v>-</v>
      </c>
      <c r="W63" s="44" t="str">
        <f>IF($J63=W$3,IF(W$3&gt;$I62,"-",ROUNDUP(Ld_cal($B62, $C62, $D62, $G62,$E62, $F62, $H62, W$3)*1.3,0)),"-")</f>
        <v>-</v>
      </c>
      <c r="X63" s="44" t="str">
        <f>IF($J63=X$3,IF(X$3&gt;$I62,"-",ROUNDUP(Ld_cal($B62, $C62, $D62, $G62,$E62, $F62, $H62, X$3)*1.3,0)),"-")</f>
        <v>-</v>
      </c>
      <c r="Y63" s="44" t="str">
        <f>IF($J63=Y$3,IF(Y$3&gt;$I62,"-",ROUNDUP(Ld_cal($B62, $C62, $D62, $G62,$E62, $F62, $H62, Y$3)*1.3,0)),"-")</f>
        <v>-</v>
      </c>
      <c r="Z63" s="44" t="str">
        <f>IF($J63=Z$3,IF(Z$3&gt;$I62,"-",ROUNDUP(Ld_cal($B62, $C62, $D62, $G62,$E62, $F62, $H62, Z$3)*1.3,0)),"-")</f>
        <v>-</v>
      </c>
      <c r="AA63" s="44" t="str">
        <f>IF($J63=AA$3,IF(AA$3&gt;$I62,"-",ROUNDUP(Ld_cal($B62, $C62, $D62, $G62,$E62, $F62, $H62, AA$3)*1.3,0)),"-")</f>
        <v>-</v>
      </c>
      <c r="AB63" s="44" t="str">
        <f>IF($J63=AB$3,IF(AB$3&gt;$I62,"-",ROUNDUP(Ld_cal($B62, $C62, $D62, $G62,$E62, $F62, $H62, AB$3)*1.3,0)),"-")</f>
        <v>-</v>
      </c>
      <c r="AC63" s="44" t="str">
        <f>IF($J63=AC$3,IF(AC$3&gt;$I62,"-",ROUNDUP(Ld_cal($B62, $C62, $D62, $G62,$E62, $F62, $H62, AC$3)*1.3,0)),"-")</f>
        <v>-</v>
      </c>
      <c r="AD63" s="46">
        <f t="shared" ref="AD63" si="57">IF(J63&gt;I62,"依標準圖",MAX(L63:AC63))</f>
        <v>105</v>
      </c>
    </row>
    <row r="64" spans="1:30">
      <c r="A64" s="112" t="s">
        <v>63</v>
      </c>
      <c r="B64" s="107">
        <v>120</v>
      </c>
      <c r="C64" s="108">
        <v>7.5</v>
      </c>
      <c r="D64" s="107">
        <v>4200</v>
      </c>
      <c r="E64" s="109">
        <v>13</v>
      </c>
      <c r="F64" s="110">
        <v>10</v>
      </c>
      <c r="G64" s="107">
        <v>350</v>
      </c>
      <c r="H64" s="109">
        <v>32</v>
      </c>
      <c r="I64" s="111">
        <f>ROUNDDOWN(($B64-2*$C64-2*$E64/10-$H64/10)/(($D$1+1)*$H64/10),0)+1</f>
        <v>16</v>
      </c>
      <c r="J64" s="39">
        <v>5</v>
      </c>
      <c r="K64" s="40" t="s">
        <v>30</v>
      </c>
      <c r="L64" s="41" t="str">
        <f>IF($J64=L$3,IF(L$3&gt;$I64,"-",ROUNDUP(Ld_cal($B64, $C64, $D64, $G64,$E64, $F64, $H64, L$3)*1.3*1.3,0)),"-")</f>
        <v>-</v>
      </c>
      <c r="M64" s="41" t="str">
        <f>IF($J64=M$3,IF(M$3&gt;$I64,"-",ROUNDUP(Ld_cal($B64, $C64, $D64, $G64,$E64, $F64, $H64, M$3)*1.3*1.3,0)),"-")</f>
        <v>-</v>
      </c>
      <c r="N64" s="41">
        <f>IF($J64=N$3,IF(N$3&gt;$I64,"-",ROUNDUP(Ld_cal($B64, $C64, $D64, $G64,$E64, $F64, $H64, N$3)*1.3*1.3,0)),"-")</f>
        <v>136</v>
      </c>
      <c r="O64" s="41" t="str">
        <f>IF($J64=O$3,IF(O$3&gt;$I64,"-",ROUNDUP(Ld_cal($B64, $C64, $D64, $G64,$E64, $F64, $H64, O$3)*1.3*1.3,0)),"-")</f>
        <v>-</v>
      </c>
      <c r="P64" s="41" t="str">
        <f>IF($J64=P$3,IF(P$3&gt;$I64,"-",ROUNDUP(Ld_cal($B64, $C64, $D64, $G64,$E64, $F64, $H64, P$3)*1.3*1.3,0)),"-")</f>
        <v>-</v>
      </c>
      <c r="Q64" s="41" t="str">
        <f>IF($J64=Q$3,IF(Q$3&gt;$I64,"-",ROUNDUP(Ld_cal($B64, $C64, $D64, $G64,$E64, $F64, $H64, Q$3)*1.3*1.3,0)),"-")</f>
        <v>-</v>
      </c>
      <c r="R64" s="41" t="str">
        <f>IF($J64=R$3,IF(R$3&gt;$I64,"-",ROUNDUP(Ld_cal($B64, $C64, $D64, $G64,$E64, $F64, $H64, R$3)*1.3*1.3,0)),"-")</f>
        <v>-</v>
      </c>
      <c r="S64" s="41" t="str">
        <f>IF($J64=S$3,IF(S$3&gt;$I64,"-",ROUNDUP(Ld_cal($B64, $C64, $D64, $G64,$E64, $F64, $H64, S$3)*1.3*1.3,0)),"-")</f>
        <v>-</v>
      </c>
      <c r="T64" s="41" t="str">
        <f>IF($J64=T$3,IF(T$3&gt;$I64,"-",ROUNDUP(Ld_cal($B64, $C64, $D64, $G64,$E64, $F64, $H64, T$3)*1.3*1.3,0)),"-")</f>
        <v>-</v>
      </c>
      <c r="U64" s="41" t="str">
        <f>IF($J64=U$3,IF(U$3&gt;$I64,"-",ROUNDUP(Ld_cal($B64, $C64, $D64, $G64,$E64, $F64, $H64, U$3)*1.3*1.3,0)),"-")</f>
        <v>-</v>
      </c>
      <c r="V64" s="41" t="str">
        <f>IF($J64=V$3,IF(V$3&gt;$I64,"-",ROUNDUP(Ld_cal($B64, $C64, $D64, $G64,$E64, $F64, $H64, V$3)*1.3*1.3,0)),"-")</f>
        <v>-</v>
      </c>
      <c r="W64" s="41" t="str">
        <f>IF($J64=W$3,IF(W$3&gt;$I64,"-",ROUNDUP(Ld_cal($B64, $C64, $D64, $G64,$E64, $F64, $H64, W$3)*1.3*1.3,0)),"-")</f>
        <v>-</v>
      </c>
      <c r="X64" s="41" t="str">
        <f>IF($J64=X$3,IF(X$3&gt;$I64,"-",ROUNDUP(Ld_cal($B64, $C64, $D64, $G64,$E64, $F64, $H64, X$3)*1.3*1.3,0)),"-")</f>
        <v>-</v>
      </c>
      <c r="Y64" s="41" t="str">
        <f>IF($J64=Y$3,IF(Y$3&gt;$I64,"-",ROUNDUP(Ld_cal($B64, $C64, $D64, $G64,$E64, $F64, $H64, Y$3)*1.3*1.3,0)),"-")</f>
        <v>-</v>
      </c>
      <c r="Z64" s="41" t="str">
        <f>IF($J64=Z$3,IF(Z$3&gt;$I64,"-",ROUNDUP(Ld_cal($B64, $C64, $D64, $G64,$E64, $F64, $H64, Z$3)*1.3*1.3,0)),"-")</f>
        <v>-</v>
      </c>
      <c r="AA64" s="41" t="str">
        <f>IF($J64=AA$3,IF(AA$3&gt;$I64,"-",ROUNDUP(Ld_cal($B64, $C64, $D64, $G64,$E64, $F64, $H64, AA$3)*1.3*1.3,0)),"-")</f>
        <v>-</v>
      </c>
      <c r="AB64" s="41" t="str">
        <f>IF($J64=AB$3,IF(AB$3&gt;$I64,"-",ROUNDUP(Ld_cal($B64, $C64, $D64, $G64,$E64, $F64, $H64, AB$3)*1.3*1.3,0)),"-")</f>
        <v>-</v>
      </c>
      <c r="AC64" s="41" t="str">
        <f>IF($J64=AC$3,IF(AC$3&gt;$I64,"-",ROUNDUP(Ld_cal($B64, $C64, $D64, $G64,$E64, $F64, $H64, AC$3)*1.3*1.3,0)),"-")</f>
        <v>-</v>
      </c>
      <c r="AD64" s="47">
        <f t="shared" ref="AD64" si="58">IF(J64&gt;I64,"依標準圖",MAX(L64:AC64))</f>
        <v>136</v>
      </c>
    </row>
    <row r="65" spans="1:30">
      <c r="A65" s="112"/>
      <c r="B65" s="107"/>
      <c r="C65" s="108"/>
      <c r="D65" s="107"/>
      <c r="E65" s="109"/>
      <c r="F65" s="110"/>
      <c r="G65" s="107"/>
      <c r="H65" s="109"/>
      <c r="I65" s="111"/>
      <c r="J65" s="39">
        <v>5</v>
      </c>
      <c r="K65" s="40" t="s">
        <v>29</v>
      </c>
      <c r="L65" s="41" t="str">
        <f>IF($J65=L$3,IF(L$3&gt;$I64,"-",ROUNDUP(Ld_cal($B64, $C64, $D64, $G64,$E64, $F64, $H64, L$3)*1.3,0)),"-")</f>
        <v>-</v>
      </c>
      <c r="M65" s="41" t="str">
        <f>IF($J65=M$3,IF(M$3&gt;$I64,"-",ROUNDUP(Ld_cal($B64, $C64, $D64, $G64,$E64, $F64, $H64, M$3)*1.3,0)),"-")</f>
        <v>-</v>
      </c>
      <c r="N65" s="41">
        <f>IF($J65=N$3,IF(N$3&gt;$I64,"-",ROUNDUP(Ld_cal($B64, $C64, $D64, $G64,$E64, $F64, $H64, N$3)*1.3,0)),"-")</f>
        <v>105</v>
      </c>
      <c r="O65" s="41" t="str">
        <f>IF($J65=O$3,IF(O$3&gt;$I64,"-",ROUNDUP(Ld_cal($B64, $C64, $D64, $G64,$E64, $F64, $H64, O$3)*1.3,0)),"-")</f>
        <v>-</v>
      </c>
      <c r="P65" s="41" t="str">
        <f>IF($J65=P$3,IF(P$3&gt;$I64,"-",ROUNDUP(Ld_cal($B64, $C64, $D64, $G64,$E64, $F64, $H64, P$3)*1.3,0)),"-")</f>
        <v>-</v>
      </c>
      <c r="Q65" s="41" t="str">
        <f>IF($J65=Q$3,IF(Q$3&gt;$I64,"-",ROUNDUP(Ld_cal($B64, $C64, $D64, $G64,$E64, $F64, $H64, Q$3)*1.3,0)),"-")</f>
        <v>-</v>
      </c>
      <c r="R65" s="41" t="str">
        <f>IF($J65=R$3,IF(R$3&gt;$I64,"-",ROUNDUP(Ld_cal($B64, $C64, $D64, $G64,$E64, $F64, $H64, R$3)*1.3,0)),"-")</f>
        <v>-</v>
      </c>
      <c r="S65" s="41" t="str">
        <f>IF($J65=S$3,IF(S$3&gt;$I64,"-",ROUNDUP(Ld_cal($B64, $C64, $D64, $G64,$E64, $F64, $H64, S$3)*1.3,0)),"-")</f>
        <v>-</v>
      </c>
      <c r="T65" s="41" t="str">
        <f>IF($J65=T$3,IF(T$3&gt;$I64,"-",ROUNDUP(Ld_cal($B64, $C64, $D64, $G64,$E64, $F64, $H64, T$3)*1.3,0)),"-")</f>
        <v>-</v>
      </c>
      <c r="U65" s="41" t="str">
        <f>IF($J65=U$3,IF(U$3&gt;$I64,"-",ROUNDUP(Ld_cal($B64, $C64, $D64, $G64,$E64, $F64, $H64, U$3)*1.3,0)),"-")</f>
        <v>-</v>
      </c>
      <c r="V65" s="41" t="str">
        <f>IF($J65=V$3,IF(V$3&gt;$I64,"-",ROUNDUP(Ld_cal($B64, $C64, $D64, $G64,$E64, $F64, $H64, V$3)*1.3,0)),"-")</f>
        <v>-</v>
      </c>
      <c r="W65" s="41" t="str">
        <f>IF($J65=W$3,IF(W$3&gt;$I64,"-",ROUNDUP(Ld_cal($B64, $C64, $D64, $G64,$E64, $F64, $H64, W$3)*1.3,0)),"-")</f>
        <v>-</v>
      </c>
      <c r="X65" s="41" t="str">
        <f>IF($J65=X$3,IF(X$3&gt;$I64,"-",ROUNDUP(Ld_cal($B64, $C64, $D64, $G64,$E64, $F64, $H64, X$3)*1.3,0)),"-")</f>
        <v>-</v>
      </c>
      <c r="Y65" s="41" t="str">
        <f>IF($J65=Y$3,IF(Y$3&gt;$I64,"-",ROUNDUP(Ld_cal($B64, $C64, $D64, $G64,$E64, $F64, $H64, Y$3)*1.3,0)),"-")</f>
        <v>-</v>
      </c>
      <c r="Z65" s="41" t="str">
        <f>IF($J65=Z$3,IF(Z$3&gt;$I64,"-",ROUNDUP(Ld_cal($B64, $C64, $D64, $G64,$E64, $F64, $H64, Z$3)*1.3,0)),"-")</f>
        <v>-</v>
      </c>
      <c r="AA65" s="41" t="str">
        <f>IF($J65=AA$3,IF(AA$3&gt;$I64,"-",ROUNDUP(Ld_cal($B64, $C64, $D64, $G64,$E64, $F64, $H64, AA$3)*1.3,0)),"-")</f>
        <v>-</v>
      </c>
      <c r="AB65" s="41" t="str">
        <f>IF($J65=AB$3,IF(AB$3&gt;$I64,"-",ROUNDUP(Ld_cal($B64, $C64, $D64, $G64,$E64, $F64, $H64, AB$3)*1.3,0)),"-")</f>
        <v>-</v>
      </c>
      <c r="AC65" s="41" t="str">
        <f>IF($J65=AC$3,IF(AC$3&gt;$I64,"-",ROUNDUP(Ld_cal($B64, $C64, $D64, $G64,$E64, $F64, $H64, AC$3)*1.3,0)),"-")</f>
        <v>-</v>
      </c>
      <c r="AD65" s="47">
        <f t="shared" ref="AD65" si="59">IF(J65&gt;I64,"依標準圖",MAX(L65:AC65))</f>
        <v>105</v>
      </c>
    </row>
    <row r="66" spans="1:30" s="45" customFormat="1">
      <c r="A66" s="113" t="s">
        <v>64</v>
      </c>
      <c r="B66" s="99">
        <v>120</v>
      </c>
      <c r="C66" s="114">
        <v>7.5</v>
      </c>
      <c r="D66" s="99">
        <v>4200</v>
      </c>
      <c r="E66" s="102">
        <v>13</v>
      </c>
      <c r="F66" s="103">
        <v>10</v>
      </c>
      <c r="G66" s="99">
        <v>350</v>
      </c>
      <c r="H66" s="102">
        <v>32</v>
      </c>
      <c r="I66" s="104">
        <f>ROUNDDOWN(($B66-2*$C66-2*$E66/10-$H66/10)/(($D$1+1)*$H66/10),0)+1</f>
        <v>16</v>
      </c>
      <c r="J66" s="42">
        <v>5</v>
      </c>
      <c r="K66" s="43" t="s">
        <v>30</v>
      </c>
      <c r="L66" s="44" t="str">
        <f>IF($J66=L$3,IF(L$3&gt;$I66,"-",ROUNDUP(Ld_cal($B66, $C66, $D66, $G66,$E66, $F66, $H66, L$3)*1.3*1.3,0)),"-")</f>
        <v>-</v>
      </c>
      <c r="M66" s="44" t="str">
        <f>IF($J66=M$3,IF(M$3&gt;$I66,"-",ROUNDUP(Ld_cal($B66, $C66, $D66, $G66,$E66, $F66, $H66, M$3)*1.3*1.3,0)),"-")</f>
        <v>-</v>
      </c>
      <c r="N66" s="44">
        <f>IF($J66=N$3,IF(N$3&gt;$I66,"-",ROUNDUP(Ld_cal($B66, $C66, $D66, $G66,$E66, $F66, $H66, N$3)*1.3*1.3,0)),"-")</f>
        <v>136</v>
      </c>
      <c r="O66" s="44" t="str">
        <f>IF($J66=O$3,IF(O$3&gt;$I66,"-",ROUNDUP(Ld_cal($B66, $C66, $D66, $G66,$E66, $F66, $H66, O$3)*1.3*1.3,0)),"-")</f>
        <v>-</v>
      </c>
      <c r="P66" s="44" t="str">
        <f>IF($J66=P$3,IF(P$3&gt;$I66,"-",ROUNDUP(Ld_cal($B66, $C66, $D66, $G66,$E66, $F66, $H66, P$3)*1.3*1.3,0)),"-")</f>
        <v>-</v>
      </c>
      <c r="Q66" s="44" t="str">
        <f>IF($J66=Q$3,IF(Q$3&gt;$I66,"-",ROUNDUP(Ld_cal($B66, $C66, $D66, $G66,$E66, $F66, $H66, Q$3)*1.3*1.3,0)),"-")</f>
        <v>-</v>
      </c>
      <c r="R66" s="44" t="str">
        <f>IF($J66=R$3,IF(R$3&gt;$I66,"-",ROUNDUP(Ld_cal($B66, $C66, $D66, $G66,$E66, $F66, $H66, R$3)*1.3*1.3,0)),"-")</f>
        <v>-</v>
      </c>
      <c r="S66" s="44" t="str">
        <f>IF($J66=S$3,IF(S$3&gt;$I66,"-",ROUNDUP(Ld_cal($B66, $C66, $D66, $G66,$E66, $F66, $H66, S$3)*1.3*1.3,0)),"-")</f>
        <v>-</v>
      </c>
      <c r="T66" s="44" t="str">
        <f>IF($J66=T$3,IF(T$3&gt;$I66,"-",ROUNDUP(Ld_cal($B66, $C66, $D66, $G66,$E66, $F66, $H66, T$3)*1.3*1.3,0)),"-")</f>
        <v>-</v>
      </c>
      <c r="U66" s="44" t="str">
        <f>IF($J66=U$3,IF(U$3&gt;$I66,"-",ROUNDUP(Ld_cal($B66, $C66, $D66, $G66,$E66, $F66, $H66, U$3)*1.3*1.3,0)),"-")</f>
        <v>-</v>
      </c>
      <c r="V66" s="44" t="str">
        <f>IF($J66=V$3,IF(V$3&gt;$I66,"-",ROUNDUP(Ld_cal($B66, $C66, $D66, $G66,$E66, $F66, $H66, V$3)*1.3*1.3,0)),"-")</f>
        <v>-</v>
      </c>
      <c r="W66" s="44" t="str">
        <f>IF($J66=W$3,IF(W$3&gt;$I66,"-",ROUNDUP(Ld_cal($B66, $C66, $D66, $G66,$E66, $F66, $H66, W$3)*1.3*1.3,0)),"-")</f>
        <v>-</v>
      </c>
      <c r="X66" s="44" t="str">
        <f>IF($J66=X$3,IF(X$3&gt;$I66,"-",ROUNDUP(Ld_cal($B66, $C66, $D66, $G66,$E66, $F66, $H66, X$3)*1.3*1.3,0)),"-")</f>
        <v>-</v>
      </c>
      <c r="Y66" s="44" t="str">
        <f>IF($J66=Y$3,IF(Y$3&gt;$I66,"-",ROUNDUP(Ld_cal($B66, $C66, $D66, $G66,$E66, $F66, $H66, Y$3)*1.3*1.3,0)),"-")</f>
        <v>-</v>
      </c>
      <c r="Z66" s="44" t="str">
        <f>IF($J66=Z$3,IF(Z$3&gt;$I66,"-",ROUNDUP(Ld_cal($B66, $C66, $D66, $G66,$E66, $F66, $H66, Z$3)*1.3*1.3,0)),"-")</f>
        <v>-</v>
      </c>
      <c r="AA66" s="44" t="str">
        <f>IF($J66=AA$3,IF(AA$3&gt;$I66,"-",ROUNDUP(Ld_cal($B66, $C66, $D66, $G66,$E66, $F66, $H66, AA$3)*1.3*1.3,0)),"-")</f>
        <v>-</v>
      </c>
      <c r="AB66" s="44" t="str">
        <f>IF($J66=AB$3,IF(AB$3&gt;$I66,"-",ROUNDUP(Ld_cal($B66, $C66, $D66, $G66,$E66, $F66, $H66, AB$3)*1.3*1.3,0)),"-")</f>
        <v>-</v>
      </c>
      <c r="AC66" s="44" t="str">
        <f>IF($J66=AC$3,IF(AC$3&gt;$I66,"-",ROUNDUP(Ld_cal($B66, $C66, $D66, $G66,$E66, $F66, $H66, AC$3)*1.3*1.3,0)),"-")</f>
        <v>-</v>
      </c>
      <c r="AD66" s="46">
        <f t="shared" ref="AD66" si="60">IF(J66&gt;I66,"依標準圖",MAX(L66:AC66))</f>
        <v>136</v>
      </c>
    </row>
    <row r="67" spans="1:30" s="45" customFormat="1">
      <c r="A67" s="113"/>
      <c r="B67" s="99"/>
      <c r="C67" s="114"/>
      <c r="D67" s="99"/>
      <c r="E67" s="102"/>
      <c r="F67" s="103"/>
      <c r="G67" s="99"/>
      <c r="H67" s="102"/>
      <c r="I67" s="104"/>
      <c r="J67" s="42">
        <v>5</v>
      </c>
      <c r="K67" s="43" t="s">
        <v>29</v>
      </c>
      <c r="L67" s="44" t="str">
        <f>IF($J67=L$3,IF(L$3&gt;$I66,"-",ROUNDUP(Ld_cal($B66, $C66, $D66, $G66,$E66, $F66, $H66, L$3)*1.3,0)),"-")</f>
        <v>-</v>
      </c>
      <c r="M67" s="44" t="str">
        <f>IF($J67=M$3,IF(M$3&gt;$I66,"-",ROUNDUP(Ld_cal($B66, $C66, $D66, $G66,$E66, $F66, $H66, M$3)*1.3,0)),"-")</f>
        <v>-</v>
      </c>
      <c r="N67" s="44">
        <f>IF($J67=N$3,IF(N$3&gt;$I66,"-",ROUNDUP(Ld_cal($B66, $C66, $D66, $G66,$E66, $F66, $H66, N$3)*1.3,0)),"-")</f>
        <v>105</v>
      </c>
      <c r="O67" s="44" t="str">
        <f>IF($J67=O$3,IF(O$3&gt;$I66,"-",ROUNDUP(Ld_cal($B66, $C66, $D66, $G66,$E66, $F66, $H66, O$3)*1.3,0)),"-")</f>
        <v>-</v>
      </c>
      <c r="P67" s="44" t="str">
        <f>IF($J67=P$3,IF(P$3&gt;$I66,"-",ROUNDUP(Ld_cal($B66, $C66, $D66, $G66,$E66, $F66, $H66, P$3)*1.3,0)),"-")</f>
        <v>-</v>
      </c>
      <c r="Q67" s="44" t="str">
        <f>IF($J67=Q$3,IF(Q$3&gt;$I66,"-",ROUNDUP(Ld_cal($B66, $C66, $D66, $G66,$E66, $F66, $H66, Q$3)*1.3,0)),"-")</f>
        <v>-</v>
      </c>
      <c r="R67" s="44" t="str">
        <f>IF($J67=R$3,IF(R$3&gt;$I66,"-",ROUNDUP(Ld_cal($B66, $C66, $D66, $G66,$E66, $F66, $H66, R$3)*1.3,0)),"-")</f>
        <v>-</v>
      </c>
      <c r="S67" s="44" t="str">
        <f>IF($J67=S$3,IF(S$3&gt;$I66,"-",ROUNDUP(Ld_cal($B66, $C66, $D66, $G66,$E66, $F66, $H66, S$3)*1.3,0)),"-")</f>
        <v>-</v>
      </c>
      <c r="T67" s="44" t="str">
        <f>IF($J67=T$3,IF(T$3&gt;$I66,"-",ROUNDUP(Ld_cal($B66, $C66, $D66, $G66,$E66, $F66, $H66, T$3)*1.3,0)),"-")</f>
        <v>-</v>
      </c>
      <c r="U67" s="44" t="str">
        <f>IF($J67=U$3,IF(U$3&gt;$I66,"-",ROUNDUP(Ld_cal($B66, $C66, $D66, $G66,$E66, $F66, $H66, U$3)*1.3,0)),"-")</f>
        <v>-</v>
      </c>
      <c r="V67" s="44" t="str">
        <f>IF($J67=V$3,IF(V$3&gt;$I66,"-",ROUNDUP(Ld_cal($B66, $C66, $D66, $G66,$E66, $F66, $H66, V$3)*1.3,0)),"-")</f>
        <v>-</v>
      </c>
      <c r="W67" s="44" t="str">
        <f>IF($J67=W$3,IF(W$3&gt;$I66,"-",ROUNDUP(Ld_cal($B66, $C66, $D66, $G66,$E66, $F66, $H66, W$3)*1.3,0)),"-")</f>
        <v>-</v>
      </c>
      <c r="X67" s="44" t="str">
        <f>IF($J67=X$3,IF(X$3&gt;$I66,"-",ROUNDUP(Ld_cal($B66, $C66, $D66, $G66,$E66, $F66, $H66, X$3)*1.3,0)),"-")</f>
        <v>-</v>
      </c>
      <c r="Y67" s="44" t="str">
        <f>IF($J67=Y$3,IF(Y$3&gt;$I66,"-",ROUNDUP(Ld_cal($B66, $C66, $D66, $G66,$E66, $F66, $H66, Y$3)*1.3,0)),"-")</f>
        <v>-</v>
      </c>
      <c r="Z67" s="44" t="str">
        <f>IF($J67=Z$3,IF(Z$3&gt;$I66,"-",ROUNDUP(Ld_cal($B66, $C66, $D66, $G66,$E66, $F66, $H66, Z$3)*1.3,0)),"-")</f>
        <v>-</v>
      </c>
      <c r="AA67" s="44" t="str">
        <f>IF($J67=AA$3,IF(AA$3&gt;$I66,"-",ROUNDUP(Ld_cal($B66, $C66, $D66, $G66,$E66, $F66, $H66, AA$3)*1.3,0)),"-")</f>
        <v>-</v>
      </c>
      <c r="AB67" s="44" t="str">
        <f>IF($J67=AB$3,IF(AB$3&gt;$I66,"-",ROUNDUP(Ld_cal($B66, $C66, $D66, $G66,$E66, $F66, $H66, AB$3)*1.3,0)),"-")</f>
        <v>-</v>
      </c>
      <c r="AC67" s="44" t="str">
        <f>IF($J67=AC$3,IF(AC$3&gt;$I66,"-",ROUNDUP(Ld_cal($B66, $C66, $D66, $G66,$E66, $F66, $H66, AC$3)*1.3,0)),"-")</f>
        <v>-</v>
      </c>
      <c r="AD67" s="46">
        <f t="shared" ref="AD67" si="61">IF(J67&gt;I66,"依標準圖",MAX(L67:AC67))</f>
        <v>105</v>
      </c>
    </row>
    <row r="68" spans="1:30">
      <c r="A68" s="112" t="s">
        <v>65</v>
      </c>
      <c r="B68" s="107">
        <v>120</v>
      </c>
      <c r="C68" s="108">
        <v>7.5</v>
      </c>
      <c r="D68" s="107">
        <v>4200</v>
      </c>
      <c r="E68" s="109">
        <v>13</v>
      </c>
      <c r="F68" s="110">
        <v>10</v>
      </c>
      <c r="G68" s="107">
        <v>350</v>
      </c>
      <c r="H68" s="109">
        <v>32</v>
      </c>
      <c r="I68" s="111">
        <f>ROUNDDOWN(($B68-2*$C68-2*$E68/10-$H68/10)/(($D$1+1)*$H68/10),0)+1</f>
        <v>16</v>
      </c>
      <c r="J68" s="39">
        <v>5</v>
      </c>
      <c r="K68" s="40" t="s">
        <v>30</v>
      </c>
      <c r="L68" s="41" t="str">
        <f>IF($J68=L$3,IF(L$3&gt;$I68,"-",ROUNDUP(Ld_cal($B68, $C68, $D68, $G68,$E68, $F68, $H68, L$3)*1.3*1.3,0)),"-")</f>
        <v>-</v>
      </c>
      <c r="M68" s="41" t="str">
        <f>IF($J68=M$3,IF(M$3&gt;$I68,"-",ROUNDUP(Ld_cal($B68, $C68, $D68, $G68,$E68, $F68, $H68, M$3)*1.3*1.3,0)),"-")</f>
        <v>-</v>
      </c>
      <c r="N68" s="41">
        <f>IF($J68=N$3,IF(N$3&gt;$I68,"-",ROUNDUP(Ld_cal($B68, $C68, $D68, $G68,$E68, $F68, $H68, N$3)*1.3*1.3,0)),"-")</f>
        <v>136</v>
      </c>
      <c r="O68" s="41" t="str">
        <f>IF($J68=O$3,IF(O$3&gt;$I68,"-",ROUNDUP(Ld_cal($B68, $C68, $D68, $G68,$E68, $F68, $H68, O$3)*1.3*1.3,0)),"-")</f>
        <v>-</v>
      </c>
      <c r="P68" s="41" t="str">
        <f>IF($J68=P$3,IF(P$3&gt;$I68,"-",ROUNDUP(Ld_cal($B68, $C68, $D68, $G68,$E68, $F68, $H68, P$3)*1.3*1.3,0)),"-")</f>
        <v>-</v>
      </c>
      <c r="Q68" s="41" t="str">
        <f>IF($J68=Q$3,IF(Q$3&gt;$I68,"-",ROUNDUP(Ld_cal($B68, $C68, $D68, $G68,$E68, $F68, $H68, Q$3)*1.3*1.3,0)),"-")</f>
        <v>-</v>
      </c>
      <c r="R68" s="41" t="str">
        <f>IF($J68=R$3,IF(R$3&gt;$I68,"-",ROUNDUP(Ld_cal($B68, $C68, $D68, $G68,$E68, $F68, $H68, R$3)*1.3*1.3,0)),"-")</f>
        <v>-</v>
      </c>
      <c r="S68" s="41" t="str">
        <f>IF($J68=S$3,IF(S$3&gt;$I68,"-",ROUNDUP(Ld_cal($B68, $C68, $D68, $G68,$E68, $F68, $H68, S$3)*1.3*1.3,0)),"-")</f>
        <v>-</v>
      </c>
      <c r="T68" s="41" t="str">
        <f>IF($J68=T$3,IF(T$3&gt;$I68,"-",ROUNDUP(Ld_cal($B68, $C68, $D68, $G68,$E68, $F68, $H68, T$3)*1.3*1.3,0)),"-")</f>
        <v>-</v>
      </c>
      <c r="U68" s="41" t="str">
        <f>IF($J68=U$3,IF(U$3&gt;$I68,"-",ROUNDUP(Ld_cal($B68, $C68, $D68, $G68,$E68, $F68, $H68, U$3)*1.3*1.3,0)),"-")</f>
        <v>-</v>
      </c>
      <c r="V68" s="41" t="str">
        <f>IF($J68=V$3,IF(V$3&gt;$I68,"-",ROUNDUP(Ld_cal($B68, $C68, $D68, $G68,$E68, $F68, $H68, V$3)*1.3*1.3,0)),"-")</f>
        <v>-</v>
      </c>
      <c r="W68" s="41" t="str">
        <f>IF($J68=W$3,IF(W$3&gt;$I68,"-",ROUNDUP(Ld_cal($B68, $C68, $D68, $G68,$E68, $F68, $H68, W$3)*1.3*1.3,0)),"-")</f>
        <v>-</v>
      </c>
      <c r="X68" s="41" t="str">
        <f>IF($J68=X$3,IF(X$3&gt;$I68,"-",ROUNDUP(Ld_cal($B68, $C68, $D68, $G68,$E68, $F68, $H68, X$3)*1.3*1.3,0)),"-")</f>
        <v>-</v>
      </c>
      <c r="Y68" s="41" t="str">
        <f>IF($J68=Y$3,IF(Y$3&gt;$I68,"-",ROUNDUP(Ld_cal($B68, $C68, $D68, $G68,$E68, $F68, $H68, Y$3)*1.3*1.3,0)),"-")</f>
        <v>-</v>
      </c>
      <c r="Z68" s="41" t="str">
        <f>IF($J68=Z$3,IF(Z$3&gt;$I68,"-",ROUNDUP(Ld_cal($B68, $C68, $D68, $G68,$E68, $F68, $H68, Z$3)*1.3*1.3,0)),"-")</f>
        <v>-</v>
      </c>
      <c r="AA68" s="41" t="str">
        <f>IF($J68=AA$3,IF(AA$3&gt;$I68,"-",ROUNDUP(Ld_cal($B68, $C68, $D68, $G68,$E68, $F68, $H68, AA$3)*1.3*1.3,0)),"-")</f>
        <v>-</v>
      </c>
      <c r="AB68" s="41" t="str">
        <f>IF($J68=AB$3,IF(AB$3&gt;$I68,"-",ROUNDUP(Ld_cal($B68, $C68, $D68, $G68,$E68, $F68, $H68, AB$3)*1.3*1.3,0)),"-")</f>
        <v>-</v>
      </c>
      <c r="AC68" s="41" t="str">
        <f>IF($J68=AC$3,IF(AC$3&gt;$I68,"-",ROUNDUP(Ld_cal($B68, $C68, $D68, $G68,$E68, $F68, $H68, AC$3)*1.3*1.3,0)),"-")</f>
        <v>-</v>
      </c>
      <c r="AD68" s="47">
        <f t="shared" ref="AD68" si="62">IF(J68&gt;I68,"依標準圖",MAX(L68:AC68))</f>
        <v>136</v>
      </c>
    </row>
    <row r="69" spans="1:30">
      <c r="A69" s="112"/>
      <c r="B69" s="107"/>
      <c r="C69" s="108"/>
      <c r="D69" s="107"/>
      <c r="E69" s="109"/>
      <c r="F69" s="110"/>
      <c r="G69" s="107"/>
      <c r="H69" s="109"/>
      <c r="I69" s="111"/>
      <c r="J69" s="39">
        <v>5</v>
      </c>
      <c r="K69" s="40" t="s">
        <v>29</v>
      </c>
      <c r="L69" s="41" t="str">
        <f>IF($J69=L$3,IF(L$3&gt;$I68,"-",ROUNDUP(Ld_cal($B68, $C68, $D68, $G68,$E68, $F68, $H68, L$3)*1.3,0)),"-")</f>
        <v>-</v>
      </c>
      <c r="M69" s="41" t="str">
        <f>IF($J69=M$3,IF(M$3&gt;$I68,"-",ROUNDUP(Ld_cal($B68, $C68, $D68, $G68,$E68, $F68, $H68, M$3)*1.3,0)),"-")</f>
        <v>-</v>
      </c>
      <c r="N69" s="41">
        <f>IF($J69=N$3,IF(N$3&gt;$I68,"-",ROUNDUP(Ld_cal($B68, $C68, $D68, $G68,$E68, $F68, $H68, N$3)*1.3,0)),"-")</f>
        <v>105</v>
      </c>
      <c r="O69" s="41" t="str">
        <f>IF($J69=O$3,IF(O$3&gt;$I68,"-",ROUNDUP(Ld_cal($B68, $C68, $D68, $G68,$E68, $F68, $H68, O$3)*1.3,0)),"-")</f>
        <v>-</v>
      </c>
      <c r="P69" s="41" t="str">
        <f>IF($J69=P$3,IF(P$3&gt;$I68,"-",ROUNDUP(Ld_cal($B68, $C68, $D68, $G68,$E68, $F68, $H68, P$3)*1.3,0)),"-")</f>
        <v>-</v>
      </c>
      <c r="Q69" s="41" t="str">
        <f>IF($J69=Q$3,IF(Q$3&gt;$I68,"-",ROUNDUP(Ld_cal($B68, $C68, $D68, $G68,$E68, $F68, $H68, Q$3)*1.3,0)),"-")</f>
        <v>-</v>
      </c>
      <c r="R69" s="41" t="str">
        <f>IF($J69=R$3,IF(R$3&gt;$I68,"-",ROUNDUP(Ld_cal($B68, $C68, $D68, $G68,$E68, $F68, $H68, R$3)*1.3,0)),"-")</f>
        <v>-</v>
      </c>
      <c r="S69" s="41" t="str">
        <f>IF($J69=S$3,IF(S$3&gt;$I68,"-",ROUNDUP(Ld_cal($B68, $C68, $D68, $G68,$E68, $F68, $H68, S$3)*1.3,0)),"-")</f>
        <v>-</v>
      </c>
      <c r="T69" s="41" t="str">
        <f>IF($J69=T$3,IF(T$3&gt;$I68,"-",ROUNDUP(Ld_cal($B68, $C68, $D68, $G68,$E68, $F68, $H68, T$3)*1.3,0)),"-")</f>
        <v>-</v>
      </c>
      <c r="U69" s="41" t="str">
        <f>IF($J69=U$3,IF(U$3&gt;$I68,"-",ROUNDUP(Ld_cal($B68, $C68, $D68, $G68,$E68, $F68, $H68, U$3)*1.3,0)),"-")</f>
        <v>-</v>
      </c>
      <c r="V69" s="41" t="str">
        <f>IF($J69=V$3,IF(V$3&gt;$I68,"-",ROUNDUP(Ld_cal($B68, $C68, $D68, $G68,$E68, $F68, $H68, V$3)*1.3,0)),"-")</f>
        <v>-</v>
      </c>
      <c r="W69" s="41" t="str">
        <f>IF($J69=W$3,IF(W$3&gt;$I68,"-",ROUNDUP(Ld_cal($B68, $C68, $D68, $G68,$E68, $F68, $H68, W$3)*1.3,0)),"-")</f>
        <v>-</v>
      </c>
      <c r="X69" s="41" t="str">
        <f>IF($J69=X$3,IF(X$3&gt;$I68,"-",ROUNDUP(Ld_cal($B68, $C68, $D68, $G68,$E68, $F68, $H68, X$3)*1.3,0)),"-")</f>
        <v>-</v>
      </c>
      <c r="Y69" s="41" t="str">
        <f>IF($J69=Y$3,IF(Y$3&gt;$I68,"-",ROUNDUP(Ld_cal($B68, $C68, $D68, $G68,$E68, $F68, $H68, Y$3)*1.3,0)),"-")</f>
        <v>-</v>
      </c>
      <c r="Z69" s="41" t="str">
        <f>IF($J69=Z$3,IF(Z$3&gt;$I68,"-",ROUNDUP(Ld_cal($B68, $C68, $D68, $G68,$E68, $F68, $H68, Z$3)*1.3,0)),"-")</f>
        <v>-</v>
      </c>
      <c r="AA69" s="41" t="str">
        <f>IF($J69=AA$3,IF(AA$3&gt;$I68,"-",ROUNDUP(Ld_cal($B68, $C68, $D68, $G68,$E68, $F68, $H68, AA$3)*1.3,0)),"-")</f>
        <v>-</v>
      </c>
      <c r="AB69" s="41" t="str">
        <f>IF($J69=AB$3,IF(AB$3&gt;$I68,"-",ROUNDUP(Ld_cal($B68, $C68, $D68, $G68,$E68, $F68, $H68, AB$3)*1.3,0)),"-")</f>
        <v>-</v>
      </c>
      <c r="AC69" s="41" t="str">
        <f>IF($J69=AC$3,IF(AC$3&gt;$I68,"-",ROUNDUP(Ld_cal($B68, $C68, $D68, $G68,$E68, $F68, $H68, AC$3)*1.3,0)),"-")</f>
        <v>-</v>
      </c>
      <c r="AD69" s="47">
        <f t="shared" ref="AD69" si="63">IF(J69&gt;I68,"依標準圖",MAX(L69:AC69))</f>
        <v>105</v>
      </c>
    </row>
    <row r="70" spans="1:30" s="45" customFormat="1">
      <c r="A70" s="113" t="s">
        <v>66</v>
      </c>
      <c r="B70" s="99">
        <v>120</v>
      </c>
      <c r="C70" s="114">
        <v>7.5</v>
      </c>
      <c r="D70" s="99">
        <v>4200</v>
      </c>
      <c r="E70" s="102">
        <v>13</v>
      </c>
      <c r="F70" s="103">
        <v>10</v>
      </c>
      <c r="G70" s="99">
        <v>350</v>
      </c>
      <c r="H70" s="102">
        <v>32</v>
      </c>
      <c r="I70" s="104">
        <f>ROUNDDOWN(($B70-2*$C70-2*$E70/10-$H70/10)/(($D$1+1)*$H70/10),0)+1</f>
        <v>16</v>
      </c>
      <c r="J70" s="42">
        <v>5</v>
      </c>
      <c r="K70" s="43" t="s">
        <v>30</v>
      </c>
      <c r="L70" s="44" t="str">
        <f>IF($J70=L$3,IF(L$3&gt;$I70,"-",ROUNDUP(Ld_cal($B70, $C70, $D70, $G70,$E70, $F70, $H70, L$3)*1.3*1.3,0)),"-")</f>
        <v>-</v>
      </c>
      <c r="M70" s="44" t="str">
        <f>IF($J70=M$3,IF(M$3&gt;$I70,"-",ROUNDUP(Ld_cal($B70, $C70, $D70, $G70,$E70, $F70, $H70, M$3)*1.3*1.3,0)),"-")</f>
        <v>-</v>
      </c>
      <c r="N70" s="44">
        <f>IF($J70=N$3,IF(N$3&gt;$I70,"-",ROUNDUP(Ld_cal($B70, $C70, $D70, $G70,$E70, $F70, $H70, N$3)*1.3*1.3,0)),"-")</f>
        <v>136</v>
      </c>
      <c r="O70" s="44" t="str">
        <f>IF($J70=O$3,IF(O$3&gt;$I70,"-",ROUNDUP(Ld_cal($B70, $C70, $D70, $G70,$E70, $F70, $H70, O$3)*1.3*1.3,0)),"-")</f>
        <v>-</v>
      </c>
      <c r="P70" s="44" t="str">
        <f>IF($J70=P$3,IF(P$3&gt;$I70,"-",ROUNDUP(Ld_cal($B70, $C70, $D70, $G70,$E70, $F70, $H70, P$3)*1.3*1.3,0)),"-")</f>
        <v>-</v>
      </c>
      <c r="Q70" s="44" t="str">
        <f>IF($J70=Q$3,IF(Q$3&gt;$I70,"-",ROUNDUP(Ld_cal($B70, $C70, $D70, $G70,$E70, $F70, $H70, Q$3)*1.3*1.3,0)),"-")</f>
        <v>-</v>
      </c>
      <c r="R70" s="44" t="str">
        <f>IF($J70=R$3,IF(R$3&gt;$I70,"-",ROUNDUP(Ld_cal($B70, $C70, $D70, $G70,$E70, $F70, $H70, R$3)*1.3*1.3,0)),"-")</f>
        <v>-</v>
      </c>
      <c r="S70" s="44" t="str">
        <f>IF($J70=S$3,IF(S$3&gt;$I70,"-",ROUNDUP(Ld_cal($B70, $C70, $D70, $G70,$E70, $F70, $H70, S$3)*1.3*1.3,0)),"-")</f>
        <v>-</v>
      </c>
      <c r="T70" s="44" t="str">
        <f>IF($J70=T$3,IF(T$3&gt;$I70,"-",ROUNDUP(Ld_cal($B70, $C70, $D70, $G70,$E70, $F70, $H70, T$3)*1.3*1.3,0)),"-")</f>
        <v>-</v>
      </c>
      <c r="U70" s="44" t="str">
        <f>IF($J70=U$3,IF(U$3&gt;$I70,"-",ROUNDUP(Ld_cal($B70, $C70, $D70, $G70,$E70, $F70, $H70, U$3)*1.3*1.3,0)),"-")</f>
        <v>-</v>
      </c>
      <c r="V70" s="44" t="str">
        <f>IF($J70=V$3,IF(V$3&gt;$I70,"-",ROUNDUP(Ld_cal($B70, $C70, $D70, $G70,$E70, $F70, $H70, V$3)*1.3*1.3,0)),"-")</f>
        <v>-</v>
      </c>
      <c r="W70" s="44" t="str">
        <f>IF($J70=W$3,IF(W$3&gt;$I70,"-",ROUNDUP(Ld_cal($B70, $C70, $D70, $G70,$E70, $F70, $H70, W$3)*1.3*1.3,0)),"-")</f>
        <v>-</v>
      </c>
      <c r="X70" s="44" t="str">
        <f>IF($J70=X$3,IF(X$3&gt;$I70,"-",ROUNDUP(Ld_cal($B70, $C70, $D70, $G70,$E70, $F70, $H70, X$3)*1.3*1.3,0)),"-")</f>
        <v>-</v>
      </c>
      <c r="Y70" s="44" t="str">
        <f>IF($J70=Y$3,IF(Y$3&gt;$I70,"-",ROUNDUP(Ld_cal($B70, $C70, $D70, $G70,$E70, $F70, $H70, Y$3)*1.3*1.3,0)),"-")</f>
        <v>-</v>
      </c>
      <c r="Z70" s="44" t="str">
        <f>IF($J70=Z$3,IF(Z$3&gt;$I70,"-",ROUNDUP(Ld_cal($B70, $C70, $D70, $G70,$E70, $F70, $H70, Z$3)*1.3*1.3,0)),"-")</f>
        <v>-</v>
      </c>
      <c r="AA70" s="44" t="str">
        <f>IF($J70=AA$3,IF(AA$3&gt;$I70,"-",ROUNDUP(Ld_cal($B70, $C70, $D70, $G70,$E70, $F70, $H70, AA$3)*1.3*1.3,0)),"-")</f>
        <v>-</v>
      </c>
      <c r="AB70" s="44" t="str">
        <f>IF($J70=AB$3,IF(AB$3&gt;$I70,"-",ROUNDUP(Ld_cal($B70, $C70, $D70, $G70,$E70, $F70, $H70, AB$3)*1.3*1.3,0)),"-")</f>
        <v>-</v>
      </c>
      <c r="AC70" s="44" t="str">
        <f>IF($J70=AC$3,IF(AC$3&gt;$I70,"-",ROUNDUP(Ld_cal($B70, $C70, $D70, $G70,$E70, $F70, $H70, AC$3)*1.3*1.3,0)),"-")</f>
        <v>-</v>
      </c>
      <c r="AD70" s="46">
        <f t="shared" ref="AD70" si="64">IF(J70&gt;I70,"依標準圖",MAX(L70:AC70))</f>
        <v>136</v>
      </c>
    </row>
    <row r="71" spans="1:30" s="45" customFormat="1">
      <c r="A71" s="113"/>
      <c r="B71" s="99"/>
      <c r="C71" s="114"/>
      <c r="D71" s="99"/>
      <c r="E71" s="102"/>
      <c r="F71" s="103"/>
      <c r="G71" s="99"/>
      <c r="H71" s="102"/>
      <c r="I71" s="104"/>
      <c r="J71" s="42">
        <v>5</v>
      </c>
      <c r="K71" s="43" t="s">
        <v>29</v>
      </c>
      <c r="L71" s="44" t="str">
        <f>IF($J71=L$3,IF(L$3&gt;$I70,"-",ROUNDUP(Ld_cal($B70, $C70, $D70, $G70,$E70, $F70, $H70, L$3)*1.3,0)),"-")</f>
        <v>-</v>
      </c>
      <c r="M71" s="44" t="str">
        <f>IF($J71=M$3,IF(M$3&gt;$I70,"-",ROUNDUP(Ld_cal($B70, $C70, $D70, $G70,$E70, $F70, $H70, M$3)*1.3,0)),"-")</f>
        <v>-</v>
      </c>
      <c r="N71" s="44">
        <f>IF($J71=N$3,IF(N$3&gt;$I70,"-",ROUNDUP(Ld_cal($B70, $C70, $D70, $G70,$E70, $F70, $H70, N$3)*1.3,0)),"-")</f>
        <v>105</v>
      </c>
      <c r="O71" s="44" t="str">
        <f>IF($J71=O$3,IF(O$3&gt;$I70,"-",ROUNDUP(Ld_cal($B70, $C70, $D70, $G70,$E70, $F70, $H70, O$3)*1.3,0)),"-")</f>
        <v>-</v>
      </c>
      <c r="P71" s="44" t="str">
        <f>IF($J71=P$3,IF(P$3&gt;$I70,"-",ROUNDUP(Ld_cal($B70, $C70, $D70, $G70,$E70, $F70, $H70, P$3)*1.3,0)),"-")</f>
        <v>-</v>
      </c>
      <c r="Q71" s="44" t="str">
        <f>IF($J71=Q$3,IF(Q$3&gt;$I70,"-",ROUNDUP(Ld_cal($B70, $C70, $D70, $G70,$E70, $F70, $H70, Q$3)*1.3,0)),"-")</f>
        <v>-</v>
      </c>
      <c r="R71" s="44" t="str">
        <f>IF($J71=R$3,IF(R$3&gt;$I70,"-",ROUNDUP(Ld_cal($B70, $C70, $D70, $G70,$E70, $F70, $H70, R$3)*1.3,0)),"-")</f>
        <v>-</v>
      </c>
      <c r="S71" s="44" t="str">
        <f>IF($J71=S$3,IF(S$3&gt;$I70,"-",ROUNDUP(Ld_cal($B70, $C70, $D70, $G70,$E70, $F70, $H70, S$3)*1.3,0)),"-")</f>
        <v>-</v>
      </c>
      <c r="T71" s="44" t="str">
        <f>IF($J71=T$3,IF(T$3&gt;$I70,"-",ROUNDUP(Ld_cal($B70, $C70, $D70, $G70,$E70, $F70, $H70, T$3)*1.3,0)),"-")</f>
        <v>-</v>
      </c>
      <c r="U71" s="44" t="str">
        <f>IF($J71=U$3,IF(U$3&gt;$I70,"-",ROUNDUP(Ld_cal($B70, $C70, $D70, $G70,$E70, $F70, $H70, U$3)*1.3,0)),"-")</f>
        <v>-</v>
      </c>
      <c r="V71" s="44" t="str">
        <f>IF($J71=V$3,IF(V$3&gt;$I70,"-",ROUNDUP(Ld_cal($B70, $C70, $D70, $G70,$E70, $F70, $H70, V$3)*1.3,0)),"-")</f>
        <v>-</v>
      </c>
      <c r="W71" s="44" t="str">
        <f>IF($J71=W$3,IF(W$3&gt;$I70,"-",ROUNDUP(Ld_cal($B70, $C70, $D70, $G70,$E70, $F70, $H70, W$3)*1.3,0)),"-")</f>
        <v>-</v>
      </c>
      <c r="X71" s="44" t="str">
        <f>IF($J71=X$3,IF(X$3&gt;$I70,"-",ROUNDUP(Ld_cal($B70, $C70, $D70, $G70,$E70, $F70, $H70, X$3)*1.3,0)),"-")</f>
        <v>-</v>
      </c>
      <c r="Y71" s="44" t="str">
        <f>IF($J71=Y$3,IF(Y$3&gt;$I70,"-",ROUNDUP(Ld_cal($B70, $C70, $D70, $G70,$E70, $F70, $H70, Y$3)*1.3,0)),"-")</f>
        <v>-</v>
      </c>
      <c r="Z71" s="44" t="str">
        <f>IF($J71=Z$3,IF(Z$3&gt;$I70,"-",ROUNDUP(Ld_cal($B70, $C70, $D70, $G70,$E70, $F70, $H70, Z$3)*1.3,0)),"-")</f>
        <v>-</v>
      </c>
      <c r="AA71" s="44" t="str">
        <f>IF($J71=AA$3,IF(AA$3&gt;$I70,"-",ROUNDUP(Ld_cal($B70, $C70, $D70, $G70,$E70, $F70, $H70, AA$3)*1.3,0)),"-")</f>
        <v>-</v>
      </c>
      <c r="AB71" s="44" t="str">
        <f>IF($J71=AB$3,IF(AB$3&gt;$I70,"-",ROUNDUP(Ld_cal($B70, $C70, $D70, $G70,$E70, $F70, $H70, AB$3)*1.3,0)),"-")</f>
        <v>-</v>
      </c>
      <c r="AC71" s="44" t="str">
        <f>IF($J71=AC$3,IF(AC$3&gt;$I70,"-",ROUNDUP(Ld_cal($B70, $C70, $D70, $G70,$E70, $F70, $H70, AC$3)*1.3,0)),"-")</f>
        <v>-</v>
      </c>
      <c r="AD71" s="46">
        <f t="shared" ref="AD71" si="65">IF(J71&gt;I70,"依標準圖",MAX(L71:AC71))</f>
        <v>105</v>
      </c>
    </row>
    <row r="72" spans="1:30">
      <c r="A72" s="112" t="s">
        <v>67</v>
      </c>
      <c r="B72" s="107">
        <v>120</v>
      </c>
      <c r="C72" s="108">
        <v>7.5</v>
      </c>
      <c r="D72" s="107">
        <v>4200</v>
      </c>
      <c r="E72" s="109">
        <v>13</v>
      </c>
      <c r="F72" s="110">
        <v>10</v>
      </c>
      <c r="G72" s="107">
        <v>350</v>
      </c>
      <c r="H72" s="109">
        <v>32</v>
      </c>
      <c r="I72" s="111">
        <f>ROUNDDOWN(($B72-2*$C72-2*$E72/10-$H72/10)/(($D$1+1)*$H72/10),0)+1</f>
        <v>16</v>
      </c>
      <c r="J72" s="39">
        <v>6</v>
      </c>
      <c r="K72" s="40" t="s">
        <v>30</v>
      </c>
      <c r="L72" s="41" t="str">
        <f>IF($J72=L$3,IF(L$3&gt;$I72,"-",ROUNDUP(Ld_cal($B72, $C72, $D72, $G72,$E72, $F72, $H72, L$3)*1.3*1.3,0)),"-")</f>
        <v>-</v>
      </c>
      <c r="M72" s="41" t="str">
        <f>IF($J72=M$3,IF(M$3&gt;$I72,"-",ROUNDUP(Ld_cal($B72, $C72, $D72, $G72,$E72, $F72, $H72, M$3)*1.3*1.3,0)),"-")</f>
        <v>-</v>
      </c>
      <c r="N72" s="41" t="str">
        <f>IF($J72=N$3,IF(N$3&gt;$I72,"-",ROUNDUP(Ld_cal($B72, $C72, $D72, $G72,$E72, $F72, $H72, N$3)*1.3*1.3,0)),"-")</f>
        <v>-</v>
      </c>
      <c r="O72" s="41">
        <f>IF($J72=O$3,IF(O$3&gt;$I72,"-",ROUNDUP(Ld_cal($B72, $C72, $D72, $G72,$E72, $F72, $H72, O$3)*1.3*1.3,0)),"-")</f>
        <v>136</v>
      </c>
      <c r="P72" s="41" t="str">
        <f>IF($J72=P$3,IF(P$3&gt;$I72,"-",ROUNDUP(Ld_cal($B72, $C72, $D72, $G72,$E72, $F72, $H72, P$3)*1.3*1.3,0)),"-")</f>
        <v>-</v>
      </c>
      <c r="Q72" s="41" t="str">
        <f>IF($J72=Q$3,IF(Q$3&gt;$I72,"-",ROUNDUP(Ld_cal($B72, $C72, $D72, $G72,$E72, $F72, $H72, Q$3)*1.3*1.3,0)),"-")</f>
        <v>-</v>
      </c>
      <c r="R72" s="41" t="str">
        <f>IF($J72=R$3,IF(R$3&gt;$I72,"-",ROUNDUP(Ld_cal($B72, $C72, $D72, $G72,$E72, $F72, $H72, R$3)*1.3*1.3,0)),"-")</f>
        <v>-</v>
      </c>
      <c r="S72" s="41" t="str">
        <f>IF($J72=S$3,IF(S$3&gt;$I72,"-",ROUNDUP(Ld_cal($B72, $C72, $D72, $G72,$E72, $F72, $H72, S$3)*1.3*1.3,0)),"-")</f>
        <v>-</v>
      </c>
      <c r="T72" s="41" t="str">
        <f>IF($J72=T$3,IF(T$3&gt;$I72,"-",ROUNDUP(Ld_cal($B72, $C72, $D72, $G72,$E72, $F72, $H72, T$3)*1.3*1.3,0)),"-")</f>
        <v>-</v>
      </c>
      <c r="U72" s="41" t="str">
        <f>IF($J72=U$3,IF(U$3&gt;$I72,"-",ROUNDUP(Ld_cal($B72, $C72, $D72, $G72,$E72, $F72, $H72, U$3)*1.3*1.3,0)),"-")</f>
        <v>-</v>
      </c>
      <c r="V72" s="41" t="str">
        <f>IF($J72=V$3,IF(V$3&gt;$I72,"-",ROUNDUP(Ld_cal($B72, $C72, $D72, $G72,$E72, $F72, $H72, V$3)*1.3*1.3,0)),"-")</f>
        <v>-</v>
      </c>
      <c r="W72" s="41" t="str">
        <f>IF($J72=W$3,IF(W$3&gt;$I72,"-",ROUNDUP(Ld_cal($B72, $C72, $D72, $G72,$E72, $F72, $H72, W$3)*1.3*1.3,0)),"-")</f>
        <v>-</v>
      </c>
      <c r="X72" s="41" t="str">
        <f>IF($J72=X$3,IF(X$3&gt;$I72,"-",ROUNDUP(Ld_cal($B72, $C72, $D72, $G72,$E72, $F72, $H72, X$3)*1.3*1.3,0)),"-")</f>
        <v>-</v>
      </c>
      <c r="Y72" s="41" t="str">
        <f>IF($J72=Y$3,IF(Y$3&gt;$I72,"-",ROUNDUP(Ld_cal($B72, $C72, $D72, $G72,$E72, $F72, $H72, Y$3)*1.3*1.3,0)),"-")</f>
        <v>-</v>
      </c>
      <c r="Z72" s="41" t="str">
        <f>IF($J72=Z$3,IF(Z$3&gt;$I72,"-",ROUNDUP(Ld_cal($B72, $C72, $D72, $G72,$E72, $F72, $H72, Z$3)*1.3*1.3,0)),"-")</f>
        <v>-</v>
      </c>
      <c r="AA72" s="41" t="str">
        <f>IF($J72=AA$3,IF(AA$3&gt;$I72,"-",ROUNDUP(Ld_cal($B72, $C72, $D72, $G72,$E72, $F72, $H72, AA$3)*1.3*1.3,0)),"-")</f>
        <v>-</v>
      </c>
      <c r="AB72" s="41" t="str">
        <f>IF($J72=AB$3,IF(AB$3&gt;$I72,"-",ROUNDUP(Ld_cal($B72, $C72, $D72, $G72,$E72, $F72, $H72, AB$3)*1.3*1.3,0)),"-")</f>
        <v>-</v>
      </c>
      <c r="AC72" s="41" t="str">
        <f>IF($J72=AC$3,IF(AC$3&gt;$I72,"-",ROUNDUP(Ld_cal($B72, $C72, $D72, $G72,$E72, $F72, $H72, AC$3)*1.3*1.3,0)),"-")</f>
        <v>-</v>
      </c>
      <c r="AD72" s="47">
        <f t="shared" ref="AD72" si="66">IF(J72&gt;I72,"依標準圖",MAX(L72:AC72))</f>
        <v>136</v>
      </c>
    </row>
    <row r="73" spans="1:30">
      <c r="A73" s="112"/>
      <c r="B73" s="107"/>
      <c r="C73" s="108"/>
      <c r="D73" s="107"/>
      <c r="E73" s="109"/>
      <c r="F73" s="110"/>
      <c r="G73" s="107"/>
      <c r="H73" s="109"/>
      <c r="I73" s="111"/>
      <c r="J73" s="39">
        <v>5</v>
      </c>
      <c r="K73" s="40" t="s">
        <v>29</v>
      </c>
      <c r="L73" s="41" t="str">
        <f>IF($J73=L$3,IF(L$3&gt;$I72,"-",ROUNDUP(Ld_cal($B72, $C72, $D72, $G72,$E72, $F72, $H72, L$3)*1.3,0)),"-")</f>
        <v>-</v>
      </c>
      <c r="M73" s="41" t="str">
        <f>IF($J73=M$3,IF(M$3&gt;$I72,"-",ROUNDUP(Ld_cal($B72, $C72, $D72, $G72,$E72, $F72, $H72, M$3)*1.3,0)),"-")</f>
        <v>-</v>
      </c>
      <c r="N73" s="41">
        <f>IF($J73=N$3,IF(N$3&gt;$I72,"-",ROUNDUP(Ld_cal($B72, $C72, $D72, $G72,$E72, $F72, $H72, N$3)*1.3,0)),"-")</f>
        <v>105</v>
      </c>
      <c r="O73" s="41" t="str">
        <f>IF($J73=O$3,IF(O$3&gt;$I72,"-",ROUNDUP(Ld_cal($B72, $C72, $D72, $G72,$E72, $F72, $H72, O$3)*1.3,0)),"-")</f>
        <v>-</v>
      </c>
      <c r="P73" s="41" t="str">
        <f>IF($J73=P$3,IF(P$3&gt;$I72,"-",ROUNDUP(Ld_cal($B72, $C72, $D72, $G72,$E72, $F72, $H72, P$3)*1.3,0)),"-")</f>
        <v>-</v>
      </c>
      <c r="Q73" s="41" t="str">
        <f>IF($J73=Q$3,IF(Q$3&gt;$I72,"-",ROUNDUP(Ld_cal($B72, $C72, $D72, $G72,$E72, $F72, $H72, Q$3)*1.3,0)),"-")</f>
        <v>-</v>
      </c>
      <c r="R73" s="41" t="str">
        <f>IF($J73=R$3,IF(R$3&gt;$I72,"-",ROUNDUP(Ld_cal($B72, $C72, $D72, $G72,$E72, $F72, $H72, R$3)*1.3,0)),"-")</f>
        <v>-</v>
      </c>
      <c r="S73" s="41" t="str">
        <f>IF($J73=S$3,IF(S$3&gt;$I72,"-",ROUNDUP(Ld_cal($B72, $C72, $D72, $G72,$E72, $F72, $H72, S$3)*1.3,0)),"-")</f>
        <v>-</v>
      </c>
      <c r="T73" s="41" t="str">
        <f>IF($J73=T$3,IF(T$3&gt;$I72,"-",ROUNDUP(Ld_cal($B72, $C72, $D72, $G72,$E72, $F72, $H72, T$3)*1.3,0)),"-")</f>
        <v>-</v>
      </c>
      <c r="U73" s="41" t="str">
        <f>IF($J73=U$3,IF(U$3&gt;$I72,"-",ROUNDUP(Ld_cal($B72, $C72, $D72, $G72,$E72, $F72, $H72, U$3)*1.3,0)),"-")</f>
        <v>-</v>
      </c>
      <c r="V73" s="41" t="str">
        <f>IF($J73=V$3,IF(V$3&gt;$I72,"-",ROUNDUP(Ld_cal($B72, $C72, $D72, $G72,$E72, $F72, $H72, V$3)*1.3,0)),"-")</f>
        <v>-</v>
      </c>
      <c r="W73" s="41" t="str">
        <f>IF($J73=W$3,IF(W$3&gt;$I72,"-",ROUNDUP(Ld_cal($B72, $C72, $D72, $G72,$E72, $F72, $H72, W$3)*1.3,0)),"-")</f>
        <v>-</v>
      </c>
      <c r="X73" s="41" t="str">
        <f>IF($J73=X$3,IF(X$3&gt;$I72,"-",ROUNDUP(Ld_cal($B72, $C72, $D72, $G72,$E72, $F72, $H72, X$3)*1.3,0)),"-")</f>
        <v>-</v>
      </c>
      <c r="Y73" s="41" t="str">
        <f>IF($J73=Y$3,IF(Y$3&gt;$I72,"-",ROUNDUP(Ld_cal($B72, $C72, $D72, $G72,$E72, $F72, $H72, Y$3)*1.3,0)),"-")</f>
        <v>-</v>
      </c>
      <c r="Z73" s="41" t="str">
        <f>IF($J73=Z$3,IF(Z$3&gt;$I72,"-",ROUNDUP(Ld_cal($B72, $C72, $D72, $G72,$E72, $F72, $H72, Z$3)*1.3,0)),"-")</f>
        <v>-</v>
      </c>
      <c r="AA73" s="41" t="str">
        <f>IF($J73=AA$3,IF(AA$3&gt;$I72,"-",ROUNDUP(Ld_cal($B72, $C72, $D72, $G72,$E72, $F72, $H72, AA$3)*1.3,0)),"-")</f>
        <v>-</v>
      </c>
      <c r="AB73" s="41" t="str">
        <f>IF($J73=AB$3,IF(AB$3&gt;$I72,"-",ROUNDUP(Ld_cal($B72, $C72, $D72, $G72,$E72, $F72, $H72, AB$3)*1.3,0)),"-")</f>
        <v>-</v>
      </c>
      <c r="AC73" s="41" t="str">
        <f>IF($J73=AC$3,IF(AC$3&gt;$I72,"-",ROUNDUP(Ld_cal($B72, $C72, $D72, $G72,$E72, $F72, $H72, AC$3)*1.3,0)),"-")</f>
        <v>-</v>
      </c>
      <c r="AD73" s="47">
        <f t="shared" ref="AD73" si="67">IF(J73&gt;I72,"依標準圖",MAX(L73:AC73))</f>
        <v>105</v>
      </c>
    </row>
    <row r="74" spans="1:30" s="45" customFormat="1">
      <c r="A74" s="113" t="s">
        <v>68</v>
      </c>
      <c r="B74" s="99">
        <v>120</v>
      </c>
      <c r="C74" s="114">
        <v>7.5</v>
      </c>
      <c r="D74" s="99">
        <v>4200</v>
      </c>
      <c r="E74" s="102">
        <v>13</v>
      </c>
      <c r="F74" s="103">
        <v>10</v>
      </c>
      <c r="G74" s="99">
        <v>350</v>
      </c>
      <c r="H74" s="102">
        <v>32</v>
      </c>
      <c r="I74" s="104">
        <f>ROUNDDOWN(($B74-2*$C74-2*$E74/10-$H74/10)/(($D$1+1)*$H74/10),0)+1</f>
        <v>16</v>
      </c>
      <c r="J74" s="42">
        <v>5</v>
      </c>
      <c r="K74" s="43" t="s">
        <v>30</v>
      </c>
      <c r="L74" s="44" t="str">
        <f>IF($J74=L$3,IF(L$3&gt;$I74,"-",ROUNDUP(Ld_cal($B74, $C74, $D74, $G74,$E74, $F74, $H74, L$3)*1.3*1.3,0)),"-")</f>
        <v>-</v>
      </c>
      <c r="M74" s="44" t="str">
        <f>IF($J74=M$3,IF(M$3&gt;$I74,"-",ROUNDUP(Ld_cal($B74, $C74, $D74, $G74,$E74, $F74, $H74, M$3)*1.3*1.3,0)),"-")</f>
        <v>-</v>
      </c>
      <c r="N74" s="44">
        <f>IF($J74=N$3,IF(N$3&gt;$I74,"-",ROUNDUP(Ld_cal($B74, $C74, $D74, $G74,$E74, $F74, $H74, N$3)*1.3*1.3,0)),"-")</f>
        <v>136</v>
      </c>
      <c r="O74" s="44" t="str">
        <f>IF($J74=O$3,IF(O$3&gt;$I74,"-",ROUNDUP(Ld_cal($B74, $C74, $D74, $G74,$E74, $F74, $H74, O$3)*1.3*1.3,0)),"-")</f>
        <v>-</v>
      </c>
      <c r="P74" s="44" t="str">
        <f>IF($J74=P$3,IF(P$3&gt;$I74,"-",ROUNDUP(Ld_cal($B74, $C74, $D74, $G74,$E74, $F74, $H74, P$3)*1.3*1.3,0)),"-")</f>
        <v>-</v>
      </c>
      <c r="Q74" s="44" t="str">
        <f>IF($J74=Q$3,IF(Q$3&gt;$I74,"-",ROUNDUP(Ld_cal($B74, $C74, $D74, $G74,$E74, $F74, $H74, Q$3)*1.3*1.3,0)),"-")</f>
        <v>-</v>
      </c>
      <c r="R74" s="44" t="str">
        <f>IF($J74=R$3,IF(R$3&gt;$I74,"-",ROUNDUP(Ld_cal($B74, $C74, $D74, $G74,$E74, $F74, $H74, R$3)*1.3*1.3,0)),"-")</f>
        <v>-</v>
      </c>
      <c r="S74" s="44" t="str">
        <f>IF($J74=S$3,IF(S$3&gt;$I74,"-",ROUNDUP(Ld_cal($B74, $C74, $D74, $G74,$E74, $F74, $H74, S$3)*1.3*1.3,0)),"-")</f>
        <v>-</v>
      </c>
      <c r="T74" s="44" t="str">
        <f>IF($J74=T$3,IF(T$3&gt;$I74,"-",ROUNDUP(Ld_cal($B74, $C74, $D74, $G74,$E74, $F74, $H74, T$3)*1.3*1.3,0)),"-")</f>
        <v>-</v>
      </c>
      <c r="U74" s="44" t="str">
        <f>IF($J74=U$3,IF(U$3&gt;$I74,"-",ROUNDUP(Ld_cal($B74, $C74, $D74, $G74,$E74, $F74, $H74, U$3)*1.3*1.3,0)),"-")</f>
        <v>-</v>
      </c>
      <c r="V74" s="44" t="str">
        <f>IF($J74=V$3,IF(V$3&gt;$I74,"-",ROUNDUP(Ld_cal($B74, $C74, $D74, $G74,$E74, $F74, $H74, V$3)*1.3*1.3,0)),"-")</f>
        <v>-</v>
      </c>
      <c r="W74" s="44" t="str">
        <f>IF($J74=W$3,IF(W$3&gt;$I74,"-",ROUNDUP(Ld_cal($B74, $C74, $D74, $G74,$E74, $F74, $H74, W$3)*1.3*1.3,0)),"-")</f>
        <v>-</v>
      </c>
      <c r="X74" s="44" t="str">
        <f>IF($J74=X$3,IF(X$3&gt;$I74,"-",ROUNDUP(Ld_cal($B74, $C74, $D74, $G74,$E74, $F74, $H74, X$3)*1.3*1.3,0)),"-")</f>
        <v>-</v>
      </c>
      <c r="Y74" s="44" t="str">
        <f>IF($J74=Y$3,IF(Y$3&gt;$I74,"-",ROUNDUP(Ld_cal($B74, $C74, $D74, $G74,$E74, $F74, $H74, Y$3)*1.3*1.3,0)),"-")</f>
        <v>-</v>
      </c>
      <c r="Z74" s="44" t="str">
        <f>IF($J74=Z$3,IF(Z$3&gt;$I74,"-",ROUNDUP(Ld_cal($B74, $C74, $D74, $G74,$E74, $F74, $H74, Z$3)*1.3*1.3,0)),"-")</f>
        <v>-</v>
      </c>
      <c r="AA74" s="44" t="str">
        <f>IF($J74=AA$3,IF(AA$3&gt;$I74,"-",ROUNDUP(Ld_cal($B74, $C74, $D74, $G74,$E74, $F74, $H74, AA$3)*1.3*1.3,0)),"-")</f>
        <v>-</v>
      </c>
      <c r="AB74" s="44" t="str">
        <f>IF($J74=AB$3,IF(AB$3&gt;$I74,"-",ROUNDUP(Ld_cal($B74, $C74, $D74, $G74,$E74, $F74, $H74, AB$3)*1.3*1.3,0)),"-")</f>
        <v>-</v>
      </c>
      <c r="AC74" s="44" t="str">
        <f>IF($J74=AC$3,IF(AC$3&gt;$I74,"-",ROUNDUP(Ld_cal($B74, $C74, $D74, $G74,$E74, $F74, $H74, AC$3)*1.3*1.3,0)),"-")</f>
        <v>-</v>
      </c>
      <c r="AD74" s="46">
        <f t="shared" ref="AD74" si="68">IF(J74&gt;I74,"依標準圖",MAX(L74:AC74))</f>
        <v>136</v>
      </c>
    </row>
    <row r="75" spans="1:30" s="45" customFormat="1">
      <c r="A75" s="113"/>
      <c r="B75" s="99"/>
      <c r="C75" s="114"/>
      <c r="D75" s="99"/>
      <c r="E75" s="102"/>
      <c r="F75" s="103"/>
      <c r="G75" s="99"/>
      <c r="H75" s="102"/>
      <c r="I75" s="104"/>
      <c r="J75" s="42">
        <v>6</v>
      </c>
      <c r="K75" s="43" t="s">
        <v>29</v>
      </c>
      <c r="L75" s="44" t="str">
        <f>IF($J75=L$3,IF(L$3&gt;$I74,"-",ROUNDUP(Ld_cal($B74, $C74, $D74, $G74,$E74, $F74, $H74, L$3)*1.3,0)),"-")</f>
        <v>-</v>
      </c>
      <c r="M75" s="44" t="str">
        <f>IF($J75=M$3,IF(M$3&gt;$I74,"-",ROUNDUP(Ld_cal($B74, $C74, $D74, $G74,$E74, $F74, $H74, M$3)*1.3,0)),"-")</f>
        <v>-</v>
      </c>
      <c r="N75" s="44" t="str">
        <f>IF($J75=N$3,IF(N$3&gt;$I74,"-",ROUNDUP(Ld_cal($B74, $C74, $D74, $G74,$E74, $F74, $H74, N$3)*1.3,0)),"-")</f>
        <v>-</v>
      </c>
      <c r="O75" s="44">
        <f>IF($J75=O$3,IF(O$3&gt;$I74,"-",ROUNDUP(Ld_cal($B74, $C74, $D74, $G74,$E74, $F74, $H74, O$3)*1.3,0)),"-")</f>
        <v>105</v>
      </c>
      <c r="P75" s="44" t="str">
        <f>IF($J75=P$3,IF(P$3&gt;$I74,"-",ROUNDUP(Ld_cal($B74, $C74, $D74, $G74,$E74, $F74, $H74, P$3)*1.3,0)),"-")</f>
        <v>-</v>
      </c>
      <c r="Q75" s="44" t="str">
        <f>IF($J75=Q$3,IF(Q$3&gt;$I74,"-",ROUNDUP(Ld_cal($B74, $C74, $D74, $G74,$E74, $F74, $H74, Q$3)*1.3,0)),"-")</f>
        <v>-</v>
      </c>
      <c r="R75" s="44" t="str">
        <f>IF($J75=R$3,IF(R$3&gt;$I74,"-",ROUNDUP(Ld_cal($B74, $C74, $D74, $G74,$E74, $F74, $H74, R$3)*1.3,0)),"-")</f>
        <v>-</v>
      </c>
      <c r="S75" s="44" t="str">
        <f>IF($J75=S$3,IF(S$3&gt;$I74,"-",ROUNDUP(Ld_cal($B74, $C74, $D74, $G74,$E74, $F74, $H74, S$3)*1.3,0)),"-")</f>
        <v>-</v>
      </c>
      <c r="T75" s="44" t="str">
        <f>IF($J75=T$3,IF(T$3&gt;$I74,"-",ROUNDUP(Ld_cal($B74, $C74, $D74, $G74,$E74, $F74, $H74, T$3)*1.3,0)),"-")</f>
        <v>-</v>
      </c>
      <c r="U75" s="44" t="str">
        <f>IF($J75=U$3,IF(U$3&gt;$I74,"-",ROUNDUP(Ld_cal($B74, $C74, $D74, $G74,$E74, $F74, $H74, U$3)*1.3,0)),"-")</f>
        <v>-</v>
      </c>
      <c r="V75" s="44" t="str">
        <f>IF($J75=V$3,IF(V$3&gt;$I74,"-",ROUNDUP(Ld_cal($B74, $C74, $D74, $G74,$E74, $F74, $H74, V$3)*1.3,0)),"-")</f>
        <v>-</v>
      </c>
      <c r="W75" s="44" t="str">
        <f>IF($J75=W$3,IF(W$3&gt;$I74,"-",ROUNDUP(Ld_cal($B74, $C74, $D74, $G74,$E74, $F74, $H74, W$3)*1.3,0)),"-")</f>
        <v>-</v>
      </c>
      <c r="X75" s="44" t="str">
        <f>IF($J75=X$3,IF(X$3&gt;$I74,"-",ROUNDUP(Ld_cal($B74, $C74, $D74, $G74,$E74, $F74, $H74, X$3)*1.3,0)),"-")</f>
        <v>-</v>
      </c>
      <c r="Y75" s="44" t="str">
        <f>IF($J75=Y$3,IF(Y$3&gt;$I74,"-",ROUNDUP(Ld_cal($B74, $C74, $D74, $G74,$E74, $F74, $H74, Y$3)*1.3,0)),"-")</f>
        <v>-</v>
      </c>
      <c r="Z75" s="44" t="str">
        <f>IF($J75=Z$3,IF(Z$3&gt;$I74,"-",ROUNDUP(Ld_cal($B74, $C74, $D74, $G74,$E74, $F74, $H74, Z$3)*1.3,0)),"-")</f>
        <v>-</v>
      </c>
      <c r="AA75" s="44" t="str">
        <f>IF($J75=AA$3,IF(AA$3&gt;$I74,"-",ROUNDUP(Ld_cal($B74, $C74, $D74, $G74,$E74, $F74, $H74, AA$3)*1.3,0)),"-")</f>
        <v>-</v>
      </c>
      <c r="AB75" s="44" t="str">
        <f>IF($J75=AB$3,IF(AB$3&gt;$I74,"-",ROUNDUP(Ld_cal($B74, $C74, $D74, $G74,$E74, $F74, $H74, AB$3)*1.3,0)),"-")</f>
        <v>-</v>
      </c>
      <c r="AC75" s="44" t="str">
        <f>IF($J75=AC$3,IF(AC$3&gt;$I74,"-",ROUNDUP(Ld_cal($B74, $C74, $D74, $G74,$E74, $F74, $H74, AC$3)*1.3,0)),"-")</f>
        <v>-</v>
      </c>
      <c r="AD75" s="46">
        <f t="shared" ref="AD75" si="69">IF(J75&gt;I74,"依標準圖",MAX(L75:AC75))</f>
        <v>105</v>
      </c>
    </row>
    <row r="76" spans="1:30">
      <c r="A76" s="112" t="s">
        <v>69</v>
      </c>
      <c r="B76" s="107">
        <v>120</v>
      </c>
      <c r="C76" s="108">
        <v>7.5</v>
      </c>
      <c r="D76" s="107">
        <v>4200</v>
      </c>
      <c r="E76" s="109">
        <v>16</v>
      </c>
      <c r="F76" s="110">
        <v>10</v>
      </c>
      <c r="G76" s="107">
        <v>350</v>
      </c>
      <c r="H76" s="109">
        <v>32</v>
      </c>
      <c r="I76" s="111">
        <f>ROUNDDOWN(($B76-2*$C76-2*$E76/10-$H76/10)/(($D$1+1)*$H76/10),0)+1</f>
        <v>16</v>
      </c>
      <c r="J76" s="39">
        <v>12</v>
      </c>
      <c r="K76" s="40" t="s">
        <v>30</v>
      </c>
      <c r="L76" s="41" t="str">
        <f>IF($J76=L$3,IF(L$3&gt;$I76,"-",ROUNDUP(Ld_cal($B76, $C76, $D76, $G76,$E76, $F76, $H76, L$3)*1.3*1.3,0)),"-")</f>
        <v>-</v>
      </c>
      <c r="M76" s="41" t="str">
        <f>IF($J76=M$3,IF(M$3&gt;$I76,"-",ROUNDUP(Ld_cal($B76, $C76, $D76, $G76,$E76, $F76, $H76, M$3)*1.3*1.3,0)),"-")</f>
        <v>-</v>
      </c>
      <c r="N76" s="41" t="str">
        <f>IF($J76=N$3,IF(N$3&gt;$I76,"-",ROUNDUP(Ld_cal($B76, $C76, $D76, $G76,$E76, $F76, $H76, N$3)*1.3*1.3,0)),"-")</f>
        <v>-</v>
      </c>
      <c r="O76" s="41" t="str">
        <f>IF($J76=O$3,IF(O$3&gt;$I76,"-",ROUNDUP(Ld_cal($B76, $C76, $D76, $G76,$E76, $F76, $H76, O$3)*1.3*1.3,0)),"-")</f>
        <v>-</v>
      </c>
      <c r="P76" s="41" t="str">
        <f>IF($J76=P$3,IF(P$3&gt;$I76,"-",ROUNDUP(Ld_cal($B76, $C76, $D76, $G76,$E76, $F76, $H76, P$3)*1.3*1.3,0)),"-")</f>
        <v>-</v>
      </c>
      <c r="Q76" s="41" t="str">
        <f>IF($J76=Q$3,IF(Q$3&gt;$I76,"-",ROUNDUP(Ld_cal($B76, $C76, $D76, $G76,$E76, $F76, $H76, Q$3)*1.3*1.3,0)),"-")</f>
        <v>-</v>
      </c>
      <c r="R76" s="41" t="str">
        <f>IF($J76=R$3,IF(R$3&gt;$I76,"-",ROUNDUP(Ld_cal($B76, $C76, $D76, $G76,$E76, $F76, $H76, R$3)*1.3*1.3,0)),"-")</f>
        <v>-</v>
      </c>
      <c r="S76" s="41" t="str">
        <f>IF($J76=S$3,IF(S$3&gt;$I76,"-",ROUNDUP(Ld_cal($B76, $C76, $D76, $G76,$E76, $F76, $H76, S$3)*1.3*1.3,0)),"-")</f>
        <v>-</v>
      </c>
      <c r="T76" s="41" t="str">
        <f>IF($J76=T$3,IF(T$3&gt;$I76,"-",ROUNDUP(Ld_cal($B76, $C76, $D76, $G76,$E76, $F76, $H76, T$3)*1.3*1.3,0)),"-")</f>
        <v>-</v>
      </c>
      <c r="U76" s="41">
        <f>IF($J76=U$3,IF(U$3&gt;$I76,"-",ROUNDUP(Ld_cal($B76, $C76, $D76, $G76,$E76, $F76, $H76, U$3)*1.3*1.3,0)),"-")</f>
        <v>187</v>
      </c>
      <c r="V76" s="41" t="str">
        <f>IF($J76=V$3,IF(V$3&gt;$I76,"-",ROUNDUP(Ld_cal($B76, $C76, $D76, $G76,$E76, $F76, $H76, V$3)*1.3*1.3,0)),"-")</f>
        <v>-</v>
      </c>
      <c r="W76" s="41" t="str">
        <f>IF($J76=W$3,IF(W$3&gt;$I76,"-",ROUNDUP(Ld_cal($B76, $C76, $D76, $G76,$E76, $F76, $H76, W$3)*1.3*1.3,0)),"-")</f>
        <v>-</v>
      </c>
      <c r="X76" s="41" t="str">
        <f>IF($J76=X$3,IF(X$3&gt;$I76,"-",ROUNDUP(Ld_cal($B76, $C76, $D76, $G76,$E76, $F76, $H76, X$3)*1.3*1.3,0)),"-")</f>
        <v>-</v>
      </c>
      <c r="Y76" s="41" t="str">
        <f>IF($J76=Y$3,IF(Y$3&gt;$I76,"-",ROUNDUP(Ld_cal($B76, $C76, $D76, $G76,$E76, $F76, $H76, Y$3)*1.3*1.3,0)),"-")</f>
        <v>-</v>
      </c>
      <c r="Z76" s="41" t="str">
        <f>IF($J76=Z$3,IF(Z$3&gt;$I76,"-",ROUNDUP(Ld_cal($B76, $C76, $D76, $G76,$E76, $F76, $H76, Z$3)*1.3*1.3,0)),"-")</f>
        <v>-</v>
      </c>
      <c r="AA76" s="41" t="str">
        <f>IF($J76=AA$3,IF(AA$3&gt;$I76,"-",ROUNDUP(Ld_cal($B76, $C76, $D76, $G76,$E76, $F76, $H76, AA$3)*1.3*1.3,0)),"-")</f>
        <v>-</v>
      </c>
      <c r="AB76" s="41" t="str">
        <f>IF($J76=AB$3,IF(AB$3&gt;$I76,"-",ROUNDUP(Ld_cal($B76, $C76, $D76, $G76,$E76, $F76, $H76, AB$3)*1.3*1.3,0)),"-")</f>
        <v>-</v>
      </c>
      <c r="AC76" s="41" t="str">
        <f>IF($J76=AC$3,IF(AC$3&gt;$I76,"-",ROUNDUP(Ld_cal($B76, $C76, $D76, $G76,$E76, $F76, $H76, AC$3)*1.3*1.3,0)),"-")</f>
        <v>-</v>
      </c>
      <c r="AD76" s="47">
        <f t="shared" ref="AD76" si="70">IF(J76&gt;I76,"依標準圖",MAX(L76:AC76))</f>
        <v>187</v>
      </c>
    </row>
    <row r="77" spans="1:30">
      <c r="A77" s="112"/>
      <c r="B77" s="107"/>
      <c r="C77" s="108"/>
      <c r="D77" s="107"/>
      <c r="E77" s="109"/>
      <c r="F77" s="110"/>
      <c r="G77" s="107"/>
      <c r="H77" s="109"/>
      <c r="I77" s="111"/>
      <c r="J77" s="39">
        <v>15</v>
      </c>
      <c r="K77" s="40" t="s">
        <v>29</v>
      </c>
      <c r="L77" s="41" t="str">
        <f>IF($J77=L$3,IF(L$3&gt;$I76,"-",ROUNDUP(Ld_cal($B76, $C76, $D76, $G76,$E76, $F76, $H76, L$3)*1.3,0)),"-")</f>
        <v>-</v>
      </c>
      <c r="M77" s="41" t="str">
        <f>IF($J77=M$3,IF(M$3&gt;$I76,"-",ROUNDUP(Ld_cal($B76, $C76, $D76, $G76,$E76, $F76, $H76, M$3)*1.3,0)),"-")</f>
        <v>-</v>
      </c>
      <c r="N77" s="41" t="str">
        <f>IF($J77=N$3,IF(N$3&gt;$I76,"-",ROUNDUP(Ld_cal($B76, $C76, $D76, $G76,$E76, $F76, $H76, N$3)*1.3,0)),"-")</f>
        <v>-</v>
      </c>
      <c r="O77" s="41" t="str">
        <f>IF($J77=O$3,IF(O$3&gt;$I76,"-",ROUNDUP(Ld_cal($B76, $C76, $D76, $G76,$E76, $F76, $H76, O$3)*1.3,0)),"-")</f>
        <v>-</v>
      </c>
      <c r="P77" s="41" t="str">
        <f>IF($J77=P$3,IF(P$3&gt;$I76,"-",ROUNDUP(Ld_cal($B76, $C76, $D76, $G76,$E76, $F76, $H76, P$3)*1.3,0)),"-")</f>
        <v>-</v>
      </c>
      <c r="Q77" s="41" t="str">
        <f>IF($J77=Q$3,IF(Q$3&gt;$I76,"-",ROUNDUP(Ld_cal($B76, $C76, $D76, $G76,$E76, $F76, $H76, Q$3)*1.3,0)),"-")</f>
        <v>-</v>
      </c>
      <c r="R77" s="41" t="str">
        <f>IF($J77=R$3,IF(R$3&gt;$I76,"-",ROUNDUP(Ld_cal($B76, $C76, $D76, $G76,$E76, $F76, $H76, R$3)*1.3,0)),"-")</f>
        <v>-</v>
      </c>
      <c r="S77" s="41" t="str">
        <f>IF($J77=S$3,IF(S$3&gt;$I76,"-",ROUNDUP(Ld_cal($B76, $C76, $D76, $G76,$E76, $F76, $H76, S$3)*1.3,0)),"-")</f>
        <v>-</v>
      </c>
      <c r="T77" s="41" t="str">
        <f>IF($J77=T$3,IF(T$3&gt;$I76,"-",ROUNDUP(Ld_cal($B76, $C76, $D76, $G76,$E76, $F76, $H76, T$3)*1.3,0)),"-")</f>
        <v>-</v>
      </c>
      <c r="U77" s="41" t="str">
        <f>IF($J77=U$3,IF(U$3&gt;$I76,"-",ROUNDUP(Ld_cal($B76, $C76, $D76, $G76,$E76, $F76, $H76, U$3)*1.3,0)),"-")</f>
        <v>-</v>
      </c>
      <c r="V77" s="41" t="str">
        <f>IF($J77=V$3,IF(V$3&gt;$I76,"-",ROUNDUP(Ld_cal($B76, $C76, $D76, $G76,$E76, $F76, $H76, V$3)*1.3,0)),"-")</f>
        <v>-</v>
      </c>
      <c r="W77" s="41" t="str">
        <f>IF($J77=W$3,IF(W$3&gt;$I76,"-",ROUNDUP(Ld_cal($B76, $C76, $D76, $G76,$E76, $F76, $H76, W$3)*1.3,0)),"-")</f>
        <v>-</v>
      </c>
      <c r="X77" s="41">
        <f>IF($J77=X$3,IF(X$3&gt;$I76,"-",ROUNDUP(Ld_cal($B76, $C76, $D76, $G76,$E76, $F76, $H76, X$3)*1.3,0)),"-")</f>
        <v>183</v>
      </c>
      <c r="Y77" s="41" t="str">
        <f>IF($J77=Y$3,IF(Y$3&gt;$I76,"-",ROUNDUP(Ld_cal($B76, $C76, $D76, $G76,$E76, $F76, $H76, Y$3)*1.3,0)),"-")</f>
        <v>-</v>
      </c>
      <c r="Z77" s="41" t="str">
        <f>IF($J77=Z$3,IF(Z$3&gt;$I76,"-",ROUNDUP(Ld_cal($B76, $C76, $D76, $G76,$E76, $F76, $H76, Z$3)*1.3,0)),"-")</f>
        <v>-</v>
      </c>
      <c r="AA77" s="41" t="str">
        <f>IF($J77=AA$3,IF(AA$3&gt;$I76,"-",ROUNDUP(Ld_cal($B76, $C76, $D76, $G76,$E76, $F76, $H76, AA$3)*1.3,0)),"-")</f>
        <v>-</v>
      </c>
      <c r="AB77" s="41" t="str">
        <f>IF($J77=AB$3,IF(AB$3&gt;$I76,"-",ROUNDUP(Ld_cal($B76, $C76, $D76, $G76,$E76, $F76, $H76, AB$3)*1.3,0)),"-")</f>
        <v>-</v>
      </c>
      <c r="AC77" s="41" t="str">
        <f>IF($J77=AC$3,IF(AC$3&gt;$I76,"-",ROUNDUP(Ld_cal($B76, $C76, $D76, $G76,$E76, $F76, $H76, AC$3)*1.3,0)),"-")</f>
        <v>-</v>
      </c>
      <c r="AD77" s="47">
        <f t="shared" ref="AD77" si="71">IF(J77&gt;I76,"依標準圖",MAX(L77:AC77))</f>
        <v>183</v>
      </c>
    </row>
    <row r="78" spans="1:30" s="45" customFormat="1">
      <c r="A78" s="113" t="s">
        <v>70</v>
      </c>
      <c r="B78" s="99">
        <v>120</v>
      </c>
      <c r="C78" s="114">
        <v>7.5</v>
      </c>
      <c r="D78" s="99">
        <v>4200</v>
      </c>
      <c r="E78" s="102">
        <v>16</v>
      </c>
      <c r="F78" s="103">
        <v>10</v>
      </c>
      <c r="G78" s="99">
        <v>350</v>
      </c>
      <c r="H78" s="102">
        <v>32</v>
      </c>
      <c r="I78" s="104">
        <f>ROUNDDOWN(($B78-2*$C78-2*$E78/10-$H78/10)/(($D$1+1)*$H78/10),0)+1</f>
        <v>16</v>
      </c>
      <c r="J78" s="42">
        <v>7</v>
      </c>
      <c r="K78" s="43" t="s">
        <v>30</v>
      </c>
      <c r="L78" s="44" t="str">
        <f>IF($J78=L$3,IF(L$3&gt;$I78,"-",ROUNDUP(Ld_cal($B78, $C78, $D78, $G78,$E78, $F78, $H78, L$3)*1.3*1.3,0)),"-")</f>
        <v>-</v>
      </c>
      <c r="M78" s="44" t="str">
        <f>IF($J78=M$3,IF(M$3&gt;$I78,"-",ROUNDUP(Ld_cal($B78, $C78, $D78, $G78,$E78, $F78, $H78, M$3)*1.3*1.3,0)),"-")</f>
        <v>-</v>
      </c>
      <c r="N78" s="44" t="str">
        <f>IF($J78=N$3,IF(N$3&gt;$I78,"-",ROUNDUP(Ld_cal($B78, $C78, $D78, $G78,$E78, $F78, $H78, N$3)*1.3*1.3,0)),"-")</f>
        <v>-</v>
      </c>
      <c r="O78" s="44" t="str">
        <f>IF($J78=O$3,IF(O$3&gt;$I78,"-",ROUNDUP(Ld_cal($B78, $C78, $D78, $G78,$E78, $F78, $H78, O$3)*1.3*1.3,0)),"-")</f>
        <v>-</v>
      </c>
      <c r="P78" s="44">
        <f>IF($J78=P$3,IF(P$3&gt;$I78,"-",ROUNDUP(Ld_cal($B78, $C78, $D78, $G78,$E78, $F78, $H78, P$3)*1.3*1.3,0)),"-")</f>
        <v>136</v>
      </c>
      <c r="Q78" s="44" t="str">
        <f>IF($J78=Q$3,IF(Q$3&gt;$I78,"-",ROUNDUP(Ld_cal($B78, $C78, $D78, $G78,$E78, $F78, $H78, Q$3)*1.3*1.3,0)),"-")</f>
        <v>-</v>
      </c>
      <c r="R78" s="44" t="str">
        <f>IF($J78=R$3,IF(R$3&gt;$I78,"-",ROUNDUP(Ld_cal($B78, $C78, $D78, $G78,$E78, $F78, $H78, R$3)*1.3*1.3,0)),"-")</f>
        <v>-</v>
      </c>
      <c r="S78" s="44" t="str">
        <f>IF($J78=S$3,IF(S$3&gt;$I78,"-",ROUNDUP(Ld_cal($B78, $C78, $D78, $G78,$E78, $F78, $H78, S$3)*1.3*1.3,0)),"-")</f>
        <v>-</v>
      </c>
      <c r="T78" s="44" t="str">
        <f>IF($J78=T$3,IF(T$3&gt;$I78,"-",ROUNDUP(Ld_cal($B78, $C78, $D78, $G78,$E78, $F78, $H78, T$3)*1.3*1.3,0)),"-")</f>
        <v>-</v>
      </c>
      <c r="U78" s="44" t="str">
        <f>IF($J78=U$3,IF(U$3&gt;$I78,"-",ROUNDUP(Ld_cal($B78, $C78, $D78, $G78,$E78, $F78, $H78, U$3)*1.3*1.3,0)),"-")</f>
        <v>-</v>
      </c>
      <c r="V78" s="44" t="str">
        <f>IF($J78=V$3,IF(V$3&gt;$I78,"-",ROUNDUP(Ld_cal($B78, $C78, $D78, $G78,$E78, $F78, $H78, V$3)*1.3*1.3,0)),"-")</f>
        <v>-</v>
      </c>
      <c r="W78" s="44" t="str">
        <f>IF($J78=W$3,IF(W$3&gt;$I78,"-",ROUNDUP(Ld_cal($B78, $C78, $D78, $G78,$E78, $F78, $H78, W$3)*1.3*1.3,0)),"-")</f>
        <v>-</v>
      </c>
      <c r="X78" s="44" t="str">
        <f>IF($J78=X$3,IF(X$3&gt;$I78,"-",ROUNDUP(Ld_cal($B78, $C78, $D78, $G78,$E78, $F78, $H78, X$3)*1.3*1.3,0)),"-")</f>
        <v>-</v>
      </c>
      <c r="Y78" s="44" t="str">
        <f>IF($J78=Y$3,IF(Y$3&gt;$I78,"-",ROUNDUP(Ld_cal($B78, $C78, $D78, $G78,$E78, $F78, $H78, Y$3)*1.3*1.3,0)),"-")</f>
        <v>-</v>
      </c>
      <c r="Z78" s="44" t="str">
        <f>IF($J78=Z$3,IF(Z$3&gt;$I78,"-",ROUNDUP(Ld_cal($B78, $C78, $D78, $G78,$E78, $F78, $H78, Z$3)*1.3*1.3,0)),"-")</f>
        <v>-</v>
      </c>
      <c r="AA78" s="44" t="str">
        <f>IF($J78=AA$3,IF(AA$3&gt;$I78,"-",ROUNDUP(Ld_cal($B78, $C78, $D78, $G78,$E78, $F78, $H78, AA$3)*1.3*1.3,0)),"-")</f>
        <v>-</v>
      </c>
      <c r="AB78" s="44" t="str">
        <f>IF($J78=AB$3,IF(AB$3&gt;$I78,"-",ROUNDUP(Ld_cal($B78, $C78, $D78, $G78,$E78, $F78, $H78, AB$3)*1.3*1.3,0)),"-")</f>
        <v>-</v>
      </c>
      <c r="AC78" s="44" t="str">
        <f>IF($J78=AC$3,IF(AC$3&gt;$I78,"-",ROUNDUP(Ld_cal($B78, $C78, $D78, $G78,$E78, $F78, $H78, AC$3)*1.3*1.3,0)),"-")</f>
        <v>-</v>
      </c>
      <c r="AD78" s="46">
        <f t="shared" ref="AD78" si="72">IF(J78&gt;I78,"依標準圖",MAX(L78:AC78))</f>
        <v>136</v>
      </c>
    </row>
    <row r="79" spans="1:30" s="45" customFormat="1">
      <c r="A79" s="113"/>
      <c r="B79" s="99"/>
      <c r="C79" s="114"/>
      <c r="D79" s="99"/>
      <c r="E79" s="102"/>
      <c r="F79" s="103"/>
      <c r="G79" s="99"/>
      <c r="H79" s="102"/>
      <c r="I79" s="104"/>
      <c r="J79" s="42">
        <v>10</v>
      </c>
      <c r="K79" s="43" t="s">
        <v>29</v>
      </c>
      <c r="L79" s="44" t="str">
        <f>IF($J79=L$3,IF(L$3&gt;$I78,"-",ROUNDUP(Ld_cal($B78, $C78, $D78, $G78,$E78, $F78, $H78, L$3)*1.3,0)),"-")</f>
        <v>-</v>
      </c>
      <c r="M79" s="44" t="str">
        <f>IF($J79=M$3,IF(M$3&gt;$I78,"-",ROUNDUP(Ld_cal($B78, $C78, $D78, $G78,$E78, $F78, $H78, M$3)*1.3,0)),"-")</f>
        <v>-</v>
      </c>
      <c r="N79" s="44" t="str">
        <f>IF($J79=N$3,IF(N$3&gt;$I78,"-",ROUNDUP(Ld_cal($B78, $C78, $D78, $G78,$E78, $F78, $H78, N$3)*1.3,0)),"-")</f>
        <v>-</v>
      </c>
      <c r="O79" s="44" t="str">
        <f>IF($J79=O$3,IF(O$3&gt;$I78,"-",ROUNDUP(Ld_cal($B78, $C78, $D78, $G78,$E78, $F78, $H78, O$3)*1.3,0)),"-")</f>
        <v>-</v>
      </c>
      <c r="P79" s="44" t="str">
        <f>IF($J79=P$3,IF(P$3&gt;$I78,"-",ROUNDUP(Ld_cal($B78, $C78, $D78, $G78,$E78, $F78, $H78, P$3)*1.3,0)),"-")</f>
        <v>-</v>
      </c>
      <c r="Q79" s="44" t="str">
        <f>IF($J79=Q$3,IF(Q$3&gt;$I78,"-",ROUNDUP(Ld_cal($B78, $C78, $D78, $G78,$E78, $F78, $H78, Q$3)*1.3,0)),"-")</f>
        <v>-</v>
      </c>
      <c r="R79" s="44" t="str">
        <f>IF($J79=R$3,IF(R$3&gt;$I78,"-",ROUNDUP(Ld_cal($B78, $C78, $D78, $G78,$E78, $F78, $H78, R$3)*1.3,0)),"-")</f>
        <v>-</v>
      </c>
      <c r="S79" s="44">
        <f>IF($J79=S$3,IF(S$3&gt;$I78,"-",ROUNDUP(Ld_cal($B78, $C78, $D78, $G78,$E78, $F78, $H78, S$3)*1.3,0)),"-")</f>
        <v>119</v>
      </c>
      <c r="T79" s="44" t="str">
        <f>IF($J79=T$3,IF(T$3&gt;$I78,"-",ROUNDUP(Ld_cal($B78, $C78, $D78, $G78,$E78, $F78, $H78, T$3)*1.3,0)),"-")</f>
        <v>-</v>
      </c>
      <c r="U79" s="44" t="str">
        <f>IF($J79=U$3,IF(U$3&gt;$I78,"-",ROUNDUP(Ld_cal($B78, $C78, $D78, $G78,$E78, $F78, $H78, U$3)*1.3,0)),"-")</f>
        <v>-</v>
      </c>
      <c r="V79" s="44" t="str">
        <f>IF($J79=V$3,IF(V$3&gt;$I78,"-",ROUNDUP(Ld_cal($B78, $C78, $D78, $G78,$E78, $F78, $H78, V$3)*1.3,0)),"-")</f>
        <v>-</v>
      </c>
      <c r="W79" s="44" t="str">
        <f>IF($J79=W$3,IF(W$3&gt;$I78,"-",ROUNDUP(Ld_cal($B78, $C78, $D78, $G78,$E78, $F78, $H78, W$3)*1.3,0)),"-")</f>
        <v>-</v>
      </c>
      <c r="X79" s="44" t="str">
        <f>IF($J79=X$3,IF(X$3&gt;$I78,"-",ROUNDUP(Ld_cal($B78, $C78, $D78, $G78,$E78, $F78, $H78, X$3)*1.3,0)),"-")</f>
        <v>-</v>
      </c>
      <c r="Y79" s="44" t="str">
        <f>IF($J79=Y$3,IF(Y$3&gt;$I78,"-",ROUNDUP(Ld_cal($B78, $C78, $D78, $G78,$E78, $F78, $H78, Y$3)*1.3,0)),"-")</f>
        <v>-</v>
      </c>
      <c r="Z79" s="44" t="str">
        <f>IF($J79=Z$3,IF(Z$3&gt;$I78,"-",ROUNDUP(Ld_cal($B78, $C78, $D78, $G78,$E78, $F78, $H78, Z$3)*1.3,0)),"-")</f>
        <v>-</v>
      </c>
      <c r="AA79" s="44" t="str">
        <f>IF($J79=AA$3,IF(AA$3&gt;$I78,"-",ROUNDUP(Ld_cal($B78, $C78, $D78, $G78,$E78, $F78, $H78, AA$3)*1.3,0)),"-")</f>
        <v>-</v>
      </c>
      <c r="AB79" s="44" t="str">
        <f>IF($J79=AB$3,IF(AB$3&gt;$I78,"-",ROUNDUP(Ld_cal($B78, $C78, $D78, $G78,$E78, $F78, $H78, AB$3)*1.3,0)),"-")</f>
        <v>-</v>
      </c>
      <c r="AC79" s="44" t="str">
        <f>IF($J79=AC$3,IF(AC$3&gt;$I78,"-",ROUNDUP(Ld_cal($B78, $C78, $D78, $G78,$E78, $F78, $H78, AC$3)*1.3,0)),"-")</f>
        <v>-</v>
      </c>
      <c r="AD79" s="46">
        <f t="shared" ref="AD79" si="73">IF(J79&gt;I78,"依標準圖",MAX(L79:AC79))</f>
        <v>119</v>
      </c>
    </row>
    <row r="80" spans="1:30">
      <c r="A80" s="112" t="s">
        <v>71</v>
      </c>
      <c r="B80" s="107">
        <v>120</v>
      </c>
      <c r="C80" s="108">
        <v>7.5</v>
      </c>
      <c r="D80" s="107">
        <v>4200</v>
      </c>
      <c r="E80" s="109">
        <v>16</v>
      </c>
      <c r="F80" s="110">
        <v>10</v>
      </c>
      <c r="G80" s="107">
        <v>350</v>
      </c>
      <c r="H80" s="109">
        <v>32</v>
      </c>
      <c r="I80" s="111">
        <f>ROUNDDOWN(($B80-2*$C80-2*$E80/10-$H80/10)/(($D$1+1)*$H80/10),0)+1</f>
        <v>16</v>
      </c>
      <c r="J80" s="39">
        <v>9</v>
      </c>
      <c r="K80" s="40" t="s">
        <v>30</v>
      </c>
      <c r="L80" s="41" t="str">
        <f>IF($J80=L$3,IF(L$3&gt;$I80,"-",ROUNDUP(Ld_cal($B80, $C80, $D80, $G80,$E80, $F80, $H80, L$3)*1.3*1.3,0)),"-")</f>
        <v>-</v>
      </c>
      <c r="M80" s="41" t="str">
        <f>IF($J80=M$3,IF(M$3&gt;$I80,"-",ROUNDUP(Ld_cal($B80, $C80, $D80, $G80,$E80, $F80, $H80, M$3)*1.3*1.3,0)),"-")</f>
        <v>-</v>
      </c>
      <c r="N80" s="41" t="str">
        <f>IF($J80=N$3,IF(N$3&gt;$I80,"-",ROUNDUP(Ld_cal($B80, $C80, $D80, $G80,$E80, $F80, $H80, N$3)*1.3*1.3,0)),"-")</f>
        <v>-</v>
      </c>
      <c r="O80" s="41" t="str">
        <f>IF($J80=O$3,IF(O$3&gt;$I80,"-",ROUNDUP(Ld_cal($B80, $C80, $D80, $G80,$E80, $F80, $H80, O$3)*1.3*1.3,0)),"-")</f>
        <v>-</v>
      </c>
      <c r="P80" s="41" t="str">
        <f>IF($J80=P$3,IF(P$3&gt;$I80,"-",ROUNDUP(Ld_cal($B80, $C80, $D80, $G80,$E80, $F80, $H80, P$3)*1.3*1.3,0)),"-")</f>
        <v>-</v>
      </c>
      <c r="Q80" s="41" t="str">
        <f>IF($J80=Q$3,IF(Q$3&gt;$I80,"-",ROUNDUP(Ld_cal($B80, $C80, $D80, $G80,$E80, $F80, $H80, Q$3)*1.3*1.3,0)),"-")</f>
        <v>-</v>
      </c>
      <c r="R80" s="41">
        <f>IF($J80=R$3,IF(R$3&gt;$I80,"-",ROUNDUP(Ld_cal($B80, $C80, $D80, $G80,$E80, $F80, $H80, R$3)*1.3*1.3,0)),"-")</f>
        <v>137</v>
      </c>
      <c r="S80" s="41" t="str">
        <f>IF($J80=S$3,IF(S$3&gt;$I80,"-",ROUNDUP(Ld_cal($B80, $C80, $D80, $G80,$E80, $F80, $H80, S$3)*1.3*1.3,0)),"-")</f>
        <v>-</v>
      </c>
      <c r="T80" s="41" t="str">
        <f>IF($J80=T$3,IF(T$3&gt;$I80,"-",ROUNDUP(Ld_cal($B80, $C80, $D80, $G80,$E80, $F80, $H80, T$3)*1.3*1.3,0)),"-")</f>
        <v>-</v>
      </c>
      <c r="U80" s="41" t="str">
        <f>IF($J80=U$3,IF(U$3&gt;$I80,"-",ROUNDUP(Ld_cal($B80, $C80, $D80, $G80,$E80, $F80, $H80, U$3)*1.3*1.3,0)),"-")</f>
        <v>-</v>
      </c>
      <c r="V80" s="41" t="str">
        <f>IF($J80=V$3,IF(V$3&gt;$I80,"-",ROUNDUP(Ld_cal($B80, $C80, $D80, $G80,$E80, $F80, $H80, V$3)*1.3*1.3,0)),"-")</f>
        <v>-</v>
      </c>
      <c r="W80" s="41" t="str">
        <f>IF($J80=W$3,IF(W$3&gt;$I80,"-",ROUNDUP(Ld_cal($B80, $C80, $D80, $G80,$E80, $F80, $H80, W$3)*1.3*1.3,0)),"-")</f>
        <v>-</v>
      </c>
      <c r="X80" s="41" t="str">
        <f>IF($J80=X$3,IF(X$3&gt;$I80,"-",ROUNDUP(Ld_cal($B80, $C80, $D80, $G80,$E80, $F80, $H80, X$3)*1.3*1.3,0)),"-")</f>
        <v>-</v>
      </c>
      <c r="Y80" s="41" t="str">
        <f>IF($J80=Y$3,IF(Y$3&gt;$I80,"-",ROUNDUP(Ld_cal($B80, $C80, $D80, $G80,$E80, $F80, $H80, Y$3)*1.3*1.3,0)),"-")</f>
        <v>-</v>
      </c>
      <c r="Z80" s="41" t="str">
        <f>IF($J80=Z$3,IF(Z$3&gt;$I80,"-",ROUNDUP(Ld_cal($B80, $C80, $D80, $G80,$E80, $F80, $H80, Z$3)*1.3*1.3,0)),"-")</f>
        <v>-</v>
      </c>
      <c r="AA80" s="41" t="str">
        <f>IF($J80=AA$3,IF(AA$3&gt;$I80,"-",ROUNDUP(Ld_cal($B80, $C80, $D80, $G80,$E80, $F80, $H80, AA$3)*1.3*1.3,0)),"-")</f>
        <v>-</v>
      </c>
      <c r="AB80" s="41" t="str">
        <f>IF($J80=AB$3,IF(AB$3&gt;$I80,"-",ROUNDUP(Ld_cal($B80, $C80, $D80, $G80,$E80, $F80, $H80, AB$3)*1.3*1.3,0)),"-")</f>
        <v>-</v>
      </c>
      <c r="AC80" s="41" t="str">
        <f>IF($J80=AC$3,IF(AC$3&gt;$I80,"-",ROUNDUP(Ld_cal($B80, $C80, $D80, $G80,$E80, $F80, $H80, AC$3)*1.3*1.3,0)),"-")</f>
        <v>-</v>
      </c>
      <c r="AD80" s="47">
        <f t="shared" ref="AD80" si="74">IF(J80&gt;I80,"依標準圖",MAX(L80:AC80))</f>
        <v>137</v>
      </c>
    </row>
    <row r="81" spans="1:30">
      <c r="A81" s="112"/>
      <c r="B81" s="107"/>
      <c r="C81" s="108"/>
      <c r="D81" s="107"/>
      <c r="E81" s="109"/>
      <c r="F81" s="110"/>
      <c r="G81" s="107"/>
      <c r="H81" s="109"/>
      <c r="I81" s="111"/>
      <c r="J81" s="39">
        <v>8</v>
      </c>
      <c r="K81" s="40" t="s">
        <v>29</v>
      </c>
      <c r="L81" s="41" t="str">
        <f>IF($J81=L$3,IF(L$3&gt;$I80,"-",ROUNDUP(Ld_cal($B80, $C80, $D80, $G80,$E80, $F80, $H80, L$3)*1.3,0)),"-")</f>
        <v>-</v>
      </c>
      <c r="M81" s="41" t="str">
        <f>IF($J81=M$3,IF(M$3&gt;$I80,"-",ROUNDUP(Ld_cal($B80, $C80, $D80, $G80,$E80, $F80, $H80, M$3)*1.3,0)),"-")</f>
        <v>-</v>
      </c>
      <c r="N81" s="41" t="str">
        <f>IF($J81=N$3,IF(N$3&gt;$I80,"-",ROUNDUP(Ld_cal($B80, $C80, $D80, $G80,$E80, $F80, $H80, N$3)*1.3,0)),"-")</f>
        <v>-</v>
      </c>
      <c r="O81" s="41" t="str">
        <f>IF($J81=O$3,IF(O$3&gt;$I80,"-",ROUNDUP(Ld_cal($B80, $C80, $D80, $G80,$E80, $F80, $H80, O$3)*1.3,0)),"-")</f>
        <v>-</v>
      </c>
      <c r="P81" s="41" t="str">
        <f>IF($J81=P$3,IF(P$3&gt;$I80,"-",ROUNDUP(Ld_cal($B80, $C80, $D80, $G80,$E80, $F80, $H80, P$3)*1.3,0)),"-")</f>
        <v>-</v>
      </c>
      <c r="Q81" s="41">
        <f>IF($J81=Q$3,IF(Q$3&gt;$I80,"-",ROUNDUP(Ld_cal($B80, $C80, $D80, $G80,$E80, $F80, $H80, Q$3)*1.3,0)),"-")</f>
        <v>105</v>
      </c>
      <c r="R81" s="41" t="str">
        <f>IF($J81=R$3,IF(R$3&gt;$I80,"-",ROUNDUP(Ld_cal($B80, $C80, $D80, $G80,$E80, $F80, $H80, R$3)*1.3,0)),"-")</f>
        <v>-</v>
      </c>
      <c r="S81" s="41" t="str">
        <f>IF($J81=S$3,IF(S$3&gt;$I80,"-",ROUNDUP(Ld_cal($B80, $C80, $D80, $G80,$E80, $F80, $H80, S$3)*1.3,0)),"-")</f>
        <v>-</v>
      </c>
      <c r="T81" s="41" t="str">
        <f>IF($J81=T$3,IF(T$3&gt;$I80,"-",ROUNDUP(Ld_cal($B80, $C80, $D80, $G80,$E80, $F80, $H80, T$3)*1.3,0)),"-")</f>
        <v>-</v>
      </c>
      <c r="U81" s="41" t="str">
        <f>IF($J81=U$3,IF(U$3&gt;$I80,"-",ROUNDUP(Ld_cal($B80, $C80, $D80, $G80,$E80, $F80, $H80, U$3)*1.3,0)),"-")</f>
        <v>-</v>
      </c>
      <c r="V81" s="41" t="str">
        <f>IF($J81=V$3,IF(V$3&gt;$I80,"-",ROUNDUP(Ld_cal($B80, $C80, $D80, $G80,$E80, $F80, $H80, V$3)*1.3,0)),"-")</f>
        <v>-</v>
      </c>
      <c r="W81" s="41" t="str">
        <f>IF($J81=W$3,IF(W$3&gt;$I80,"-",ROUNDUP(Ld_cal($B80, $C80, $D80, $G80,$E80, $F80, $H80, W$3)*1.3,0)),"-")</f>
        <v>-</v>
      </c>
      <c r="X81" s="41" t="str">
        <f>IF($J81=X$3,IF(X$3&gt;$I80,"-",ROUNDUP(Ld_cal($B80, $C80, $D80, $G80,$E80, $F80, $H80, X$3)*1.3,0)),"-")</f>
        <v>-</v>
      </c>
      <c r="Y81" s="41" t="str">
        <f>IF($J81=Y$3,IF(Y$3&gt;$I80,"-",ROUNDUP(Ld_cal($B80, $C80, $D80, $G80,$E80, $F80, $H80, Y$3)*1.3,0)),"-")</f>
        <v>-</v>
      </c>
      <c r="Z81" s="41" t="str">
        <f>IF($J81=Z$3,IF(Z$3&gt;$I80,"-",ROUNDUP(Ld_cal($B80, $C80, $D80, $G80,$E80, $F80, $H80, Z$3)*1.3,0)),"-")</f>
        <v>-</v>
      </c>
      <c r="AA81" s="41" t="str">
        <f>IF($J81=AA$3,IF(AA$3&gt;$I80,"-",ROUNDUP(Ld_cal($B80, $C80, $D80, $G80,$E80, $F80, $H80, AA$3)*1.3,0)),"-")</f>
        <v>-</v>
      </c>
      <c r="AB81" s="41" t="str">
        <f>IF($J81=AB$3,IF(AB$3&gt;$I80,"-",ROUNDUP(Ld_cal($B80, $C80, $D80, $G80,$E80, $F80, $H80, AB$3)*1.3,0)),"-")</f>
        <v>-</v>
      </c>
      <c r="AC81" s="41" t="str">
        <f>IF($J81=AC$3,IF(AC$3&gt;$I80,"-",ROUNDUP(Ld_cal($B80, $C80, $D80, $G80,$E80, $F80, $H80, AC$3)*1.3,0)),"-")</f>
        <v>-</v>
      </c>
      <c r="AD81" s="47">
        <f t="shared" ref="AD81" si="75">IF(J81&gt;I80,"依標準圖",MAX(L81:AC81))</f>
        <v>105</v>
      </c>
    </row>
    <row r="82" spans="1:30" s="45" customFormat="1">
      <c r="A82" s="113" t="s">
        <v>72</v>
      </c>
      <c r="B82" s="99">
        <v>120</v>
      </c>
      <c r="C82" s="114">
        <v>7.5</v>
      </c>
      <c r="D82" s="99">
        <v>4200</v>
      </c>
      <c r="E82" s="102">
        <v>16</v>
      </c>
      <c r="F82" s="103">
        <v>10</v>
      </c>
      <c r="G82" s="99">
        <v>350</v>
      </c>
      <c r="H82" s="102">
        <v>32</v>
      </c>
      <c r="I82" s="104">
        <f>ROUNDDOWN(($B82-2*$C82-2*$E82/10-$H82/10)/(($D$1+1)*$H82/10),0)+1</f>
        <v>16</v>
      </c>
      <c r="J82" s="42">
        <v>15</v>
      </c>
      <c r="K82" s="43" t="s">
        <v>30</v>
      </c>
      <c r="L82" s="44" t="str">
        <f>IF($J82=L$3,IF(L$3&gt;$I82,"-",ROUNDUP(Ld_cal($B82, $C82, $D82, $G82,$E82, $F82, $H82, L$3)*1.3*1.3,0)),"-")</f>
        <v>-</v>
      </c>
      <c r="M82" s="44" t="str">
        <f>IF($J82=M$3,IF(M$3&gt;$I82,"-",ROUNDUP(Ld_cal($B82, $C82, $D82, $G82,$E82, $F82, $H82, M$3)*1.3*1.3,0)),"-")</f>
        <v>-</v>
      </c>
      <c r="N82" s="44" t="str">
        <f>IF($J82=N$3,IF(N$3&gt;$I82,"-",ROUNDUP(Ld_cal($B82, $C82, $D82, $G82,$E82, $F82, $H82, N$3)*1.3*1.3,0)),"-")</f>
        <v>-</v>
      </c>
      <c r="O82" s="44" t="str">
        <f>IF($J82=O$3,IF(O$3&gt;$I82,"-",ROUNDUP(Ld_cal($B82, $C82, $D82, $G82,$E82, $F82, $H82, O$3)*1.3*1.3,0)),"-")</f>
        <v>-</v>
      </c>
      <c r="P82" s="44" t="str">
        <f>IF($J82=P$3,IF(P$3&gt;$I82,"-",ROUNDUP(Ld_cal($B82, $C82, $D82, $G82,$E82, $F82, $H82, P$3)*1.3*1.3,0)),"-")</f>
        <v>-</v>
      </c>
      <c r="Q82" s="44" t="str">
        <f>IF($J82=Q$3,IF(Q$3&gt;$I82,"-",ROUNDUP(Ld_cal($B82, $C82, $D82, $G82,$E82, $F82, $H82, Q$3)*1.3*1.3,0)),"-")</f>
        <v>-</v>
      </c>
      <c r="R82" s="44" t="str">
        <f>IF($J82=R$3,IF(R$3&gt;$I82,"-",ROUNDUP(Ld_cal($B82, $C82, $D82, $G82,$E82, $F82, $H82, R$3)*1.3*1.3,0)),"-")</f>
        <v>-</v>
      </c>
      <c r="S82" s="44" t="str">
        <f>IF($J82=S$3,IF(S$3&gt;$I82,"-",ROUNDUP(Ld_cal($B82, $C82, $D82, $G82,$E82, $F82, $H82, S$3)*1.3*1.3,0)),"-")</f>
        <v>-</v>
      </c>
      <c r="T82" s="44" t="str">
        <f>IF($J82=T$3,IF(T$3&gt;$I82,"-",ROUNDUP(Ld_cal($B82, $C82, $D82, $G82,$E82, $F82, $H82, T$3)*1.3*1.3,0)),"-")</f>
        <v>-</v>
      </c>
      <c r="U82" s="44" t="str">
        <f>IF($J82=U$3,IF(U$3&gt;$I82,"-",ROUNDUP(Ld_cal($B82, $C82, $D82, $G82,$E82, $F82, $H82, U$3)*1.3*1.3,0)),"-")</f>
        <v>-</v>
      </c>
      <c r="V82" s="44" t="str">
        <f>IF($J82=V$3,IF(V$3&gt;$I82,"-",ROUNDUP(Ld_cal($B82, $C82, $D82, $G82,$E82, $F82, $H82, V$3)*1.3*1.3,0)),"-")</f>
        <v>-</v>
      </c>
      <c r="W82" s="44" t="str">
        <f>IF($J82=W$3,IF(W$3&gt;$I82,"-",ROUNDUP(Ld_cal($B82, $C82, $D82, $G82,$E82, $F82, $H82, W$3)*1.3*1.3,0)),"-")</f>
        <v>-</v>
      </c>
      <c r="X82" s="44">
        <f>IF($J82=X$3,IF(X$3&gt;$I82,"-",ROUNDUP(Ld_cal($B82, $C82, $D82, $G82,$E82, $F82, $H82, X$3)*1.3*1.3,0)),"-")</f>
        <v>237</v>
      </c>
      <c r="Y82" s="44" t="str">
        <f>IF($J82=Y$3,IF(Y$3&gt;$I82,"-",ROUNDUP(Ld_cal($B82, $C82, $D82, $G82,$E82, $F82, $H82, Y$3)*1.3*1.3,0)),"-")</f>
        <v>-</v>
      </c>
      <c r="Z82" s="44" t="str">
        <f>IF($J82=Z$3,IF(Z$3&gt;$I82,"-",ROUNDUP(Ld_cal($B82, $C82, $D82, $G82,$E82, $F82, $H82, Z$3)*1.3*1.3,0)),"-")</f>
        <v>-</v>
      </c>
      <c r="AA82" s="44" t="str">
        <f>IF($J82=AA$3,IF(AA$3&gt;$I82,"-",ROUNDUP(Ld_cal($B82, $C82, $D82, $G82,$E82, $F82, $H82, AA$3)*1.3*1.3,0)),"-")</f>
        <v>-</v>
      </c>
      <c r="AB82" s="44" t="str">
        <f>IF($J82=AB$3,IF(AB$3&gt;$I82,"-",ROUNDUP(Ld_cal($B82, $C82, $D82, $G82,$E82, $F82, $H82, AB$3)*1.3*1.3,0)),"-")</f>
        <v>-</v>
      </c>
      <c r="AC82" s="44" t="str">
        <f>IF($J82=AC$3,IF(AC$3&gt;$I82,"-",ROUNDUP(Ld_cal($B82, $C82, $D82, $G82,$E82, $F82, $H82, AC$3)*1.3*1.3,0)),"-")</f>
        <v>-</v>
      </c>
      <c r="AD82" s="46">
        <f t="shared" ref="AD82" si="76">IF(J82&gt;I82,"依標準圖",MAX(L82:AC82))</f>
        <v>237</v>
      </c>
    </row>
    <row r="83" spans="1:30" s="45" customFormat="1">
      <c r="A83" s="113"/>
      <c r="B83" s="99"/>
      <c r="C83" s="114"/>
      <c r="D83" s="99"/>
      <c r="E83" s="102"/>
      <c r="F83" s="103"/>
      <c r="G83" s="99"/>
      <c r="H83" s="102"/>
      <c r="I83" s="104"/>
      <c r="J83" s="42">
        <v>7</v>
      </c>
      <c r="K83" s="43" t="s">
        <v>29</v>
      </c>
      <c r="L83" s="44" t="str">
        <f>IF($J83=L$3,IF(L$3&gt;$I82,"-",ROUNDUP(Ld_cal($B82, $C82, $D82, $G82,$E82, $F82, $H82, L$3)*1.3,0)),"-")</f>
        <v>-</v>
      </c>
      <c r="M83" s="44" t="str">
        <f>IF($J83=M$3,IF(M$3&gt;$I82,"-",ROUNDUP(Ld_cal($B82, $C82, $D82, $G82,$E82, $F82, $H82, M$3)*1.3,0)),"-")</f>
        <v>-</v>
      </c>
      <c r="N83" s="44" t="str">
        <f>IF($J83=N$3,IF(N$3&gt;$I82,"-",ROUNDUP(Ld_cal($B82, $C82, $D82, $G82,$E82, $F82, $H82, N$3)*1.3,0)),"-")</f>
        <v>-</v>
      </c>
      <c r="O83" s="44" t="str">
        <f>IF($J83=O$3,IF(O$3&gt;$I82,"-",ROUNDUP(Ld_cal($B82, $C82, $D82, $G82,$E82, $F82, $H82, O$3)*1.3,0)),"-")</f>
        <v>-</v>
      </c>
      <c r="P83" s="44">
        <f>IF($J83=P$3,IF(P$3&gt;$I82,"-",ROUNDUP(Ld_cal($B82, $C82, $D82, $G82,$E82, $F82, $H82, P$3)*1.3,0)),"-")</f>
        <v>105</v>
      </c>
      <c r="Q83" s="44" t="str">
        <f>IF($J83=Q$3,IF(Q$3&gt;$I82,"-",ROUNDUP(Ld_cal($B82, $C82, $D82, $G82,$E82, $F82, $H82, Q$3)*1.3,0)),"-")</f>
        <v>-</v>
      </c>
      <c r="R83" s="44" t="str">
        <f>IF($J83=R$3,IF(R$3&gt;$I82,"-",ROUNDUP(Ld_cal($B82, $C82, $D82, $G82,$E82, $F82, $H82, R$3)*1.3,0)),"-")</f>
        <v>-</v>
      </c>
      <c r="S83" s="44" t="str">
        <f>IF($J83=S$3,IF(S$3&gt;$I82,"-",ROUNDUP(Ld_cal($B82, $C82, $D82, $G82,$E82, $F82, $H82, S$3)*1.3,0)),"-")</f>
        <v>-</v>
      </c>
      <c r="T83" s="44" t="str">
        <f>IF($J83=T$3,IF(T$3&gt;$I82,"-",ROUNDUP(Ld_cal($B82, $C82, $D82, $G82,$E82, $F82, $H82, T$3)*1.3,0)),"-")</f>
        <v>-</v>
      </c>
      <c r="U83" s="44" t="str">
        <f>IF($J83=U$3,IF(U$3&gt;$I82,"-",ROUNDUP(Ld_cal($B82, $C82, $D82, $G82,$E82, $F82, $H82, U$3)*1.3,0)),"-")</f>
        <v>-</v>
      </c>
      <c r="V83" s="44" t="str">
        <f>IF($J83=V$3,IF(V$3&gt;$I82,"-",ROUNDUP(Ld_cal($B82, $C82, $D82, $G82,$E82, $F82, $H82, V$3)*1.3,0)),"-")</f>
        <v>-</v>
      </c>
      <c r="W83" s="44" t="str">
        <f>IF($J83=W$3,IF(W$3&gt;$I82,"-",ROUNDUP(Ld_cal($B82, $C82, $D82, $G82,$E82, $F82, $H82, W$3)*1.3,0)),"-")</f>
        <v>-</v>
      </c>
      <c r="X83" s="44" t="str">
        <f>IF($J83=X$3,IF(X$3&gt;$I82,"-",ROUNDUP(Ld_cal($B82, $C82, $D82, $G82,$E82, $F82, $H82, X$3)*1.3,0)),"-")</f>
        <v>-</v>
      </c>
      <c r="Y83" s="44" t="str">
        <f>IF($J83=Y$3,IF(Y$3&gt;$I82,"-",ROUNDUP(Ld_cal($B82, $C82, $D82, $G82,$E82, $F82, $H82, Y$3)*1.3,0)),"-")</f>
        <v>-</v>
      </c>
      <c r="Z83" s="44" t="str">
        <f>IF($J83=Z$3,IF(Z$3&gt;$I82,"-",ROUNDUP(Ld_cal($B82, $C82, $D82, $G82,$E82, $F82, $H82, Z$3)*1.3,0)),"-")</f>
        <v>-</v>
      </c>
      <c r="AA83" s="44" t="str">
        <f>IF($J83=AA$3,IF(AA$3&gt;$I82,"-",ROUNDUP(Ld_cal($B82, $C82, $D82, $G82,$E82, $F82, $H82, AA$3)*1.3,0)),"-")</f>
        <v>-</v>
      </c>
      <c r="AB83" s="44" t="str">
        <f>IF($J83=AB$3,IF(AB$3&gt;$I82,"-",ROUNDUP(Ld_cal($B82, $C82, $D82, $G82,$E82, $F82, $H82, AB$3)*1.3,0)),"-")</f>
        <v>-</v>
      </c>
      <c r="AC83" s="44" t="str">
        <f>IF($J83=AC$3,IF(AC$3&gt;$I82,"-",ROUNDUP(Ld_cal($B82, $C82, $D82, $G82,$E82, $F82, $H82, AC$3)*1.3,0)),"-")</f>
        <v>-</v>
      </c>
      <c r="AD83" s="46">
        <f t="shared" ref="AD83" si="77">IF(J83&gt;I82,"依標準圖",MAX(L83:AC83))</f>
        <v>105</v>
      </c>
    </row>
    <row r="84" spans="1:30">
      <c r="A84" s="112" t="s">
        <v>73</v>
      </c>
      <c r="B84" s="107">
        <v>120</v>
      </c>
      <c r="C84" s="108">
        <v>7.5</v>
      </c>
      <c r="D84" s="107">
        <v>4200</v>
      </c>
      <c r="E84" s="109">
        <v>16</v>
      </c>
      <c r="F84" s="110">
        <v>10</v>
      </c>
      <c r="G84" s="107">
        <v>350</v>
      </c>
      <c r="H84" s="109">
        <v>32</v>
      </c>
      <c r="I84" s="111">
        <f>ROUNDDOWN(($B84-2*$C84-2*$E84/10-$H84/10)/(($D$1+1)*$H84/10),0)+1</f>
        <v>16</v>
      </c>
      <c r="J84" s="39">
        <v>15</v>
      </c>
      <c r="K84" s="40" t="s">
        <v>30</v>
      </c>
      <c r="L84" s="41" t="str">
        <f>IF($J84=L$3,IF(L$3&gt;$I84,"-",ROUNDUP(Ld_cal($B84, $C84, $D84, $G84,$E84, $F84, $H84, L$3)*1.3*1.3,0)),"-")</f>
        <v>-</v>
      </c>
      <c r="M84" s="41" t="str">
        <f>IF($J84=M$3,IF(M$3&gt;$I84,"-",ROUNDUP(Ld_cal($B84, $C84, $D84, $G84,$E84, $F84, $H84, M$3)*1.3*1.3,0)),"-")</f>
        <v>-</v>
      </c>
      <c r="N84" s="41" t="str">
        <f>IF($J84=N$3,IF(N$3&gt;$I84,"-",ROUNDUP(Ld_cal($B84, $C84, $D84, $G84,$E84, $F84, $H84, N$3)*1.3*1.3,0)),"-")</f>
        <v>-</v>
      </c>
      <c r="O84" s="41" t="str">
        <f>IF($J84=O$3,IF(O$3&gt;$I84,"-",ROUNDUP(Ld_cal($B84, $C84, $D84, $G84,$E84, $F84, $H84, O$3)*1.3*1.3,0)),"-")</f>
        <v>-</v>
      </c>
      <c r="P84" s="41" t="str">
        <f>IF($J84=P$3,IF(P$3&gt;$I84,"-",ROUNDUP(Ld_cal($B84, $C84, $D84, $G84,$E84, $F84, $H84, P$3)*1.3*1.3,0)),"-")</f>
        <v>-</v>
      </c>
      <c r="Q84" s="41" t="str">
        <f>IF($J84=Q$3,IF(Q$3&gt;$I84,"-",ROUNDUP(Ld_cal($B84, $C84, $D84, $G84,$E84, $F84, $H84, Q$3)*1.3*1.3,0)),"-")</f>
        <v>-</v>
      </c>
      <c r="R84" s="41" t="str">
        <f>IF($J84=R$3,IF(R$3&gt;$I84,"-",ROUNDUP(Ld_cal($B84, $C84, $D84, $G84,$E84, $F84, $H84, R$3)*1.3*1.3,0)),"-")</f>
        <v>-</v>
      </c>
      <c r="S84" s="41" t="str">
        <f>IF($J84=S$3,IF(S$3&gt;$I84,"-",ROUNDUP(Ld_cal($B84, $C84, $D84, $G84,$E84, $F84, $H84, S$3)*1.3*1.3,0)),"-")</f>
        <v>-</v>
      </c>
      <c r="T84" s="41" t="str">
        <f>IF($J84=T$3,IF(T$3&gt;$I84,"-",ROUNDUP(Ld_cal($B84, $C84, $D84, $G84,$E84, $F84, $H84, T$3)*1.3*1.3,0)),"-")</f>
        <v>-</v>
      </c>
      <c r="U84" s="41" t="str">
        <f>IF($J84=U$3,IF(U$3&gt;$I84,"-",ROUNDUP(Ld_cal($B84, $C84, $D84, $G84,$E84, $F84, $H84, U$3)*1.3*1.3,0)),"-")</f>
        <v>-</v>
      </c>
      <c r="V84" s="41" t="str">
        <f>IF($J84=V$3,IF(V$3&gt;$I84,"-",ROUNDUP(Ld_cal($B84, $C84, $D84, $G84,$E84, $F84, $H84, V$3)*1.3*1.3,0)),"-")</f>
        <v>-</v>
      </c>
      <c r="W84" s="41" t="str">
        <f>IF($J84=W$3,IF(W$3&gt;$I84,"-",ROUNDUP(Ld_cal($B84, $C84, $D84, $G84,$E84, $F84, $H84, W$3)*1.3*1.3,0)),"-")</f>
        <v>-</v>
      </c>
      <c r="X84" s="41">
        <f>IF($J84=X$3,IF(X$3&gt;$I84,"-",ROUNDUP(Ld_cal($B84, $C84, $D84, $G84,$E84, $F84, $H84, X$3)*1.3*1.3,0)),"-")</f>
        <v>237</v>
      </c>
      <c r="Y84" s="41" t="str">
        <f>IF($J84=Y$3,IF(Y$3&gt;$I84,"-",ROUNDUP(Ld_cal($B84, $C84, $D84, $G84,$E84, $F84, $H84, Y$3)*1.3*1.3,0)),"-")</f>
        <v>-</v>
      </c>
      <c r="Z84" s="41" t="str">
        <f>IF($J84=Z$3,IF(Z$3&gt;$I84,"-",ROUNDUP(Ld_cal($B84, $C84, $D84, $G84,$E84, $F84, $H84, Z$3)*1.3*1.3,0)),"-")</f>
        <v>-</v>
      </c>
      <c r="AA84" s="41" t="str">
        <f>IF($J84=AA$3,IF(AA$3&gt;$I84,"-",ROUNDUP(Ld_cal($B84, $C84, $D84, $G84,$E84, $F84, $H84, AA$3)*1.3*1.3,0)),"-")</f>
        <v>-</v>
      </c>
      <c r="AB84" s="41" t="str">
        <f>IF($J84=AB$3,IF(AB$3&gt;$I84,"-",ROUNDUP(Ld_cal($B84, $C84, $D84, $G84,$E84, $F84, $H84, AB$3)*1.3*1.3,0)),"-")</f>
        <v>-</v>
      </c>
      <c r="AC84" s="41" t="str">
        <f>IF($J84=AC$3,IF(AC$3&gt;$I84,"-",ROUNDUP(Ld_cal($B84, $C84, $D84, $G84,$E84, $F84, $H84, AC$3)*1.3*1.3,0)),"-")</f>
        <v>-</v>
      </c>
      <c r="AD84" s="47">
        <f t="shared" ref="AD84" si="78">IF(J84&gt;I84,"依標準圖",MAX(L84:AC84))</f>
        <v>237</v>
      </c>
    </row>
    <row r="85" spans="1:30">
      <c r="A85" s="112"/>
      <c r="B85" s="107"/>
      <c r="C85" s="108"/>
      <c r="D85" s="107"/>
      <c r="E85" s="109"/>
      <c r="F85" s="110"/>
      <c r="G85" s="107"/>
      <c r="H85" s="109"/>
      <c r="I85" s="111"/>
      <c r="J85" s="39">
        <v>7</v>
      </c>
      <c r="K85" s="40" t="s">
        <v>29</v>
      </c>
      <c r="L85" s="41" t="str">
        <f>IF($J85=L$3,IF(L$3&gt;$I84,"-",ROUNDUP(Ld_cal($B84, $C84, $D84, $G84,$E84, $F84, $H84, L$3)*1.3,0)),"-")</f>
        <v>-</v>
      </c>
      <c r="M85" s="41" t="str">
        <f>IF($J85=M$3,IF(M$3&gt;$I84,"-",ROUNDUP(Ld_cal($B84, $C84, $D84, $G84,$E84, $F84, $H84, M$3)*1.3,0)),"-")</f>
        <v>-</v>
      </c>
      <c r="N85" s="41" t="str">
        <f>IF($J85=N$3,IF(N$3&gt;$I84,"-",ROUNDUP(Ld_cal($B84, $C84, $D84, $G84,$E84, $F84, $H84, N$3)*1.3,0)),"-")</f>
        <v>-</v>
      </c>
      <c r="O85" s="41" t="str">
        <f>IF($J85=O$3,IF(O$3&gt;$I84,"-",ROUNDUP(Ld_cal($B84, $C84, $D84, $G84,$E84, $F84, $H84, O$3)*1.3,0)),"-")</f>
        <v>-</v>
      </c>
      <c r="P85" s="41">
        <f>IF($J85=P$3,IF(P$3&gt;$I84,"-",ROUNDUP(Ld_cal($B84, $C84, $D84, $G84,$E84, $F84, $H84, P$3)*1.3,0)),"-")</f>
        <v>105</v>
      </c>
      <c r="Q85" s="41" t="str">
        <f>IF($J85=Q$3,IF(Q$3&gt;$I84,"-",ROUNDUP(Ld_cal($B84, $C84, $D84, $G84,$E84, $F84, $H84, Q$3)*1.3,0)),"-")</f>
        <v>-</v>
      </c>
      <c r="R85" s="41" t="str">
        <f>IF($J85=R$3,IF(R$3&gt;$I84,"-",ROUNDUP(Ld_cal($B84, $C84, $D84, $G84,$E84, $F84, $H84, R$3)*1.3,0)),"-")</f>
        <v>-</v>
      </c>
      <c r="S85" s="41" t="str">
        <f>IF($J85=S$3,IF(S$3&gt;$I84,"-",ROUNDUP(Ld_cal($B84, $C84, $D84, $G84,$E84, $F84, $H84, S$3)*1.3,0)),"-")</f>
        <v>-</v>
      </c>
      <c r="T85" s="41" t="str">
        <f>IF($J85=T$3,IF(T$3&gt;$I84,"-",ROUNDUP(Ld_cal($B84, $C84, $D84, $G84,$E84, $F84, $H84, T$3)*1.3,0)),"-")</f>
        <v>-</v>
      </c>
      <c r="U85" s="41" t="str">
        <f>IF($J85=U$3,IF(U$3&gt;$I84,"-",ROUNDUP(Ld_cal($B84, $C84, $D84, $G84,$E84, $F84, $H84, U$3)*1.3,0)),"-")</f>
        <v>-</v>
      </c>
      <c r="V85" s="41" t="str">
        <f>IF($J85=V$3,IF(V$3&gt;$I84,"-",ROUNDUP(Ld_cal($B84, $C84, $D84, $G84,$E84, $F84, $H84, V$3)*1.3,0)),"-")</f>
        <v>-</v>
      </c>
      <c r="W85" s="41" t="str">
        <f>IF($J85=W$3,IF(W$3&gt;$I84,"-",ROUNDUP(Ld_cal($B84, $C84, $D84, $G84,$E84, $F84, $H84, W$3)*1.3,0)),"-")</f>
        <v>-</v>
      </c>
      <c r="X85" s="41" t="str">
        <f>IF($J85=X$3,IF(X$3&gt;$I84,"-",ROUNDUP(Ld_cal($B84, $C84, $D84, $G84,$E84, $F84, $H84, X$3)*1.3,0)),"-")</f>
        <v>-</v>
      </c>
      <c r="Y85" s="41" t="str">
        <f>IF($J85=Y$3,IF(Y$3&gt;$I84,"-",ROUNDUP(Ld_cal($B84, $C84, $D84, $G84,$E84, $F84, $H84, Y$3)*1.3,0)),"-")</f>
        <v>-</v>
      </c>
      <c r="Z85" s="41" t="str">
        <f>IF($J85=Z$3,IF(Z$3&gt;$I84,"-",ROUNDUP(Ld_cal($B84, $C84, $D84, $G84,$E84, $F84, $H84, Z$3)*1.3,0)),"-")</f>
        <v>-</v>
      </c>
      <c r="AA85" s="41" t="str">
        <f>IF($J85=AA$3,IF(AA$3&gt;$I84,"-",ROUNDUP(Ld_cal($B84, $C84, $D84, $G84,$E84, $F84, $H84, AA$3)*1.3,0)),"-")</f>
        <v>-</v>
      </c>
      <c r="AB85" s="41" t="str">
        <f>IF($J85=AB$3,IF(AB$3&gt;$I84,"-",ROUNDUP(Ld_cal($B84, $C84, $D84, $G84,$E84, $F84, $H84, AB$3)*1.3,0)),"-")</f>
        <v>-</v>
      </c>
      <c r="AC85" s="41" t="str">
        <f>IF($J85=AC$3,IF(AC$3&gt;$I84,"-",ROUNDUP(Ld_cal($B84, $C84, $D84, $G84,$E84, $F84, $H84, AC$3)*1.3,0)),"-")</f>
        <v>-</v>
      </c>
      <c r="AD85" s="47">
        <f t="shared" ref="AD85" si="79">IF(J85&gt;I84,"依標準圖",MAX(L85:AC85))</f>
        <v>105</v>
      </c>
    </row>
    <row r="86" spans="1:30" s="45" customFormat="1">
      <c r="A86" s="113" t="s">
        <v>74</v>
      </c>
      <c r="B86" s="99">
        <v>120</v>
      </c>
      <c r="C86" s="114">
        <v>7.5</v>
      </c>
      <c r="D86" s="99">
        <v>4200</v>
      </c>
      <c r="E86" s="102">
        <v>16</v>
      </c>
      <c r="F86" s="103">
        <v>10</v>
      </c>
      <c r="G86" s="99">
        <v>350</v>
      </c>
      <c r="H86" s="102">
        <v>32</v>
      </c>
      <c r="I86" s="104">
        <f>ROUNDDOWN(($B86-2*$C86-2*$E86/10-$H86/10)/(($D$1+1)*$H86/10),0)+1</f>
        <v>16</v>
      </c>
      <c r="J86" s="42">
        <v>15</v>
      </c>
      <c r="K86" s="43" t="s">
        <v>30</v>
      </c>
      <c r="L86" s="44" t="str">
        <f>IF($J86=L$3,IF(L$3&gt;$I86,"-",ROUNDUP(Ld_cal($B86, $C86, $D86, $G86,$E86, $F86, $H86, L$3)*1.3*1.3,0)),"-")</f>
        <v>-</v>
      </c>
      <c r="M86" s="44" t="str">
        <f>IF($J86=M$3,IF(M$3&gt;$I86,"-",ROUNDUP(Ld_cal($B86, $C86, $D86, $G86,$E86, $F86, $H86, M$3)*1.3*1.3,0)),"-")</f>
        <v>-</v>
      </c>
      <c r="N86" s="44" t="str">
        <f>IF($J86=N$3,IF(N$3&gt;$I86,"-",ROUNDUP(Ld_cal($B86, $C86, $D86, $G86,$E86, $F86, $H86, N$3)*1.3*1.3,0)),"-")</f>
        <v>-</v>
      </c>
      <c r="O86" s="44" t="str">
        <f>IF($J86=O$3,IF(O$3&gt;$I86,"-",ROUNDUP(Ld_cal($B86, $C86, $D86, $G86,$E86, $F86, $H86, O$3)*1.3*1.3,0)),"-")</f>
        <v>-</v>
      </c>
      <c r="P86" s="44" t="str">
        <f>IF($J86=P$3,IF(P$3&gt;$I86,"-",ROUNDUP(Ld_cal($B86, $C86, $D86, $G86,$E86, $F86, $H86, P$3)*1.3*1.3,0)),"-")</f>
        <v>-</v>
      </c>
      <c r="Q86" s="44" t="str">
        <f>IF($J86=Q$3,IF(Q$3&gt;$I86,"-",ROUNDUP(Ld_cal($B86, $C86, $D86, $G86,$E86, $F86, $H86, Q$3)*1.3*1.3,0)),"-")</f>
        <v>-</v>
      </c>
      <c r="R86" s="44" t="str">
        <f>IF($J86=R$3,IF(R$3&gt;$I86,"-",ROUNDUP(Ld_cal($B86, $C86, $D86, $G86,$E86, $F86, $H86, R$3)*1.3*1.3,0)),"-")</f>
        <v>-</v>
      </c>
      <c r="S86" s="44" t="str">
        <f>IF($J86=S$3,IF(S$3&gt;$I86,"-",ROUNDUP(Ld_cal($B86, $C86, $D86, $G86,$E86, $F86, $H86, S$3)*1.3*1.3,0)),"-")</f>
        <v>-</v>
      </c>
      <c r="T86" s="44" t="str">
        <f>IF($J86=T$3,IF(T$3&gt;$I86,"-",ROUNDUP(Ld_cal($B86, $C86, $D86, $G86,$E86, $F86, $H86, T$3)*1.3*1.3,0)),"-")</f>
        <v>-</v>
      </c>
      <c r="U86" s="44" t="str">
        <f>IF($J86=U$3,IF(U$3&gt;$I86,"-",ROUNDUP(Ld_cal($B86, $C86, $D86, $G86,$E86, $F86, $H86, U$3)*1.3*1.3,0)),"-")</f>
        <v>-</v>
      </c>
      <c r="V86" s="44" t="str">
        <f>IF($J86=V$3,IF(V$3&gt;$I86,"-",ROUNDUP(Ld_cal($B86, $C86, $D86, $G86,$E86, $F86, $H86, V$3)*1.3*1.3,0)),"-")</f>
        <v>-</v>
      </c>
      <c r="W86" s="44" t="str">
        <f>IF($J86=W$3,IF(W$3&gt;$I86,"-",ROUNDUP(Ld_cal($B86, $C86, $D86, $G86,$E86, $F86, $H86, W$3)*1.3*1.3,0)),"-")</f>
        <v>-</v>
      </c>
      <c r="X86" s="44">
        <f>IF($J86=X$3,IF(X$3&gt;$I86,"-",ROUNDUP(Ld_cal($B86, $C86, $D86, $G86,$E86, $F86, $H86, X$3)*1.3*1.3,0)),"-")</f>
        <v>237</v>
      </c>
      <c r="Y86" s="44" t="str">
        <f>IF($J86=Y$3,IF(Y$3&gt;$I86,"-",ROUNDUP(Ld_cal($B86, $C86, $D86, $G86,$E86, $F86, $H86, Y$3)*1.3*1.3,0)),"-")</f>
        <v>-</v>
      </c>
      <c r="Z86" s="44" t="str">
        <f>IF($J86=Z$3,IF(Z$3&gt;$I86,"-",ROUNDUP(Ld_cal($B86, $C86, $D86, $G86,$E86, $F86, $H86, Z$3)*1.3*1.3,0)),"-")</f>
        <v>-</v>
      </c>
      <c r="AA86" s="44" t="str">
        <f>IF($J86=AA$3,IF(AA$3&gt;$I86,"-",ROUNDUP(Ld_cal($B86, $C86, $D86, $G86,$E86, $F86, $H86, AA$3)*1.3*1.3,0)),"-")</f>
        <v>-</v>
      </c>
      <c r="AB86" s="44" t="str">
        <f>IF($J86=AB$3,IF(AB$3&gt;$I86,"-",ROUNDUP(Ld_cal($B86, $C86, $D86, $G86,$E86, $F86, $H86, AB$3)*1.3*1.3,0)),"-")</f>
        <v>-</v>
      </c>
      <c r="AC86" s="44" t="str">
        <f>IF($J86=AC$3,IF(AC$3&gt;$I86,"-",ROUNDUP(Ld_cal($B86, $C86, $D86, $G86,$E86, $F86, $H86, AC$3)*1.3*1.3,0)),"-")</f>
        <v>-</v>
      </c>
      <c r="AD86" s="46">
        <f t="shared" ref="AD86" si="80">IF(J86&gt;I86,"依標準圖",MAX(L86:AC86))</f>
        <v>237</v>
      </c>
    </row>
    <row r="87" spans="1:30" s="45" customFormat="1">
      <c r="A87" s="113"/>
      <c r="B87" s="99"/>
      <c r="C87" s="114"/>
      <c r="D87" s="99"/>
      <c r="E87" s="102"/>
      <c r="F87" s="103"/>
      <c r="G87" s="99"/>
      <c r="H87" s="102"/>
      <c r="I87" s="104"/>
      <c r="J87" s="42">
        <v>7</v>
      </c>
      <c r="K87" s="43" t="s">
        <v>29</v>
      </c>
      <c r="L87" s="44" t="str">
        <f>IF($J87=L$3,IF(L$3&gt;$I86,"-",ROUNDUP(Ld_cal($B86, $C86, $D86, $G86,$E86, $F86, $H86, L$3)*1.3,0)),"-")</f>
        <v>-</v>
      </c>
      <c r="M87" s="44" t="str">
        <f>IF($J87=M$3,IF(M$3&gt;$I86,"-",ROUNDUP(Ld_cal($B86, $C86, $D86, $G86,$E86, $F86, $H86, M$3)*1.3,0)),"-")</f>
        <v>-</v>
      </c>
      <c r="N87" s="44" t="str">
        <f>IF($J87=N$3,IF(N$3&gt;$I86,"-",ROUNDUP(Ld_cal($B86, $C86, $D86, $G86,$E86, $F86, $H86, N$3)*1.3,0)),"-")</f>
        <v>-</v>
      </c>
      <c r="O87" s="44" t="str">
        <f>IF($J87=O$3,IF(O$3&gt;$I86,"-",ROUNDUP(Ld_cal($B86, $C86, $D86, $G86,$E86, $F86, $H86, O$3)*1.3,0)),"-")</f>
        <v>-</v>
      </c>
      <c r="P87" s="44">
        <f>IF($J87=P$3,IF(P$3&gt;$I86,"-",ROUNDUP(Ld_cal($B86, $C86, $D86, $G86,$E86, $F86, $H86, P$3)*1.3,0)),"-")</f>
        <v>105</v>
      </c>
      <c r="Q87" s="44" t="str">
        <f>IF($J87=Q$3,IF(Q$3&gt;$I86,"-",ROUNDUP(Ld_cal($B86, $C86, $D86, $G86,$E86, $F86, $H86, Q$3)*1.3,0)),"-")</f>
        <v>-</v>
      </c>
      <c r="R87" s="44" t="str">
        <f>IF($J87=R$3,IF(R$3&gt;$I86,"-",ROUNDUP(Ld_cal($B86, $C86, $D86, $G86,$E86, $F86, $H86, R$3)*1.3,0)),"-")</f>
        <v>-</v>
      </c>
      <c r="S87" s="44" t="str">
        <f>IF($J87=S$3,IF(S$3&gt;$I86,"-",ROUNDUP(Ld_cal($B86, $C86, $D86, $G86,$E86, $F86, $H86, S$3)*1.3,0)),"-")</f>
        <v>-</v>
      </c>
      <c r="T87" s="44" t="str">
        <f>IF($J87=T$3,IF(T$3&gt;$I86,"-",ROUNDUP(Ld_cal($B86, $C86, $D86, $G86,$E86, $F86, $H86, T$3)*1.3,0)),"-")</f>
        <v>-</v>
      </c>
      <c r="U87" s="44" t="str">
        <f>IF($J87=U$3,IF(U$3&gt;$I86,"-",ROUNDUP(Ld_cal($B86, $C86, $D86, $G86,$E86, $F86, $H86, U$3)*1.3,0)),"-")</f>
        <v>-</v>
      </c>
      <c r="V87" s="44" t="str">
        <f>IF($J87=V$3,IF(V$3&gt;$I86,"-",ROUNDUP(Ld_cal($B86, $C86, $D86, $G86,$E86, $F86, $H86, V$3)*1.3,0)),"-")</f>
        <v>-</v>
      </c>
      <c r="W87" s="44" t="str">
        <f>IF($J87=W$3,IF(W$3&gt;$I86,"-",ROUNDUP(Ld_cal($B86, $C86, $D86, $G86,$E86, $F86, $H86, W$3)*1.3,0)),"-")</f>
        <v>-</v>
      </c>
      <c r="X87" s="44" t="str">
        <f>IF($J87=X$3,IF(X$3&gt;$I86,"-",ROUNDUP(Ld_cal($B86, $C86, $D86, $G86,$E86, $F86, $H86, X$3)*1.3,0)),"-")</f>
        <v>-</v>
      </c>
      <c r="Y87" s="44" t="str">
        <f>IF($J87=Y$3,IF(Y$3&gt;$I86,"-",ROUNDUP(Ld_cal($B86, $C86, $D86, $G86,$E86, $F86, $H86, Y$3)*1.3,0)),"-")</f>
        <v>-</v>
      </c>
      <c r="Z87" s="44" t="str">
        <f>IF($J87=Z$3,IF(Z$3&gt;$I86,"-",ROUNDUP(Ld_cal($B86, $C86, $D86, $G86,$E86, $F86, $H86, Z$3)*1.3,0)),"-")</f>
        <v>-</v>
      </c>
      <c r="AA87" s="44" t="str">
        <f>IF($J87=AA$3,IF(AA$3&gt;$I86,"-",ROUNDUP(Ld_cal($B86, $C86, $D86, $G86,$E86, $F86, $H86, AA$3)*1.3,0)),"-")</f>
        <v>-</v>
      </c>
      <c r="AB87" s="44" t="str">
        <f>IF($J87=AB$3,IF(AB$3&gt;$I86,"-",ROUNDUP(Ld_cal($B86, $C86, $D86, $G86,$E86, $F86, $H86, AB$3)*1.3,0)),"-")</f>
        <v>-</v>
      </c>
      <c r="AC87" s="44" t="str">
        <f>IF($J87=AC$3,IF(AC$3&gt;$I86,"-",ROUNDUP(Ld_cal($B86, $C86, $D86, $G86,$E86, $F86, $H86, AC$3)*1.3,0)),"-")</f>
        <v>-</v>
      </c>
      <c r="AD87" s="46">
        <f t="shared" ref="AD87" si="81">IF(J87&gt;I86,"依標準圖",MAX(L87:AC87))</f>
        <v>105</v>
      </c>
    </row>
    <row r="88" spans="1:30">
      <c r="A88" s="112" t="s">
        <v>85</v>
      </c>
      <c r="B88" s="107">
        <v>120</v>
      </c>
      <c r="C88" s="108">
        <v>7.5</v>
      </c>
      <c r="D88" s="107">
        <v>4200</v>
      </c>
      <c r="E88" s="109">
        <v>16</v>
      </c>
      <c r="F88" s="110">
        <v>10</v>
      </c>
      <c r="G88" s="107">
        <v>350</v>
      </c>
      <c r="H88" s="109">
        <v>32</v>
      </c>
      <c r="I88" s="111">
        <f>ROUNDDOWN(($B88-2*$C88-2*$E88/10-$H88/10)/(($D$1+1)*$H88/10),0)+1</f>
        <v>16</v>
      </c>
      <c r="J88" s="39">
        <v>15</v>
      </c>
      <c r="K88" s="40" t="s">
        <v>30</v>
      </c>
      <c r="L88" s="41" t="str">
        <f>IF($J88=L$3,IF(L$3&gt;$I88,"-",ROUNDUP(Ld_cal($B88, $C88, $D88, $G88,$E88, $F88, $H88, L$3)*1.3*1.3,0)),"-")</f>
        <v>-</v>
      </c>
      <c r="M88" s="41" t="str">
        <f>IF($J88=M$3,IF(M$3&gt;$I88,"-",ROUNDUP(Ld_cal($B88, $C88, $D88, $G88,$E88, $F88, $H88, M$3)*1.3*1.3,0)),"-")</f>
        <v>-</v>
      </c>
      <c r="N88" s="41" t="str">
        <f>IF($J88=N$3,IF(N$3&gt;$I88,"-",ROUNDUP(Ld_cal($B88, $C88, $D88, $G88,$E88, $F88, $H88, N$3)*1.3*1.3,0)),"-")</f>
        <v>-</v>
      </c>
      <c r="O88" s="41" t="str">
        <f>IF($J88=O$3,IF(O$3&gt;$I88,"-",ROUNDUP(Ld_cal($B88, $C88, $D88, $G88,$E88, $F88, $H88, O$3)*1.3*1.3,0)),"-")</f>
        <v>-</v>
      </c>
      <c r="P88" s="41" t="str">
        <f>IF($J88=P$3,IF(P$3&gt;$I88,"-",ROUNDUP(Ld_cal($B88, $C88, $D88, $G88,$E88, $F88, $H88, P$3)*1.3*1.3,0)),"-")</f>
        <v>-</v>
      </c>
      <c r="Q88" s="41" t="str">
        <f>IF($J88=Q$3,IF(Q$3&gt;$I88,"-",ROUNDUP(Ld_cal($B88, $C88, $D88, $G88,$E88, $F88, $H88, Q$3)*1.3*1.3,0)),"-")</f>
        <v>-</v>
      </c>
      <c r="R88" s="41" t="str">
        <f>IF($J88=R$3,IF(R$3&gt;$I88,"-",ROUNDUP(Ld_cal($B88, $C88, $D88, $G88,$E88, $F88, $H88, R$3)*1.3*1.3,0)),"-")</f>
        <v>-</v>
      </c>
      <c r="S88" s="41" t="str">
        <f>IF($J88=S$3,IF(S$3&gt;$I88,"-",ROUNDUP(Ld_cal($B88, $C88, $D88, $G88,$E88, $F88, $H88, S$3)*1.3*1.3,0)),"-")</f>
        <v>-</v>
      </c>
      <c r="T88" s="41" t="str">
        <f>IF($J88=T$3,IF(T$3&gt;$I88,"-",ROUNDUP(Ld_cal($B88, $C88, $D88, $G88,$E88, $F88, $H88, T$3)*1.3*1.3,0)),"-")</f>
        <v>-</v>
      </c>
      <c r="U88" s="41" t="str">
        <f>IF($J88=U$3,IF(U$3&gt;$I88,"-",ROUNDUP(Ld_cal($B88, $C88, $D88, $G88,$E88, $F88, $H88, U$3)*1.3*1.3,0)),"-")</f>
        <v>-</v>
      </c>
      <c r="V88" s="41" t="str">
        <f>IF($J88=V$3,IF(V$3&gt;$I88,"-",ROUNDUP(Ld_cal($B88, $C88, $D88, $G88,$E88, $F88, $H88, V$3)*1.3*1.3,0)),"-")</f>
        <v>-</v>
      </c>
      <c r="W88" s="41" t="str">
        <f>IF($J88=W$3,IF(W$3&gt;$I88,"-",ROUNDUP(Ld_cal($B88, $C88, $D88, $G88,$E88, $F88, $H88, W$3)*1.3*1.3,0)),"-")</f>
        <v>-</v>
      </c>
      <c r="X88" s="41">
        <f>IF($J88=X$3,IF(X$3&gt;$I88,"-",ROUNDUP(Ld_cal($B88, $C88, $D88, $G88,$E88, $F88, $H88, X$3)*1.3*1.3,0)),"-")</f>
        <v>237</v>
      </c>
      <c r="Y88" s="41" t="str">
        <f>IF($J88=Y$3,IF(Y$3&gt;$I88,"-",ROUNDUP(Ld_cal($B88, $C88, $D88, $G88,$E88, $F88, $H88, Y$3)*1.3*1.3,0)),"-")</f>
        <v>-</v>
      </c>
      <c r="Z88" s="41" t="str">
        <f>IF($J88=Z$3,IF(Z$3&gt;$I88,"-",ROUNDUP(Ld_cal($B88, $C88, $D88, $G88,$E88, $F88, $H88, Z$3)*1.3*1.3,0)),"-")</f>
        <v>-</v>
      </c>
      <c r="AA88" s="41" t="str">
        <f>IF($J88=AA$3,IF(AA$3&gt;$I88,"-",ROUNDUP(Ld_cal($B88, $C88, $D88, $G88,$E88, $F88, $H88, AA$3)*1.3*1.3,0)),"-")</f>
        <v>-</v>
      </c>
      <c r="AB88" s="41" t="str">
        <f>IF($J88=AB$3,IF(AB$3&gt;$I88,"-",ROUNDUP(Ld_cal($B88, $C88, $D88, $G88,$E88, $F88, $H88, AB$3)*1.3*1.3,0)),"-")</f>
        <v>-</v>
      </c>
      <c r="AC88" s="41" t="str">
        <f>IF($J88=AC$3,IF(AC$3&gt;$I88,"-",ROUNDUP(Ld_cal($B88, $C88, $D88, $G88,$E88, $F88, $H88, AC$3)*1.3*1.3,0)),"-")</f>
        <v>-</v>
      </c>
      <c r="AD88" s="47">
        <f t="shared" ref="AD88" si="82">IF(J88&gt;I88,"依標準圖",MAX(L88:AC88))</f>
        <v>237</v>
      </c>
    </row>
    <row r="89" spans="1:30">
      <c r="A89" s="112"/>
      <c r="B89" s="107"/>
      <c r="C89" s="108"/>
      <c r="D89" s="107"/>
      <c r="E89" s="109"/>
      <c r="F89" s="110"/>
      <c r="G89" s="107"/>
      <c r="H89" s="109"/>
      <c r="I89" s="111"/>
      <c r="J89" s="39">
        <v>8</v>
      </c>
      <c r="K89" s="40" t="s">
        <v>29</v>
      </c>
      <c r="L89" s="41" t="str">
        <f>IF($J89=L$3,IF(L$3&gt;$I88,"-",ROUNDUP(Ld_cal($B88, $C88, $D88, $G88,$E88, $F88, $H88, L$3)*1.3,0)),"-")</f>
        <v>-</v>
      </c>
      <c r="M89" s="41" t="str">
        <f>IF($J89=M$3,IF(M$3&gt;$I88,"-",ROUNDUP(Ld_cal($B88, $C88, $D88, $G88,$E88, $F88, $H88, M$3)*1.3,0)),"-")</f>
        <v>-</v>
      </c>
      <c r="N89" s="41" t="str">
        <f>IF($J89=N$3,IF(N$3&gt;$I88,"-",ROUNDUP(Ld_cal($B88, $C88, $D88, $G88,$E88, $F88, $H88, N$3)*1.3,0)),"-")</f>
        <v>-</v>
      </c>
      <c r="O89" s="41" t="str">
        <f>IF($J89=O$3,IF(O$3&gt;$I88,"-",ROUNDUP(Ld_cal($B88, $C88, $D88, $G88,$E88, $F88, $H88, O$3)*1.3,0)),"-")</f>
        <v>-</v>
      </c>
      <c r="P89" s="41" t="str">
        <f>IF($J89=P$3,IF(P$3&gt;$I88,"-",ROUNDUP(Ld_cal($B88, $C88, $D88, $G88,$E88, $F88, $H88, P$3)*1.3,0)),"-")</f>
        <v>-</v>
      </c>
      <c r="Q89" s="41">
        <f>IF($J89=Q$3,IF(Q$3&gt;$I88,"-",ROUNDUP(Ld_cal($B88, $C88, $D88, $G88,$E88, $F88, $H88, Q$3)*1.3,0)),"-")</f>
        <v>105</v>
      </c>
      <c r="R89" s="41" t="str">
        <f>IF($J89=R$3,IF(R$3&gt;$I88,"-",ROUNDUP(Ld_cal($B88, $C88, $D88, $G88,$E88, $F88, $H88, R$3)*1.3,0)),"-")</f>
        <v>-</v>
      </c>
      <c r="S89" s="41" t="str">
        <f>IF($J89=S$3,IF(S$3&gt;$I88,"-",ROUNDUP(Ld_cal($B88, $C88, $D88, $G88,$E88, $F88, $H88, S$3)*1.3,0)),"-")</f>
        <v>-</v>
      </c>
      <c r="T89" s="41" t="str">
        <f>IF($J89=T$3,IF(T$3&gt;$I88,"-",ROUNDUP(Ld_cal($B88, $C88, $D88, $G88,$E88, $F88, $H88, T$3)*1.3,0)),"-")</f>
        <v>-</v>
      </c>
      <c r="U89" s="41" t="str">
        <f>IF($J89=U$3,IF(U$3&gt;$I88,"-",ROUNDUP(Ld_cal($B88, $C88, $D88, $G88,$E88, $F88, $H88, U$3)*1.3,0)),"-")</f>
        <v>-</v>
      </c>
      <c r="V89" s="41" t="str">
        <f>IF($J89=V$3,IF(V$3&gt;$I88,"-",ROUNDUP(Ld_cal($B88, $C88, $D88, $G88,$E88, $F88, $H88, V$3)*1.3,0)),"-")</f>
        <v>-</v>
      </c>
      <c r="W89" s="41" t="str">
        <f>IF($J89=W$3,IF(W$3&gt;$I88,"-",ROUNDUP(Ld_cal($B88, $C88, $D88, $G88,$E88, $F88, $H88, W$3)*1.3,0)),"-")</f>
        <v>-</v>
      </c>
      <c r="X89" s="41" t="str">
        <f>IF($J89=X$3,IF(X$3&gt;$I88,"-",ROUNDUP(Ld_cal($B88, $C88, $D88, $G88,$E88, $F88, $H88, X$3)*1.3,0)),"-")</f>
        <v>-</v>
      </c>
      <c r="Y89" s="41" t="str">
        <f>IF($J89=Y$3,IF(Y$3&gt;$I88,"-",ROUNDUP(Ld_cal($B88, $C88, $D88, $G88,$E88, $F88, $H88, Y$3)*1.3,0)),"-")</f>
        <v>-</v>
      </c>
      <c r="Z89" s="41" t="str">
        <f>IF($J89=Z$3,IF(Z$3&gt;$I88,"-",ROUNDUP(Ld_cal($B88, $C88, $D88, $G88,$E88, $F88, $H88, Z$3)*1.3,0)),"-")</f>
        <v>-</v>
      </c>
      <c r="AA89" s="41" t="str">
        <f>IF($J89=AA$3,IF(AA$3&gt;$I88,"-",ROUNDUP(Ld_cal($B88, $C88, $D88, $G88,$E88, $F88, $H88, AA$3)*1.3,0)),"-")</f>
        <v>-</v>
      </c>
      <c r="AB89" s="41" t="str">
        <f>IF($J89=AB$3,IF(AB$3&gt;$I88,"-",ROUNDUP(Ld_cal($B88, $C88, $D88, $G88,$E88, $F88, $H88, AB$3)*1.3,0)),"-")</f>
        <v>-</v>
      </c>
      <c r="AC89" s="41" t="str">
        <f>IF($J89=AC$3,IF(AC$3&gt;$I88,"-",ROUNDUP(Ld_cal($B88, $C88, $D88, $G88,$E88, $F88, $H88, AC$3)*1.3,0)),"-")</f>
        <v>-</v>
      </c>
      <c r="AD89" s="47">
        <f t="shared" ref="AD89" si="83">IF(J89&gt;I88,"依標準圖",MAX(L89:AC89))</f>
        <v>105</v>
      </c>
    </row>
    <row r="90" spans="1:30" s="45" customFormat="1">
      <c r="A90" s="113" t="s">
        <v>86</v>
      </c>
      <c r="B90" s="99">
        <v>120</v>
      </c>
      <c r="C90" s="114">
        <v>7.5</v>
      </c>
      <c r="D90" s="99">
        <v>4200</v>
      </c>
      <c r="E90" s="102">
        <v>16</v>
      </c>
      <c r="F90" s="103">
        <v>10</v>
      </c>
      <c r="G90" s="99">
        <v>350</v>
      </c>
      <c r="H90" s="102">
        <v>32</v>
      </c>
      <c r="I90" s="104">
        <f>ROUNDDOWN(($B90-2*$C90-2*$E90/10-$H90/10)/(($D$1+1)*$H90/10),0)+1</f>
        <v>16</v>
      </c>
      <c r="J90" s="42">
        <v>16</v>
      </c>
      <c r="K90" s="43" t="s">
        <v>30</v>
      </c>
      <c r="L90" s="44" t="str">
        <f>IF($J90=L$3,IF(L$3&gt;$I90,"-",ROUNDUP(Ld_cal($B90, $C90, $D90, $G90,$E90, $F90, $H90, L$3)*1.3*1.3,0)),"-")</f>
        <v>-</v>
      </c>
      <c r="M90" s="44" t="str">
        <f>IF($J90=M$3,IF(M$3&gt;$I90,"-",ROUNDUP(Ld_cal($B90, $C90, $D90, $G90,$E90, $F90, $H90, M$3)*1.3*1.3,0)),"-")</f>
        <v>-</v>
      </c>
      <c r="N90" s="44" t="str">
        <f>IF($J90=N$3,IF(N$3&gt;$I90,"-",ROUNDUP(Ld_cal($B90, $C90, $D90, $G90,$E90, $F90, $H90, N$3)*1.3*1.3,0)),"-")</f>
        <v>-</v>
      </c>
      <c r="O90" s="44" t="str">
        <f>IF($J90=O$3,IF(O$3&gt;$I90,"-",ROUNDUP(Ld_cal($B90, $C90, $D90, $G90,$E90, $F90, $H90, O$3)*1.3*1.3,0)),"-")</f>
        <v>-</v>
      </c>
      <c r="P90" s="44" t="str">
        <f>IF($J90=P$3,IF(P$3&gt;$I90,"-",ROUNDUP(Ld_cal($B90, $C90, $D90, $G90,$E90, $F90, $H90, P$3)*1.3*1.3,0)),"-")</f>
        <v>-</v>
      </c>
      <c r="Q90" s="44" t="str">
        <f>IF($J90=Q$3,IF(Q$3&gt;$I90,"-",ROUNDUP(Ld_cal($B90, $C90, $D90, $G90,$E90, $F90, $H90, Q$3)*1.3*1.3,0)),"-")</f>
        <v>-</v>
      </c>
      <c r="R90" s="44" t="str">
        <f>IF($J90=R$3,IF(R$3&gt;$I90,"-",ROUNDUP(Ld_cal($B90, $C90, $D90, $G90,$E90, $F90, $H90, R$3)*1.3*1.3,0)),"-")</f>
        <v>-</v>
      </c>
      <c r="S90" s="44" t="str">
        <f>IF($J90=S$3,IF(S$3&gt;$I90,"-",ROUNDUP(Ld_cal($B90, $C90, $D90, $G90,$E90, $F90, $H90, S$3)*1.3*1.3,0)),"-")</f>
        <v>-</v>
      </c>
      <c r="T90" s="44" t="str">
        <f>IF($J90=T$3,IF(T$3&gt;$I90,"-",ROUNDUP(Ld_cal($B90, $C90, $D90, $G90,$E90, $F90, $H90, T$3)*1.3*1.3,0)),"-")</f>
        <v>-</v>
      </c>
      <c r="U90" s="44" t="str">
        <f>IF($J90=U$3,IF(U$3&gt;$I90,"-",ROUNDUP(Ld_cal($B90, $C90, $D90, $G90,$E90, $F90, $H90, U$3)*1.3*1.3,0)),"-")</f>
        <v>-</v>
      </c>
      <c r="V90" s="44" t="str">
        <f>IF($J90=V$3,IF(V$3&gt;$I90,"-",ROUNDUP(Ld_cal($B90, $C90, $D90, $G90,$E90, $F90, $H90, V$3)*1.3*1.3,0)),"-")</f>
        <v>-</v>
      </c>
      <c r="W90" s="44" t="str">
        <f>IF($J90=W$3,IF(W$3&gt;$I90,"-",ROUNDUP(Ld_cal($B90, $C90, $D90, $G90,$E90, $F90, $H90, W$3)*1.3*1.3,0)),"-")</f>
        <v>-</v>
      </c>
      <c r="X90" s="44" t="str">
        <f>IF($J90=X$3,IF(X$3&gt;$I90,"-",ROUNDUP(Ld_cal($B90, $C90, $D90, $G90,$E90, $F90, $H90, X$3)*1.3*1.3,0)),"-")</f>
        <v>-</v>
      </c>
      <c r="Y90" s="44">
        <f>IF($J90=Y$3,IF(Y$3&gt;$I90,"-",ROUNDUP(Ld_cal($B90, $C90, $D90, $G90,$E90, $F90, $H90, Y$3)*1.3*1.3,0)),"-")</f>
        <v>254</v>
      </c>
      <c r="Z90" s="44" t="str">
        <f>IF($J90=Z$3,IF(Z$3&gt;$I90,"-",ROUNDUP(Ld_cal($B90, $C90, $D90, $G90,$E90, $F90, $H90, Z$3)*1.3*1.3,0)),"-")</f>
        <v>-</v>
      </c>
      <c r="AA90" s="44" t="str">
        <f>IF($J90=AA$3,IF(AA$3&gt;$I90,"-",ROUNDUP(Ld_cal($B90, $C90, $D90, $G90,$E90, $F90, $H90, AA$3)*1.3*1.3,0)),"-")</f>
        <v>-</v>
      </c>
      <c r="AB90" s="44" t="str">
        <f>IF($J90=AB$3,IF(AB$3&gt;$I90,"-",ROUNDUP(Ld_cal($B90, $C90, $D90, $G90,$E90, $F90, $H90, AB$3)*1.3*1.3,0)),"-")</f>
        <v>-</v>
      </c>
      <c r="AC90" s="44" t="str">
        <f>IF($J90=AC$3,IF(AC$3&gt;$I90,"-",ROUNDUP(Ld_cal($B90, $C90, $D90, $G90,$E90, $F90, $H90, AC$3)*1.3*1.3,0)),"-")</f>
        <v>-</v>
      </c>
      <c r="AD90" s="46">
        <f t="shared" ref="AD90" si="84">IF(J90&gt;I90,"依標準圖",MAX(L90:AC90))</f>
        <v>254</v>
      </c>
    </row>
    <row r="91" spans="1:30" s="45" customFormat="1">
      <c r="A91" s="113"/>
      <c r="B91" s="99"/>
      <c r="C91" s="114"/>
      <c r="D91" s="99"/>
      <c r="E91" s="102"/>
      <c r="F91" s="103"/>
      <c r="G91" s="99"/>
      <c r="H91" s="102"/>
      <c r="I91" s="104"/>
      <c r="J91" s="42">
        <v>8</v>
      </c>
      <c r="K91" s="43" t="s">
        <v>29</v>
      </c>
      <c r="L91" s="44" t="str">
        <f>IF($J91=L$3,IF(L$3&gt;$I90,"-",ROUNDUP(Ld_cal($B90, $C90, $D90, $G90,$E90, $F90, $H90, L$3)*1.3,0)),"-")</f>
        <v>-</v>
      </c>
      <c r="M91" s="44" t="str">
        <f>IF($J91=M$3,IF(M$3&gt;$I90,"-",ROUNDUP(Ld_cal($B90, $C90, $D90, $G90,$E90, $F90, $H90, M$3)*1.3,0)),"-")</f>
        <v>-</v>
      </c>
      <c r="N91" s="44" t="str">
        <f>IF($J91=N$3,IF(N$3&gt;$I90,"-",ROUNDUP(Ld_cal($B90, $C90, $D90, $G90,$E90, $F90, $H90, N$3)*1.3,0)),"-")</f>
        <v>-</v>
      </c>
      <c r="O91" s="44" t="str">
        <f>IF($J91=O$3,IF(O$3&gt;$I90,"-",ROUNDUP(Ld_cal($B90, $C90, $D90, $G90,$E90, $F90, $H90, O$3)*1.3,0)),"-")</f>
        <v>-</v>
      </c>
      <c r="P91" s="44" t="str">
        <f>IF($J91=P$3,IF(P$3&gt;$I90,"-",ROUNDUP(Ld_cal($B90, $C90, $D90, $G90,$E90, $F90, $H90, P$3)*1.3,0)),"-")</f>
        <v>-</v>
      </c>
      <c r="Q91" s="44">
        <f>IF($J91=Q$3,IF(Q$3&gt;$I90,"-",ROUNDUP(Ld_cal($B90, $C90, $D90, $G90,$E90, $F90, $H90, Q$3)*1.3,0)),"-")</f>
        <v>105</v>
      </c>
      <c r="R91" s="44" t="str">
        <f>IF($J91=R$3,IF(R$3&gt;$I90,"-",ROUNDUP(Ld_cal($B90, $C90, $D90, $G90,$E90, $F90, $H90, R$3)*1.3,0)),"-")</f>
        <v>-</v>
      </c>
      <c r="S91" s="44" t="str">
        <f>IF($J91=S$3,IF(S$3&gt;$I90,"-",ROUNDUP(Ld_cal($B90, $C90, $D90, $G90,$E90, $F90, $H90, S$3)*1.3,0)),"-")</f>
        <v>-</v>
      </c>
      <c r="T91" s="44" t="str">
        <f>IF($J91=T$3,IF(T$3&gt;$I90,"-",ROUNDUP(Ld_cal($B90, $C90, $D90, $G90,$E90, $F90, $H90, T$3)*1.3,0)),"-")</f>
        <v>-</v>
      </c>
      <c r="U91" s="44" t="str">
        <f>IF($J91=U$3,IF(U$3&gt;$I90,"-",ROUNDUP(Ld_cal($B90, $C90, $D90, $G90,$E90, $F90, $H90, U$3)*1.3,0)),"-")</f>
        <v>-</v>
      </c>
      <c r="V91" s="44" t="str">
        <f>IF($J91=V$3,IF(V$3&gt;$I90,"-",ROUNDUP(Ld_cal($B90, $C90, $D90, $G90,$E90, $F90, $H90, V$3)*1.3,0)),"-")</f>
        <v>-</v>
      </c>
      <c r="W91" s="44" t="str">
        <f>IF($J91=W$3,IF(W$3&gt;$I90,"-",ROUNDUP(Ld_cal($B90, $C90, $D90, $G90,$E90, $F90, $H90, W$3)*1.3,0)),"-")</f>
        <v>-</v>
      </c>
      <c r="X91" s="44" t="str">
        <f>IF($J91=X$3,IF(X$3&gt;$I90,"-",ROUNDUP(Ld_cal($B90, $C90, $D90, $G90,$E90, $F90, $H90, X$3)*1.3,0)),"-")</f>
        <v>-</v>
      </c>
      <c r="Y91" s="44" t="str">
        <f>IF($J91=Y$3,IF(Y$3&gt;$I90,"-",ROUNDUP(Ld_cal($B90, $C90, $D90, $G90,$E90, $F90, $H90, Y$3)*1.3,0)),"-")</f>
        <v>-</v>
      </c>
      <c r="Z91" s="44" t="str">
        <f>IF($J91=Z$3,IF(Z$3&gt;$I90,"-",ROUNDUP(Ld_cal($B90, $C90, $D90, $G90,$E90, $F90, $H90, Z$3)*1.3,0)),"-")</f>
        <v>-</v>
      </c>
      <c r="AA91" s="44" t="str">
        <f>IF($J91=AA$3,IF(AA$3&gt;$I90,"-",ROUNDUP(Ld_cal($B90, $C90, $D90, $G90,$E90, $F90, $H90, AA$3)*1.3,0)),"-")</f>
        <v>-</v>
      </c>
      <c r="AB91" s="44" t="str">
        <f>IF($J91=AB$3,IF(AB$3&gt;$I90,"-",ROUNDUP(Ld_cal($B90, $C90, $D90, $G90,$E90, $F90, $H90, AB$3)*1.3,0)),"-")</f>
        <v>-</v>
      </c>
      <c r="AC91" s="44" t="str">
        <f>IF($J91=AC$3,IF(AC$3&gt;$I90,"-",ROUNDUP(Ld_cal($B90, $C90, $D90, $G90,$E90, $F90, $H90, AC$3)*1.3,0)),"-")</f>
        <v>-</v>
      </c>
      <c r="AD91" s="46">
        <f t="shared" ref="AD91" si="85">IF(J91&gt;I90,"依標準圖",MAX(L91:AC91))</f>
        <v>105</v>
      </c>
    </row>
    <row r="92" spans="1:30">
      <c r="A92" s="112" t="s">
        <v>87</v>
      </c>
      <c r="B92" s="107">
        <v>120</v>
      </c>
      <c r="C92" s="108">
        <v>7.5</v>
      </c>
      <c r="D92" s="107">
        <v>4200</v>
      </c>
      <c r="E92" s="109">
        <v>16</v>
      </c>
      <c r="F92" s="110">
        <v>10</v>
      </c>
      <c r="G92" s="107">
        <v>350</v>
      </c>
      <c r="H92" s="109">
        <v>32</v>
      </c>
      <c r="I92" s="111">
        <f>ROUNDDOWN(($B92-2*$C92-2*$E92/10-$H92/10)/(($D$1+1)*$H92/10),0)+1</f>
        <v>16</v>
      </c>
      <c r="J92" s="39">
        <v>10</v>
      </c>
      <c r="K92" s="40" t="s">
        <v>30</v>
      </c>
      <c r="L92" s="41" t="str">
        <f>IF($J92=L$3,IF(L$3&gt;$I92,"-",ROUNDUP(Ld_cal($B92, $C92, $D92, $G92,$E92, $F92, $H92, L$3)*1.3*1.3,0)),"-")</f>
        <v>-</v>
      </c>
      <c r="M92" s="41" t="str">
        <f>IF($J92=M$3,IF(M$3&gt;$I92,"-",ROUNDUP(Ld_cal($B92, $C92, $D92, $G92,$E92, $F92, $H92, M$3)*1.3*1.3,0)),"-")</f>
        <v>-</v>
      </c>
      <c r="N92" s="41" t="str">
        <f>IF($J92=N$3,IF(N$3&gt;$I92,"-",ROUNDUP(Ld_cal($B92, $C92, $D92, $G92,$E92, $F92, $H92, N$3)*1.3*1.3,0)),"-")</f>
        <v>-</v>
      </c>
      <c r="O92" s="41" t="str">
        <f>IF($J92=O$3,IF(O$3&gt;$I92,"-",ROUNDUP(Ld_cal($B92, $C92, $D92, $G92,$E92, $F92, $H92, O$3)*1.3*1.3,0)),"-")</f>
        <v>-</v>
      </c>
      <c r="P92" s="41" t="str">
        <f>IF($J92=P$3,IF(P$3&gt;$I92,"-",ROUNDUP(Ld_cal($B92, $C92, $D92, $G92,$E92, $F92, $H92, P$3)*1.3*1.3,0)),"-")</f>
        <v>-</v>
      </c>
      <c r="Q92" s="41" t="str">
        <f>IF($J92=Q$3,IF(Q$3&gt;$I92,"-",ROUNDUP(Ld_cal($B92, $C92, $D92, $G92,$E92, $F92, $H92, Q$3)*1.3*1.3,0)),"-")</f>
        <v>-</v>
      </c>
      <c r="R92" s="41" t="str">
        <f>IF($J92=R$3,IF(R$3&gt;$I92,"-",ROUNDUP(Ld_cal($B92, $C92, $D92, $G92,$E92, $F92, $H92, R$3)*1.3*1.3,0)),"-")</f>
        <v>-</v>
      </c>
      <c r="S92" s="41">
        <f>IF($J92=S$3,IF(S$3&gt;$I92,"-",ROUNDUP(Ld_cal($B92, $C92, $D92, $G92,$E92, $F92, $H92, S$3)*1.3*1.3,0)),"-")</f>
        <v>154</v>
      </c>
      <c r="T92" s="41" t="str">
        <f>IF($J92=T$3,IF(T$3&gt;$I92,"-",ROUNDUP(Ld_cal($B92, $C92, $D92, $G92,$E92, $F92, $H92, T$3)*1.3*1.3,0)),"-")</f>
        <v>-</v>
      </c>
      <c r="U92" s="41" t="str">
        <f>IF($J92=U$3,IF(U$3&gt;$I92,"-",ROUNDUP(Ld_cal($B92, $C92, $D92, $G92,$E92, $F92, $H92, U$3)*1.3*1.3,0)),"-")</f>
        <v>-</v>
      </c>
      <c r="V92" s="41" t="str">
        <f>IF($J92=V$3,IF(V$3&gt;$I92,"-",ROUNDUP(Ld_cal($B92, $C92, $D92, $G92,$E92, $F92, $H92, V$3)*1.3*1.3,0)),"-")</f>
        <v>-</v>
      </c>
      <c r="W92" s="41" t="str">
        <f>IF($J92=W$3,IF(W$3&gt;$I92,"-",ROUNDUP(Ld_cal($B92, $C92, $D92, $G92,$E92, $F92, $H92, W$3)*1.3*1.3,0)),"-")</f>
        <v>-</v>
      </c>
      <c r="X92" s="41" t="str">
        <f>IF($J92=X$3,IF(X$3&gt;$I92,"-",ROUNDUP(Ld_cal($B92, $C92, $D92, $G92,$E92, $F92, $H92, X$3)*1.3*1.3,0)),"-")</f>
        <v>-</v>
      </c>
      <c r="Y92" s="41" t="str">
        <f>IF($J92=Y$3,IF(Y$3&gt;$I92,"-",ROUNDUP(Ld_cal($B92, $C92, $D92, $G92,$E92, $F92, $H92, Y$3)*1.3*1.3,0)),"-")</f>
        <v>-</v>
      </c>
      <c r="Z92" s="41" t="str">
        <f>IF($J92=Z$3,IF(Z$3&gt;$I92,"-",ROUNDUP(Ld_cal($B92, $C92, $D92, $G92,$E92, $F92, $H92, Z$3)*1.3*1.3,0)),"-")</f>
        <v>-</v>
      </c>
      <c r="AA92" s="41" t="str">
        <f>IF($J92=AA$3,IF(AA$3&gt;$I92,"-",ROUNDUP(Ld_cal($B92, $C92, $D92, $G92,$E92, $F92, $H92, AA$3)*1.3*1.3,0)),"-")</f>
        <v>-</v>
      </c>
      <c r="AB92" s="41" t="str">
        <f>IF($J92=AB$3,IF(AB$3&gt;$I92,"-",ROUNDUP(Ld_cal($B92, $C92, $D92, $G92,$E92, $F92, $H92, AB$3)*1.3*1.3,0)),"-")</f>
        <v>-</v>
      </c>
      <c r="AC92" s="41" t="str">
        <f>IF($J92=AC$3,IF(AC$3&gt;$I92,"-",ROUNDUP(Ld_cal($B92, $C92, $D92, $G92,$E92, $F92, $H92, AC$3)*1.3*1.3,0)),"-")</f>
        <v>-</v>
      </c>
      <c r="AD92" s="47">
        <f t="shared" ref="AD92" si="86">IF(J92&gt;I92,"依標準圖",MAX(L92:AC92))</f>
        <v>154</v>
      </c>
    </row>
    <row r="93" spans="1:30">
      <c r="A93" s="112"/>
      <c r="B93" s="107"/>
      <c r="C93" s="108"/>
      <c r="D93" s="107"/>
      <c r="E93" s="109"/>
      <c r="F93" s="110"/>
      <c r="G93" s="107"/>
      <c r="H93" s="109"/>
      <c r="I93" s="111"/>
      <c r="J93" s="39">
        <v>8</v>
      </c>
      <c r="K93" s="40" t="s">
        <v>29</v>
      </c>
      <c r="L93" s="41" t="str">
        <f>IF($J93=L$3,IF(L$3&gt;$I92,"-",ROUNDUP(Ld_cal($B92, $C92, $D92, $G92,$E92, $F92, $H92, L$3)*1.3,0)),"-")</f>
        <v>-</v>
      </c>
      <c r="M93" s="41" t="str">
        <f>IF($J93=M$3,IF(M$3&gt;$I92,"-",ROUNDUP(Ld_cal($B92, $C92, $D92, $G92,$E92, $F92, $H92, M$3)*1.3,0)),"-")</f>
        <v>-</v>
      </c>
      <c r="N93" s="41" t="str">
        <f>IF($J93=N$3,IF(N$3&gt;$I92,"-",ROUNDUP(Ld_cal($B92, $C92, $D92, $G92,$E92, $F92, $H92, N$3)*1.3,0)),"-")</f>
        <v>-</v>
      </c>
      <c r="O93" s="41" t="str">
        <f>IF($J93=O$3,IF(O$3&gt;$I92,"-",ROUNDUP(Ld_cal($B92, $C92, $D92, $G92,$E92, $F92, $H92, O$3)*1.3,0)),"-")</f>
        <v>-</v>
      </c>
      <c r="P93" s="41" t="str">
        <f>IF($J93=P$3,IF(P$3&gt;$I92,"-",ROUNDUP(Ld_cal($B92, $C92, $D92, $G92,$E92, $F92, $H92, P$3)*1.3,0)),"-")</f>
        <v>-</v>
      </c>
      <c r="Q93" s="41">
        <f>IF($J93=Q$3,IF(Q$3&gt;$I92,"-",ROUNDUP(Ld_cal($B92, $C92, $D92, $G92,$E92, $F92, $H92, Q$3)*1.3,0)),"-")</f>
        <v>105</v>
      </c>
      <c r="R93" s="41" t="str">
        <f>IF($J93=R$3,IF(R$3&gt;$I92,"-",ROUNDUP(Ld_cal($B92, $C92, $D92, $G92,$E92, $F92, $H92, R$3)*1.3,0)),"-")</f>
        <v>-</v>
      </c>
      <c r="S93" s="41" t="str">
        <f>IF($J93=S$3,IF(S$3&gt;$I92,"-",ROUNDUP(Ld_cal($B92, $C92, $D92, $G92,$E92, $F92, $H92, S$3)*1.3,0)),"-")</f>
        <v>-</v>
      </c>
      <c r="T93" s="41" t="str">
        <f>IF($J93=T$3,IF(T$3&gt;$I92,"-",ROUNDUP(Ld_cal($B92, $C92, $D92, $G92,$E92, $F92, $H92, T$3)*1.3,0)),"-")</f>
        <v>-</v>
      </c>
      <c r="U93" s="41" t="str">
        <f>IF($J93=U$3,IF(U$3&gt;$I92,"-",ROUNDUP(Ld_cal($B92, $C92, $D92, $G92,$E92, $F92, $H92, U$3)*1.3,0)),"-")</f>
        <v>-</v>
      </c>
      <c r="V93" s="41" t="str">
        <f>IF($J93=V$3,IF(V$3&gt;$I92,"-",ROUNDUP(Ld_cal($B92, $C92, $D92, $G92,$E92, $F92, $H92, V$3)*1.3,0)),"-")</f>
        <v>-</v>
      </c>
      <c r="W93" s="41" t="str">
        <f>IF($J93=W$3,IF(W$3&gt;$I92,"-",ROUNDUP(Ld_cal($B92, $C92, $D92, $G92,$E92, $F92, $H92, W$3)*1.3,0)),"-")</f>
        <v>-</v>
      </c>
      <c r="X93" s="41" t="str">
        <f>IF($J93=X$3,IF(X$3&gt;$I92,"-",ROUNDUP(Ld_cal($B92, $C92, $D92, $G92,$E92, $F92, $H92, X$3)*1.3,0)),"-")</f>
        <v>-</v>
      </c>
      <c r="Y93" s="41" t="str">
        <f>IF($J93=Y$3,IF(Y$3&gt;$I92,"-",ROUNDUP(Ld_cal($B92, $C92, $D92, $G92,$E92, $F92, $H92, Y$3)*1.3,0)),"-")</f>
        <v>-</v>
      </c>
      <c r="Z93" s="41" t="str">
        <f>IF($J93=Z$3,IF(Z$3&gt;$I92,"-",ROUNDUP(Ld_cal($B92, $C92, $D92, $G92,$E92, $F92, $H92, Z$3)*1.3,0)),"-")</f>
        <v>-</v>
      </c>
      <c r="AA93" s="41" t="str">
        <f>IF($J93=AA$3,IF(AA$3&gt;$I92,"-",ROUNDUP(Ld_cal($B92, $C92, $D92, $G92,$E92, $F92, $H92, AA$3)*1.3,0)),"-")</f>
        <v>-</v>
      </c>
      <c r="AB93" s="41" t="str">
        <f>IF($J93=AB$3,IF(AB$3&gt;$I92,"-",ROUNDUP(Ld_cal($B92, $C92, $D92, $G92,$E92, $F92, $H92, AB$3)*1.3,0)),"-")</f>
        <v>-</v>
      </c>
      <c r="AC93" s="41" t="str">
        <f>IF($J93=AC$3,IF(AC$3&gt;$I92,"-",ROUNDUP(Ld_cal($B92, $C92, $D92, $G92,$E92, $F92, $H92, AC$3)*1.3,0)),"-")</f>
        <v>-</v>
      </c>
      <c r="AD93" s="47">
        <f t="shared" ref="AD93" si="87">IF(J93&gt;I92,"依標準圖",MAX(L93:AC93))</f>
        <v>105</v>
      </c>
    </row>
    <row r="94" spans="1:30" s="45" customFormat="1">
      <c r="A94" s="113" t="s">
        <v>88</v>
      </c>
      <c r="B94" s="99">
        <v>120</v>
      </c>
      <c r="C94" s="114">
        <v>7.5</v>
      </c>
      <c r="D94" s="99">
        <v>4200</v>
      </c>
      <c r="E94" s="102">
        <v>16</v>
      </c>
      <c r="F94" s="103">
        <v>10</v>
      </c>
      <c r="G94" s="99">
        <v>350</v>
      </c>
      <c r="H94" s="102">
        <v>32</v>
      </c>
      <c r="I94" s="104">
        <f>ROUNDDOWN(($B94-2*$C94-2*$E94/10-$H94/10)/(($D$1+1)*$H94/10),0)+1</f>
        <v>16</v>
      </c>
      <c r="J94" s="42">
        <v>9</v>
      </c>
      <c r="K94" s="43" t="s">
        <v>30</v>
      </c>
      <c r="L94" s="44" t="str">
        <f>IF($J94=L$3,IF(L$3&gt;$I94,"-",ROUNDUP(Ld_cal($B94, $C94, $D94, $G94,$E94, $F94, $H94, L$3)*1.3*1.3,0)),"-")</f>
        <v>-</v>
      </c>
      <c r="M94" s="44" t="str">
        <f>IF($J94=M$3,IF(M$3&gt;$I94,"-",ROUNDUP(Ld_cal($B94, $C94, $D94, $G94,$E94, $F94, $H94, M$3)*1.3*1.3,0)),"-")</f>
        <v>-</v>
      </c>
      <c r="N94" s="44" t="str">
        <f>IF($J94=N$3,IF(N$3&gt;$I94,"-",ROUNDUP(Ld_cal($B94, $C94, $D94, $G94,$E94, $F94, $H94, N$3)*1.3*1.3,0)),"-")</f>
        <v>-</v>
      </c>
      <c r="O94" s="44" t="str">
        <f>IF($J94=O$3,IF(O$3&gt;$I94,"-",ROUNDUP(Ld_cal($B94, $C94, $D94, $G94,$E94, $F94, $H94, O$3)*1.3*1.3,0)),"-")</f>
        <v>-</v>
      </c>
      <c r="P94" s="44" t="str">
        <f>IF($J94=P$3,IF(P$3&gt;$I94,"-",ROUNDUP(Ld_cal($B94, $C94, $D94, $G94,$E94, $F94, $H94, P$3)*1.3*1.3,0)),"-")</f>
        <v>-</v>
      </c>
      <c r="Q94" s="44" t="str">
        <f>IF($J94=Q$3,IF(Q$3&gt;$I94,"-",ROUNDUP(Ld_cal($B94, $C94, $D94, $G94,$E94, $F94, $H94, Q$3)*1.3*1.3,0)),"-")</f>
        <v>-</v>
      </c>
      <c r="R94" s="44">
        <f>IF($J94=R$3,IF(R$3&gt;$I94,"-",ROUNDUP(Ld_cal($B94, $C94, $D94, $G94,$E94, $F94, $H94, R$3)*1.3*1.3,0)),"-")</f>
        <v>137</v>
      </c>
      <c r="S94" s="44" t="str">
        <f>IF($J94=S$3,IF(S$3&gt;$I94,"-",ROUNDUP(Ld_cal($B94, $C94, $D94, $G94,$E94, $F94, $H94, S$3)*1.3*1.3,0)),"-")</f>
        <v>-</v>
      </c>
      <c r="T94" s="44" t="str">
        <f>IF($J94=T$3,IF(T$3&gt;$I94,"-",ROUNDUP(Ld_cal($B94, $C94, $D94, $G94,$E94, $F94, $H94, T$3)*1.3*1.3,0)),"-")</f>
        <v>-</v>
      </c>
      <c r="U94" s="44" t="str">
        <f>IF($J94=U$3,IF(U$3&gt;$I94,"-",ROUNDUP(Ld_cal($B94, $C94, $D94, $G94,$E94, $F94, $H94, U$3)*1.3*1.3,0)),"-")</f>
        <v>-</v>
      </c>
      <c r="V94" s="44" t="str">
        <f>IF($J94=V$3,IF(V$3&gt;$I94,"-",ROUNDUP(Ld_cal($B94, $C94, $D94, $G94,$E94, $F94, $H94, V$3)*1.3*1.3,0)),"-")</f>
        <v>-</v>
      </c>
      <c r="W94" s="44" t="str">
        <f>IF($J94=W$3,IF(W$3&gt;$I94,"-",ROUNDUP(Ld_cal($B94, $C94, $D94, $G94,$E94, $F94, $H94, W$3)*1.3*1.3,0)),"-")</f>
        <v>-</v>
      </c>
      <c r="X94" s="44" t="str">
        <f>IF($J94=X$3,IF(X$3&gt;$I94,"-",ROUNDUP(Ld_cal($B94, $C94, $D94, $G94,$E94, $F94, $H94, X$3)*1.3*1.3,0)),"-")</f>
        <v>-</v>
      </c>
      <c r="Y94" s="44" t="str">
        <f>IF($J94=Y$3,IF(Y$3&gt;$I94,"-",ROUNDUP(Ld_cal($B94, $C94, $D94, $G94,$E94, $F94, $H94, Y$3)*1.3*1.3,0)),"-")</f>
        <v>-</v>
      </c>
      <c r="Z94" s="44" t="str">
        <f>IF($J94=Z$3,IF(Z$3&gt;$I94,"-",ROUNDUP(Ld_cal($B94, $C94, $D94, $G94,$E94, $F94, $H94, Z$3)*1.3*1.3,0)),"-")</f>
        <v>-</v>
      </c>
      <c r="AA94" s="44" t="str">
        <f>IF($J94=AA$3,IF(AA$3&gt;$I94,"-",ROUNDUP(Ld_cal($B94, $C94, $D94, $G94,$E94, $F94, $H94, AA$3)*1.3*1.3,0)),"-")</f>
        <v>-</v>
      </c>
      <c r="AB94" s="44" t="str">
        <f>IF($J94=AB$3,IF(AB$3&gt;$I94,"-",ROUNDUP(Ld_cal($B94, $C94, $D94, $G94,$E94, $F94, $H94, AB$3)*1.3*1.3,0)),"-")</f>
        <v>-</v>
      </c>
      <c r="AC94" s="44" t="str">
        <f>IF($J94=AC$3,IF(AC$3&gt;$I94,"-",ROUNDUP(Ld_cal($B94, $C94, $D94, $G94,$E94, $F94, $H94, AC$3)*1.3*1.3,0)),"-")</f>
        <v>-</v>
      </c>
      <c r="AD94" s="46">
        <f t="shared" ref="AD94" si="88">IF(J94&gt;I94,"依標準圖",MAX(L94:AC94))</f>
        <v>137</v>
      </c>
    </row>
    <row r="95" spans="1:30" s="45" customFormat="1">
      <c r="A95" s="113"/>
      <c r="B95" s="99"/>
      <c r="C95" s="114"/>
      <c r="D95" s="99"/>
      <c r="E95" s="102"/>
      <c r="F95" s="103"/>
      <c r="G95" s="99"/>
      <c r="H95" s="102"/>
      <c r="I95" s="104"/>
      <c r="J95" s="42">
        <v>9</v>
      </c>
      <c r="K95" s="43" t="s">
        <v>29</v>
      </c>
      <c r="L95" s="44" t="str">
        <f>IF($J95=L$3,IF(L$3&gt;$I94,"-",ROUNDUP(Ld_cal($B94, $C94, $D94, $G94,$E94, $F94, $H94, L$3)*1.3,0)),"-")</f>
        <v>-</v>
      </c>
      <c r="M95" s="44" t="str">
        <f>IF($J95=M$3,IF(M$3&gt;$I94,"-",ROUNDUP(Ld_cal($B94, $C94, $D94, $G94,$E94, $F94, $H94, M$3)*1.3,0)),"-")</f>
        <v>-</v>
      </c>
      <c r="N95" s="44" t="str">
        <f>IF($J95=N$3,IF(N$3&gt;$I94,"-",ROUNDUP(Ld_cal($B94, $C94, $D94, $G94,$E94, $F94, $H94, N$3)*1.3,0)),"-")</f>
        <v>-</v>
      </c>
      <c r="O95" s="44" t="str">
        <f>IF($J95=O$3,IF(O$3&gt;$I94,"-",ROUNDUP(Ld_cal($B94, $C94, $D94, $G94,$E94, $F94, $H94, O$3)*1.3,0)),"-")</f>
        <v>-</v>
      </c>
      <c r="P95" s="44" t="str">
        <f>IF($J95=P$3,IF(P$3&gt;$I94,"-",ROUNDUP(Ld_cal($B94, $C94, $D94, $G94,$E94, $F94, $H94, P$3)*1.3,0)),"-")</f>
        <v>-</v>
      </c>
      <c r="Q95" s="44" t="str">
        <f>IF($J95=Q$3,IF(Q$3&gt;$I94,"-",ROUNDUP(Ld_cal($B94, $C94, $D94, $G94,$E94, $F94, $H94, Q$3)*1.3,0)),"-")</f>
        <v>-</v>
      </c>
      <c r="R95" s="44">
        <f>IF($J95=R$3,IF(R$3&gt;$I94,"-",ROUNDUP(Ld_cal($B94, $C94, $D94, $G94,$E94, $F94, $H94, R$3)*1.3,0)),"-")</f>
        <v>106</v>
      </c>
      <c r="S95" s="44" t="str">
        <f>IF($J95=S$3,IF(S$3&gt;$I94,"-",ROUNDUP(Ld_cal($B94, $C94, $D94, $G94,$E94, $F94, $H94, S$3)*1.3,0)),"-")</f>
        <v>-</v>
      </c>
      <c r="T95" s="44" t="str">
        <f>IF($J95=T$3,IF(T$3&gt;$I94,"-",ROUNDUP(Ld_cal($B94, $C94, $D94, $G94,$E94, $F94, $H94, T$3)*1.3,0)),"-")</f>
        <v>-</v>
      </c>
      <c r="U95" s="44" t="str">
        <f>IF($J95=U$3,IF(U$3&gt;$I94,"-",ROUNDUP(Ld_cal($B94, $C94, $D94, $G94,$E94, $F94, $H94, U$3)*1.3,0)),"-")</f>
        <v>-</v>
      </c>
      <c r="V95" s="44" t="str">
        <f>IF($J95=V$3,IF(V$3&gt;$I94,"-",ROUNDUP(Ld_cal($B94, $C94, $D94, $G94,$E94, $F94, $H94, V$3)*1.3,0)),"-")</f>
        <v>-</v>
      </c>
      <c r="W95" s="44" t="str">
        <f>IF($J95=W$3,IF(W$3&gt;$I94,"-",ROUNDUP(Ld_cal($B94, $C94, $D94, $G94,$E94, $F94, $H94, W$3)*1.3,0)),"-")</f>
        <v>-</v>
      </c>
      <c r="X95" s="44" t="str">
        <f>IF($J95=X$3,IF(X$3&gt;$I94,"-",ROUNDUP(Ld_cal($B94, $C94, $D94, $G94,$E94, $F94, $H94, X$3)*1.3,0)),"-")</f>
        <v>-</v>
      </c>
      <c r="Y95" s="44" t="str">
        <f>IF($J95=Y$3,IF(Y$3&gt;$I94,"-",ROUNDUP(Ld_cal($B94, $C94, $D94, $G94,$E94, $F94, $H94, Y$3)*1.3,0)),"-")</f>
        <v>-</v>
      </c>
      <c r="Z95" s="44" t="str">
        <f>IF($J95=Z$3,IF(Z$3&gt;$I94,"-",ROUNDUP(Ld_cal($B94, $C94, $D94, $G94,$E94, $F94, $H94, Z$3)*1.3,0)),"-")</f>
        <v>-</v>
      </c>
      <c r="AA95" s="44" t="str">
        <f>IF($J95=AA$3,IF(AA$3&gt;$I94,"-",ROUNDUP(Ld_cal($B94, $C94, $D94, $G94,$E94, $F94, $H94, AA$3)*1.3,0)),"-")</f>
        <v>-</v>
      </c>
      <c r="AB95" s="44" t="str">
        <f>IF($J95=AB$3,IF(AB$3&gt;$I94,"-",ROUNDUP(Ld_cal($B94, $C94, $D94, $G94,$E94, $F94, $H94, AB$3)*1.3,0)),"-")</f>
        <v>-</v>
      </c>
      <c r="AC95" s="44" t="str">
        <f>IF($J95=AC$3,IF(AC$3&gt;$I94,"-",ROUNDUP(Ld_cal($B94, $C94, $D94, $G94,$E94, $F94, $H94, AC$3)*1.3,0)),"-")</f>
        <v>-</v>
      </c>
      <c r="AD95" s="46">
        <f t="shared" ref="AD95" si="89">IF(J95&gt;I94,"依標準圖",MAX(L95:AC95))</f>
        <v>106</v>
      </c>
    </row>
    <row r="96" spans="1:30">
      <c r="A96" s="112" t="s">
        <v>89</v>
      </c>
      <c r="B96" s="107">
        <v>120</v>
      </c>
      <c r="C96" s="108">
        <v>7.5</v>
      </c>
      <c r="D96" s="107">
        <v>4200</v>
      </c>
      <c r="E96" s="109">
        <v>16</v>
      </c>
      <c r="F96" s="110">
        <v>10</v>
      </c>
      <c r="G96" s="107">
        <v>350</v>
      </c>
      <c r="H96" s="109">
        <v>32</v>
      </c>
      <c r="I96" s="111">
        <f>ROUNDDOWN(($B96-2*$C96-2*$E96/10-$H96/10)/(($D$1+1)*$H96/10),0)+1</f>
        <v>16</v>
      </c>
      <c r="J96" s="39">
        <v>15</v>
      </c>
      <c r="K96" s="40" t="s">
        <v>30</v>
      </c>
      <c r="L96" s="41" t="str">
        <f>IF($J96=L$3,IF(L$3&gt;$I96,"-",ROUNDUP(Ld_cal($B96, $C96, $D96, $G96,$E96, $F96, $H96, L$3)*1.3*1.3,0)),"-")</f>
        <v>-</v>
      </c>
      <c r="M96" s="41" t="str">
        <f>IF($J96=M$3,IF(M$3&gt;$I96,"-",ROUNDUP(Ld_cal($B96, $C96, $D96, $G96,$E96, $F96, $H96, M$3)*1.3*1.3,0)),"-")</f>
        <v>-</v>
      </c>
      <c r="N96" s="41" t="str">
        <f>IF($J96=N$3,IF(N$3&gt;$I96,"-",ROUNDUP(Ld_cal($B96, $C96, $D96, $G96,$E96, $F96, $H96, N$3)*1.3*1.3,0)),"-")</f>
        <v>-</v>
      </c>
      <c r="O96" s="41" t="str">
        <f>IF($J96=O$3,IF(O$3&gt;$I96,"-",ROUNDUP(Ld_cal($B96, $C96, $D96, $G96,$E96, $F96, $H96, O$3)*1.3*1.3,0)),"-")</f>
        <v>-</v>
      </c>
      <c r="P96" s="41" t="str">
        <f>IF($J96=P$3,IF(P$3&gt;$I96,"-",ROUNDUP(Ld_cal($B96, $C96, $D96, $G96,$E96, $F96, $H96, P$3)*1.3*1.3,0)),"-")</f>
        <v>-</v>
      </c>
      <c r="Q96" s="41" t="str">
        <f>IF($J96=Q$3,IF(Q$3&gt;$I96,"-",ROUNDUP(Ld_cal($B96, $C96, $D96, $G96,$E96, $F96, $H96, Q$3)*1.3*1.3,0)),"-")</f>
        <v>-</v>
      </c>
      <c r="R96" s="41" t="str">
        <f>IF($J96=R$3,IF(R$3&gt;$I96,"-",ROUNDUP(Ld_cal($B96, $C96, $D96, $G96,$E96, $F96, $H96, R$3)*1.3*1.3,0)),"-")</f>
        <v>-</v>
      </c>
      <c r="S96" s="41" t="str">
        <f>IF($J96=S$3,IF(S$3&gt;$I96,"-",ROUNDUP(Ld_cal($B96, $C96, $D96, $G96,$E96, $F96, $H96, S$3)*1.3*1.3,0)),"-")</f>
        <v>-</v>
      </c>
      <c r="T96" s="41" t="str">
        <f>IF($J96=T$3,IF(T$3&gt;$I96,"-",ROUNDUP(Ld_cal($B96, $C96, $D96, $G96,$E96, $F96, $H96, T$3)*1.3*1.3,0)),"-")</f>
        <v>-</v>
      </c>
      <c r="U96" s="41" t="str">
        <f>IF($J96=U$3,IF(U$3&gt;$I96,"-",ROUNDUP(Ld_cal($B96, $C96, $D96, $G96,$E96, $F96, $H96, U$3)*1.3*1.3,0)),"-")</f>
        <v>-</v>
      </c>
      <c r="V96" s="41" t="str">
        <f>IF($J96=V$3,IF(V$3&gt;$I96,"-",ROUNDUP(Ld_cal($B96, $C96, $D96, $G96,$E96, $F96, $H96, V$3)*1.3*1.3,0)),"-")</f>
        <v>-</v>
      </c>
      <c r="W96" s="41" t="str">
        <f>IF($J96=W$3,IF(W$3&gt;$I96,"-",ROUNDUP(Ld_cal($B96, $C96, $D96, $G96,$E96, $F96, $H96, W$3)*1.3*1.3,0)),"-")</f>
        <v>-</v>
      </c>
      <c r="X96" s="41">
        <f>IF($J96=X$3,IF(X$3&gt;$I96,"-",ROUNDUP(Ld_cal($B96, $C96, $D96, $G96,$E96, $F96, $H96, X$3)*1.3*1.3,0)),"-")</f>
        <v>237</v>
      </c>
      <c r="Y96" s="41" t="str">
        <f>IF($J96=Y$3,IF(Y$3&gt;$I96,"-",ROUNDUP(Ld_cal($B96, $C96, $D96, $G96,$E96, $F96, $H96, Y$3)*1.3*1.3,0)),"-")</f>
        <v>-</v>
      </c>
      <c r="Z96" s="41" t="str">
        <f>IF($J96=Z$3,IF(Z$3&gt;$I96,"-",ROUNDUP(Ld_cal($B96, $C96, $D96, $G96,$E96, $F96, $H96, Z$3)*1.3*1.3,0)),"-")</f>
        <v>-</v>
      </c>
      <c r="AA96" s="41" t="str">
        <f>IF($J96=AA$3,IF(AA$3&gt;$I96,"-",ROUNDUP(Ld_cal($B96, $C96, $D96, $G96,$E96, $F96, $H96, AA$3)*1.3*1.3,0)),"-")</f>
        <v>-</v>
      </c>
      <c r="AB96" s="41" t="str">
        <f>IF($J96=AB$3,IF(AB$3&gt;$I96,"-",ROUNDUP(Ld_cal($B96, $C96, $D96, $G96,$E96, $F96, $H96, AB$3)*1.3*1.3,0)),"-")</f>
        <v>-</v>
      </c>
      <c r="AC96" s="41" t="str">
        <f>IF($J96=AC$3,IF(AC$3&gt;$I96,"-",ROUNDUP(Ld_cal($B96, $C96, $D96, $G96,$E96, $F96, $H96, AC$3)*1.3*1.3,0)),"-")</f>
        <v>-</v>
      </c>
      <c r="AD96" s="47">
        <f t="shared" ref="AD96" si="90">IF(J96&gt;I96,"依標準圖",MAX(L96:AC96))</f>
        <v>237</v>
      </c>
    </row>
    <row r="97" spans="1:30">
      <c r="A97" s="112"/>
      <c r="B97" s="107"/>
      <c r="C97" s="108"/>
      <c r="D97" s="107"/>
      <c r="E97" s="109"/>
      <c r="F97" s="110"/>
      <c r="G97" s="107"/>
      <c r="H97" s="109"/>
      <c r="I97" s="111"/>
      <c r="J97" s="39">
        <v>5</v>
      </c>
      <c r="K97" s="40" t="s">
        <v>29</v>
      </c>
      <c r="L97" s="41" t="str">
        <f>IF($J97=L$3,IF(L$3&gt;$I96,"-",ROUNDUP(Ld_cal($B96, $C96, $D96, $G96,$E96, $F96, $H96, L$3)*1.3,0)),"-")</f>
        <v>-</v>
      </c>
      <c r="M97" s="41" t="str">
        <f>IF($J97=M$3,IF(M$3&gt;$I96,"-",ROUNDUP(Ld_cal($B96, $C96, $D96, $G96,$E96, $F96, $H96, M$3)*1.3,0)),"-")</f>
        <v>-</v>
      </c>
      <c r="N97" s="41">
        <f>IF($J97=N$3,IF(N$3&gt;$I96,"-",ROUNDUP(Ld_cal($B96, $C96, $D96, $G96,$E96, $F96, $H96, N$3)*1.3,0)),"-")</f>
        <v>105</v>
      </c>
      <c r="O97" s="41" t="str">
        <f>IF($J97=O$3,IF(O$3&gt;$I96,"-",ROUNDUP(Ld_cal($B96, $C96, $D96, $G96,$E96, $F96, $H96, O$3)*1.3,0)),"-")</f>
        <v>-</v>
      </c>
      <c r="P97" s="41" t="str">
        <f>IF($J97=P$3,IF(P$3&gt;$I96,"-",ROUNDUP(Ld_cal($B96, $C96, $D96, $G96,$E96, $F96, $H96, P$3)*1.3,0)),"-")</f>
        <v>-</v>
      </c>
      <c r="Q97" s="41" t="str">
        <f>IF($J97=Q$3,IF(Q$3&gt;$I96,"-",ROUNDUP(Ld_cal($B96, $C96, $D96, $G96,$E96, $F96, $H96, Q$3)*1.3,0)),"-")</f>
        <v>-</v>
      </c>
      <c r="R97" s="41" t="str">
        <f>IF($J97=R$3,IF(R$3&gt;$I96,"-",ROUNDUP(Ld_cal($B96, $C96, $D96, $G96,$E96, $F96, $H96, R$3)*1.3,0)),"-")</f>
        <v>-</v>
      </c>
      <c r="S97" s="41" t="str">
        <f>IF($J97=S$3,IF(S$3&gt;$I96,"-",ROUNDUP(Ld_cal($B96, $C96, $D96, $G96,$E96, $F96, $H96, S$3)*1.3,0)),"-")</f>
        <v>-</v>
      </c>
      <c r="T97" s="41" t="str">
        <f>IF($J97=T$3,IF(T$3&gt;$I96,"-",ROUNDUP(Ld_cal($B96, $C96, $D96, $G96,$E96, $F96, $H96, T$3)*1.3,0)),"-")</f>
        <v>-</v>
      </c>
      <c r="U97" s="41" t="str">
        <f>IF($J97=U$3,IF(U$3&gt;$I96,"-",ROUNDUP(Ld_cal($B96, $C96, $D96, $G96,$E96, $F96, $H96, U$3)*1.3,0)),"-")</f>
        <v>-</v>
      </c>
      <c r="V97" s="41" t="str">
        <f>IF($J97=V$3,IF(V$3&gt;$I96,"-",ROUNDUP(Ld_cal($B96, $C96, $D96, $G96,$E96, $F96, $H96, V$3)*1.3,0)),"-")</f>
        <v>-</v>
      </c>
      <c r="W97" s="41" t="str">
        <f>IF($J97=W$3,IF(W$3&gt;$I96,"-",ROUNDUP(Ld_cal($B96, $C96, $D96, $G96,$E96, $F96, $H96, W$3)*1.3,0)),"-")</f>
        <v>-</v>
      </c>
      <c r="X97" s="41" t="str">
        <f>IF($J97=X$3,IF(X$3&gt;$I96,"-",ROUNDUP(Ld_cal($B96, $C96, $D96, $G96,$E96, $F96, $H96, X$3)*1.3,0)),"-")</f>
        <v>-</v>
      </c>
      <c r="Y97" s="41" t="str">
        <f>IF($J97=Y$3,IF(Y$3&gt;$I96,"-",ROUNDUP(Ld_cal($B96, $C96, $D96, $G96,$E96, $F96, $H96, Y$3)*1.3,0)),"-")</f>
        <v>-</v>
      </c>
      <c r="Z97" s="41" t="str">
        <f>IF($J97=Z$3,IF(Z$3&gt;$I96,"-",ROUNDUP(Ld_cal($B96, $C96, $D96, $G96,$E96, $F96, $H96, Z$3)*1.3,0)),"-")</f>
        <v>-</v>
      </c>
      <c r="AA97" s="41" t="str">
        <f>IF($J97=AA$3,IF(AA$3&gt;$I96,"-",ROUNDUP(Ld_cal($B96, $C96, $D96, $G96,$E96, $F96, $H96, AA$3)*1.3,0)),"-")</f>
        <v>-</v>
      </c>
      <c r="AB97" s="41" t="str">
        <f>IF($J97=AB$3,IF(AB$3&gt;$I96,"-",ROUNDUP(Ld_cal($B96, $C96, $D96, $G96,$E96, $F96, $H96, AB$3)*1.3,0)),"-")</f>
        <v>-</v>
      </c>
      <c r="AC97" s="41" t="str">
        <f>IF($J97=AC$3,IF(AC$3&gt;$I96,"-",ROUNDUP(Ld_cal($B96, $C96, $D96, $G96,$E96, $F96, $H96, AC$3)*1.3,0)),"-")</f>
        <v>-</v>
      </c>
      <c r="AD97" s="47">
        <f t="shared" ref="AD97" si="91">IF(J97&gt;I96,"依標準圖",MAX(L97:AC97))</f>
        <v>105</v>
      </c>
    </row>
    <row r="98" spans="1:30" s="45" customFormat="1">
      <c r="A98" s="113" t="s">
        <v>90</v>
      </c>
      <c r="B98" s="99">
        <v>120</v>
      </c>
      <c r="C98" s="114">
        <v>7.5</v>
      </c>
      <c r="D98" s="99">
        <v>4200</v>
      </c>
      <c r="E98" s="102">
        <v>16</v>
      </c>
      <c r="F98" s="103">
        <v>10</v>
      </c>
      <c r="G98" s="99">
        <v>350</v>
      </c>
      <c r="H98" s="102">
        <v>32</v>
      </c>
      <c r="I98" s="104">
        <f>ROUNDDOWN(($B98-2*$C98-2*$E98/10-$H98/10)/(($D$1+1)*$H98/10),0)+1</f>
        <v>16</v>
      </c>
      <c r="J98" s="42">
        <v>11</v>
      </c>
      <c r="K98" s="43" t="s">
        <v>30</v>
      </c>
      <c r="L98" s="44" t="str">
        <f>IF($J98=L$3,IF(L$3&gt;$I98,"-",ROUNDUP(Ld_cal($B98, $C98, $D98, $G98,$E98, $F98, $H98, L$3)*1.3*1.3,0)),"-")</f>
        <v>-</v>
      </c>
      <c r="M98" s="44" t="str">
        <f>IF($J98=M$3,IF(M$3&gt;$I98,"-",ROUNDUP(Ld_cal($B98, $C98, $D98, $G98,$E98, $F98, $H98, M$3)*1.3*1.3,0)),"-")</f>
        <v>-</v>
      </c>
      <c r="N98" s="44" t="str">
        <f>IF($J98=N$3,IF(N$3&gt;$I98,"-",ROUNDUP(Ld_cal($B98, $C98, $D98, $G98,$E98, $F98, $H98, N$3)*1.3*1.3,0)),"-")</f>
        <v>-</v>
      </c>
      <c r="O98" s="44" t="str">
        <f>IF($J98=O$3,IF(O$3&gt;$I98,"-",ROUNDUP(Ld_cal($B98, $C98, $D98, $G98,$E98, $F98, $H98, O$3)*1.3*1.3,0)),"-")</f>
        <v>-</v>
      </c>
      <c r="P98" s="44" t="str">
        <f>IF($J98=P$3,IF(P$3&gt;$I98,"-",ROUNDUP(Ld_cal($B98, $C98, $D98, $G98,$E98, $F98, $H98, P$3)*1.3*1.3,0)),"-")</f>
        <v>-</v>
      </c>
      <c r="Q98" s="44" t="str">
        <f>IF($J98=Q$3,IF(Q$3&gt;$I98,"-",ROUNDUP(Ld_cal($B98, $C98, $D98, $G98,$E98, $F98, $H98, Q$3)*1.3*1.3,0)),"-")</f>
        <v>-</v>
      </c>
      <c r="R98" s="44" t="str">
        <f>IF($J98=R$3,IF(R$3&gt;$I98,"-",ROUNDUP(Ld_cal($B98, $C98, $D98, $G98,$E98, $F98, $H98, R$3)*1.3*1.3,0)),"-")</f>
        <v>-</v>
      </c>
      <c r="S98" s="44" t="str">
        <f>IF($J98=S$3,IF(S$3&gt;$I98,"-",ROUNDUP(Ld_cal($B98, $C98, $D98, $G98,$E98, $F98, $H98, S$3)*1.3*1.3,0)),"-")</f>
        <v>-</v>
      </c>
      <c r="T98" s="44">
        <f>IF($J98=T$3,IF(T$3&gt;$I98,"-",ROUNDUP(Ld_cal($B98, $C98, $D98, $G98,$E98, $F98, $H98, T$3)*1.3*1.3,0)),"-")</f>
        <v>171</v>
      </c>
      <c r="U98" s="44" t="str">
        <f>IF($J98=U$3,IF(U$3&gt;$I98,"-",ROUNDUP(Ld_cal($B98, $C98, $D98, $G98,$E98, $F98, $H98, U$3)*1.3*1.3,0)),"-")</f>
        <v>-</v>
      </c>
      <c r="V98" s="44" t="str">
        <f>IF($J98=V$3,IF(V$3&gt;$I98,"-",ROUNDUP(Ld_cal($B98, $C98, $D98, $G98,$E98, $F98, $H98, V$3)*1.3*1.3,0)),"-")</f>
        <v>-</v>
      </c>
      <c r="W98" s="44" t="str">
        <f>IF($J98=W$3,IF(W$3&gt;$I98,"-",ROUNDUP(Ld_cal($B98, $C98, $D98, $G98,$E98, $F98, $H98, W$3)*1.3*1.3,0)),"-")</f>
        <v>-</v>
      </c>
      <c r="X98" s="44" t="str">
        <f>IF($J98=X$3,IF(X$3&gt;$I98,"-",ROUNDUP(Ld_cal($B98, $C98, $D98, $G98,$E98, $F98, $H98, X$3)*1.3*1.3,0)),"-")</f>
        <v>-</v>
      </c>
      <c r="Y98" s="44" t="str">
        <f>IF($J98=Y$3,IF(Y$3&gt;$I98,"-",ROUNDUP(Ld_cal($B98, $C98, $D98, $G98,$E98, $F98, $H98, Y$3)*1.3*1.3,0)),"-")</f>
        <v>-</v>
      </c>
      <c r="Z98" s="44" t="str">
        <f>IF($J98=Z$3,IF(Z$3&gt;$I98,"-",ROUNDUP(Ld_cal($B98, $C98, $D98, $G98,$E98, $F98, $H98, Z$3)*1.3*1.3,0)),"-")</f>
        <v>-</v>
      </c>
      <c r="AA98" s="44" t="str">
        <f>IF($J98=AA$3,IF(AA$3&gt;$I98,"-",ROUNDUP(Ld_cal($B98, $C98, $D98, $G98,$E98, $F98, $H98, AA$3)*1.3*1.3,0)),"-")</f>
        <v>-</v>
      </c>
      <c r="AB98" s="44" t="str">
        <f>IF($J98=AB$3,IF(AB$3&gt;$I98,"-",ROUNDUP(Ld_cal($B98, $C98, $D98, $G98,$E98, $F98, $H98, AB$3)*1.3*1.3,0)),"-")</f>
        <v>-</v>
      </c>
      <c r="AC98" s="44" t="str">
        <f>IF($J98=AC$3,IF(AC$3&gt;$I98,"-",ROUNDUP(Ld_cal($B98, $C98, $D98, $G98,$E98, $F98, $H98, AC$3)*1.3*1.3,0)),"-")</f>
        <v>-</v>
      </c>
      <c r="AD98" s="46">
        <f t="shared" ref="AD98" si="92">IF(J98&gt;I98,"依標準圖",MAX(L98:AC98))</f>
        <v>171</v>
      </c>
    </row>
    <row r="99" spans="1:30" s="45" customFormat="1">
      <c r="A99" s="113"/>
      <c r="B99" s="99"/>
      <c r="C99" s="114"/>
      <c r="D99" s="99"/>
      <c r="E99" s="102"/>
      <c r="F99" s="103"/>
      <c r="G99" s="99"/>
      <c r="H99" s="102"/>
      <c r="I99" s="104"/>
      <c r="J99" s="42">
        <v>11</v>
      </c>
      <c r="K99" s="43" t="s">
        <v>29</v>
      </c>
      <c r="L99" s="44" t="str">
        <f>IF($J99=L$3,IF(L$3&gt;$I98,"-",ROUNDUP(Ld_cal($B98, $C98, $D98, $G98,$E98, $F98, $H98, L$3)*1.3,0)),"-")</f>
        <v>-</v>
      </c>
      <c r="M99" s="44" t="str">
        <f>IF($J99=M$3,IF(M$3&gt;$I98,"-",ROUNDUP(Ld_cal($B98, $C98, $D98, $G98,$E98, $F98, $H98, M$3)*1.3,0)),"-")</f>
        <v>-</v>
      </c>
      <c r="N99" s="44" t="str">
        <f>IF($J99=N$3,IF(N$3&gt;$I98,"-",ROUNDUP(Ld_cal($B98, $C98, $D98, $G98,$E98, $F98, $H98, N$3)*1.3,0)),"-")</f>
        <v>-</v>
      </c>
      <c r="O99" s="44" t="str">
        <f>IF($J99=O$3,IF(O$3&gt;$I98,"-",ROUNDUP(Ld_cal($B98, $C98, $D98, $G98,$E98, $F98, $H98, O$3)*1.3,0)),"-")</f>
        <v>-</v>
      </c>
      <c r="P99" s="44" t="str">
        <f>IF($J99=P$3,IF(P$3&gt;$I98,"-",ROUNDUP(Ld_cal($B98, $C98, $D98, $G98,$E98, $F98, $H98, P$3)*1.3,0)),"-")</f>
        <v>-</v>
      </c>
      <c r="Q99" s="44" t="str">
        <f>IF($J99=Q$3,IF(Q$3&gt;$I98,"-",ROUNDUP(Ld_cal($B98, $C98, $D98, $G98,$E98, $F98, $H98, Q$3)*1.3,0)),"-")</f>
        <v>-</v>
      </c>
      <c r="R99" s="44" t="str">
        <f>IF($J99=R$3,IF(R$3&gt;$I98,"-",ROUNDUP(Ld_cal($B98, $C98, $D98, $G98,$E98, $F98, $H98, R$3)*1.3,0)),"-")</f>
        <v>-</v>
      </c>
      <c r="S99" s="44" t="str">
        <f>IF($J99=S$3,IF(S$3&gt;$I98,"-",ROUNDUP(Ld_cal($B98, $C98, $D98, $G98,$E98, $F98, $H98, S$3)*1.3,0)),"-")</f>
        <v>-</v>
      </c>
      <c r="T99" s="44">
        <f>IF($J99=T$3,IF(T$3&gt;$I98,"-",ROUNDUP(Ld_cal($B98, $C98, $D98, $G98,$E98, $F98, $H98, T$3)*1.3,0)),"-")</f>
        <v>131</v>
      </c>
      <c r="U99" s="44" t="str">
        <f>IF($J99=U$3,IF(U$3&gt;$I98,"-",ROUNDUP(Ld_cal($B98, $C98, $D98, $G98,$E98, $F98, $H98, U$3)*1.3,0)),"-")</f>
        <v>-</v>
      </c>
      <c r="V99" s="44" t="str">
        <f>IF($J99=V$3,IF(V$3&gt;$I98,"-",ROUNDUP(Ld_cal($B98, $C98, $D98, $G98,$E98, $F98, $H98, V$3)*1.3,0)),"-")</f>
        <v>-</v>
      </c>
      <c r="W99" s="44" t="str">
        <f>IF($J99=W$3,IF(W$3&gt;$I98,"-",ROUNDUP(Ld_cal($B98, $C98, $D98, $G98,$E98, $F98, $H98, W$3)*1.3,0)),"-")</f>
        <v>-</v>
      </c>
      <c r="X99" s="44" t="str">
        <f>IF($J99=X$3,IF(X$3&gt;$I98,"-",ROUNDUP(Ld_cal($B98, $C98, $D98, $G98,$E98, $F98, $H98, X$3)*1.3,0)),"-")</f>
        <v>-</v>
      </c>
      <c r="Y99" s="44" t="str">
        <f>IF($J99=Y$3,IF(Y$3&gt;$I98,"-",ROUNDUP(Ld_cal($B98, $C98, $D98, $G98,$E98, $F98, $H98, Y$3)*1.3,0)),"-")</f>
        <v>-</v>
      </c>
      <c r="Z99" s="44" t="str">
        <f>IF($J99=Z$3,IF(Z$3&gt;$I98,"-",ROUNDUP(Ld_cal($B98, $C98, $D98, $G98,$E98, $F98, $H98, Z$3)*1.3,0)),"-")</f>
        <v>-</v>
      </c>
      <c r="AA99" s="44" t="str">
        <f>IF($J99=AA$3,IF(AA$3&gt;$I98,"-",ROUNDUP(Ld_cal($B98, $C98, $D98, $G98,$E98, $F98, $H98, AA$3)*1.3,0)),"-")</f>
        <v>-</v>
      </c>
      <c r="AB99" s="44" t="str">
        <f>IF($J99=AB$3,IF(AB$3&gt;$I98,"-",ROUNDUP(Ld_cal($B98, $C98, $D98, $G98,$E98, $F98, $H98, AB$3)*1.3,0)),"-")</f>
        <v>-</v>
      </c>
      <c r="AC99" s="44" t="str">
        <f>IF($J99=AC$3,IF(AC$3&gt;$I98,"-",ROUNDUP(Ld_cal($B98, $C98, $D98, $G98,$E98, $F98, $H98, AC$3)*1.3,0)),"-")</f>
        <v>-</v>
      </c>
      <c r="AD99" s="46">
        <f t="shared" ref="AD99" si="93">IF(J99&gt;I98,"依標準圖",MAX(L99:AC99))</f>
        <v>131</v>
      </c>
    </row>
    <row r="100" spans="1:30">
      <c r="A100" s="112" t="s">
        <v>91</v>
      </c>
      <c r="B100" s="107">
        <v>120</v>
      </c>
      <c r="C100" s="108">
        <v>7.5</v>
      </c>
      <c r="D100" s="107">
        <v>4200</v>
      </c>
      <c r="E100" s="109">
        <v>13</v>
      </c>
      <c r="F100" s="110">
        <v>8</v>
      </c>
      <c r="G100" s="107">
        <v>350</v>
      </c>
      <c r="H100" s="109">
        <v>32</v>
      </c>
      <c r="I100" s="111">
        <f>ROUNDDOWN(($B100-2*$C100-2*$E100/10-$H100/10)/(($D$1+1)*$H100/10),0)+1</f>
        <v>16</v>
      </c>
      <c r="J100" s="39">
        <v>11</v>
      </c>
      <c r="K100" s="40" t="s">
        <v>30</v>
      </c>
      <c r="L100" s="41" t="str">
        <f>IF($J100=L$3,IF(L$3&gt;$I100,"-",ROUNDUP(Ld_cal($B100, $C100, $D100, $G100,$E100, $F100, $H100, L$3)*1.3*1.3,0)),"-")</f>
        <v>-</v>
      </c>
      <c r="M100" s="41" t="str">
        <f>IF($J100=M$3,IF(M$3&gt;$I100,"-",ROUNDUP(Ld_cal($B100, $C100, $D100, $G100,$E100, $F100, $H100, M$3)*1.3*1.3,0)),"-")</f>
        <v>-</v>
      </c>
      <c r="N100" s="41" t="str">
        <f>IF($J100=N$3,IF(N$3&gt;$I100,"-",ROUNDUP(Ld_cal($B100, $C100, $D100, $G100,$E100, $F100, $H100, N$3)*1.3*1.3,0)),"-")</f>
        <v>-</v>
      </c>
      <c r="O100" s="41" t="str">
        <f>IF($J100=O$3,IF(O$3&gt;$I100,"-",ROUNDUP(Ld_cal($B100, $C100, $D100, $G100,$E100, $F100, $H100, O$3)*1.3*1.3,0)),"-")</f>
        <v>-</v>
      </c>
      <c r="P100" s="41" t="str">
        <f>IF($J100=P$3,IF(P$3&gt;$I100,"-",ROUNDUP(Ld_cal($B100, $C100, $D100, $G100,$E100, $F100, $H100, P$3)*1.3*1.3,0)),"-")</f>
        <v>-</v>
      </c>
      <c r="Q100" s="41" t="str">
        <f>IF($J100=Q$3,IF(Q$3&gt;$I100,"-",ROUNDUP(Ld_cal($B100, $C100, $D100, $G100,$E100, $F100, $H100, Q$3)*1.3*1.3,0)),"-")</f>
        <v>-</v>
      </c>
      <c r="R100" s="41" t="str">
        <f>IF($J100=R$3,IF(R$3&gt;$I100,"-",ROUNDUP(Ld_cal($B100, $C100, $D100, $G100,$E100, $F100, $H100, R$3)*1.3*1.3,0)),"-")</f>
        <v>-</v>
      </c>
      <c r="S100" s="41" t="str">
        <f>IF($J100=S$3,IF(S$3&gt;$I100,"-",ROUNDUP(Ld_cal($B100, $C100, $D100, $G100,$E100, $F100, $H100, S$3)*1.3*1.3,0)),"-")</f>
        <v>-</v>
      </c>
      <c r="T100" s="41">
        <f>IF($J100=T$3,IF(T$3&gt;$I100,"-",ROUNDUP(Ld_cal($B100, $C100, $D100, $G100,$E100, $F100, $H100, T$3)*1.3*1.3,0)),"-")</f>
        <v>177</v>
      </c>
      <c r="U100" s="41" t="str">
        <f>IF($J100=U$3,IF(U$3&gt;$I100,"-",ROUNDUP(Ld_cal($B100, $C100, $D100, $G100,$E100, $F100, $H100, U$3)*1.3*1.3,0)),"-")</f>
        <v>-</v>
      </c>
      <c r="V100" s="41" t="str">
        <f>IF($J100=V$3,IF(V$3&gt;$I100,"-",ROUNDUP(Ld_cal($B100, $C100, $D100, $G100,$E100, $F100, $H100, V$3)*1.3*1.3,0)),"-")</f>
        <v>-</v>
      </c>
      <c r="W100" s="41" t="str">
        <f>IF($J100=W$3,IF(W$3&gt;$I100,"-",ROUNDUP(Ld_cal($B100, $C100, $D100, $G100,$E100, $F100, $H100, W$3)*1.3*1.3,0)),"-")</f>
        <v>-</v>
      </c>
      <c r="X100" s="41" t="str">
        <f>IF($J100=X$3,IF(X$3&gt;$I100,"-",ROUNDUP(Ld_cal($B100, $C100, $D100, $G100,$E100, $F100, $H100, X$3)*1.3*1.3,0)),"-")</f>
        <v>-</v>
      </c>
      <c r="Y100" s="41" t="str">
        <f>IF($J100=Y$3,IF(Y$3&gt;$I100,"-",ROUNDUP(Ld_cal($B100, $C100, $D100, $G100,$E100, $F100, $H100, Y$3)*1.3*1.3,0)),"-")</f>
        <v>-</v>
      </c>
      <c r="Z100" s="41" t="str">
        <f>IF($J100=Z$3,IF(Z$3&gt;$I100,"-",ROUNDUP(Ld_cal($B100, $C100, $D100, $G100,$E100, $F100, $H100, Z$3)*1.3*1.3,0)),"-")</f>
        <v>-</v>
      </c>
      <c r="AA100" s="41" t="str">
        <f>IF($J100=AA$3,IF(AA$3&gt;$I100,"-",ROUNDUP(Ld_cal($B100, $C100, $D100, $G100,$E100, $F100, $H100, AA$3)*1.3*1.3,0)),"-")</f>
        <v>-</v>
      </c>
      <c r="AB100" s="41" t="str">
        <f>IF($J100=AB$3,IF(AB$3&gt;$I100,"-",ROUNDUP(Ld_cal($B100, $C100, $D100, $G100,$E100, $F100, $H100, AB$3)*1.3*1.3,0)),"-")</f>
        <v>-</v>
      </c>
      <c r="AC100" s="41" t="str">
        <f>IF($J100=AC$3,IF(AC$3&gt;$I100,"-",ROUNDUP(Ld_cal($B100, $C100, $D100, $G100,$E100, $F100, $H100, AC$3)*1.3*1.3,0)),"-")</f>
        <v>-</v>
      </c>
      <c r="AD100" s="47">
        <f t="shared" ref="AD100" si="94">IF(J100&gt;I100,"依標準圖",MAX(L100:AC100))</f>
        <v>177</v>
      </c>
    </row>
    <row r="101" spans="1:30">
      <c r="A101" s="112"/>
      <c r="B101" s="107"/>
      <c r="C101" s="108"/>
      <c r="D101" s="107"/>
      <c r="E101" s="109"/>
      <c r="F101" s="110"/>
      <c r="G101" s="107"/>
      <c r="H101" s="109"/>
      <c r="I101" s="111"/>
      <c r="J101" s="39">
        <v>10</v>
      </c>
      <c r="K101" s="40" t="s">
        <v>29</v>
      </c>
      <c r="L101" s="41" t="str">
        <f>IF($J101=L$3,IF(L$3&gt;$I100,"-",ROUNDUP(Ld_cal($B100, $C100, $D100, $G100,$E100, $F100, $H100, L$3)*1.3,0)),"-")</f>
        <v>-</v>
      </c>
      <c r="M101" s="41" t="str">
        <f>IF($J101=M$3,IF(M$3&gt;$I100,"-",ROUNDUP(Ld_cal($B100, $C100, $D100, $G100,$E100, $F100, $H100, M$3)*1.3,0)),"-")</f>
        <v>-</v>
      </c>
      <c r="N101" s="41" t="str">
        <f>IF($J101=N$3,IF(N$3&gt;$I100,"-",ROUNDUP(Ld_cal($B100, $C100, $D100, $G100,$E100, $F100, $H100, N$3)*1.3,0)),"-")</f>
        <v>-</v>
      </c>
      <c r="O101" s="41" t="str">
        <f>IF($J101=O$3,IF(O$3&gt;$I100,"-",ROUNDUP(Ld_cal($B100, $C100, $D100, $G100,$E100, $F100, $H100, O$3)*1.3,0)),"-")</f>
        <v>-</v>
      </c>
      <c r="P101" s="41" t="str">
        <f>IF($J101=P$3,IF(P$3&gt;$I100,"-",ROUNDUP(Ld_cal($B100, $C100, $D100, $G100,$E100, $F100, $H100, P$3)*1.3,0)),"-")</f>
        <v>-</v>
      </c>
      <c r="Q101" s="41" t="str">
        <f>IF($J101=Q$3,IF(Q$3&gt;$I100,"-",ROUNDUP(Ld_cal($B100, $C100, $D100, $G100,$E100, $F100, $H100, Q$3)*1.3,0)),"-")</f>
        <v>-</v>
      </c>
      <c r="R101" s="41" t="str">
        <f>IF($J101=R$3,IF(R$3&gt;$I100,"-",ROUNDUP(Ld_cal($B100, $C100, $D100, $G100,$E100, $F100, $H100, R$3)*1.3,0)),"-")</f>
        <v>-</v>
      </c>
      <c r="S101" s="41">
        <f>IF($J101=S$3,IF(S$3&gt;$I100,"-",ROUNDUP(Ld_cal($B100, $C100, $D100, $G100,$E100, $F100, $H100, S$3)*1.3,0)),"-")</f>
        <v>123</v>
      </c>
      <c r="T101" s="41" t="str">
        <f>IF($J101=T$3,IF(T$3&gt;$I100,"-",ROUNDUP(Ld_cal($B100, $C100, $D100, $G100,$E100, $F100, $H100, T$3)*1.3,0)),"-")</f>
        <v>-</v>
      </c>
      <c r="U101" s="41" t="str">
        <f>IF($J101=U$3,IF(U$3&gt;$I100,"-",ROUNDUP(Ld_cal($B100, $C100, $D100, $G100,$E100, $F100, $H100, U$3)*1.3,0)),"-")</f>
        <v>-</v>
      </c>
      <c r="V101" s="41" t="str">
        <f>IF($J101=V$3,IF(V$3&gt;$I100,"-",ROUNDUP(Ld_cal($B100, $C100, $D100, $G100,$E100, $F100, $H100, V$3)*1.3,0)),"-")</f>
        <v>-</v>
      </c>
      <c r="W101" s="41" t="str">
        <f>IF($J101=W$3,IF(W$3&gt;$I100,"-",ROUNDUP(Ld_cal($B100, $C100, $D100, $G100,$E100, $F100, $H100, W$3)*1.3,0)),"-")</f>
        <v>-</v>
      </c>
      <c r="X101" s="41" t="str">
        <f>IF($J101=X$3,IF(X$3&gt;$I100,"-",ROUNDUP(Ld_cal($B100, $C100, $D100, $G100,$E100, $F100, $H100, X$3)*1.3,0)),"-")</f>
        <v>-</v>
      </c>
      <c r="Y101" s="41" t="str">
        <f>IF($J101=Y$3,IF(Y$3&gt;$I100,"-",ROUNDUP(Ld_cal($B100, $C100, $D100, $G100,$E100, $F100, $H100, Y$3)*1.3,0)),"-")</f>
        <v>-</v>
      </c>
      <c r="Z101" s="41" t="str">
        <f>IF($J101=Z$3,IF(Z$3&gt;$I100,"-",ROUNDUP(Ld_cal($B100, $C100, $D100, $G100,$E100, $F100, $H100, Z$3)*1.3,0)),"-")</f>
        <v>-</v>
      </c>
      <c r="AA101" s="41" t="str">
        <f>IF($J101=AA$3,IF(AA$3&gt;$I100,"-",ROUNDUP(Ld_cal($B100, $C100, $D100, $G100,$E100, $F100, $H100, AA$3)*1.3,0)),"-")</f>
        <v>-</v>
      </c>
      <c r="AB101" s="41" t="str">
        <f>IF($J101=AB$3,IF(AB$3&gt;$I100,"-",ROUNDUP(Ld_cal($B100, $C100, $D100, $G100,$E100, $F100, $H100, AB$3)*1.3,0)),"-")</f>
        <v>-</v>
      </c>
      <c r="AC101" s="41" t="str">
        <f>IF($J101=AC$3,IF(AC$3&gt;$I100,"-",ROUNDUP(Ld_cal($B100, $C100, $D100, $G100,$E100, $F100, $H100, AC$3)*1.3,0)),"-")</f>
        <v>-</v>
      </c>
      <c r="AD101" s="47">
        <f t="shared" ref="AD101" si="95">IF(J101&gt;I100,"依標準圖",MAX(L101:AC101))</f>
        <v>123</v>
      </c>
    </row>
    <row r="102" spans="1:30" s="45" customFormat="1">
      <c r="A102" s="113" t="s">
        <v>92</v>
      </c>
      <c r="B102" s="99">
        <v>120</v>
      </c>
      <c r="C102" s="114">
        <v>7.5</v>
      </c>
      <c r="D102" s="99">
        <v>4200</v>
      </c>
      <c r="E102" s="102">
        <v>13</v>
      </c>
      <c r="F102" s="103">
        <v>8</v>
      </c>
      <c r="G102" s="99">
        <v>350</v>
      </c>
      <c r="H102" s="102">
        <v>32</v>
      </c>
      <c r="I102" s="104">
        <f>ROUNDDOWN(($B102-2*$C102-2*$E102/10-$H102/10)/(($D$1+1)*$H102/10),0)+1</f>
        <v>16</v>
      </c>
      <c r="J102" s="42">
        <v>12</v>
      </c>
      <c r="K102" s="43" t="s">
        <v>30</v>
      </c>
      <c r="L102" s="44" t="str">
        <f>IF($J102=L$3,IF(L$3&gt;$I102,"-",ROUNDUP(Ld_cal($B102, $C102, $D102, $G102,$E102, $F102, $H102, L$3)*1.3*1.3,0)),"-")</f>
        <v>-</v>
      </c>
      <c r="M102" s="44" t="str">
        <f>IF($J102=M$3,IF(M$3&gt;$I102,"-",ROUNDUP(Ld_cal($B102, $C102, $D102, $G102,$E102, $F102, $H102, M$3)*1.3*1.3,0)),"-")</f>
        <v>-</v>
      </c>
      <c r="N102" s="44" t="str">
        <f>IF($J102=N$3,IF(N$3&gt;$I102,"-",ROUNDUP(Ld_cal($B102, $C102, $D102, $G102,$E102, $F102, $H102, N$3)*1.3*1.3,0)),"-")</f>
        <v>-</v>
      </c>
      <c r="O102" s="44" t="str">
        <f>IF($J102=O$3,IF(O$3&gt;$I102,"-",ROUNDUP(Ld_cal($B102, $C102, $D102, $G102,$E102, $F102, $H102, O$3)*1.3*1.3,0)),"-")</f>
        <v>-</v>
      </c>
      <c r="P102" s="44" t="str">
        <f>IF($J102=P$3,IF(P$3&gt;$I102,"-",ROUNDUP(Ld_cal($B102, $C102, $D102, $G102,$E102, $F102, $H102, P$3)*1.3*1.3,0)),"-")</f>
        <v>-</v>
      </c>
      <c r="Q102" s="44" t="str">
        <f>IF($J102=Q$3,IF(Q$3&gt;$I102,"-",ROUNDUP(Ld_cal($B102, $C102, $D102, $G102,$E102, $F102, $H102, Q$3)*1.3*1.3,0)),"-")</f>
        <v>-</v>
      </c>
      <c r="R102" s="44" t="str">
        <f>IF($J102=R$3,IF(R$3&gt;$I102,"-",ROUNDUP(Ld_cal($B102, $C102, $D102, $G102,$E102, $F102, $H102, R$3)*1.3*1.3,0)),"-")</f>
        <v>-</v>
      </c>
      <c r="S102" s="44" t="str">
        <f>IF($J102=S$3,IF(S$3&gt;$I102,"-",ROUNDUP(Ld_cal($B102, $C102, $D102, $G102,$E102, $F102, $H102, S$3)*1.3*1.3,0)),"-")</f>
        <v>-</v>
      </c>
      <c r="T102" s="44" t="str">
        <f>IF($J102=T$3,IF(T$3&gt;$I102,"-",ROUNDUP(Ld_cal($B102, $C102, $D102, $G102,$E102, $F102, $H102, T$3)*1.3*1.3,0)),"-")</f>
        <v>-</v>
      </c>
      <c r="U102" s="44">
        <f>IF($J102=U$3,IF(U$3&gt;$I102,"-",ROUNDUP(Ld_cal($B102, $C102, $D102, $G102,$E102, $F102, $H102, U$3)*1.3*1.3,0)),"-")</f>
        <v>194</v>
      </c>
      <c r="V102" s="44" t="str">
        <f>IF($J102=V$3,IF(V$3&gt;$I102,"-",ROUNDUP(Ld_cal($B102, $C102, $D102, $G102,$E102, $F102, $H102, V$3)*1.3*1.3,0)),"-")</f>
        <v>-</v>
      </c>
      <c r="W102" s="44" t="str">
        <f>IF($J102=W$3,IF(W$3&gt;$I102,"-",ROUNDUP(Ld_cal($B102, $C102, $D102, $G102,$E102, $F102, $H102, W$3)*1.3*1.3,0)),"-")</f>
        <v>-</v>
      </c>
      <c r="X102" s="44" t="str">
        <f>IF($J102=X$3,IF(X$3&gt;$I102,"-",ROUNDUP(Ld_cal($B102, $C102, $D102, $G102,$E102, $F102, $H102, X$3)*1.3*1.3,0)),"-")</f>
        <v>-</v>
      </c>
      <c r="Y102" s="44" t="str">
        <f>IF($J102=Y$3,IF(Y$3&gt;$I102,"-",ROUNDUP(Ld_cal($B102, $C102, $D102, $G102,$E102, $F102, $H102, Y$3)*1.3*1.3,0)),"-")</f>
        <v>-</v>
      </c>
      <c r="Z102" s="44" t="str">
        <f>IF($J102=Z$3,IF(Z$3&gt;$I102,"-",ROUNDUP(Ld_cal($B102, $C102, $D102, $G102,$E102, $F102, $H102, Z$3)*1.3*1.3,0)),"-")</f>
        <v>-</v>
      </c>
      <c r="AA102" s="44" t="str">
        <f>IF($J102=AA$3,IF(AA$3&gt;$I102,"-",ROUNDUP(Ld_cal($B102, $C102, $D102, $G102,$E102, $F102, $H102, AA$3)*1.3*1.3,0)),"-")</f>
        <v>-</v>
      </c>
      <c r="AB102" s="44" t="str">
        <f>IF($J102=AB$3,IF(AB$3&gt;$I102,"-",ROUNDUP(Ld_cal($B102, $C102, $D102, $G102,$E102, $F102, $H102, AB$3)*1.3*1.3,0)),"-")</f>
        <v>-</v>
      </c>
      <c r="AC102" s="44" t="str">
        <f>IF($J102=AC$3,IF(AC$3&gt;$I102,"-",ROUNDUP(Ld_cal($B102, $C102, $D102, $G102,$E102, $F102, $H102, AC$3)*1.3*1.3,0)),"-")</f>
        <v>-</v>
      </c>
      <c r="AD102" s="46">
        <f t="shared" ref="AD102" si="96">IF(J102&gt;I102,"依標準圖",MAX(L102:AC102))</f>
        <v>194</v>
      </c>
    </row>
    <row r="103" spans="1:30" s="45" customFormat="1">
      <c r="A103" s="113"/>
      <c r="B103" s="99"/>
      <c r="C103" s="114"/>
      <c r="D103" s="99"/>
      <c r="E103" s="102"/>
      <c r="F103" s="103"/>
      <c r="G103" s="99"/>
      <c r="H103" s="102"/>
      <c r="I103" s="104"/>
      <c r="J103" s="42">
        <v>10</v>
      </c>
      <c r="K103" s="43" t="s">
        <v>29</v>
      </c>
      <c r="L103" s="44" t="str">
        <f>IF($J103=L$3,IF(L$3&gt;$I102,"-",ROUNDUP(Ld_cal($B102, $C102, $D102, $G102,$E102, $F102, $H102, L$3)*1.3,0)),"-")</f>
        <v>-</v>
      </c>
      <c r="M103" s="44" t="str">
        <f>IF($J103=M$3,IF(M$3&gt;$I102,"-",ROUNDUP(Ld_cal($B102, $C102, $D102, $G102,$E102, $F102, $H102, M$3)*1.3,0)),"-")</f>
        <v>-</v>
      </c>
      <c r="N103" s="44" t="str">
        <f>IF($J103=N$3,IF(N$3&gt;$I102,"-",ROUNDUP(Ld_cal($B102, $C102, $D102, $G102,$E102, $F102, $H102, N$3)*1.3,0)),"-")</f>
        <v>-</v>
      </c>
      <c r="O103" s="44" t="str">
        <f>IF($J103=O$3,IF(O$3&gt;$I102,"-",ROUNDUP(Ld_cal($B102, $C102, $D102, $G102,$E102, $F102, $H102, O$3)*1.3,0)),"-")</f>
        <v>-</v>
      </c>
      <c r="P103" s="44" t="str">
        <f>IF($J103=P$3,IF(P$3&gt;$I102,"-",ROUNDUP(Ld_cal($B102, $C102, $D102, $G102,$E102, $F102, $H102, P$3)*1.3,0)),"-")</f>
        <v>-</v>
      </c>
      <c r="Q103" s="44" t="str">
        <f>IF($J103=Q$3,IF(Q$3&gt;$I102,"-",ROUNDUP(Ld_cal($B102, $C102, $D102, $G102,$E102, $F102, $H102, Q$3)*1.3,0)),"-")</f>
        <v>-</v>
      </c>
      <c r="R103" s="44" t="str">
        <f>IF($J103=R$3,IF(R$3&gt;$I102,"-",ROUNDUP(Ld_cal($B102, $C102, $D102, $G102,$E102, $F102, $H102, R$3)*1.3,0)),"-")</f>
        <v>-</v>
      </c>
      <c r="S103" s="44">
        <f>IF($J103=S$3,IF(S$3&gt;$I102,"-",ROUNDUP(Ld_cal($B102, $C102, $D102, $G102,$E102, $F102, $H102, S$3)*1.3,0)),"-")</f>
        <v>123</v>
      </c>
      <c r="T103" s="44" t="str">
        <f>IF($J103=T$3,IF(T$3&gt;$I102,"-",ROUNDUP(Ld_cal($B102, $C102, $D102, $G102,$E102, $F102, $H102, T$3)*1.3,0)),"-")</f>
        <v>-</v>
      </c>
      <c r="U103" s="44" t="str">
        <f>IF($J103=U$3,IF(U$3&gt;$I102,"-",ROUNDUP(Ld_cal($B102, $C102, $D102, $G102,$E102, $F102, $H102, U$3)*1.3,0)),"-")</f>
        <v>-</v>
      </c>
      <c r="V103" s="44" t="str">
        <f>IF($J103=V$3,IF(V$3&gt;$I102,"-",ROUNDUP(Ld_cal($B102, $C102, $D102, $G102,$E102, $F102, $H102, V$3)*1.3,0)),"-")</f>
        <v>-</v>
      </c>
      <c r="W103" s="44" t="str">
        <f>IF($J103=W$3,IF(W$3&gt;$I102,"-",ROUNDUP(Ld_cal($B102, $C102, $D102, $G102,$E102, $F102, $H102, W$3)*1.3,0)),"-")</f>
        <v>-</v>
      </c>
      <c r="X103" s="44" t="str">
        <f>IF($J103=X$3,IF(X$3&gt;$I102,"-",ROUNDUP(Ld_cal($B102, $C102, $D102, $G102,$E102, $F102, $H102, X$3)*1.3,0)),"-")</f>
        <v>-</v>
      </c>
      <c r="Y103" s="44" t="str">
        <f>IF($J103=Y$3,IF(Y$3&gt;$I102,"-",ROUNDUP(Ld_cal($B102, $C102, $D102, $G102,$E102, $F102, $H102, Y$3)*1.3,0)),"-")</f>
        <v>-</v>
      </c>
      <c r="Z103" s="44" t="str">
        <f>IF($J103=Z$3,IF(Z$3&gt;$I102,"-",ROUNDUP(Ld_cal($B102, $C102, $D102, $G102,$E102, $F102, $H102, Z$3)*1.3,0)),"-")</f>
        <v>-</v>
      </c>
      <c r="AA103" s="44" t="str">
        <f>IF($J103=AA$3,IF(AA$3&gt;$I102,"-",ROUNDUP(Ld_cal($B102, $C102, $D102, $G102,$E102, $F102, $H102, AA$3)*1.3,0)),"-")</f>
        <v>-</v>
      </c>
      <c r="AB103" s="44" t="str">
        <f>IF($J103=AB$3,IF(AB$3&gt;$I102,"-",ROUNDUP(Ld_cal($B102, $C102, $D102, $G102,$E102, $F102, $H102, AB$3)*1.3,0)),"-")</f>
        <v>-</v>
      </c>
      <c r="AC103" s="44" t="str">
        <f>IF($J103=AC$3,IF(AC$3&gt;$I102,"-",ROUNDUP(Ld_cal($B102, $C102, $D102, $G102,$E102, $F102, $H102, AC$3)*1.3,0)),"-")</f>
        <v>-</v>
      </c>
      <c r="AD103" s="46">
        <f t="shared" ref="AD103" si="97">IF(J103&gt;I102,"依標準圖",MAX(L103:AC103))</f>
        <v>123</v>
      </c>
    </row>
    <row r="104" spans="1:30">
      <c r="A104" s="112" t="s">
        <v>93</v>
      </c>
      <c r="B104" s="107">
        <v>120</v>
      </c>
      <c r="C104" s="108">
        <v>7.5</v>
      </c>
      <c r="D104" s="107">
        <v>4200</v>
      </c>
      <c r="E104" s="109">
        <v>16</v>
      </c>
      <c r="F104" s="110">
        <v>10</v>
      </c>
      <c r="G104" s="107">
        <v>350</v>
      </c>
      <c r="H104" s="109">
        <v>32</v>
      </c>
      <c r="I104" s="111">
        <f>ROUNDDOWN(($B104-2*$C104-2*$E104/10-$H104/10)/(($D$1+1)*$H104/10),0)+1</f>
        <v>16</v>
      </c>
      <c r="J104" s="39">
        <v>15</v>
      </c>
      <c r="K104" s="40" t="s">
        <v>30</v>
      </c>
      <c r="L104" s="41" t="str">
        <f>IF($J104=L$3,IF(L$3&gt;$I104,"-",ROUNDUP(Ld_cal($B104, $C104, $D104, $G104,$E104, $F104, $H104, L$3)*1.3*1.3,0)),"-")</f>
        <v>-</v>
      </c>
      <c r="M104" s="41" t="str">
        <f>IF($J104=M$3,IF(M$3&gt;$I104,"-",ROUNDUP(Ld_cal($B104, $C104, $D104, $G104,$E104, $F104, $H104, M$3)*1.3*1.3,0)),"-")</f>
        <v>-</v>
      </c>
      <c r="N104" s="41" t="str">
        <f>IF($J104=N$3,IF(N$3&gt;$I104,"-",ROUNDUP(Ld_cal($B104, $C104, $D104, $G104,$E104, $F104, $H104, N$3)*1.3*1.3,0)),"-")</f>
        <v>-</v>
      </c>
      <c r="O104" s="41" t="str">
        <f>IF($J104=O$3,IF(O$3&gt;$I104,"-",ROUNDUP(Ld_cal($B104, $C104, $D104, $G104,$E104, $F104, $H104, O$3)*1.3*1.3,0)),"-")</f>
        <v>-</v>
      </c>
      <c r="P104" s="41" t="str">
        <f>IF($J104=P$3,IF(P$3&gt;$I104,"-",ROUNDUP(Ld_cal($B104, $C104, $D104, $G104,$E104, $F104, $H104, P$3)*1.3*1.3,0)),"-")</f>
        <v>-</v>
      </c>
      <c r="Q104" s="41" t="str">
        <f>IF($J104=Q$3,IF(Q$3&gt;$I104,"-",ROUNDUP(Ld_cal($B104, $C104, $D104, $G104,$E104, $F104, $H104, Q$3)*1.3*1.3,0)),"-")</f>
        <v>-</v>
      </c>
      <c r="R104" s="41" t="str">
        <f>IF($J104=R$3,IF(R$3&gt;$I104,"-",ROUNDUP(Ld_cal($B104, $C104, $D104, $G104,$E104, $F104, $H104, R$3)*1.3*1.3,0)),"-")</f>
        <v>-</v>
      </c>
      <c r="S104" s="41" t="str">
        <f>IF($J104=S$3,IF(S$3&gt;$I104,"-",ROUNDUP(Ld_cal($B104, $C104, $D104, $G104,$E104, $F104, $H104, S$3)*1.3*1.3,0)),"-")</f>
        <v>-</v>
      </c>
      <c r="T104" s="41" t="str">
        <f>IF($J104=T$3,IF(T$3&gt;$I104,"-",ROUNDUP(Ld_cal($B104, $C104, $D104, $G104,$E104, $F104, $H104, T$3)*1.3*1.3,0)),"-")</f>
        <v>-</v>
      </c>
      <c r="U104" s="41" t="str">
        <f>IF($J104=U$3,IF(U$3&gt;$I104,"-",ROUNDUP(Ld_cal($B104, $C104, $D104, $G104,$E104, $F104, $H104, U$3)*1.3*1.3,0)),"-")</f>
        <v>-</v>
      </c>
      <c r="V104" s="41" t="str">
        <f>IF($J104=V$3,IF(V$3&gt;$I104,"-",ROUNDUP(Ld_cal($B104, $C104, $D104, $G104,$E104, $F104, $H104, V$3)*1.3*1.3,0)),"-")</f>
        <v>-</v>
      </c>
      <c r="W104" s="41" t="str">
        <f>IF($J104=W$3,IF(W$3&gt;$I104,"-",ROUNDUP(Ld_cal($B104, $C104, $D104, $G104,$E104, $F104, $H104, W$3)*1.3*1.3,0)),"-")</f>
        <v>-</v>
      </c>
      <c r="X104" s="41">
        <f>IF($J104=X$3,IF(X$3&gt;$I104,"-",ROUNDUP(Ld_cal($B104, $C104, $D104, $G104,$E104, $F104, $H104, X$3)*1.3*1.3,0)),"-")</f>
        <v>237</v>
      </c>
      <c r="Y104" s="41" t="str">
        <f>IF($J104=Y$3,IF(Y$3&gt;$I104,"-",ROUNDUP(Ld_cal($B104, $C104, $D104, $G104,$E104, $F104, $H104, Y$3)*1.3*1.3,0)),"-")</f>
        <v>-</v>
      </c>
      <c r="Z104" s="41" t="str">
        <f>IF($J104=Z$3,IF(Z$3&gt;$I104,"-",ROUNDUP(Ld_cal($B104, $C104, $D104, $G104,$E104, $F104, $H104, Z$3)*1.3*1.3,0)),"-")</f>
        <v>-</v>
      </c>
      <c r="AA104" s="41" t="str">
        <f>IF($J104=AA$3,IF(AA$3&gt;$I104,"-",ROUNDUP(Ld_cal($B104, $C104, $D104, $G104,$E104, $F104, $H104, AA$3)*1.3*1.3,0)),"-")</f>
        <v>-</v>
      </c>
      <c r="AB104" s="41" t="str">
        <f>IF($J104=AB$3,IF(AB$3&gt;$I104,"-",ROUNDUP(Ld_cal($B104, $C104, $D104, $G104,$E104, $F104, $H104, AB$3)*1.3*1.3,0)),"-")</f>
        <v>-</v>
      </c>
      <c r="AC104" s="41" t="str">
        <f>IF($J104=AC$3,IF(AC$3&gt;$I104,"-",ROUNDUP(Ld_cal($B104, $C104, $D104, $G104,$E104, $F104, $H104, AC$3)*1.3*1.3,0)),"-")</f>
        <v>-</v>
      </c>
      <c r="AD104" s="47">
        <f t="shared" ref="AD104" si="98">IF(J104&gt;I104,"依標準圖",MAX(L104:AC104))</f>
        <v>237</v>
      </c>
    </row>
    <row r="105" spans="1:30">
      <c r="A105" s="112"/>
      <c r="B105" s="107"/>
      <c r="C105" s="108"/>
      <c r="D105" s="107"/>
      <c r="E105" s="109"/>
      <c r="F105" s="110"/>
      <c r="G105" s="107"/>
      <c r="H105" s="109"/>
      <c r="I105" s="111"/>
      <c r="J105" s="39">
        <v>10</v>
      </c>
      <c r="K105" s="40" t="s">
        <v>29</v>
      </c>
      <c r="L105" s="41" t="str">
        <f>IF($J105=L$3,IF(L$3&gt;$I104,"-",ROUNDUP(Ld_cal($B104, $C104, $D104, $G104,$E104, $F104, $H104, L$3)*1.3,0)),"-")</f>
        <v>-</v>
      </c>
      <c r="M105" s="41" t="str">
        <f>IF($J105=M$3,IF(M$3&gt;$I104,"-",ROUNDUP(Ld_cal($B104, $C104, $D104, $G104,$E104, $F104, $H104, M$3)*1.3,0)),"-")</f>
        <v>-</v>
      </c>
      <c r="N105" s="41" t="str">
        <f>IF($J105=N$3,IF(N$3&gt;$I104,"-",ROUNDUP(Ld_cal($B104, $C104, $D104, $G104,$E104, $F104, $H104, N$3)*1.3,0)),"-")</f>
        <v>-</v>
      </c>
      <c r="O105" s="41" t="str">
        <f>IF($J105=O$3,IF(O$3&gt;$I104,"-",ROUNDUP(Ld_cal($B104, $C104, $D104, $G104,$E104, $F104, $H104, O$3)*1.3,0)),"-")</f>
        <v>-</v>
      </c>
      <c r="P105" s="41" t="str">
        <f>IF($J105=P$3,IF(P$3&gt;$I104,"-",ROUNDUP(Ld_cal($B104, $C104, $D104, $G104,$E104, $F104, $H104, P$3)*1.3,0)),"-")</f>
        <v>-</v>
      </c>
      <c r="Q105" s="41" t="str">
        <f>IF($J105=Q$3,IF(Q$3&gt;$I104,"-",ROUNDUP(Ld_cal($B104, $C104, $D104, $G104,$E104, $F104, $H104, Q$3)*1.3,0)),"-")</f>
        <v>-</v>
      </c>
      <c r="R105" s="41" t="str">
        <f>IF($J105=R$3,IF(R$3&gt;$I104,"-",ROUNDUP(Ld_cal($B104, $C104, $D104, $G104,$E104, $F104, $H104, R$3)*1.3,0)),"-")</f>
        <v>-</v>
      </c>
      <c r="S105" s="41">
        <f>IF($J105=S$3,IF(S$3&gt;$I104,"-",ROUNDUP(Ld_cal($B104, $C104, $D104, $G104,$E104, $F104, $H104, S$3)*1.3,0)),"-")</f>
        <v>119</v>
      </c>
      <c r="T105" s="41" t="str">
        <f>IF($J105=T$3,IF(T$3&gt;$I104,"-",ROUNDUP(Ld_cal($B104, $C104, $D104, $G104,$E104, $F104, $H104, T$3)*1.3,0)),"-")</f>
        <v>-</v>
      </c>
      <c r="U105" s="41" t="str">
        <f>IF($J105=U$3,IF(U$3&gt;$I104,"-",ROUNDUP(Ld_cal($B104, $C104, $D104, $G104,$E104, $F104, $H104, U$3)*1.3,0)),"-")</f>
        <v>-</v>
      </c>
      <c r="V105" s="41" t="str">
        <f>IF($J105=V$3,IF(V$3&gt;$I104,"-",ROUNDUP(Ld_cal($B104, $C104, $D104, $G104,$E104, $F104, $H104, V$3)*1.3,0)),"-")</f>
        <v>-</v>
      </c>
      <c r="W105" s="41" t="str">
        <f>IF($J105=W$3,IF(W$3&gt;$I104,"-",ROUNDUP(Ld_cal($B104, $C104, $D104, $G104,$E104, $F104, $H104, W$3)*1.3,0)),"-")</f>
        <v>-</v>
      </c>
      <c r="X105" s="41" t="str">
        <f>IF($J105=X$3,IF(X$3&gt;$I104,"-",ROUNDUP(Ld_cal($B104, $C104, $D104, $G104,$E104, $F104, $H104, X$3)*1.3,0)),"-")</f>
        <v>-</v>
      </c>
      <c r="Y105" s="41" t="str">
        <f>IF($J105=Y$3,IF(Y$3&gt;$I104,"-",ROUNDUP(Ld_cal($B104, $C104, $D104, $G104,$E104, $F104, $H104, Y$3)*1.3,0)),"-")</f>
        <v>-</v>
      </c>
      <c r="Z105" s="41" t="str">
        <f>IF($J105=Z$3,IF(Z$3&gt;$I104,"-",ROUNDUP(Ld_cal($B104, $C104, $D104, $G104,$E104, $F104, $H104, Z$3)*1.3,0)),"-")</f>
        <v>-</v>
      </c>
      <c r="AA105" s="41" t="str">
        <f>IF($J105=AA$3,IF(AA$3&gt;$I104,"-",ROUNDUP(Ld_cal($B104, $C104, $D104, $G104,$E104, $F104, $H104, AA$3)*1.3,0)),"-")</f>
        <v>-</v>
      </c>
      <c r="AB105" s="41" t="str">
        <f>IF($J105=AB$3,IF(AB$3&gt;$I104,"-",ROUNDUP(Ld_cal($B104, $C104, $D104, $G104,$E104, $F104, $H104, AB$3)*1.3,0)),"-")</f>
        <v>-</v>
      </c>
      <c r="AC105" s="41" t="str">
        <f>IF($J105=AC$3,IF(AC$3&gt;$I104,"-",ROUNDUP(Ld_cal($B104, $C104, $D104, $G104,$E104, $F104, $H104, AC$3)*1.3,0)),"-")</f>
        <v>-</v>
      </c>
      <c r="AD105" s="47">
        <f t="shared" ref="AD105" si="99">IF(J105&gt;I104,"依標準圖",MAX(L105:AC105))</f>
        <v>119</v>
      </c>
    </row>
    <row r="106" spans="1:30" s="45" customFormat="1">
      <c r="A106" s="113" t="s">
        <v>94</v>
      </c>
      <c r="B106" s="99">
        <v>120</v>
      </c>
      <c r="C106" s="114">
        <v>7.5</v>
      </c>
      <c r="D106" s="99">
        <v>4200</v>
      </c>
      <c r="E106" s="102">
        <v>16</v>
      </c>
      <c r="F106" s="103">
        <v>10</v>
      </c>
      <c r="G106" s="99">
        <v>350</v>
      </c>
      <c r="H106" s="102">
        <v>32</v>
      </c>
      <c r="I106" s="104">
        <f>ROUNDDOWN(($B106-2*$C106-2*$E106/10-$H106/10)/(($D$1+1)*$H106/10),0)+1</f>
        <v>16</v>
      </c>
      <c r="J106" s="42">
        <v>16</v>
      </c>
      <c r="K106" s="43" t="s">
        <v>30</v>
      </c>
      <c r="L106" s="44" t="str">
        <f>IF($J106=L$3,IF(L$3&gt;$I106,"-",ROUNDUP(Ld_cal($B106, $C106, $D106, $G106,$E106, $F106, $H106, L$3)*1.3*1.3,0)),"-")</f>
        <v>-</v>
      </c>
      <c r="M106" s="44" t="str">
        <f>IF($J106=M$3,IF(M$3&gt;$I106,"-",ROUNDUP(Ld_cal($B106, $C106, $D106, $G106,$E106, $F106, $H106, M$3)*1.3*1.3,0)),"-")</f>
        <v>-</v>
      </c>
      <c r="N106" s="44" t="str">
        <f>IF($J106=N$3,IF(N$3&gt;$I106,"-",ROUNDUP(Ld_cal($B106, $C106, $D106, $G106,$E106, $F106, $H106, N$3)*1.3*1.3,0)),"-")</f>
        <v>-</v>
      </c>
      <c r="O106" s="44" t="str">
        <f>IF($J106=O$3,IF(O$3&gt;$I106,"-",ROUNDUP(Ld_cal($B106, $C106, $D106, $G106,$E106, $F106, $H106, O$3)*1.3*1.3,0)),"-")</f>
        <v>-</v>
      </c>
      <c r="P106" s="44" t="str">
        <f>IF($J106=P$3,IF(P$3&gt;$I106,"-",ROUNDUP(Ld_cal($B106, $C106, $D106, $G106,$E106, $F106, $H106, P$3)*1.3*1.3,0)),"-")</f>
        <v>-</v>
      </c>
      <c r="Q106" s="44" t="str">
        <f>IF($J106=Q$3,IF(Q$3&gt;$I106,"-",ROUNDUP(Ld_cal($B106, $C106, $D106, $G106,$E106, $F106, $H106, Q$3)*1.3*1.3,0)),"-")</f>
        <v>-</v>
      </c>
      <c r="R106" s="44" t="str">
        <f>IF($J106=R$3,IF(R$3&gt;$I106,"-",ROUNDUP(Ld_cal($B106, $C106, $D106, $G106,$E106, $F106, $H106, R$3)*1.3*1.3,0)),"-")</f>
        <v>-</v>
      </c>
      <c r="S106" s="44" t="str">
        <f>IF($J106=S$3,IF(S$3&gt;$I106,"-",ROUNDUP(Ld_cal($B106, $C106, $D106, $G106,$E106, $F106, $H106, S$3)*1.3*1.3,0)),"-")</f>
        <v>-</v>
      </c>
      <c r="T106" s="44" t="str">
        <f>IF($J106=T$3,IF(T$3&gt;$I106,"-",ROUNDUP(Ld_cal($B106, $C106, $D106, $G106,$E106, $F106, $H106, T$3)*1.3*1.3,0)),"-")</f>
        <v>-</v>
      </c>
      <c r="U106" s="44" t="str">
        <f>IF($J106=U$3,IF(U$3&gt;$I106,"-",ROUNDUP(Ld_cal($B106, $C106, $D106, $G106,$E106, $F106, $H106, U$3)*1.3*1.3,0)),"-")</f>
        <v>-</v>
      </c>
      <c r="V106" s="44" t="str">
        <f>IF($J106=V$3,IF(V$3&gt;$I106,"-",ROUNDUP(Ld_cal($B106, $C106, $D106, $G106,$E106, $F106, $H106, V$3)*1.3*1.3,0)),"-")</f>
        <v>-</v>
      </c>
      <c r="W106" s="44" t="str">
        <f>IF($J106=W$3,IF(W$3&gt;$I106,"-",ROUNDUP(Ld_cal($B106, $C106, $D106, $G106,$E106, $F106, $H106, W$3)*1.3*1.3,0)),"-")</f>
        <v>-</v>
      </c>
      <c r="X106" s="44" t="str">
        <f>IF($J106=X$3,IF(X$3&gt;$I106,"-",ROUNDUP(Ld_cal($B106, $C106, $D106, $G106,$E106, $F106, $H106, X$3)*1.3*1.3,0)),"-")</f>
        <v>-</v>
      </c>
      <c r="Y106" s="44">
        <f>IF($J106=Y$3,IF(Y$3&gt;$I106,"-",ROUNDUP(Ld_cal($B106, $C106, $D106, $G106,$E106, $F106, $H106, Y$3)*1.3*1.3,0)),"-")</f>
        <v>254</v>
      </c>
      <c r="Z106" s="44" t="str">
        <f>IF($J106=Z$3,IF(Z$3&gt;$I106,"-",ROUNDUP(Ld_cal($B106, $C106, $D106, $G106,$E106, $F106, $H106, Z$3)*1.3*1.3,0)),"-")</f>
        <v>-</v>
      </c>
      <c r="AA106" s="44" t="str">
        <f>IF($J106=AA$3,IF(AA$3&gt;$I106,"-",ROUNDUP(Ld_cal($B106, $C106, $D106, $G106,$E106, $F106, $H106, AA$3)*1.3*1.3,0)),"-")</f>
        <v>-</v>
      </c>
      <c r="AB106" s="44" t="str">
        <f>IF($J106=AB$3,IF(AB$3&gt;$I106,"-",ROUNDUP(Ld_cal($B106, $C106, $D106, $G106,$E106, $F106, $H106, AB$3)*1.3*1.3,0)),"-")</f>
        <v>-</v>
      </c>
      <c r="AC106" s="44" t="str">
        <f>IF($J106=AC$3,IF(AC$3&gt;$I106,"-",ROUNDUP(Ld_cal($B106, $C106, $D106, $G106,$E106, $F106, $H106, AC$3)*1.3*1.3,0)),"-")</f>
        <v>-</v>
      </c>
      <c r="AD106" s="46">
        <f t="shared" ref="AD106" si="100">IF(J106&gt;I106,"依標準圖",MAX(L106:AC106))</f>
        <v>254</v>
      </c>
    </row>
    <row r="107" spans="1:30" s="45" customFormat="1">
      <c r="A107" s="113"/>
      <c r="B107" s="99"/>
      <c r="C107" s="114"/>
      <c r="D107" s="99"/>
      <c r="E107" s="102"/>
      <c r="F107" s="103"/>
      <c r="G107" s="99"/>
      <c r="H107" s="102"/>
      <c r="I107" s="104"/>
      <c r="J107" s="42">
        <v>9</v>
      </c>
      <c r="K107" s="43" t="s">
        <v>29</v>
      </c>
      <c r="L107" s="44" t="str">
        <f>IF($J107=L$3,IF(L$3&gt;$I106,"-",ROUNDUP(Ld_cal($B106, $C106, $D106, $G106,$E106, $F106, $H106, L$3)*1.3,0)),"-")</f>
        <v>-</v>
      </c>
      <c r="M107" s="44" t="str">
        <f>IF($J107=M$3,IF(M$3&gt;$I106,"-",ROUNDUP(Ld_cal($B106, $C106, $D106, $G106,$E106, $F106, $H106, M$3)*1.3,0)),"-")</f>
        <v>-</v>
      </c>
      <c r="N107" s="44" t="str">
        <f>IF($J107=N$3,IF(N$3&gt;$I106,"-",ROUNDUP(Ld_cal($B106, $C106, $D106, $G106,$E106, $F106, $H106, N$3)*1.3,0)),"-")</f>
        <v>-</v>
      </c>
      <c r="O107" s="44" t="str">
        <f>IF($J107=O$3,IF(O$3&gt;$I106,"-",ROUNDUP(Ld_cal($B106, $C106, $D106, $G106,$E106, $F106, $H106, O$3)*1.3,0)),"-")</f>
        <v>-</v>
      </c>
      <c r="P107" s="44" t="str">
        <f>IF($J107=P$3,IF(P$3&gt;$I106,"-",ROUNDUP(Ld_cal($B106, $C106, $D106, $G106,$E106, $F106, $H106, P$3)*1.3,0)),"-")</f>
        <v>-</v>
      </c>
      <c r="Q107" s="44" t="str">
        <f>IF($J107=Q$3,IF(Q$3&gt;$I106,"-",ROUNDUP(Ld_cal($B106, $C106, $D106, $G106,$E106, $F106, $H106, Q$3)*1.3,0)),"-")</f>
        <v>-</v>
      </c>
      <c r="R107" s="44">
        <f>IF($J107=R$3,IF(R$3&gt;$I106,"-",ROUNDUP(Ld_cal($B106, $C106, $D106, $G106,$E106, $F106, $H106, R$3)*1.3,0)),"-")</f>
        <v>106</v>
      </c>
      <c r="S107" s="44" t="str">
        <f>IF($J107=S$3,IF(S$3&gt;$I106,"-",ROUNDUP(Ld_cal($B106, $C106, $D106, $G106,$E106, $F106, $H106, S$3)*1.3,0)),"-")</f>
        <v>-</v>
      </c>
      <c r="T107" s="44" t="str">
        <f>IF($J107=T$3,IF(T$3&gt;$I106,"-",ROUNDUP(Ld_cal($B106, $C106, $D106, $G106,$E106, $F106, $H106, T$3)*1.3,0)),"-")</f>
        <v>-</v>
      </c>
      <c r="U107" s="44" t="str">
        <f>IF($J107=U$3,IF(U$3&gt;$I106,"-",ROUNDUP(Ld_cal($B106, $C106, $D106, $G106,$E106, $F106, $H106, U$3)*1.3,0)),"-")</f>
        <v>-</v>
      </c>
      <c r="V107" s="44" t="str">
        <f>IF($J107=V$3,IF(V$3&gt;$I106,"-",ROUNDUP(Ld_cal($B106, $C106, $D106, $G106,$E106, $F106, $H106, V$3)*1.3,0)),"-")</f>
        <v>-</v>
      </c>
      <c r="W107" s="44" t="str">
        <f>IF($J107=W$3,IF(W$3&gt;$I106,"-",ROUNDUP(Ld_cal($B106, $C106, $D106, $G106,$E106, $F106, $H106, W$3)*1.3,0)),"-")</f>
        <v>-</v>
      </c>
      <c r="X107" s="44" t="str">
        <f>IF($J107=X$3,IF(X$3&gt;$I106,"-",ROUNDUP(Ld_cal($B106, $C106, $D106, $G106,$E106, $F106, $H106, X$3)*1.3,0)),"-")</f>
        <v>-</v>
      </c>
      <c r="Y107" s="44" t="str">
        <f>IF($J107=Y$3,IF(Y$3&gt;$I106,"-",ROUNDUP(Ld_cal($B106, $C106, $D106, $G106,$E106, $F106, $H106, Y$3)*1.3,0)),"-")</f>
        <v>-</v>
      </c>
      <c r="Z107" s="44" t="str">
        <f>IF($J107=Z$3,IF(Z$3&gt;$I106,"-",ROUNDUP(Ld_cal($B106, $C106, $D106, $G106,$E106, $F106, $H106, Z$3)*1.3,0)),"-")</f>
        <v>-</v>
      </c>
      <c r="AA107" s="44" t="str">
        <f>IF($J107=AA$3,IF(AA$3&gt;$I106,"-",ROUNDUP(Ld_cal($B106, $C106, $D106, $G106,$E106, $F106, $H106, AA$3)*1.3,0)),"-")</f>
        <v>-</v>
      </c>
      <c r="AB107" s="44" t="str">
        <f>IF($J107=AB$3,IF(AB$3&gt;$I106,"-",ROUNDUP(Ld_cal($B106, $C106, $D106, $G106,$E106, $F106, $H106, AB$3)*1.3,0)),"-")</f>
        <v>-</v>
      </c>
      <c r="AC107" s="44" t="str">
        <f>IF($J107=AC$3,IF(AC$3&gt;$I106,"-",ROUNDUP(Ld_cal($B106, $C106, $D106, $G106,$E106, $F106, $H106, AC$3)*1.3,0)),"-")</f>
        <v>-</v>
      </c>
      <c r="AD107" s="46">
        <f t="shared" ref="AD107" si="101">IF(J107&gt;I106,"依標準圖",MAX(L107:AC107))</f>
        <v>106</v>
      </c>
    </row>
    <row r="108" spans="1:30">
      <c r="A108" s="112" t="s">
        <v>95</v>
      </c>
      <c r="B108" s="107">
        <v>120</v>
      </c>
      <c r="C108" s="108">
        <v>7.5</v>
      </c>
      <c r="D108" s="107">
        <v>4200</v>
      </c>
      <c r="E108" s="109">
        <v>16</v>
      </c>
      <c r="F108" s="110">
        <v>10</v>
      </c>
      <c r="G108" s="107">
        <v>350</v>
      </c>
      <c r="H108" s="109">
        <v>32</v>
      </c>
      <c r="I108" s="111">
        <f>ROUNDDOWN(($B108-2*$C108-2*$E108/10-$H108/10)/(($D$1+1)*$H108/10),0)+1</f>
        <v>16</v>
      </c>
      <c r="J108" s="39">
        <v>14</v>
      </c>
      <c r="K108" s="40" t="s">
        <v>30</v>
      </c>
      <c r="L108" s="41" t="str">
        <f>IF($J108=L$3,IF(L$3&gt;$I108,"-",ROUNDUP(Ld_cal($B108, $C108, $D108, $G108,$E108, $F108, $H108, L$3)*1.3*1.3,0)),"-")</f>
        <v>-</v>
      </c>
      <c r="M108" s="41" t="str">
        <f>IF($J108=M$3,IF(M$3&gt;$I108,"-",ROUNDUP(Ld_cal($B108, $C108, $D108, $G108,$E108, $F108, $H108, M$3)*1.3*1.3,0)),"-")</f>
        <v>-</v>
      </c>
      <c r="N108" s="41" t="str">
        <f>IF($J108=N$3,IF(N$3&gt;$I108,"-",ROUNDUP(Ld_cal($B108, $C108, $D108, $G108,$E108, $F108, $H108, N$3)*1.3*1.3,0)),"-")</f>
        <v>-</v>
      </c>
      <c r="O108" s="41" t="str">
        <f>IF($J108=O$3,IF(O$3&gt;$I108,"-",ROUNDUP(Ld_cal($B108, $C108, $D108, $G108,$E108, $F108, $H108, O$3)*1.3*1.3,0)),"-")</f>
        <v>-</v>
      </c>
      <c r="P108" s="41" t="str">
        <f>IF($J108=P$3,IF(P$3&gt;$I108,"-",ROUNDUP(Ld_cal($B108, $C108, $D108, $G108,$E108, $F108, $H108, P$3)*1.3*1.3,0)),"-")</f>
        <v>-</v>
      </c>
      <c r="Q108" s="41" t="str">
        <f>IF($J108=Q$3,IF(Q$3&gt;$I108,"-",ROUNDUP(Ld_cal($B108, $C108, $D108, $G108,$E108, $F108, $H108, Q$3)*1.3*1.3,0)),"-")</f>
        <v>-</v>
      </c>
      <c r="R108" s="41" t="str">
        <f>IF($J108=R$3,IF(R$3&gt;$I108,"-",ROUNDUP(Ld_cal($B108, $C108, $D108, $G108,$E108, $F108, $H108, R$3)*1.3*1.3,0)),"-")</f>
        <v>-</v>
      </c>
      <c r="S108" s="41" t="str">
        <f>IF($J108=S$3,IF(S$3&gt;$I108,"-",ROUNDUP(Ld_cal($B108, $C108, $D108, $G108,$E108, $F108, $H108, S$3)*1.3*1.3,0)),"-")</f>
        <v>-</v>
      </c>
      <c r="T108" s="41" t="str">
        <f>IF($J108=T$3,IF(T$3&gt;$I108,"-",ROUNDUP(Ld_cal($B108, $C108, $D108, $G108,$E108, $F108, $H108, T$3)*1.3*1.3,0)),"-")</f>
        <v>-</v>
      </c>
      <c r="U108" s="41" t="str">
        <f>IF($J108=U$3,IF(U$3&gt;$I108,"-",ROUNDUP(Ld_cal($B108, $C108, $D108, $G108,$E108, $F108, $H108, U$3)*1.3*1.3,0)),"-")</f>
        <v>-</v>
      </c>
      <c r="V108" s="41" t="str">
        <f>IF($J108=V$3,IF(V$3&gt;$I108,"-",ROUNDUP(Ld_cal($B108, $C108, $D108, $G108,$E108, $F108, $H108, V$3)*1.3*1.3,0)),"-")</f>
        <v>-</v>
      </c>
      <c r="W108" s="41">
        <f>IF($J108=W$3,IF(W$3&gt;$I108,"-",ROUNDUP(Ld_cal($B108, $C108, $D108, $G108,$E108, $F108, $H108, W$3)*1.3*1.3,0)),"-")</f>
        <v>221</v>
      </c>
      <c r="X108" s="41" t="str">
        <f>IF($J108=X$3,IF(X$3&gt;$I108,"-",ROUNDUP(Ld_cal($B108, $C108, $D108, $G108,$E108, $F108, $H108, X$3)*1.3*1.3,0)),"-")</f>
        <v>-</v>
      </c>
      <c r="Y108" s="41" t="str">
        <f>IF($J108=Y$3,IF(Y$3&gt;$I108,"-",ROUNDUP(Ld_cal($B108, $C108, $D108, $G108,$E108, $F108, $H108, Y$3)*1.3*1.3,0)),"-")</f>
        <v>-</v>
      </c>
      <c r="Z108" s="41" t="str">
        <f>IF($J108=Z$3,IF(Z$3&gt;$I108,"-",ROUNDUP(Ld_cal($B108, $C108, $D108, $G108,$E108, $F108, $H108, Z$3)*1.3*1.3,0)),"-")</f>
        <v>-</v>
      </c>
      <c r="AA108" s="41" t="str">
        <f>IF($J108=AA$3,IF(AA$3&gt;$I108,"-",ROUNDUP(Ld_cal($B108, $C108, $D108, $G108,$E108, $F108, $H108, AA$3)*1.3*1.3,0)),"-")</f>
        <v>-</v>
      </c>
      <c r="AB108" s="41" t="str">
        <f>IF($J108=AB$3,IF(AB$3&gt;$I108,"-",ROUNDUP(Ld_cal($B108, $C108, $D108, $G108,$E108, $F108, $H108, AB$3)*1.3*1.3,0)),"-")</f>
        <v>-</v>
      </c>
      <c r="AC108" s="41" t="str">
        <f>IF($J108=AC$3,IF(AC$3&gt;$I108,"-",ROUNDUP(Ld_cal($B108, $C108, $D108, $G108,$E108, $F108, $H108, AC$3)*1.3*1.3,0)),"-")</f>
        <v>-</v>
      </c>
      <c r="AD108" s="47">
        <f t="shared" ref="AD108" si="102">IF(J108&gt;I108,"依標準圖",MAX(L108:AC108))</f>
        <v>221</v>
      </c>
    </row>
    <row r="109" spans="1:30">
      <c r="A109" s="112"/>
      <c r="B109" s="107"/>
      <c r="C109" s="108"/>
      <c r="D109" s="107"/>
      <c r="E109" s="109"/>
      <c r="F109" s="110"/>
      <c r="G109" s="107"/>
      <c r="H109" s="109"/>
      <c r="I109" s="111"/>
      <c r="J109" s="39">
        <v>9</v>
      </c>
      <c r="K109" s="40" t="s">
        <v>29</v>
      </c>
      <c r="L109" s="41" t="str">
        <f>IF($J109=L$3,IF(L$3&gt;$I108,"-",ROUNDUP(Ld_cal($B108, $C108, $D108, $G108,$E108, $F108, $H108, L$3)*1.3,0)),"-")</f>
        <v>-</v>
      </c>
      <c r="M109" s="41" t="str">
        <f>IF($J109=M$3,IF(M$3&gt;$I108,"-",ROUNDUP(Ld_cal($B108, $C108, $D108, $G108,$E108, $F108, $H108, M$3)*1.3,0)),"-")</f>
        <v>-</v>
      </c>
      <c r="N109" s="41" t="str">
        <f>IF($J109=N$3,IF(N$3&gt;$I108,"-",ROUNDUP(Ld_cal($B108, $C108, $D108, $G108,$E108, $F108, $H108, N$3)*1.3,0)),"-")</f>
        <v>-</v>
      </c>
      <c r="O109" s="41" t="str">
        <f>IF($J109=O$3,IF(O$3&gt;$I108,"-",ROUNDUP(Ld_cal($B108, $C108, $D108, $G108,$E108, $F108, $H108, O$3)*1.3,0)),"-")</f>
        <v>-</v>
      </c>
      <c r="P109" s="41" t="str">
        <f>IF($J109=P$3,IF(P$3&gt;$I108,"-",ROUNDUP(Ld_cal($B108, $C108, $D108, $G108,$E108, $F108, $H108, P$3)*1.3,0)),"-")</f>
        <v>-</v>
      </c>
      <c r="Q109" s="41" t="str">
        <f>IF($J109=Q$3,IF(Q$3&gt;$I108,"-",ROUNDUP(Ld_cal($B108, $C108, $D108, $G108,$E108, $F108, $H108, Q$3)*1.3,0)),"-")</f>
        <v>-</v>
      </c>
      <c r="R109" s="41">
        <f>IF($J109=R$3,IF(R$3&gt;$I108,"-",ROUNDUP(Ld_cal($B108, $C108, $D108, $G108,$E108, $F108, $H108, R$3)*1.3,0)),"-")</f>
        <v>106</v>
      </c>
      <c r="S109" s="41" t="str">
        <f>IF($J109=S$3,IF(S$3&gt;$I108,"-",ROUNDUP(Ld_cal($B108, $C108, $D108, $G108,$E108, $F108, $H108, S$3)*1.3,0)),"-")</f>
        <v>-</v>
      </c>
      <c r="T109" s="41" t="str">
        <f>IF($J109=T$3,IF(T$3&gt;$I108,"-",ROUNDUP(Ld_cal($B108, $C108, $D108, $G108,$E108, $F108, $H108, T$3)*1.3,0)),"-")</f>
        <v>-</v>
      </c>
      <c r="U109" s="41" t="str">
        <f>IF($J109=U$3,IF(U$3&gt;$I108,"-",ROUNDUP(Ld_cal($B108, $C108, $D108, $G108,$E108, $F108, $H108, U$3)*1.3,0)),"-")</f>
        <v>-</v>
      </c>
      <c r="V109" s="41" t="str">
        <f>IF($J109=V$3,IF(V$3&gt;$I108,"-",ROUNDUP(Ld_cal($B108, $C108, $D108, $G108,$E108, $F108, $H108, V$3)*1.3,0)),"-")</f>
        <v>-</v>
      </c>
      <c r="W109" s="41" t="str">
        <f>IF($J109=W$3,IF(W$3&gt;$I108,"-",ROUNDUP(Ld_cal($B108, $C108, $D108, $G108,$E108, $F108, $H108, W$3)*1.3,0)),"-")</f>
        <v>-</v>
      </c>
      <c r="X109" s="41" t="str">
        <f>IF($J109=X$3,IF(X$3&gt;$I108,"-",ROUNDUP(Ld_cal($B108, $C108, $D108, $G108,$E108, $F108, $H108, X$3)*1.3,0)),"-")</f>
        <v>-</v>
      </c>
      <c r="Y109" s="41" t="str">
        <f>IF($J109=Y$3,IF(Y$3&gt;$I108,"-",ROUNDUP(Ld_cal($B108, $C108, $D108, $G108,$E108, $F108, $H108, Y$3)*1.3,0)),"-")</f>
        <v>-</v>
      </c>
      <c r="Z109" s="41" t="str">
        <f>IF($J109=Z$3,IF(Z$3&gt;$I108,"-",ROUNDUP(Ld_cal($B108, $C108, $D108, $G108,$E108, $F108, $H108, Z$3)*1.3,0)),"-")</f>
        <v>-</v>
      </c>
      <c r="AA109" s="41" t="str">
        <f>IF($J109=AA$3,IF(AA$3&gt;$I108,"-",ROUNDUP(Ld_cal($B108, $C108, $D108, $G108,$E108, $F108, $H108, AA$3)*1.3,0)),"-")</f>
        <v>-</v>
      </c>
      <c r="AB109" s="41" t="str">
        <f>IF($J109=AB$3,IF(AB$3&gt;$I108,"-",ROUNDUP(Ld_cal($B108, $C108, $D108, $G108,$E108, $F108, $H108, AB$3)*1.3,0)),"-")</f>
        <v>-</v>
      </c>
      <c r="AC109" s="41" t="str">
        <f>IF($J109=AC$3,IF(AC$3&gt;$I108,"-",ROUNDUP(Ld_cal($B108, $C108, $D108, $G108,$E108, $F108, $H108, AC$3)*1.3,0)),"-")</f>
        <v>-</v>
      </c>
      <c r="AD109" s="47">
        <f t="shared" ref="AD109" si="103">IF(J109&gt;I108,"依標準圖",MAX(L109:AC109))</f>
        <v>106</v>
      </c>
    </row>
    <row r="110" spans="1:30" s="45" customFormat="1">
      <c r="A110" s="113" t="s">
        <v>96</v>
      </c>
      <c r="B110" s="99">
        <v>120</v>
      </c>
      <c r="C110" s="114">
        <v>7.5</v>
      </c>
      <c r="D110" s="99">
        <v>4200</v>
      </c>
      <c r="E110" s="102">
        <v>13</v>
      </c>
      <c r="F110" s="103">
        <v>9</v>
      </c>
      <c r="G110" s="99">
        <v>350</v>
      </c>
      <c r="H110" s="102">
        <v>32</v>
      </c>
      <c r="I110" s="104">
        <f>ROUNDDOWN(($B110-2*$C110-2*$E110/10-$H110/10)/(($D$1+1)*$H110/10),0)+1</f>
        <v>16</v>
      </c>
      <c r="J110" s="42">
        <v>14</v>
      </c>
      <c r="K110" s="43" t="s">
        <v>30</v>
      </c>
      <c r="L110" s="44" t="str">
        <f>IF($J110=L$3,IF(L$3&gt;$I110,"-",ROUNDUP(Ld_cal($B110, $C110, $D110, $G110,$E110, $F110, $H110, L$3)*1.3*1.3,0)),"-")</f>
        <v>-</v>
      </c>
      <c r="M110" s="44" t="str">
        <f>IF($J110=M$3,IF(M$3&gt;$I110,"-",ROUNDUP(Ld_cal($B110, $C110, $D110, $G110,$E110, $F110, $H110, M$3)*1.3*1.3,0)),"-")</f>
        <v>-</v>
      </c>
      <c r="N110" s="44" t="str">
        <f>IF($J110=N$3,IF(N$3&gt;$I110,"-",ROUNDUP(Ld_cal($B110, $C110, $D110, $G110,$E110, $F110, $H110, N$3)*1.3*1.3,0)),"-")</f>
        <v>-</v>
      </c>
      <c r="O110" s="44" t="str">
        <f>IF($J110=O$3,IF(O$3&gt;$I110,"-",ROUNDUP(Ld_cal($B110, $C110, $D110, $G110,$E110, $F110, $H110, O$3)*1.3*1.3,0)),"-")</f>
        <v>-</v>
      </c>
      <c r="P110" s="44" t="str">
        <f>IF($J110=P$3,IF(P$3&gt;$I110,"-",ROUNDUP(Ld_cal($B110, $C110, $D110, $G110,$E110, $F110, $H110, P$3)*1.3*1.3,0)),"-")</f>
        <v>-</v>
      </c>
      <c r="Q110" s="44" t="str">
        <f>IF($J110=Q$3,IF(Q$3&gt;$I110,"-",ROUNDUP(Ld_cal($B110, $C110, $D110, $G110,$E110, $F110, $H110, Q$3)*1.3*1.3,0)),"-")</f>
        <v>-</v>
      </c>
      <c r="R110" s="44" t="str">
        <f>IF($J110=R$3,IF(R$3&gt;$I110,"-",ROUNDUP(Ld_cal($B110, $C110, $D110, $G110,$E110, $F110, $H110, R$3)*1.3*1.3,0)),"-")</f>
        <v>-</v>
      </c>
      <c r="S110" s="44" t="str">
        <f>IF($J110=S$3,IF(S$3&gt;$I110,"-",ROUNDUP(Ld_cal($B110, $C110, $D110, $G110,$E110, $F110, $H110, S$3)*1.3*1.3,0)),"-")</f>
        <v>-</v>
      </c>
      <c r="T110" s="44" t="str">
        <f>IF($J110=T$3,IF(T$3&gt;$I110,"-",ROUNDUP(Ld_cal($B110, $C110, $D110, $G110,$E110, $F110, $H110, T$3)*1.3*1.3,0)),"-")</f>
        <v>-</v>
      </c>
      <c r="U110" s="44" t="str">
        <f>IF($J110=U$3,IF(U$3&gt;$I110,"-",ROUNDUP(Ld_cal($B110, $C110, $D110, $G110,$E110, $F110, $H110, U$3)*1.3*1.3,0)),"-")</f>
        <v>-</v>
      </c>
      <c r="V110" s="44" t="str">
        <f>IF($J110=V$3,IF(V$3&gt;$I110,"-",ROUNDUP(Ld_cal($B110, $C110, $D110, $G110,$E110, $F110, $H110, V$3)*1.3*1.3,0)),"-")</f>
        <v>-</v>
      </c>
      <c r="W110" s="44">
        <f>IF($J110=W$3,IF(W$3&gt;$I110,"-",ROUNDUP(Ld_cal($B110, $C110, $D110, $G110,$E110, $F110, $H110, W$3)*1.3*1.3,0)),"-")</f>
        <v>234</v>
      </c>
      <c r="X110" s="44" t="str">
        <f>IF($J110=X$3,IF(X$3&gt;$I110,"-",ROUNDUP(Ld_cal($B110, $C110, $D110, $G110,$E110, $F110, $H110, X$3)*1.3*1.3,0)),"-")</f>
        <v>-</v>
      </c>
      <c r="Y110" s="44" t="str">
        <f>IF($J110=Y$3,IF(Y$3&gt;$I110,"-",ROUNDUP(Ld_cal($B110, $C110, $D110, $G110,$E110, $F110, $H110, Y$3)*1.3*1.3,0)),"-")</f>
        <v>-</v>
      </c>
      <c r="Z110" s="44" t="str">
        <f>IF($J110=Z$3,IF(Z$3&gt;$I110,"-",ROUNDUP(Ld_cal($B110, $C110, $D110, $G110,$E110, $F110, $H110, Z$3)*1.3*1.3,0)),"-")</f>
        <v>-</v>
      </c>
      <c r="AA110" s="44" t="str">
        <f>IF($J110=AA$3,IF(AA$3&gt;$I110,"-",ROUNDUP(Ld_cal($B110, $C110, $D110, $G110,$E110, $F110, $H110, AA$3)*1.3*1.3,0)),"-")</f>
        <v>-</v>
      </c>
      <c r="AB110" s="44" t="str">
        <f>IF($J110=AB$3,IF(AB$3&gt;$I110,"-",ROUNDUP(Ld_cal($B110, $C110, $D110, $G110,$E110, $F110, $H110, AB$3)*1.3*1.3,0)),"-")</f>
        <v>-</v>
      </c>
      <c r="AC110" s="44" t="str">
        <f>IF($J110=AC$3,IF(AC$3&gt;$I110,"-",ROUNDUP(Ld_cal($B110, $C110, $D110, $G110,$E110, $F110, $H110, AC$3)*1.3*1.3,0)),"-")</f>
        <v>-</v>
      </c>
      <c r="AD110" s="46">
        <f t="shared" ref="AD110" si="104">IF(J110&gt;I110,"依標準圖",MAX(L110:AC110))</f>
        <v>234</v>
      </c>
    </row>
    <row r="111" spans="1:30" s="45" customFormat="1">
      <c r="A111" s="113"/>
      <c r="B111" s="99"/>
      <c r="C111" s="114"/>
      <c r="D111" s="99"/>
      <c r="E111" s="102"/>
      <c r="F111" s="103"/>
      <c r="G111" s="99"/>
      <c r="H111" s="102"/>
      <c r="I111" s="104"/>
      <c r="J111" s="42">
        <v>10</v>
      </c>
      <c r="K111" s="43" t="s">
        <v>29</v>
      </c>
      <c r="L111" s="44" t="str">
        <f>IF($J111=L$3,IF(L$3&gt;$I110,"-",ROUNDUP(Ld_cal($B110, $C110, $D110, $G110,$E110, $F110, $H110, L$3)*1.3,0)),"-")</f>
        <v>-</v>
      </c>
      <c r="M111" s="44" t="str">
        <f>IF($J111=M$3,IF(M$3&gt;$I110,"-",ROUNDUP(Ld_cal($B110, $C110, $D110, $G110,$E110, $F110, $H110, M$3)*1.3,0)),"-")</f>
        <v>-</v>
      </c>
      <c r="N111" s="44" t="str">
        <f>IF($J111=N$3,IF(N$3&gt;$I110,"-",ROUNDUP(Ld_cal($B110, $C110, $D110, $G110,$E110, $F110, $H110, N$3)*1.3,0)),"-")</f>
        <v>-</v>
      </c>
      <c r="O111" s="44" t="str">
        <f>IF($J111=O$3,IF(O$3&gt;$I110,"-",ROUNDUP(Ld_cal($B110, $C110, $D110, $G110,$E110, $F110, $H110, O$3)*1.3,0)),"-")</f>
        <v>-</v>
      </c>
      <c r="P111" s="44" t="str">
        <f>IF($J111=P$3,IF(P$3&gt;$I110,"-",ROUNDUP(Ld_cal($B110, $C110, $D110, $G110,$E110, $F110, $H110, P$3)*1.3,0)),"-")</f>
        <v>-</v>
      </c>
      <c r="Q111" s="44" t="str">
        <f>IF($J111=Q$3,IF(Q$3&gt;$I110,"-",ROUNDUP(Ld_cal($B110, $C110, $D110, $G110,$E110, $F110, $H110, Q$3)*1.3,0)),"-")</f>
        <v>-</v>
      </c>
      <c r="R111" s="44" t="str">
        <f>IF($J111=R$3,IF(R$3&gt;$I110,"-",ROUNDUP(Ld_cal($B110, $C110, $D110, $G110,$E110, $F110, $H110, R$3)*1.3,0)),"-")</f>
        <v>-</v>
      </c>
      <c r="S111" s="44">
        <f>IF($J111=S$3,IF(S$3&gt;$I110,"-",ROUNDUP(Ld_cal($B110, $C110, $D110, $G110,$E110, $F110, $H110, S$3)*1.3,0)),"-")</f>
        <v>126</v>
      </c>
      <c r="T111" s="44" t="str">
        <f>IF($J111=T$3,IF(T$3&gt;$I110,"-",ROUNDUP(Ld_cal($B110, $C110, $D110, $G110,$E110, $F110, $H110, T$3)*1.3,0)),"-")</f>
        <v>-</v>
      </c>
      <c r="U111" s="44" t="str">
        <f>IF($J111=U$3,IF(U$3&gt;$I110,"-",ROUNDUP(Ld_cal($B110, $C110, $D110, $G110,$E110, $F110, $H110, U$3)*1.3,0)),"-")</f>
        <v>-</v>
      </c>
      <c r="V111" s="44" t="str">
        <f>IF($J111=V$3,IF(V$3&gt;$I110,"-",ROUNDUP(Ld_cal($B110, $C110, $D110, $G110,$E110, $F110, $H110, V$3)*1.3,0)),"-")</f>
        <v>-</v>
      </c>
      <c r="W111" s="44" t="str">
        <f>IF($J111=W$3,IF(W$3&gt;$I110,"-",ROUNDUP(Ld_cal($B110, $C110, $D110, $G110,$E110, $F110, $H110, W$3)*1.3,0)),"-")</f>
        <v>-</v>
      </c>
      <c r="X111" s="44" t="str">
        <f>IF($J111=X$3,IF(X$3&gt;$I110,"-",ROUNDUP(Ld_cal($B110, $C110, $D110, $G110,$E110, $F110, $H110, X$3)*1.3,0)),"-")</f>
        <v>-</v>
      </c>
      <c r="Y111" s="44" t="str">
        <f>IF($J111=Y$3,IF(Y$3&gt;$I110,"-",ROUNDUP(Ld_cal($B110, $C110, $D110, $G110,$E110, $F110, $H110, Y$3)*1.3,0)),"-")</f>
        <v>-</v>
      </c>
      <c r="Z111" s="44" t="str">
        <f>IF($J111=Z$3,IF(Z$3&gt;$I110,"-",ROUNDUP(Ld_cal($B110, $C110, $D110, $G110,$E110, $F110, $H110, Z$3)*1.3,0)),"-")</f>
        <v>-</v>
      </c>
      <c r="AA111" s="44" t="str">
        <f>IF($J111=AA$3,IF(AA$3&gt;$I110,"-",ROUNDUP(Ld_cal($B110, $C110, $D110, $G110,$E110, $F110, $H110, AA$3)*1.3,0)),"-")</f>
        <v>-</v>
      </c>
      <c r="AB111" s="44" t="str">
        <f>IF($J111=AB$3,IF(AB$3&gt;$I110,"-",ROUNDUP(Ld_cal($B110, $C110, $D110, $G110,$E110, $F110, $H110, AB$3)*1.3,0)),"-")</f>
        <v>-</v>
      </c>
      <c r="AC111" s="44" t="str">
        <f>IF($J111=AC$3,IF(AC$3&gt;$I110,"-",ROUNDUP(Ld_cal($B110, $C110, $D110, $G110,$E110, $F110, $H110, AC$3)*1.3,0)),"-")</f>
        <v>-</v>
      </c>
      <c r="AD111" s="46">
        <f t="shared" ref="AD111" si="105">IF(J111&gt;I110,"依標準圖",MAX(L111:AC111))</f>
        <v>126</v>
      </c>
    </row>
    <row r="112" spans="1:30">
      <c r="A112" s="112" t="s">
        <v>97</v>
      </c>
      <c r="B112" s="107">
        <v>120</v>
      </c>
      <c r="C112" s="108">
        <v>7.5</v>
      </c>
      <c r="D112" s="107">
        <v>4200</v>
      </c>
      <c r="E112" s="109">
        <v>13</v>
      </c>
      <c r="F112" s="110">
        <v>9</v>
      </c>
      <c r="G112" s="107">
        <v>350</v>
      </c>
      <c r="H112" s="109">
        <v>32</v>
      </c>
      <c r="I112" s="111">
        <f>ROUNDDOWN(($B112-2*$C112-2*$E112/10-$H112/10)/(($D$1+1)*$H112/10),0)+1</f>
        <v>16</v>
      </c>
      <c r="J112" s="39">
        <v>11</v>
      </c>
      <c r="K112" s="40" t="s">
        <v>30</v>
      </c>
      <c r="L112" s="41" t="str">
        <f>IF($J112=L$3,IF(L$3&gt;$I112,"-",ROUNDUP(Ld_cal($B112, $C112, $D112, $G112,$E112, $F112, $H112, L$3)*1.3*1.3,0)),"-")</f>
        <v>-</v>
      </c>
      <c r="M112" s="41" t="str">
        <f>IF($J112=M$3,IF(M$3&gt;$I112,"-",ROUNDUP(Ld_cal($B112, $C112, $D112, $G112,$E112, $F112, $H112, M$3)*1.3*1.3,0)),"-")</f>
        <v>-</v>
      </c>
      <c r="N112" s="41" t="str">
        <f>IF($J112=N$3,IF(N$3&gt;$I112,"-",ROUNDUP(Ld_cal($B112, $C112, $D112, $G112,$E112, $F112, $H112, N$3)*1.3*1.3,0)),"-")</f>
        <v>-</v>
      </c>
      <c r="O112" s="41" t="str">
        <f>IF($J112=O$3,IF(O$3&gt;$I112,"-",ROUNDUP(Ld_cal($B112, $C112, $D112, $G112,$E112, $F112, $H112, O$3)*1.3*1.3,0)),"-")</f>
        <v>-</v>
      </c>
      <c r="P112" s="41" t="str">
        <f>IF($J112=P$3,IF(P$3&gt;$I112,"-",ROUNDUP(Ld_cal($B112, $C112, $D112, $G112,$E112, $F112, $H112, P$3)*1.3*1.3,0)),"-")</f>
        <v>-</v>
      </c>
      <c r="Q112" s="41" t="str">
        <f>IF($J112=Q$3,IF(Q$3&gt;$I112,"-",ROUNDUP(Ld_cal($B112, $C112, $D112, $G112,$E112, $F112, $H112, Q$3)*1.3*1.3,0)),"-")</f>
        <v>-</v>
      </c>
      <c r="R112" s="41" t="str">
        <f>IF($J112=R$3,IF(R$3&gt;$I112,"-",ROUNDUP(Ld_cal($B112, $C112, $D112, $G112,$E112, $F112, $H112, R$3)*1.3*1.3,0)),"-")</f>
        <v>-</v>
      </c>
      <c r="S112" s="41" t="str">
        <f>IF($J112=S$3,IF(S$3&gt;$I112,"-",ROUNDUP(Ld_cal($B112, $C112, $D112, $G112,$E112, $F112, $H112, S$3)*1.3*1.3,0)),"-")</f>
        <v>-</v>
      </c>
      <c r="T112" s="41">
        <f>IF($J112=T$3,IF(T$3&gt;$I112,"-",ROUNDUP(Ld_cal($B112, $C112, $D112, $G112,$E112, $F112, $H112, T$3)*1.3*1.3,0)),"-")</f>
        <v>181</v>
      </c>
      <c r="U112" s="41" t="str">
        <f>IF($J112=U$3,IF(U$3&gt;$I112,"-",ROUNDUP(Ld_cal($B112, $C112, $D112, $G112,$E112, $F112, $H112, U$3)*1.3*1.3,0)),"-")</f>
        <v>-</v>
      </c>
      <c r="V112" s="41" t="str">
        <f>IF($J112=V$3,IF(V$3&gt;$I112,"-",ROUNDUP(Ld_cal($B112, $C112, $D112, $G112,$E112, $F112, $H112, V$3)*1.3*1.3,0)),"-")</f>
        <v>-</v>
      </c>
      <c r="W112" s="41" t="str">
        <f>IF($J112=W$3,IF(W$3&gt;$I112,"-",ROUNDUP(Ld_cal($B112, $C112, $D112, $G112,$E112, $F112, $H112, W$3)*1.3*1.3,0)),"-")</f>
        <v>-</v>
      </c>
      <c r="X112" s="41" t="str">
        <f>IF($J112=X$3,IF(X$3&gt;$I112,"-",ROUNDUP(Ld_cal($B112, $C112, $D112, $G112,$E112, $F112, $H112, X$3)*1.3*1.3,0)),"-")</f>
        <v>-</v>
      </c>
      <c r="Y112" s="41" t="str">
        <f>IF($J112=Y$3,IF(Y$3&gt;$I112,"-",ROUNDUP(Ld_cal($B112, $C112, $D112, $G112,$E112, $F112, $H112, Y$3)*1.3*1.3,0)),"-")</f>
        <v>-</v>
      </c>
      <c r="Z112" s="41" t="str">
        <f>IF($J112=Z$3,IF(Z$3&gt;$I112,"-",ROUNDUP(Ld_cal($B112, $C112, $D112, $G112,$E112, $F112, $H112, Z$3)*1.3*1.3,0)),"-")</f>
        <v>-</v>
      </c>
      <c r="AA112" s="41" t="str">
        <f>IF($J112=AA$3,IF(AA$3&gt;$I112,"-",ROUNDUP(Ld_cal($B112, $C112, $D112, $G112,$E112, $F112, $H112, AA$3)*1.3*1.3,0)),"-")</f>
        <v>-</v>
      </c>
      <c r="AB112" s="41" t="str">
        <f>IF($J112=AB$3,IF(AB$3&gt;$I112,"-",ROUNDUP(Ld_cal($B112, $C112, $D112, $G112,$E112, $F112, $H112, AB$3)*1.3*1.3,0)),"-")</f>
        <v>-</v>
      </c>
      <c r="AC112" s="41" t="str">
        <f>IF($J112=AC$3,IF(AC$3&gt;$I112,"-",ROUNDUP(Ld_cal($B112, $C112, $D112, $G112,$E112, $F112, $H112, AC$3)*1.3*1.3,0)),"-")</f>
        <v>-</v>
      </c>
      <c r="AD112" s="47">
        <f t="shared" ref="AD112" si="106">IF(J112&gt;I112,"依標準圖",MAX(L112:AC112))</f>
        <v>181</v>
      </c>
    </row>
    <row r="113" spans="1:30">
      <c r="A113" s="112"/>
      <c r="B113" s="107"/>
      <c r="C113" s="108"/>
      <c r="D113" s="107"/>
      <c r="E113" s="109"/>
      <c r="F113" s="110"/>
      <c r="G113" s="107"/>
      <c r="H113" s="109"/>
      <c r="I113" s="111"/>
      <c r="J113" s="39">
        <v>10</v>
      </c>
      <c r="K113" s="40" t="s">
        <v>29</v>
      </c>
      <c r="L113" s="41" t="str">
        <f>IF($J113=L$3,IF(L$3&gt;$I112,"-",ROUNDUP(Ld_cal($B112, $C112, $D112, $G112,$E112, $F112, $H112, L$3)*1.3,0)),"-")</f>
        <v>-</v>
      </c>
      <c r="M113" s="41" t="str">
        <f>IF($J113=M$3,IF(M$3&gt;$I112,"-",ROUNDUP(Ld_cal($B112, $C112, $D112, $G112,$E112, $F112, $H112, M$3)*1.3,0)),"-")</f>
        <v>-</v>
      </c>
      <c r="N113" s="41" t="str">
        <f>IF($J113=N$3,IF(N$3&gt;$I112,"-",ROUNDUP(Ld_cal($B112, $C112, $D112, $G112,$E112, $F112, $H112, N$3)*1.3,0)),"-")</f>
        <v>-</v>
      </c>
      <c r="O113" s="41" t="str">
        <f>IF($J113=O$3,IF(O$3&gt;$I112,"-",ROUNDUP(Ld_cal($B112, $C112, $D112, $G112,$E112, $F112, $H112, O$3)*1.3,0)),"-")</f>
        <v>-</v>
      </c>
      <c r="P113" s="41" t="str">
        <f>IF($J113=P$3,IF(P$3&gt;$I112,"-",ROUNDUP(Ld_cal($B112, $C112, $D112, $G112,$E112, $F112, $H112, P$3)*1.3,0)),"-")</f>
        <v>-</v>
      </c>
      <c r="Q113" s="41" t="str">
        <f>IF($J113=Q$3,IF(Q$3&gt;$I112,"-",ROUNDUP(Ld_cal($B112, $C112, $D112, $G112,$E112, $F112, $H112, Q$3)*1.3,0)),"-")</f>
        <v>-</v>
      </c>
      <c r="R113" s="41" t="str">
        <f>IF($J113=R$3,IF(R$3&gt;$I112,"-",ROUNDUP(Ld_cal($B112, $C112, $D112, $G112,$E112, $F112, $H112, R$3)*1.3,0)),"-")</f>
        <v>-</v>
      </c>
      <c r="S113" s="41">
        <f>IF($J113=S$3,IF(S$3&gt;$I112,"-",ROUNDUP(Ld_cal($B112, $C112, $D112, $G112,$E112, $F112, $H112, S$3)*1.3,0)),"-")</f>
        <v>126</v>
      </c>
      <c r="T113" s="41" t="str">
        <f>IF($J113=T$3,IF(T$3&gt;$I112,"-",ROUNDUP(Ld_cal($B112, $C112, $D112, $G112,$E112, $F112, $H112, T$3)*1.3,0)),"-")</f>
        <v>-</v>
      </c>
      <c r="U113" s="41" t="str">
        <f>IF($J113=U$3,IF(U$3&gt;$I112,"-",ROUNDUP(Ld_cal($B112, $C112, $D112, $G112,$E112, $F112, $H112, U$3)*1.3,0)),"-")</f>
        <v>-</v>
      </c>
      <c r="V113" s="41" t="str">
        <f>IF($J113=V$3,IF(V$3&gt;$I112,"-",ROUNDUP(Ld_cal($B112, $C112, $D112, $G112,$E112, $F112, $H112, V$3)*1.3,0)),"-")</f>
        <v>-</v>
      </c>
      <c r="W113" s="41" t="str">
        <f>IF($J113=W$3,IF(W$3&gt;$I112,"-",ROUNDUP(Ld_cal($B112, $C112, $D112, $G112,$E112, $F112, $H112, W$3)*1.3,0)),"-")</f>
        <v>-</v>
      </c>
      <c r="X113" s="41" t="str">
        <f>IF($J113=X$3,IF(X$3&gt;$I112,"-",ROUNDUP(Ld_cal($B112, $C112, $D112, $G112,$E112, $F112, $H112, X$3)*1.3,0)),"-")</f>
        <v>-</v>
      </c>
      <c r="Y113" s="41" t="str">
        <f>IF($J113=Y$3,IF(Y$3&gt;$I112,"-",ROUNDUP(Ld_cal($B112, $C112, $D112, $G112,$E112, $F112, $H112, Y$3)*1.3,0)),"-")</f>
        <v>-</v>
      </c>
      <c r="Z113" s="41" t="str">
        <f>IF($J113=Z$3,IF(Z$3&gt;$I112,"-",ROUNDUP(Ld_cal($B112, $C112, $D112, $G112,$E112, $F112, $H112, Z$3)*1.3,0)),"-")</f>
        <v>-</v>
      </c>
      <c r="AA113" s="41" t="str">
        <f>IF($J113=AA$3,IF(AA$3&gt;$I112,"-",ROUNDUP(Ld_cal($B112, $C112, $D112, $G112,$E112, $F112, $H112, AA$3)*1.3,0)),"-")</f>
        <v>-</v>
      </c>
      <c r="AB113" s="41" t="str">
        <f>IF($J113=AB$3,IF(AB$3&gt;$I112,"-",ROUNDUP(Ld_cal($B112, $C112, $D112, $G112,$E112, $F112, $H112, AB$3)*1.3,0)),"-")</f>
        <v>-</v>
      </c>
      <c r="AC113" s="41" t="str">
        <f>IF($J113=AC$3,IF(AC$3&gt;$I112,"-",ROUNDUP(Ld_cal($B112, $C112, $D112, $G112,$E112, $F112, $H112, AC$3)*1.3,0)),"-")</f>
        <v>-</v>
      </c>
      <c r="AD113" s="47">
        <f t="shared" ref="AD113" si="107">IF(J113&gt;I112,"依標準圖",MAX(L113:AC113))</f>
        <v>126</v>
      </c>
    </row>
    <row r="114" spans="1:30" s="45" customFormat="1">
      <c r="A114" s="113" t="s">
        <v>98</v>
      </c>
      <c r="B114" s="99">
        <v>120</v>
      </c>
      <c r="C114" s="114">
        <v>7.5</v>
      </c>
      <c r="D114" s="99">
        <v>4200</v>
      </c>
      <c r="E114" s="102">
        <v>13</v>
      </c>
      <c r="F114" s="103">
        <v>10</v>
      </c>
      <c r="G114" s="99">
        <v>350</v>
      </c>
      <c r="H114" s="102">
        <v>32</v>
      </c>
      <c r="I114" s="104">
        <f>ROUNDDOWN(($B114-2*$C114-2*$E114/10-$H114/10)/(($D$1+1)*$H114/10),0)+1</f>
        <v>16</v>
      </c>
      <c r="J114" s="42">
        <v>8</v>
      </c>
      <c r="K114" s="43" t="s">
        <v>30</v>
      </c>
      <c r="L114" s="44" t="str">
        <f>IF($J114=L$3,IF(L$3&gt;$I114,"-",ROUNDUP(Ld_cal($B114, $C114, $D114, $G114,$E114, $F114, $H114, L$3)*1.3*1.3,0)),"-")</f>
        <v>-</v>
      </c>
      <c r="M114" s="44" t="str">
        <f>IF($J114=M$3,IF(M$3&gt;$I114,"-",ROUNDUP(Ld_cal($B114, $C114, $D114, $G114,$E114, $F114, $H114, M$3)*1.3*1.3,0)),"-")</f>
        <v>-</v>
      </c>
      <c r="N114" s="44" t="str">
        <f>IF($J114=N$3,IF(N$3&gt;$I114,"-",ROUNDUP(Ld_cal($B114, $C114, $D114, $G114,$E114, $F114, $H114, N$3)*1.3*1.3,0)),"-")</f>
        <v>-</v>
      </c>
      <c r="O114" s="44" t="str">
        <f>IF($J114=O$3,IF(O$3&gt;$I114,"-",ROUNDUP(Ld_cal($B114, $C114, $D114, $G114,$E114, $F114, $H114, O$3)*1.3*1.3,0)),"-")</f>
        <v>-</v>
      </c>
      <c r="P114" s="44" t="str">
        <f>IF($J114=P$3,IF(P$3&gt;$I114,"-",ROUNDUP(Ld_cal($B114, $C114, $D114, $G114,$E114, $F114, $H114, P$3)*1.3*1.3,0)),"-")</f>
        <v>-</v>
      </c>
      <c r="Q114" s="44">
        <f>IF($J114=Q$3,IF(Q$3&gt;$I114,"-",ROUNDUP(Ld_cal($B114, $C114, $D114, $G114,$E114, $F114, $H114, Q$3)*1.3*1.3,0)),"-")</f>
        <v>136</v>
      </c>
      <c r="R114" s="44" t="str">
        <f>IF($J114=R$3,IF(R$3&gt;$I114,"-",ROUNDUP(Ld_cal($B114, $C114, $D114, $G114,$E114, $F114, $H114, R$3)*1.3*1.3,0)),"-")</f>
        <v>-</v>
      </c>
      <c r="S114" s="44" t="str">
        <f>IF($J114=S$3,IF(S$3&gt;$I114,"-",ROUNDUP(Ld_cal($B114, $C114, $D114, $G114,$E114, $F114, $H114, S$3)*1.3*1.3,0)),"-")</f>
        <v>-</v>
      </c>
      <c r="T114" s="44" t="str">
        <f>IF($J114=T$3,IF(T$3&gt;$I114,"-",ROUNDUP(Ld_cal($B114, $C114, $D114, $G114,$E114, $F114, $H114, T$3)*1.3*1.3,0)),"-")</f>
        <v>-</v>
      </c>
      <c r="U114" s="44" t="str">
        <f>IF($J114=U$3,IF(U$3&gt;$I114,"-",ROUNDUP(Ld_cal($B114, $C114, $D114, $G114,$E114, $F114, $H114, U$3)*1.3*1.3,0)),"-")</f>
        <v>-</v>
      </c>
      <c r="V114" s="44" t="str">
        <f>IF($J114=V$3,IF(V$3&gt;$I114,"-",ROUNDUP(Ld_cal($B114, $C114, $D114, $G114,$E114, $F114, $H114, V$3)*1.3*1.3,0)),"-")</f>
        <v>-</v>
      </c>
      <c r="W114" s="44" t="str">
        <f>IF($J114=W$3,IF(W$3&gt;$I114,"-",ROUNDUP(Ld_cal($B114, $C114, $D114, $G114,$E114, $F114, $H114, W$3)*1.3*1.3,0)),"-")</f>
        <v>-</v>
      </c>
      <c r="X114" s="44" t="str">
        <f>IF($J114=X$3,IF(X$3&gt;$I114,"-",ROUNDUP(Ld_cal($B114, $C114, $D114, $G114,$E114, $F114, $H114, X$3)*1.3*1.3,0)),"-")</f>
        <v>-</v>
      </c>
      <c r="Y114" s="44" t="str">
        <f>IF($J114=Y$3,IF(Y$3&gt;$I114,"-",ROUNDUP(Ld_cal($B114, $C114, $D114, $G114,$E114, $F114, $H114, Y$3)*1.3*1.3,0)),"-")</f>
        <v>-</v>
      </c>
      <c r="Z114" s="44" t="str">
        <f>IF($J114=Z$3,IF(Z$3&gt;$I114,"-",ROUNDUP(Ld_cal($B114, $C114, $D114, $G114,$E114, $F114, $H114, Z$3)*1.3*1.3,0)),"-")</f>
        <v>-</v>
      </c>
      <c r="AA114" s="44" t="str">
        <f>IF($J114=AA$3,IF(AA$3&gt;$I114,"-",ROUNDUP(Ld_cal($B114, $C114, $D114, $G114,$E114, $F114, $H114, AA$3)*1.3*1.3,0)),"-")</f>
        <v>-</v>
      </c>
      <c r="AB114" s="44" t="str">
        <f>IF($J114=AB$3,IF(AB$3&gt;$I114,"-",ROUNDUP(Ld_cal($B114, $C114, $D114, $G114,$E114, $F114, $H114, AB$3)*1.3*1.3,0)),"-")</f>
        <v>-</v>
      </c>
      <c r="AC114" s="44" t="str">
        <f>IF($J114=AC$3,IF(AC$3&gt;$I114,"-",ROUNDUP(Ld_cal($B114, $C114, $D114, $G114,$E114, $F114, $H114, AC$3)*1.3*1.3,0)),"-")</f>
        <v>-</v>
      </c>
      <c r="AD114" s="46">
        <f t="shared" ref="AD114" si="108">IF(J114&gt;I114,"依標準圖",MAX(L114:AC114))</f>
        <v>136</v>
      </c>
    </row>
    <row r="115" spans="1:30" s="45" customFormat="1">
      <c r="A115" s="113"/>
      <c r="B115" s="99"/>
      <c r="C115" s="114"/>
      <c r="D115" s="99"/>
      <c r="E115" s="102"/>
      <c r="F115" s="103"/>
      <c r="G115" s="99"/>
      <c r="H115" s="102"/>
      <c r="I115" s="104"/>
      <c r="J115" s="42">
        <v>11</v>
      </c>
      <c r="K115" s="43" t="s">
        <v>29</v>
      </c>
      <c r="L115" s="44" t="str">
        <f>IF($J115=L$3,IF(L$3&gt;$I114,"-",ROUNDUP(Ld_cal($B114, $C114, $D114, $G114,$E114, $F114, $H114, L$3)*1.3,0)),"-")</f>
        <v>-</v>
      </c>
      <c r="M115" s="44" t="str">
        <f>IF($J115=M$3,IF(M$3&gt;$I114,"-",ROUNDUP(Ld_cal($B114, $C114, $D114, $G114,$E114, $F114, $H114, M$3)*1.3,0)),"-")</f>
        <v>-</v>
      </c>
      <c r="N115" s="44" t="str">
        <f>IF($J115=N$3,IF(N$3&gt;$I114,"-",ROUNDUP(Ld_cal($B114, $C114, $D114, $G114,$E114, $F114, $H114, N$3)*1.3,0)),"-")</f>
        <v>-</v>
      </c>
      <c r="O115" s="44" t="str">
        <f>IF($J115=O$3,IF(O$3&gt;$I114,"-",ROUNDUP(Ld_cal($B114, $C114, $D114, $G114,$E114, $F114, $H114, O$3)*1.3,0)),"-")</f>
        <v>-</v>
      </c>
      <c r="P115" s="44" t="str">
        <f>IF($J115=P$3,IF(P$3&gt;$I114,"-",ROUNDUP(Ld_cal($B114, $C114, $D114, $G114,$E114, $F114, $H114, P$3)*1.3,0)),"-")</f>
        <v>-</v>
      </c>
      <c r="Q115" s="44" t="str">
        <f>IF($J115=Q$3,IF(Q$3&gt;$I114,"-",ROUNDUP(Ld_cal($B114, $C114, $D114, $G114,$E114, $F114, $H114, Q$3)*1.3,0)),"-")</f>
        <v>-</v>
      </c>
      <c r="R115" s="44" t="str">
        <f>IF($J115=R$3,IF(R$3&gt;$I114,"-",ROUNDUP(Ld_cal($B114, $C114, $D114, $G114,$E114, $F114, $H114, R$3)*1.3,0)),"-")</f>
        <v>-</v>
      </c>
      <c r="S115" s="44" t="str">
        <f>IF($J115=S$3,IF(S$3&gt;$I114,"-",ROUNDUP(Ld_cal($B114, $C114, $D114, $G114,$E114, $F114, $H114, S$3)*1.3,0)),"-")</f>
        <v>-</v>
      </c>
      <c r="T115" s="44">
        <f>IF($J115=T$3,IF(T$3&gt;$I114,"-",ROUNDUP(Ld_cal($B114, $C114, $D114, $G114,$E114, $F114, $H114, T$3)*1.3,0)),"-")</f>
        <v>142</v>
      </c>
      <c r="U115" s="44" t="str">
        <f>IF($J115=U$3,IF(U$3&gt;$I114,"-",ROUNDUP(Ld_cal($B114, $C114, $D114, $G114,$E114, $F114, $H114, U$3)*1.3,0)),"-")</f>
        <v>-</v>
      </c>
      <c r="V115" s="44" t="str">
        <f>IF($J115=V$3,IF(V$3&gt;$I114,"-",ROUNDUP(Ld_cal($B114, $C114, $D114, $G114,$E114, $F114, $H114, V$3)*1.3,0)),"-")</f>
        <v>-</v>
      </c>
      <c r="W115" s="44" t="str">
        <f>IF($J115=W$3,IF(W$3&gt;$I114,"-",ROUNDUP(Ld_cal($B114, $C114, $D114, $G114,$E114, $F114, $H114, W$3)*1.3,0)),"-")</f>
        <v>-</v>
      </c>
      <c r="X115" s="44" t="str">
        <f>IF($J115=X$3,IF(X$3&gt;$I114,"-",ROUNDUP(Ld_cal($B114, $C114, $D114, $G114,$E114, $F114, $H114, X$3)*1.3,0)),"-")</f>
        <v>-</v>
      </c>
      <c r="Y115" s="44" t="str">
        <f>IF($J115=Y$3,IF(Y$3&gt;$I114,"-",ROUNDUP(Ld_cal($B114, $C114, $D114, $G114,$E114, $F114, $H114, Y$3)*1.3,0)),"-")</f>
        <v>-</v>
      </c>
      <c r="Z115" s="44" t="str">
        <f>IF($J115=Z$3,IF(Z$3&gt;$I114,"-",ROUNDUP(Ld_cal($B114, $C114, $D114, $G114,$E114, $F114, $H114, Z$3)*1.3,0)),"-")</f>
        <v>-</v>
      </c>
      <c r="AA115" s="44" t="str">
        <f>IF($J115=AA$3,IF(AA$3&gt;$I114,"-",ROUNDUP(Ld_cal($B114, $C114, $D114, $G114,$E114, $F114, $H114, AA$3)*1.3,0)),"-")</f>
        <v>-</v>
      </c>
      <c r="AB115" s="44" t="str">
        <f>IF($J115=AB$3,IF(AB$3&gt;$I114,"-",ROUNDUP(Ld_cal($B114, $C114, $D114, $G114,$E114, $F114, $H114, AB$3)*1.3,0)),"-")</f>
        <v>-</v>
      </c>
      <c r="AC115" s="44" t="str">
        <f>IF($J115=AC$3,IF(AC$3&gt;$I114,"-",ROUNDUP(Ld_cal($B114, $C114, $D114, $G114,$E114, $F114, $H114, AC$3)*1.3,0)),"-")</f>
        <v>-</v>
      </c>
      <c r="AD115" s="46">
        <f t="shared" ref="AD115" si="109">IF(J115&gt;I114,"依標準圖",MAX(L115:AC115))</f>
        <v>142</v>
      </c>
    </row>
    <row r="116" spans="1:30">
      <c r="A116" s="112" t="s">
        <v>99</v>
      </c>
      <c r="B116" s="107">
        <v>120</v>
      </c>
      <c r="C116" s="108">
        <v>7.5</v>
      </c>
      <c r="D116" s="107">
        <v>4200</v>
      </c>
      <c r="E116" s="109">
        <v>16</v>
      </c>
      <c r="F116" s="110">
        <v>7</v>
      </c>
      <c r="G116" s="107">
        <v>350</v>
      </c>
      <c r="H116" s="109">
        <v>32</v>
      </c>
      <c r="I116" s="111">
        <f>ROUNDDOWN(($B116-2*$C116-2*$E116/10-$H116/10)/(($D$1+1)*$H116/10),0)+1</f>
        <v>16</v>
      </c>
      <c r="J116" s="39">
        <v>16</v>
      </c>
      <c r="K116" s="40" t="s">
        <v>30</v>
      </c>
      <c r="L116" s="41" t="str">
        <f>IF($J116=L$3,IF(L$3&gt;$I116,"-",ROUNDUP(Ld_cal($B116, $C116, $D116, $G116,$E116, $F116, $H116, L$3)*1.3*1.3,0)),"-")</f>
        <v>-</v>
      </c>
      <c r="M116" s="41" t="str">
        <f>IF($J116=M$3,IF(M$3&gt;$I116,"-",ROUNDUP(Ld_cal($B116, $C116, $D116, $G116,$E116, $F116, $H116, M$3)*1.3*1.3,0)),"-")</f>
        <v>-</v>
      </c>
      <c r="N116" s="41" t="str">
        <f>IF($J116=N$3,IF(N$3&gt;$I116,"-",ROUNDUP(Ld_cal($B116, $C116, $D116, $G116,$E116, $F116, $H116, N$3)*1.3*1.3,0)),"-")</f>
        <v>-</v>
      </c>
      <c r="O116" s="41" t="str">
        <f>IF($J116=O$3,IF(O$3&gt;$I116,"-",ROUNDUP(Ld_cal($B116, $C116, $D116, $G116,$E116, $F116, $H116, O$3)*1.3*1.3,0)),"-")</f>
        <v>-</v>
      </c>
      <c r="P116" s="41" t="str">
        <f>IF($J116=P$3,IF(P$3&gt;$I116,"-",ROUNDUP(Ld_cal($B116, $C116, $D116, $G116,$E116, $F116, $H116, P$3)*1.3*1.3,0)),"-")</f>
        <v>-</v>
      </c>
      <c r="Q116" s="41" t="str">
        <f>IF($J116=Q$3,IF(Q$3&gt;$I116,"-",ROUNDUP(Ld_cal($B116, $C116, $D116, $G116,$E116, $F116, $H116, Q$3)*1.3*1.3,0)),"-")</f>
        <v>-</v>
      </c>
      <c r="R116" s="41" t="str">
        <f>IF($J116=R$3,IF(R$3&gt;$I116,"-",ROUNDUP(Ld_cal($B116, $C116, $D116, $G116,$E116, $F116, $H116, R$3)*1.3*1.3,0)),"-")</f>
        <v>-</v>
      </c>
      <c r="S116" s="41" t="str">
        <f>IF($J116=S$3,IF(S$3&gt;$I116,"-",ROUNDUP(Ld_cal($B116, $C116, $D116, $G116,$E116, $F116, $H116, S$3)*1.3*1.3,0)),"-")</f>
        <v>-</v>
      </c>
      <c r="T116" s="41" t="str">
        <f>IF($J116=T$3,IF(T$3&gt;$I116,"-",ROUNDUP(Ld_cal($B116, $C116, $D116, $G116,$E116, $F116, $H116, T$3)*1.3*1.3,0)),"-")</f>
        <v>-</v>
      </c>
      <c r="U116" s="41" t="str">
        <f>IF($J116=U$3,IF(U$3&gt;$I116,"-",ROUNDUP(Ld_cal($B116, $C116, $D116, $G116,$E116, $F116, $H116, U$3)*1.3*1.3,0)),"-")</f>
        <v>-</v>
      </c>
      <c r="V116" s="41" t="str">
        <f>IF($J116=V$3,IF(V$3&gt;$I116,"-",ROUNDUP(Ld_cal($B116, $C116, $D116, $G116,$E116, $F116, $H116, V$3)*1.3*1.3,0)),"-")</f>
        <v>-</v>
      </c>
      <c r="W116" s="41" t="str">
        <f>IF($J116=W$3,IF(W$3&gt;$I116,"-",ROUNDUP(Ld_cal($B116, $C116, $D116, $G116,$E116, $F116, $H116, W$3)*1.3*1.3,0)),"-")</f>
        <v>-</v>
      </c>
      <c r="X116" s="41" t="str">
        <f>IF($J116=X$3,IF(X$3&gt;$I116,"-",ROUNDUP(Ld_cal($B116, $C116, $D116, $G116,$E116, $F116, $H116, X$3)*1.3*1.3,0)),"-")</f>
        <v>-</v>
      </c>
      <c r="Y116" s="41">
        <f>IF($J116=Y$3,IF(Y$3&gt;$I116,"-",ROUNDUP(Ld_cal($B116, $C116, $D116, $G116,$E116, $F116, $H116, Y$3)*1.3*1.3,0)),"-")</f>
        <v>231</v>
      </c>
      <c r="Z116" s="41" t="str">
        <f>IF($J116=Z$3,IF(Z$3&gt;$I116,"-",ROUNDUP(Ld_cal($B116, $C116, $D116, $G116,$E116, $F116, $H116, Z$3)*1.3*1.3,0)),"-")</f>
        <v>-</v>
      </c>
      <c r="AA116" s="41" t="str">
        <f>IF($J116=AA$3,IF(AA$3&gt;$I116,"-",ROUNDUP(Ld_cal($B116, $C116, $D116, $G116,$E116, $F116, $H116, AA$3)*1.3*1.3,0)),"-")</f>
        <v>-</v>
      </c>
      <c r="AB116" s="41" t="str">
        <f>IF($J116=AB$3,IF(AB$3&gt;$I116,"-",ROUNDUP(Ld_cal($B116, $C116, $D116, $G116,$E116, $F116, $H116, AB$3)*1.3*1.3,0)),"-")</f>
        <v>-</v>
      </c>
      <c r="AC116" s="41" t="str">
        <f>IF($J116=AC$3,IF(AC$3&gt;$I116,"-",ROUNDUP(Ld_cal($B116, $C116, $D116, $G116,$E116, $F116, $H116, AC$3)*1.3*1.3,0)),"-")</f>
        <v>-</v>
      </c>
      <c r="AD116" s="47">
        <f t="shared" ref="AD116" si="110">IF(J116&gt;I116,"依標準圖",MAX(L116:AC116))</f>
        <v>231</v>
      </c>
    </row>
    <row r="117" spans="1:30">
      <c r="A117" s="112"/>
      <c r="B117" s="107"/>
      <c r="C117" s="108"/>
      <c r="D117" s="107"/>
      <c r="E117" s="109"/>
      <c r="F117" s="110"/>
      <c r="G117" s="107"/>
      <c r="H117" s="109"/>
      <c r="I117" s="111"/>
      <c r="J117" s="39">
        <v>16</v>
      </c>
      <c r="K117" s="40" t="s">
        <v>29</v>
      </c>
      <c r="L117" s="41" t="str">
        <f>IF($J117=L$3,IF(L$3&gt;$I116,"-",ROUNDUP(Ld_cal($B116, $C116, $D116, $G116,$E116, $F116, $H116, L$3)*1.3,0)),"-")</f>
        <v>-</v>
      </c>
      <c r="M117" s="41" t="str">
        <f>IF($J117=M$3,IF(M$3&gt;$I116,"-",ROUNDUP(Ld_cal($B116, $C116, $D116, $G116,$E116, $F116, $H116, M$3)*1.3,0)),"-")</f>
        <v>-</v>
      </c>
      <c r="N117" s="41" t="str">
        <f>IF($J117=N$3,IF(N$3&gt;$I116,"-",ROUNDUP(Ld_cal($B116, $C116, $D116, $G116,$E116, $F116, $H116, N$3)*1.3,0)),"-")</f>
        <v>-</v>
      </c>
      <c r="O117" s="41" t="str">
        <f>IF($J117=O$3,IF(O$3&gt;$I116,"-",ROUNDUP(Ld_cal($B116, $C116, $D116, $G116,$E116, $F116, $H116, O$3)*1.3,0)),"-")</f>
        <v>-</v>
      </c>
      <c r="P117" s="41" t="str">
        <f>IF($J117=P$3,IF(P$3&gt;$I116,"-",ROUNDUP(Ld_cal($B116, $C116, $D116, $G116,$E116, $F116, $H116, P$3)*1.3,0)),"-")</f>
        <v>-</v>
      </c>
      <c r="Q117" s="41" t="str">
        <f>IF($J117=Q$3,IF(Q$3&gt;$I116,"-",ROUNDUP(Ld_cal($B116, $C116, $D116, $G116,$E116, $F116, $H116, Q$3)*1.3,0)),"-")</f>
        <v>-</v>
      </c>
      <c r="R117" s="41" t="str">
        <f>IF($J117=R$3,IF(R$3&gt;$I116,"-",ROUNDUP(Ld_cal($B116, $C116, $D116, $G116,$E116, $F116, $H116, R$3)*1.3,0)),"-")</f>
        <v>-</v>
      </c>
      <c r="S117" s="41" t="str">
        <f>IF($J117=S$3,IF(S$3&gt;$I116,"-",ROUNDUP(Ld_cal($B116, $C116, $D116, $G116,$E116, $F116, $H116, S$3)*1.3,0)),"-")</f>
        <v>-</v>
      </c>
      <c r="T117" s="41" t="str">
        <f>IF($J117=T$3,IF(T$3&gt;$I116,"-",ROUNDUP(Ld_cal($B116, $C116, $D116, $G116,$E116, $F116, $H116, T$3)*1.3,0)),"-")</f>
        <v>-</v>
      </c>
      <c r="U117" s="41" t="str">
        <f>IF($J117=U$3,IF(U$3&gt;$I116,"-",ROUNDUP(Ld_cal($B116, $C116, $D116, $G116,$E116, $F116, $H116, U$3)*1.3,0)),"-")</f>
        <v>-</v>
      </c>
      <c r="V117" s="41" t="str">
        <f>IF($J117=V$3,IF(V$3&gt;$I116,"-",ROUNDUP(Ld_cal($B116, $C116, $D116, $G116,$E116, $F116, $H116, V$3)*1.3,0)),"-")</f>
        <v>-</v>
      </c>
      <c r="W117" s="41" t="str">
        <f>IF($J117=W$3,IF(W$3&gt;$I116,"-",ROUNDUP(Ld_cal($B116, $C116, $D116, $G116,$E116, $F116, $H116, W$3)*1.3,0)),"-")</f>
        <v>-</v>
      </c>
      <c r="X117" s="41" t="str">
        <f>IF($J117=X$3,IF(X$3&gt;$I116,"-",ROUNDUP(Ld_cal($B116, $C116, $D116, $G116,$E116, $F116, $H116, X$3)*1.3,0)),"-")</f>
        <v>-</v>
      </c>
      <c r="Y117" s="41">
        <f>IF($J117=Y$3,IF(Y$3&gt;$I116,"-",ROUNDUP(Ld_cal($B116, $C116, $D116, $G116,$E116, $F116, $H116, Y$3)*1.3,0)),"-")</f>
        <v>178</v>
      </c>
      <c r="Z117" s="41" t="str">
        <f>IF($J117=Z$3,IF(Z$3&gt;$I116,"-",ROUNDUP(Ld_cal($B116, $C116, $D116, $G116,$E116, $F116, $H116, Z$3)*1.3,0)),"-")</f>
        <v>-</v>
      </c>
      <c r="AA117" s="41" t="str">
        <f>IF($J117=AA$3,IF(AA$3&gt;$I116,"-",ROUNDUP(Ld_cal($B116, $C116, $D116, $G116,$E116, $F116, $H116, AA$3)*1.3,0)),"-")</f>
        <v>-</v>
      </c>
      <c r="AB117" s="41" t="str">
        <f>IF($J117=AB$3,IF(AB$3&gt;$I116,"-",ROUNDUP(Ld_cal($B116, $C116, $D116, $G116,$E116, $F116, $H116, AB$3)*1.3,0)),"-")</f>
        <v>-</v>
      </c>
      <c r="AC117" s="41" t="str">
        <f>IF($J117=AC$3,IF(AC$3&gt;$I116,"-",ROUNDUP(Ld_cal($B116, $C116, $D116, $G116,$E116, $F116, $H116, AC$3)*1.3,0)),"-")</f>
        <v>-</v>
      </c>
      <c r="AD117" s="47">
        <f t="shared" ref="AD117" si="111">IF(J117&gt;I116,"依標準圖",MAX(L117:AC117))</f>
        <v>178</v>
      </c>
    </row>
    <row r="118" spans="1:30" s="45" customFormat="1">
      <c r="A118" s="113" t="s">
        <v>100</v>
      </c>
      <c r="B118" s="99">
        <v>120</v>
      </c>
      <c r="C118" s="114">
        <v>7.5</v>
      </c>
      <c r="D118" s="99">
        <v>4200</v>
      </c>
      <c r="E118" s="102">
        <v>16</v>
      </c>
      <c r="F118" s="103">
        <v>7</v>
      </c>
      <c r="G118" s="99">
        <v>350</v>
      </c>
      <c r="H118" s="102">
        <v>32</v>
      </c>
      <c r="I118" s="104">
        <f>ROUNDDOWN(($B118-2*$C118-2*$E118/10-$H118/10)/(($D$1+1)*$H118/10),0)+1</f>
        <v>16</v>
      </c>
      <c r="J118" s="42">
        <v>16</v>
      </c>
      <c r="K118" s="43" t="s">
        <v>30</v>
      </c>
      <c r="L118" s="44" t="str">
        <f>IF($J118=L$3,IF(L$3&gt;$I118,"-",ROUNDUP(Ld_cal($B118, $C118, $D118, $G118,$E118, $F118, $H118, L$3)*1.3*1.3,0)),"-")</f>
        <v>-</v>
      </c>
      <c r="M118" s="44" t="str">
        <f>IF($J118=M$3,IF(M$3&gt;$I118,"-",ROUNDUP(Ld_cal($B118, $C118, $D118, $G118,$E118, $F118, $H118, M$3)*1.3*1.3,0)),"-")</f>
        <v>-</v>
      </c>
      <c r="N118" s="44" t="str">
        <f>IF($J118=N$3,IF(N$3&gt;$I118,"-",ROUNDUP(Ld_cal($B118, $C118, $D118, $G118,$E118, $F118, $H118, N$3)*1.3*1.3,0)),"-")</f>
        <v>-</v>
      </c>
      <c r="O118" s="44" t="str">
        <f>IF($J118=O$3,IF(O$3&gt;$I118,"-",ROUNDUP(Ld_cal($B118, $C118, $D118, $G118,$E118, $F118, $H118, O$3)*1.3*1.3,0)),"-")</f>
        <v>-</v>
      </c>
      <c r="P118" s="44" t="str">
        <f>IF($J118=P$3,IF(P$3&gt;$I118,"-",ROUNDUP(Ld_cal($B118, $C118, $D118, $G118,$E118, $F118, $H118, P$3)*1.3*1.3,0)),"-")</f>
        <v>-</v>
      </c>
      <c r="Q118" s="44" t="str">
        <f>IF($J118=Q$3,IF(Q$3&gt;$I118,"-",ROUNDUP(Ld_cal($B118, $C118, $D118, $G118,$E118, $F118, $H118, Q$3)*1.3*1.3,0)),"-")</f>
        <v>-</v>
      </c>
      <c r="R118" s="44" t="str">
        <f>IF($J118=R$3,IF(R$3&gt;$I118,"-",ROUNDUP(Ld_cal($B118, $C118, $D118, $G118,$E118, $F118, $H118, R$3)*1.3*1.3,0)),"-")</f>
        <v>-</v>
      </c>
      <c r="S118" s="44" t="str">
        <f>IF($J118=S$3,IF(S$3&gt;$I118,"-",ROUNDUP(Ld_cal($B118, $C118, $D118, $G118,$E118, $F118, $H118, S$3)*1.3*1.3,0)),"-")</f>
        <v>-</v>
      </c>
      <c r="T118" s="44" t="str">
        <f>IF($J118=T$3,IF(T$3&gt;$I118,"-",ROUNDUP(Ld_cal($B118, $C118, $D118, $G118,$E118, $F118, $H118, T$3)*1.3*1.3,0)),"-")</f>
        <v>-</v>
      </c>
      <c r="U118" s="44" t="str">
        <f>IF($J118=U$3,IF(U$3&gt;$I118,"-",ROUNDUP(Ld_cal($B118, $C118, $D118, $G118,$E118, $F118, $H118, U$3)*1.3*1.3,0)),"-")</f>
        <v>-</v>
      </c>
      <c r="V118" s="44" t="str">
        <f>IF($J118=V$3,IF(V$3&gt;$I118,"-",ROUNDUP(Ld_cal($B118, $C118, $D118, $G118,$E118, $F118, $H118, V$3)*1.3*1.3,0)),"-")</f>
        <v>-</v>
      </c>
      <c r="W118" s="44" t="str">
        <f>IF($J118=W$3,IF(W$3&gt;$I118,"-",ROUNDUP(Ld_cal($B118, $C118, $D118, $G118,$E118, $F118, $H118, W$3)*1.3*1.3,0)),"-")</f>
        <v>-</v>
      </c>
      <c r="X118" s="44" t="str">
        <f>IF($J118=X$3,IF(X$3&gt;$I118,"-",ROUNDUP(Ld_cal($B118, $C118, $D118, $G118,$E118, $F118, $H118, X$3)*1.3*1.3,0)),"-")</f>
        <v>-</v>
      </c>
      <c r="Y118" s="44">
        <f>IF($J118=Y$3,IF(Y$3&gt;$I118,"-",ROUNDUP(Ld_cal($B118, $C118, $D118, $G118,$E118, $F118, $H118, Y$3)*1.3*1.3,0)),"-")</f>
        <v>231</v>
      </c>
      <c r="Z118" s="44" t="str">
        <f>IF($J118=Z$3,IF(Z$3&gt;$I118,"-",ROUNDUP(Ld_cal($B118, $C118, $D118, $G118,$E118, $F118, $H118, Z$3)*1.3*1.3,0)),"-")</f>
        <v>-</v>
      </c>
      <c r="AA118" s="44" t="str">
        <f>IF($J118=AA$3,IF(AA$3&gt;$I118,"-",ROUNDUP(Ld_cal($B118, $C118, $D118, $G118,$E118, $F118, $H118, AA$3)*1.3*1.3,0)),"-")</f>
        <v>-</v>
      </c>
      <c r="AB118" s="44" t="str">
        <f>IF($J118=AB$3,IF(AB$3&gt;$I118,"-",ROUNDUP(Ld_cal($B118, $C118, $D118, $G118,$E118, $F118, $H118, AB$3)*1.3*1.3,0)),"-")</f>
        <v>-</v>
      </c>
      <c r="AC118" s="44" t="str">
        <f>IF($J118=AC$3,IF(AC$3&gt;$I118,"-",ROUNDUP(Ld_cal($B118, $C118, $D118, $G118,$E118, $F118, $H118, AC$3)*1.3*1.3,0)),"-")</f>
        <v>-</v>
      </c>
      <c r="AD118" s="46">
        <f t="shared" ref="AD118" si="112">IF(J118&gt;I118,"依標準圖",MAX(L118:AC118))</f>
        <v>231</v>
      </c>
    </row>
    <row r="119" spans="1:30" s="45" customFormat="1">
      <c r="A119" s="113"/>
      <c r="B119" s="99"/>
      <c r="C119" s="114"/>
      <c r="D119" s="99"/>
      <c r="E119" s="102"/>
      <c r="F119" s="103"/>
      <c r="G119" s="99"/>
      <c r="H119" s="102"/>
      <c r="I119" s="104"/>
      <c r="J119" s="42">
        <v>16</v>
      </c>
      <c r="K119" s="43" t="s">
        <v>29</v>
      </c>
      <c r="L119" s="44" t="str">
        <f>IF($J119=L$3,IF(L$3&gt;$I118,"-",ROUNDUP(Ld_cal($B118, $C118, $D118, $G118,$E118, $F118, $H118, L$3)*1.3,0)),"-")</f>
        <v>-</v>
      </c>
      <c r="M119" s="44" t="str">
        <f>IF($J119=M$3,IF(M$3&gt;$I118,"-",ROUNDUP(Ld_cal($B118, $C118, $D118, $G118,$E118, $F118, $H118, M$3)*1.3,0)),"-")</f>
        <v>-</v>
      </c>
      <c r="N119" s="44" t="str">
        <f>IF($J119=N$3,IF(N$3&gt;$I118,"-",ROUNDUP(Ld_cal($B118, $C118, $D118, $G118,$E118, $F118, $H118, N$3)*1.3,0)),"-")</f>
        <v>-</v>
      </c>
      <c r="O119" s="44" t="str">
        <f>IF($J119=O$3,IF(O$3&gt;$I118,"-",ROUNDUP(Ld_cal($B118, $C118, $D118, $G118,$E118, $F118, $H118, O$3)*1.3,0)),"-")</f>
        <v>-</v>
      </c>
      <c r="P119" s="44" t="str">
        <f>IF($J119=P$3,IF(P$3&gt;$I118,"-",ROUNDUP(Ld_cal($B118, $C118, $D118, $G118,$E118, $F118, $H118, P$3)*1.3,0)),"-")</f>
        <v>-</v>
      </c>
      <c r="Q119" s="44" t="str">
        <f>IF($J119=Q$3,IF(Q$3&gt;$I118,"-",ROUNDUP(Ld_cal($B118, $C118, $D118, $G118,$E118, $F118, $H118, Q$3)*1.3,0)),"-")</f>
        <v>-</v>
      </c>
      <c r="R119" s="44" t="str">
        <f>IF($J119=R$3,IF(R$3&gt;$I118,"-",ROUNDUP(Ld_cal($B118, $C118, $D118, $G118,$E118, $F118, $H118, R$3)*1.3,0)),"-")</f>
        <v>-</v>
      </c>
      <c r="S119" s="44" t="str">
        <f>IF($J119=S$3,IF(S$3&gt;$I118,"-",ROUNDUP(Ld_cal($B118, $C118, $D118, $G118,$E118, $F118, $H118, S$3)*1.3,0)),"-")</f>
        <v>-</v>
      </c>
      <c r="T119" s="44" t="str">
        <f>IF($J119=T$3,IF(T$3&gt;$I118,"-",ROUNDUP(Ld_cal($B118, $C118, $D118, $G118,$E118, $F118, $H118, T$3)*1.3,0)),"-")</f>
        <v>-</v>
      </c>
      <c r="U119" s="44" t="str">
        <f>IF($J119=U$3,IF(U$3&gt;$I118,"-",ROUNDUP(Ld_cal($B118, $C118, $D118, $G118,$E118, $F118, $H118, U$3)*1.3,0)),"-")</f>
        <v>-</v>
      </c>
      <c r="V119" s="44" t="str">
        <f>IF($J119=V$3,IF(V$3&gt;$I118,"-",ROUNDUP(Ld_cal($B118, $C118, $D118, $G118,$E118, $F118, $H118, V$3)*1.3,0)),"-")</f>
        <v>-</v>
      </c>
      <c r="W119" s="44" t="str">
        <f>IF($J119=W$3,IF(W$3&gt;$I118,"-",ROUNDUP(Ld_cal($B118, $C118, $D118, $G118,$E118, $F118, $H118, W$3)*1.3,0)),"-")</f>
        <v>-</v>
      </c>
      <c r="X119" s="44" t="str">
        <f>IF($J119=X$3,IF(X$3&gt;$I118,"-",ROUNDUP(Ld_cal($B118, $C118, $D118, $G118,$E118, $F118, $H118, X$3)*1.3,0)),"-")</f>
        <v>-</v>
      </c>
      <c r="Y119" s="44">
        <f>IF($J119=Y$3,IF(Y$3&gt;$I118,"-",ROUNDUP(Ld_cal($B118, $C118, $D118, $G118,$E118, $F118, $H118, Y$3)*1.3,0)),"-")</f>
        <v>178</v>
      </c>
      <c r="Z119" s="44" t="str">
        <f>IF($J119=Z$3,IF(Z$3&gt;$I118,"-",ROUNDUP(Ld_cal($B118, $C118, $D118, $G118,$E118, $F118, $H118, Z$3)*1.3,0)),"-")</f>
        <v>-</v>
      </c>
      <c r="AA119" s="44" t="str">
        <f>IF($J119=AA$3,IF(AA$3&gt;$I118,"-",ROUNDUP(Ld_cal($B118, $C118, $D118, $G118,$E118, $F118, $H118, AA$3)*1.3,0)),"-")</f>
        <v>-</v>
      </c>
      <c r="AB119" s="44" t="str">
        <f>IF($J119=AB$3,IF(AB$3&gt;$I118,"-",ROUNDUP(Ld_cal($B118, $C118, $D118, $G118,$E118, $F118, $H118, AB$3)*1.3,0)),"-")</f>
        <v>-</v>
      </c>
      <c r="AC119" s="44" t="str">
        <f>IF($J119=AC$3,IF(AC$3&gt;$I118,"-",ROUNDUP(Ld_cal($B118, $C118, $D118, $G118,$E118, $F118, $H118, AC$3)*1.3,0)),"-")</f>
        <v>-</v>
      </c>
      <c r="AD119" s="46">
        <f t="shared" ref="AD119" si="113">IF(J119&gt;I118,"依標準圖",MAX(L119:AC119))</f>
        <v>178</v>
      </c>
    </row>
    <row r="120" spans="1:30">
      <c r="A120" s="112" t="s">
        <v>101</v>
      </c>
      <c r="B120" s="107">
        <v>120</v>
      </c>
      <c r="C120" s="108">
        <v>7.5</v>
      </c>
      <c r="D120" s="107">
        <v>4200</v>
      </c>
      <c r="E120" s="109">
        <v>16</v>
      </c>
      <c r="F120" s="110">
        <v>7</v>
      </c>
      <c r="G120" s="107">
        <v>350</v>
      </c>
      <c r="H120" s="109">
        <v>32</v>
      </c>
      <c r="I120" s="111">
        <f>ROUNDDOWN(($B120-2*$C120-2*$E120/10-$H120/10)/(($D$1+1)*$H120/10),0)+1</f>
        <v>16</v>
      </c>
      <c r="J120" s="39">
        <v>16</v>
      </c>
      <c r="K120" s="40" t="s">
        <v>30</v>
      </c>
      <c r="L120" s="41" t="str">
        <f>IF($J120=L$3,IF(L$3&gt;$I120,"-",ROUNDUP(Ld_cal($B120, $C120, $D120, $G120,$E120, $F120, $H120, L$3)*1.3*1.3,0)),"-")</f>
        <v>-</v>
      </c>
      <c r="M120" s="41" t="str">
        <f>IF($J120=M$3,IF(M$3&gt;$I120,"-",ROUNDUP(Ld_cal($B120, $C120, $D120, $G120,$E120, $F120, $H120, M$3)*1.3*1.3,0)),"-")</f>
        <v>-</v>
      </c>
      <c r="N120" s="41" t="str">
        <f>IF($J120=N$3,IF(N$3&gt;$I120,"-",ROUNDUP(Ld_cal($B120, $C120, $D120, $G120,$E120, $F120, $H120, N$3)*1.3*1.3,0)),"-")</f>
        <v>-</v>
      </c>
      <c r="O120" s="41" t="str">
        <f>IF($J120=O$3,IF(O$3&gt;$I120,"-",ROUNDUP(Ld_cal($B120, $C120, $D120, $G120,$E120, $F120, $H120, O$3)*1.3*1.3,0)),"-")</f>
        <v>-</v>
      </c>
      <c r="P120" s="41" t="str">
        <f>IF($J120=P$3,IF(P$3&gt;$I120,"-",ROUNDUP(Ld_cal($B120, $C120, $D120, $G120,$E120, $F120, $H120, P$3)*1.3*1.3,0)),"-")</f>
        <v>-</v>
      </c>
      <c r="Q120" s="41" t="str">
        <f>IF($J120=Q$3,IF(Q$3&gt;$I120,"-",ROUNDUP(Ld_cal($B120, $C120, $D120, $G120,$E120, $F120, $H120, Q$3)*1.3*1.3,0)),"-")</f>
        <v>-</v>
      </c>
      <c r="R120" s="41" t="str">
        <f>IF($J120=R$3,IF(R$3&gt;$I120,"-",ROUNDUP(Ld_cal($B120, $C120, $D120, $G120,$E120, $F120, $H120, R$3)*1.3*1.3,0)),"-")</f>
        <v>-</v>
      </c>
      <c r="S120" s="41" t="str">
        <f>IF($J120=S$3,IF(S$3&gt;$I120,"-",ROUNDUP(Ld_cal($B120, $C120, $D120, $G120,$E120, $F120, $H120, S$3)*1.3*1.3,0)),"-")</f>
        <v>-</v>
      </c>
      <c r="T120" s="41" t="str">
        <f>IF($J120=T$3,IF(T$3&gt;$I120,"-",ROUNDUP(Ld_cal($B120, $C120, $D120, $G120,$E120, $F120, $H120, T$3)*1.3*1.3,0)),"-")</f>
        <v>-</v>
      </c>
      <c r="U120" s="41" t="str">
        <f>IF($J120=U$3,IF(U$3&gt;$I120,"-",ROUNDUP(Ld_cal($B120, $C120, $D120, $G120,$E120, $F120, $H120, U$3)*1.3*1.3,0)),"-")</f>
        <v>-</v>
      </c>
      <c r="V120" s="41" t="str">
        <f>IF($J120=V$3,IF(V$3&gt;$I120,"-",ROUNDUP(Ld_cal($B120, $C120, $D120, $G120,$E120, $F120, $H120, V$3)*1.3*1.3,0)),"-")</f>
        <v>-</v>
      </c>
      <c r="W120" s="41" t="str">
        <f>IF($J120=W$3,IF(W$3&gt;$I120,"-",ROUNDUP(Ld_cal($B120, $C120, $D120, $G120,$E120, $F120, $H120, W$3)*1.3*1.3,0)),"-")</f>
        <v>-</v>
      </c>
      <c r="X120" s="41" t="str">
        <f>IF($J120=X$3,IF(X$3&gt;$I120,"-",ROUNDUP(Ld_cal($B120, $C120, $D120, $G120,$E120, $F120, $H120, X$3)*1.3*1.3,0)),"-")</f>
        <v>-</v>
      </c>
      <c r="Y120" s="41">
        <f>IF($J120=Y$3,IF(Y$3&gt;$I120,"-",ROUNDUP(Ld_cal($B120, $C120, $D120, $G120,$E120, $F120, $H120, Y$3)*1.3*1.3,0)),"-")</f>
        <v>231</v>
      </c>
      <c r="Z120" s="41" t="str">
        <f>IF($J120=Z$3,IF(Z$3&gt;$I120,"-",ROUNDUP(Ld_cal($B120, $C120, $D120, $G120,$E120, $F120, $H120, Z$3)*1.3*1.3,0)),"-")</f>
        <v>-</v>
      </c>
      <c r="AA120" s="41" t="str">
        <f>IF($J120=AA$3,IF(AA$3&gt;$I120,"-",ROUNDUP(Ld_cal($B120, $C120, $D120, $G120,$E120, $F120, $H120, AA$3)*1.3*1.3,0)),"-")</f>
        <v>-</v>
      </c>
      <c r="AB120" s="41" t="str">
        <f>IF($J120=AB$3,IF(AB$3&gt;$I120,"-",ROUNDUP(Ld_cal($B120, $C120, $D120, $G120,$E120, $F120, $H120, AB$3)*1.3*1.3,0)),"-")</f>
        <v>-</v>
      </c>
      <c r="AC120" s="41" t="str">
        <f>IF($J120=AC$3,IF(AC$3&gt;$I120,"-",ROUNDUP(Ld_cal($B120, $C120, $D120, $G120,$E120, $F120, $H120, AC$3)*1.3*1.3,0)),"-")</f>
        <v>-</v>
      </c>
      <c r="AD120" s="47">
        <f t="shared" ref="AD120" si="114">IF(J120&gt;I120,"依標準圖",MAX(L120:AC120))</f>
        <v>231</v>
      </c>
    </row>
    <row r="121" spans="1:30">
      <c r="A121" s="112"/>
      <c r="B121" s="107"/>
      <c r="C121" s="108"/>
      <c r="D121" s="107"/>
      <c r="E121" s="109"/>
      <c r="F121" s="110"/>
      <c r="G121" s="107"/>
      <c r="H121" s="109"/>
      <c r="I121" s="111"/>
      <c r="J121" s="39">
        <v>12</v>
      </c>
      <c r="K121" s="40" t="s">
        <v>29</v>
      </c>
      <c r="L121" s="41" t="str">
        <f>IF($J121=L$3,IF(L$3&gt;$I120,"-",ROUNDUP(Ld_cal($B120, $C120, $D120, $G120,$E120, $F120, $H120, L$3)*1.3,0)),"-")</f>
        <v>-</v>
      </c>
      <c r="M121" s="41" t="str">
        <f>IF($J121=M$3,IF(M$3&gt;$I120,"-",ROUNDUP(Ld_cal($B120, $C120, $D120, $G120,$E120, $F120, $H120, M$3)*1.3,0)),"-")</f>
        <v>-</v>
      </c>
      <c r="N121" s="41" t="str">
        <f>IF($J121=N$3,IF(N$3&gt;$I120,"-",ROUNDUP(Ld_cal($B120, $C120, $D120, $G120,$E120, $F120, $H120, N$3)*1.3,0)),"-")</f>
        <v>-</v>
      </c>
      <c r="O121" s="41" t="str">
        <f>IF($J121=O$3,IF(O$3&gt;$I120,"-",ROUNDUP(Ld_cal($B120, $C120, $D120, $G120,$E120, $F120, $H120, O$3)*1.3,0)),"-")</f>
        <v>-</v>
      </c>
      <c r="P121" s="41" t="str">
        <f>IF($J121=P$3,IF(P$3&gt;$I120,"-",ROUNDUP(Ld_cal($B120, $C120, $D120, $G120,$E120, $F120, $H120, P$3)*1.3,0)),"-")</f>
        <v>-</v>
      </c>
      <c r="Q121" s="41" t="str">
        <f>IF($J121=Q$3,IF(Q$3&gt;$I120,"-",ROUNDUP(Ld_cal($B120, $C120, $D120, $G120,$E120, $F120, $H120, Q$3)*1.3,0)),"-")</f>
        <v>-</v>
      </c>
      <c r="R121" s="41" t="str">
        <f>IF($J121=R$3,IF(R$3&gt;$I120,"-",ROUNDUP(Ld_cal($B120, $C120, $D120, $G120,$E120, $F120, $H120, R$3)*1.3,0)),"-")</f>
        <v>-</v>
      </c>
      <c r="S121" s="41" t="str">
        <f>IF($J121=S$3,IF(S$3&gt;$I120,"-",ROUNDUP(Ld_cal($B120, $C120, $D120, $G120,$E120, $F120, $H120, S$3)*1.3,0)),"-")</f>
        <v>-</v>
      </c>
      <c r="T121" s="41" t="str">
        <f>IF($J121=T$3,IF(T$3&gt;$I120,"-",ROUNDUP(Ld_cal($B120, $C120, $D120, $G120,$E120, $F120, $H120, T$3)*1.3,0)),"-")</f>
        <v>-</v>
      </c>
      <c r="U121" s="41">
        <f>IF($J121=U$3,IF(U$3&gt;$I120,"-",ROUNDUP(Ld_cal($B120, $C120, $D120, $G120,$E120, $F120, $H120, U$3)*1.3,0)),"-")</f>
        <v>131</v>
      </c>
      <c r="V121" s="41" t="str">
        <f>IF($J121=V$3,IF(V$3&gt;$I120,"-",ROUNDUP(Ld_cal($B120, $C120, $D120, $G120,$E120, $F120, $H120, V$3)*1.3,0)),"-")</f>
        <v>-</v>
      </c>
      <c r="W121" s="41" t="str">
        <f>IF($J121=W$3,IF(W$3&gt;$I120,"-",ROUNDUP(Ld_cal($B120, $C120, $D120, $G120,$E120, $F120, $H120, W$3)*1.3,0)),"-")</f>
        <v>-</v>
      </c>
      <c r="X121" s="41" t="str">
        <f>IF($J121=X$3,IF(X$3&gt;$I120,"-",ROUNDUP(Ld_cal($B120, $C120, $D120, $G120,$E120, $F120, $H120, X$3)*1.3,0)),"-")</f>
        <v>-</v>
      </c>
      <c r="Y121" s="41" t="str">
        <f>IF($J121=Y$3,IF(Y$3&gt;$I120,"-",ROUNDUP(Ld_cal($B120, $C120, $D120, $G120,$E120, $F120, $H120, Y$3)*1.3,0)),"-")</f>
        <v>-</v>
      </c>
      <c r="Z121" s="41" t="str">
        <f>IF($J121=Z$3,IF(Z$3&gt;$I120,"-",ROUNDUP(Ld_cal($B120, $C120, $D120, $G120,$E120, $F120, $H120, Z$3)*1.3,0)),"-")</f>
        <v>-</v>
      </c>
      <c r="AA121" s="41" t="str">
        <f>IF($J121=AA$3,IF(AA$3&gt;$I120,"-",ROUNDUP(Ld_cal($B120, $C120, $D120, $G120,$E120, $F120, $H120, AA$3)*1.3,0)),"-")</f>
        <v>-</v>
      </c>
      <c r="AB121" s="41" t="str">
        <f>IF($J121=AB$3,IF(AB$3&gt;$I120,"-",ROUNDUP(Ld_cal($B120, $C120, $D120, $G120,$E120, $F120, $H120, AB$3)*1.3,0)),"-")</f>
        <v>-</v>
      </c>
      <c r="AC121" s="41" t="str">
        <f>IF($J121=AC$3,IF(AC$3&gt;$I120,"-",ROUNDUP(Ld_cal($B120, $C120, $D120, $G120,$E120, $F120, $H120, AC$3)*1.3,0)),"-")</f>
        <v>-</v>
      </c>
      <c r="AD121" s="47">
        <f t="shared" ref="AD121" si="115">IF(J121&gt;I120,"依標準圖",MAX(L121:AC121))</f>
        <v>131</v>
      </c>
    </row>
    <row r="122" spans="1:30" s="45" customFormat="1">
      <c r="A122" s="113" t="s">
        <v>102</v>
      </c>
      <c r="B122" s="99">
        <v>120</v>
      </c>
      <c r="C122" s="100">
        <v>7.5</v>
      </c>
      <c r="D122" s="101">
        <v>4200</v>
      </c>
      <c r="E122" s="102">
        <v>16</v>
      </c>
      <c r="F122" s="103">
        <v>7</v>
      </c>
      <c r="G122" s="101">
        <v>350</v>
      </c>
      <c r="H122" s="102">
        <v>32</v>
      </c>
      <c r="I122" s="104">
        <f>ROUNDDOWN(($B122-2*$C122-2*$E122/10-$H122/10)/(($D$1+1)*$H122/10),0)+1</f>
        <v>16</v>
      </c>
      <c r="J122" s="42">
        <v>16</v>
      </c>
      <c r="K122" s="43" t="s">
        <v>30</v>
      </c>
      <c r="L122" s="44" t="str">
        <f>IF($J122=L$3,IF(L$3&gt;$I122,"-",ROUNDUP(Ld_cal($B122, $C122, $D122, $G122,$E122, $F122, $H122, L$3)*1.3*1.3,0)),"-")</f>
        <v>-</v>
      </c>
      <c r="M122" s="44" t="str">
        <f>IF($J122=M$3,IF(M$3&gt;$I122,"-",ROUNDUP(Ld_cal($B122, $C122, $D122, $G122,$E122, $F122, $H122, M$3)*1.3*1.3,0)),"-")</f>
        <v>-</v>
      </c>
      <c r="N122" s="44" t="str">
        <f>IF($J122=N$3,IF(N$3&gt;$I122,"-",ROUNDUP(Ld_cal($B122, $C122, $D122, $G122,$E122, $F122, $H122, N$3)*1.3*1.3,0)),"-")</f>
        <v>-</v>
      </c>
      <c r="O122" s="44" t="str">
        <f>IF($J122=O$3,IF(O$3&gt;$I122,"-",ROUNDUP(Ld_cal($B122, $C122, $D122, $G122,$E122, $F122, $H122, O$3)*1.3*1.3,0)),"-")</f>
        <v>-</v>
      </c>
      <c r="P122" s="44" t="str">
        <f>IF($J122=P$3,IF(P$3&gt;$I122,"-",ROUNDUP(Ld_cal($B122, $C122, $D122, $G122,$E122, $F122, $H122, P$3)*1.3*1.3,0)),"-")</f>
        <v>-</v>
      </c>
      <c r="Q122" s="44" t="str">
        <f>IF($J122=Q$3,IF(Q$3&gt;$I122,"-",ROUNDUP(Ld_cal($B122, $C122, $D122, $G122,$E122, $F122, $H122, Q$3)*1.3*1.3,0)),"-")</f>
        <v>-</v>
      </c>
      <c r="R122" s="44" t="str">
        <f>IF($J122=R$3,IF(R$3&gt;$I122,"-",ROUNDUP(Ld_cal($B122, $C122, $D122, $G122,$E122, $F122, $H122, R$3)*1.3*1.3,0)),"-")</f>
        <v>-</v>
      </c>
      <c r="S122" s="44" t="str">
        <f>IF($J122=S$3,IF(S$3&gt;$I122,"-",ROUNDUP(Ld_cal($B122, $C122, $D122, $G122,$E122, $F122, $H122, S$3)*1.3*1.3,0)),"-")</f>
        <v>-</v>
      </c>
      <c r="T122" s="44" t="str">
        <f>IF($J122=T$3,IF(T$3&gt;$I122,"-",ROUNDUP(Ld_cal($B122, $C122, $D122, $G122,$E122, $F122, $H122, T$3)*1.3*1.3,0)),"-")</f>
        <v>-</v>
      </c>
      <c r="U122" s="44" t="str">
        <f>IF($J122=U$3,IF(U$3&gt;$I122,"-",ROUNDUP(Ld_cal($B122, $C122, $D122, $G122,$E122, $F122, $H122, U$3)*1.3*1.3,0)),"-")</f>
        <v>-</v>
      </c>
      <c r="V122" s="44" t="str">
        <f>IF($J122=V$3,IF(V$3&gt;$I122,"-",ROUNDUP(Ld_cal($B122, $C122, $D122, $G122,$E122, $F122, $H122, V$3)*1.3*1.3,0)),"-")</f>
        <v>-</v>
      </c>
      <c r="W122" s="44" t="str">
        <f>IF($J122=W$3,IF(W$3&gt;$I122,"-",ROUNDUP(Ld_cal($B122, $C122, $D122, $G122,$E122, $F122, $H122, W$3)*1.3*1.3,0)),"-")</f>
        <v>-</v>
      </c>
      <c r="X122" s="44" t="str">
        <f>IF($J122=X$3,IF(X$3&gt;$I122,"-",ROUNDUP(Ld_cal($B122, $C122, $D122, $G122,$E122, $F122, $H122, X$3)*1.3*1.3,0)),"-")</f>
        <v>-</v>
      </c>
      <c r="Y122" s="44">
        <f>IF($J122=Y$3,IF(Y$3&gt;$I122,"-",ROUNDUP(Ld_cal($B122, $C122, $D122, $G122,$E122, $F122, $H122, Y$3)*1.3*1.3,0)),"-")</f>
        <v>231</v>
      </c>
      <c r="Z122" s="44" t="str">
        <f>IF($J122=Z$3,IF(Z$3&gt;$I122,"-",ROUNDUP(Ld_cal($B122, $C122, $D122, $G122,$E122, $F122, $H122, Z$3)*1.3*1.3,0)),"-")</f>
        <v>-</v>
      </c>
      <c r="AA122" s="44" t="str">
        <f>IF($J122=AA$3,IF(AA$3&gt;$I122,"-",ROUNDUP(Ld_cal($B122, $C122, $D122, $G122,$E122, $F122, $H122, AA$3)*1.3*1.3,0)),"-")</f>
        <v>-</v>
      </c>
      <c r="AB122" s="44" t="str">
        <f>IF($J122=AB$3,IF(AB$3&gt;$I122,"-",ROUNDUP(Ld_cal($B122, $C122, $D122, $G122,$E122, $F122, $H122, AB$3)*1.3*1.3,0)),"-")</f>
        <v>-</v>
      </c>
      <c r="AC122" s="44" t="str">
        <f>IF($J122=AC$3,IF(AC$3&gt;$I122,"-",ROUNDUP(Ld_cal($B122, $C122, $D122, $G122,$E122, $F122, $H122, AC$3)*1.3*1.3,0)),"-")</f>
        <v>-</v>
      </c>
      <c r="AD122" s="46">
        <f t="shared" ref="AD122" si="116">IF(J122&gt;I122,"依標準圖",MAX(L122:AC122))</f>
        <v>231</v>
      </c>
    </row>
    <row r="123" spans="1:30" s="45" customFormat="1">
      <c r="A123" s="113"/>
      <c r="B123" s="99"/>
      <c r="C123" s="100"/>
      <c r="D123" s="101"/>
      <c r="E123" s="102"/>
      <c r="F123" s="103"/>
      <c r="G123" s="101"/>
      <c r="H123" s="102"/>
      <c r="I123" s="104"/>
      <c r="J123" s="42">
        <v>12</v>
      </c>
      <c r="K123" s="43" t="s">
        <v>29</v>
      </c>
      <c r="L123" s="44" t="str">
        <f>IF($J123=L$3,IF(L$3&gt;$I122,"-",ROUNDUP(Ld_cal($B122, $C122, $D122, $G122,$E122, $F122, $H122, L$3)*1.3,0)),"-")</f>
        <v>-</v>
      </c>
      <c r="M123" s="44" t="str">
        <f>IF($J123=M$3,IF(M$3&gt;$I122,"-",ROUNDUP(Ld_cal($B122, $C122, $D122, $G122,$E122, $F122, $H122, M$3)*1.3,0)),"-")</f>
        <v>-</v>
      </c>
      <c r="N123" s="44" t="str">
        <f>IF($J123=N$3,IF(N$3&gt;$I122,"-",ROUNDUP(Ld_cal($B122, $C122, $D122, $G122,$E122, $F122, $H122, N$3)*1.3,0)),"-")</f>
        <v>-</v>
      </c>
      <c r="O123" s="44" t="str">
        <f>IF($J123=O$3,IF(O$3&gt;$I122,"-",ROUNDUP(Ld_cal($B122, $C122, $D122, $G122,$E122, $F122, $H122, O$3)*1.3,0)),"-")</f>
        <v>-</v>
      </c>
      <c r="P123" s="44" t="str">
        <f>IF($J123=P$3,IF(P$3&gt;$I122,"-",ROUNDUP(Ld_cal($B122, $C122, $D122, $G122,$E122, $F122, $H122, P$3)*1.3,0)),"-")</f>
        <v>-</v>
      </c>
      <c r="Q123" s="44" t="str">
        <f>IF($J123=Q$3,IF(Q$3&gt;$I122,"-",ROUNDUP(Ld_cal($B122, $C122, $D122, $G122,$E122, $F122, $H122, Q$3)*1.3,0)),"-")</f>
        <v>-</v>
      </c>
      <c r="R123" s="44" t="str">
        <f>IF($J123=R$3,IF(R$3&gt;$I122,"-",ROUNDUP(Ld_cal($B122, $C122, $D122, $G122,$E122, $F122, $H122, R$3)*1.3,0)),"-")</f>
        <v>-</v>
      </c>
      <c r="S123" s="44" t="str">
        <f>IF($J123=S$3,IF(S$3&gt;$I122,"-",ROUNDUP(Ld_cal($B122, $C122, $D122, $G122,$E122, $F122, $H122, S$3)*1.3,0)),"-")</f>
        <v>-</v>
      </c>
      <c r="T123" s="44" t="str">
        <f>IF($J123=T$3,IF(T$3&gt;$I122,"-",ROUNDUP(Ld_cal($B122, $C122, $D122, $G122,$E122, $F122, $H122, T$3)*1.3,0)),"-")</f>
        <v>-</v>
      </c>
      <c r="U123" s="44">
        <f>IF($J123=U$3,IF(U$3&gt;$I122,"-",ROUNDUP(Ld_cal($B122, $C122, $D122, $G122,$E122, $F122, $H122, U$3)*1.3,0)),"-")</f>
        <v>131</v>
      </c>
      <c r="V123" s="44" t="str">
        <f>IF($J123=V$3,IF(V$3&gt;$I122,"-",ROUNDUP(Ld_cal($B122, $C122, $D122, $G122,$E122, $F122, $H122, V$3)*1.3,0)),"-")</f>
        <v>-</v>
      </c>
      <c r="W123" s="44" t="str">
        <f>IF($J123=W$3,IF(W$3&gt;$I122,"-",ROUNDUP(Ld_cal($B122, $C122, $D122, $G122,$E122, $F122, $H122, W$3)*1.3,0)),"-")</f>
        <v>-</v>
      </c>
      <c r="X123" s="44" t="str">
        <f>IF($J123=X$3,IF(X$3&gt;$I122,"-",ROUNDUP(Ld_cal($B122, $C122, $D122, $G122,$E122, $F122, $H122, X$3)*1.3,0)),"-")</f>
        <v>-</v>
      </c>
      <c r="Y123" s="44" t="str">
        <f>IF($J123=Y$3,IF(Y$3&gt;$I122,"-",ROUNDUP(Ld_cal($B122, $C122, $D122, $G122,$E122, $F122, $H122, Y$3)*1.3,0)),"-")</f>
        <v>-</v>
      </c>
      <c r="Z123" s="44" t="str">
        <f>IF($J123=Z$3,IF(Z$3&gt;$I122,"-",ROUNDUP(Ld_cal($B122, $C122, $D122, $G122,$E122, $F122, $H122, Z$3)*1.3,0)),"-")</f>
        <v>-</v>
      </c>
      <c r="AA123" s="44" t="str">
        <f>IF($J123=AA$3,IF(AA$3&gt;$I122,"-",ROUNDUP(Ld_cal($B122, $C122, $D122, $G122,$E122, $F122, $H122, AA$3)*1.3,0)),"-")</f>
        <v>-</v>
      </c>
      <c r="AB123" s="44" t="str">
        <f>IF($J123=AB$3,IF(AB$3&gt;$I122,"-",ROUNDUP(Ld_cal($B122, $C122, $D122, $G122,$E122, $F122, $H122, AB$3)*1.3,0)),"-")</f>
        <v>-</v>
      </c>
      <c r="AC123" s="44" t="str">
        <f>IF($J123=AC$3,IF(AC$3&gt;$I122,"-",ROUNDUP(Ld_cal($B122, $C122, $D122, $G122,$E122, $F122, $H122, AC$3)*1.3,0)),"-")</f>
        <v>-</v>
      </c>
      <c r="AD123" s="46">
        <f t="shared" ref="AD123" si="117">IF(J123&gt;I122,"依標準圖",MAX(L123:AC123))</f>
        <v>131</v>
      </c>
    </row>
    <row r="124" spans="1:30">
      <c r="A124" s="112" t="s">
        <v>107</v>
      </c>
      <c r="B124" s="107">
        <v>120</v>
      </c>
      <c r="C124" s="108">
        <v>7.5</v>
      </c>
      <c r="D124" s="107">
        <v>4200</v>
      </c>
      <c r="E124" s="109">
        <v>16</v>
      </c>
      <c r="F124" s="110">
        <v>7</v>
      </c>
      <c r="G124" s="107">
        <v>350</v>
      </c>
      <c r="H124" s="109">
        <v>32</v>
      </c>
      <c r="I124" s="111">
        <f>ROUNDDOWN(($B124-2*$C124-2*$E124/10-$H124/10)/(($D$1+1)*$H124/10),0)+1</f>
        <v>16</v>
      </c>
      <c r="J124" s="50">
        <v>16</v>
      </c>
      <c r="K124" s="40" t="s">
        <v>30</v>
      </c>
      <c r="L124" s="51" t="str">
        <f>IF($J124=L$3,IF(L$3&gt;$I124,"-",ROUNDUP(Ld_cal($B124, $C124, $D124, $G124,$E124, $F124, $H124, L$3)*1.3*1.3,0)),"-")</f>
        <v>-</v>
      </c>
      <c r="M124" s="51" t="str">
        <f>IF($J124=M$3,IF(M$3&gt;$I124,"-",ROUNDUP(Ld_cal($B124, $C124, $D124, $G124,$E124, $F124, $H124, M$3)*1.3*1.3,0)),"-")</f>
        <v>-</v>
      </c>
      <c r="N124" s="51" t="str">
        <f>IF($J124=N$3,IF(N$3&gt;$I124,"-",ROUNDUP(Ld_cal($B124, $C124, $D124, $G124,$E124, $F124, $H124, N$3)*1.3*1.3,0)),"-")</f>
        <v>-</v>
      </c>
      <c r="O124" s="51" t="str">
        <f>IF($J124=O$3,IF(O$3&gt;$I124,"-",ROUNDUP(Ld_cal($B124, $C124, $D124, $G124,$E124, $F124, $H124, O$3)*1.3*1.3,0)),"-")</f>
        <v>-</v>
      </c>
      <c r="P124" s="51" t="str">
        <f>IF($J124=P$3,IF(P$3&gt;$I124,"-",ROUNDUP(Ld_cal($B124, $C124, $D124, $G124,$E124, $F124, $H124, P$3)*1.3*1.3,0)),"-")</f>
        <v>-</v>
      </c>
      <c r="Q124" s="51" t="str">
        <f>IF($J124=Q$3,IF(Q$3&gt;$I124,"-",ROUNDUP(Ld_cal($B124, $C124, $D124, $G124,$E124, $F124, $H124, Q$3)*1.3*1.3,0)),"-")</f>
        <v>-</v>
      </c>
      <c r="R124" s="51" t="str">
        <f>IF($J124=R$3,IF(R$3&gt;$I124,"-",ROUNDUP(Ld_cal($B124, $C124, $D124, $G124,$E124, $F124, $H124, R$3)*1.3*1.3,0)),"-")</f>
        <v>-</v>
      </c>
      <c r="S124" s="51" t="str">
        <f>IF($J124=S$3,IF(S$3&gt;$I124,"-",ROUNDUP(Ld_cal($B124, $C124, $D124, $G124,$E124, $F124, $H124, S$3)*1.3*1.3,0)),"-")</f>
        <v>-</v>
      </c>
      <c r="T124" s="51" t="str">
        <f>IF($J124=T$3,IF(T$3&gt;$I124,"-",ROUNDUP(Ld_cal($B124, $C124, $D124, $G124,$E124, $F124, $H124, T$3)*1.3*1.3,0)),"-")</f>
        <v>-</v>
      </c>
      <c r="U124" s="51" t="str">
        <f>IF($J124=U$3,IF(U$3&gt;$I124,"-",ROUNDUP(Ld_cal($B124, $C124, $D124, $G124,$E124, $F124, $H124, U$3)*1.3*1.3,0)),"-")</f>
        <v>-</v>
      </c>
      <c r="V124" s="51" t="str">
        <f>IF($J124=V$3,IF(V$3&gt;$I124,"-",ROUNDUP(Ld_cal($B124, $C124, $D124, $G124,$E124, $F124, $H124, V$3)*1.3*1.3,0)),"-")</f>
        <v>-</v>
      </c>
      <c r="W124" s="51" t="str">
        <f>IF($J124=W$3,IF(W$3&gt;$I124,"-",ROUNDUP(Ld_cal($B124, $C124, $D124, $G124,$E124, $F124, $H124, W$3)*1.3*1.3,0)),"-")</f>
        <v>-</v>
      </c>
      <c r="X124" s="51" t="str">
        <f>IF($J124=X$3,IF(X$3&gt;$I124,"-",ROUNDUP(Ld_cal($B124, $C124, $D124, $G124,$E124, $F124, $H124, X$3)*1.3*1.3,0)),"-")</f>
        <v>-</v>
      </c>
      <c r="Y124" s="51">
        <f>IF($J124=Y$3,IF(Y$3&gt;$I124,"-",ROUNDUP(Ld_cal($B124, $C124, $D124, $G124,$E124, $F124, $H124, Y$3)*1.3*1.3,0)),"-")</f>
        <v>231</v>
      </c>
      <c r="Z124" s="51" t="str">
        <f>IF($J124=Z$3,IF(Z$3&gt;$I124,"-",ROUNDUP(Ld_cal($B124, $C124, $D124, $G124,$E124, $F124, $H124, Z$3)*1.3*1.3,0)),"-")</f>
        <v>-</v>
      </c>
      <c r="AA124" s="51" t="str">
        <f>IF($J124=AA$3,IF(AA$3&gt;$I124,"-",ROUNDUP(Ld_cal($B124, $C124, $D124, $G124,$E124, $F124, $H124, AA$3)*1.3*1.3,0)),"-")</f>
        <v>-</v>
      </c>
      <c r="AB124" s="51" t="str">
        <f>IF($J124=AB$3,IF(AB$3&gt;$I124,"-",ROUNDUP(Ld_cal($B124, $C124, $D124, $G124,$E124, $F124, $H124, AB$3)*1.3*1.3,0)),"-")</f>
        <v>-</v>
      </c>
      <c r="AC124" s="51" t="str">
        <f>IF($J124=AC$3,IF(AC$3&gt;$I124,"-",ROUNDUP(Ld_cal($B124, $C124, $D124, $G124,$E124, $F124, $H124, AC$3)*1.3*1.3,0)),"-")</f>
        <v>-</v>
      </c>
      <c r="AD124" s="51">
        <f t="shared" ref="AD124" si="118">IF(J124&gt;I124,"依標準圖",MAX(L124:AC124))</f>
        <v>231</v>
      </c>
    </row>
    <row r="125" spans="1:30">
      <c r="A125" s="112"/>
      <c r="B125" s="107"/>
      <c r="C125" s="108"/>
      <c r="D125" s="107"/>
      <c r="E125" s="109"/>
      <c r="F125" s="110"/>
      <c r="G125" s="107"/>
      <c r="H125" s="109"/>
      <c r="I125" s="111"/>
      <c r="J125" s="50">
        <v>12</v>
      </c>
      <c r="K125" s="40" t="s">
        <v>29</v>
      </c>
      <c r="L125" s="51" t="str">
        <f>IF($J125=L$3,IF(L$3&gt;$I124,"-",ROUNDUP(Ld_cal($B124, $C124, $D124, $G124,$E124, $F124, $H124, L$3)*1.3,0)),"-")</f>
        <v>-</v>
      </c>
      <c r="M125" s="51" t="str">
        <f>IF($J125=M$3,IF(M$3&gt;$I124,"-",ROUNDUP(Ld_cal($B124, $C124, $D124, $G124,$E124, $F124, $H124, M$3)*1.3,0)),"-")</f>
        <v>-</v>
      </c>
      <c r="N125" s="51" t="str">
        <f>IF($J125=N$3,IF(N$3&gt;$I124,"-",ROUNDUP(Ld_cal($B124, $C124, $D124, $G124,$E124, $F124, $H124, N$3)*1.3,0)),"-")</f>
        <v>-</v>
      </c>
      <c r="O125" s="51" t="str">
        <f>IF($J125=O$3,IF(O$3&gt;$I124,"-",ROUNDUP(Ld_cal($B124, $C124, $D124, $G124,$E124, $F124, $H124, O$3)*1.3,0)),"-")</f>
        <v>-</v>
      </c>
      <c r="P125" s="51" t="str">
        <f>IF($J125=P$3,IF(P$3&gt;$I124,"-",ROUNDUP(Ld_cal($B124, $C124, $D124, $G124,$E124, $F124, $H124, P$3)*1.3,0)),"-")</f>
        <v>-</v>
      </c>
      <c r="Q125" s="51" t="str">
        <f>IF($J125=Q$3,IF(Q$3&gt;$I124,"-",ROUNDUP(Ld_cal($B124, $C124, $D124, $G124,$E124, $F124, $H124, Q$3)*1.3,0)),"-")</f>
        <v>-</v>
      </c>
      <c r="R125" s="51" t="str">
        <f>IF($J125=R$3,IF(R$3&gt;$I124,"-",ROUNDUP(Ld_cal($B124, $C124, $D124, $G124,$E124, $F124, $H124, R$3)*1.3,0)),"-")</f>
        <v>-</v>
      </c>
      <c r="S125" s="51" t="str">
        <f>IF($J125=S$3,IF(S$3&gt;$I124,"-",ROUNDUP(Ld_cal($B124, $C124, $D124, $G124,$E124, $F124, $H124, S$3)*1.3,0)),"-")</f>
        <v>-</v>
      </c>
      <c r="T125" s="51" t="str">
        <f>IF($J125=T$3,IF(T$3&gt;$I124,"-",ROUNDUP(Ld_cal($B124, $C124, $D124, $G124,$E124, $F124, $H124, T$3)*1.3,0)),"-")</f>
        <v>-</v>
      </c>
      <c r="U125" s="51">
        <f>IF($J125=U$3,IF(U$3&gt;$I124,"-",ROUNDUP(Ld_cal($B124, $C124, $D124, $G124,$E124, $F124, $H124, U$3)*1.3,0)),"-")</f>
        <v>131</v>
      </c>
      <c r="V125" s="51" t="str">
        <f>IF($J125=V$3,IF(V$3&gt;$I124,"-",ROUNDUP(Ld_cal($B124, $C124, $D124, $G124,$E124, $F124, $H124, V$3)*1.3,0)),"-")</f>
        <v>-</v>
      </c>
      <c r="W125" s="51" t="str">
        <f>IF($J125=W$3,IF(W$3&gt;$I124,"-",ROUNDUP(Ld_cal($B124, $C124, $D124, $G124,$E124, $F124, $H124, W$3)*1.3,0)),"-")</f>
        <v>-</v>
      </c>
      <c r="X125" s="51" t="str">
        <f>IF($J125=X$3,IF(X$3&gt;$I124,"-",ROUNDUP(Ld_cal($B124, $C124, $D124, $G124,$E124, $F124, $H124, X$3)*1.3,0)),"-")</f>
        <v>-</v>
      </c>
      <c r="Y125" s="51" t="str">
        <f>IF($J125=Y$3,IF(Y$3&gt;$I124,"-",ROUNDUP(Ld_cal($B124, $C124, $D124, $G124,$E124, $F124, $H124, Y$3)*1.3,0)),"-")</f>
        <v>-</v>
      </c>
      <c r="Z125" s="51" t="str">
        <f>IF($J125=Z$3,IF(Z$3&gt;$I124,"-",ROUNDUP(Ld_cal($B124, $C124, $D124, $G124,$E124, $F124, $H124, Z$3)*1.3,0)),"-")</f>
        <v>-</v>
      </c>
      <c r="AA125" s="51" t="str">
        <f>IF($J125=AA$3,IF(AA$3&gt;$I124,"-",ROUNDUP(Ld_cal($B124, $C124, $D124, $G124,$E124, $F124, $H124, AA$3)*1.3,0)),"-")</f>
        <v>-</v>
      </c>
      <c r="AB125" s="51" t="str">
        <f>IF($J125=AB$3,IF(AB$3&gt;$I124,"-",ROUNDUP(Ld_cal($B124, $C124, $D124, $G124,$E124, $F124, $H124, AB$3)*1.3,0)),"-")</f>
        <v>-</v>
      </c>
      <c r="AC125" s="51" t="str">
        <f>IF($J125=AC$3,IF(AC$3&gt;$I124,"-",ROUNDUP(Ld_cal($B124, $C124, $D124, $G124,$E124, $F124, $H124, AC$3)*1.3,0)),"-")</f>
        <v>-</v>
      </c>
      <c r="AD125" s="51">
        <f t="shared" ref="AD125" si="119">IF(J125&gt;I124,"依標準圖",MAX(L125:AC125))</f>
        <v>131</v>
      </c>
    </row>
    <row r="126" spans="1:30" s="45" customFormat="1">
      <c r="A126" s="113" t="s">
        <v>108</v>
      </c>
      <c r="B126" s="99">
        <v>120</v>
      </c>
      <c r="C126" s="100">
        <v>7.5</v>
      </c>
      <c r="D126" s="101">
        <v>4200</v>
      </c>
      <c r="E126" s="102">
        <v>16</v>
      </c>
      <c r="F126" s="103">
        <v>7</v>
      </c>
      <c r="G126" s="101">
        <v>350</v>
      </c>
      <c r="H126" s="102">
        <v>32</v>
      </c>
      <c r="I126" s="104">
        <f>ROUNDDOWN(($B126-2*$C126-2*$E126/10-$H126/10)/(($D$1+1)*$H126/10),0)+1</f>
        <v>16</v>
      </c>
      <c r="J126" s="48">
        <v>16</v>
      </c>
      <c r="K126" s="52" t="s">
        <v>30</v>
      </c>
      <c r="L126" s="49" t="str">
        <f>IF($J126=L$3,IF(L$3&gt;$I126,"-",ROUNDUP(Ld_cal($B126, $C126, $D126, $G126,$E126, $F126, $H126, L$3)*1.3*1.3,0)),"-")</f>
        <v>-</v>
      </c>
      <c r="M126" s="49" t="str">
        <f>IF($J126=M$3,IF(M$3&gt;$I126,"-",ROUNDUP(Ld_cal($B126, $C126, $D126, $G126,$E126, $F126, $H126, M$3)*1.3*1.3,0)),"-")</f>
        <v>-</v>
      </c>
      <c r="N126" s="49" t="str">
        <f>IF($J126=N$3,IF(N$3&gt;$I126,"-",ROUNDUP(Ld_cal($B126, $C126, $D126, $G126,$E126, $F126, $H126, N$3)*1.3*1.3,0)),"-")</f>
        <v>-</v>
      </c>
      <c r="O126" s="49" t="str">
        <f>IF($J126=O$3,IF(O$3&gt;$I126,"-",ROUNDUP(Ld_cal($B126, $C126, $D126, $G126,$E126, $F126, $H126, O$3)*1.3*1.3,0)),"-")</f>
        <v>-</v>
      </c>
      <c r="P126" s="49" t="str">
        <f>IF($J126=P$3,IF(P$3&gt;$I126,"-",ROUNDUP(Ld_cal($B126, $C126, $D126, $G126,$E126, $F126, $H126, P$3)*1.3*1.3,0)),"-")</f>
        <v>-</v>
      </c>
      <c r="Q126" s="49" t="str">
        <f>IF($J126=Q$3,IF(Q$3&gt;$I126,"-",ROUNDUP(Ld_cal($B126, $C126, $D126, $G126,$E126, $F126, $H126, Q$3)*1.3*1.3,0)),"-")</f>
        <v>-</v>
      </c>
      <c r="R126" s="49" t="str">
        <f>IF($J126=R$3,IF(R$3&gt;$I126,"-",ROUNDUP(Ld_cal($B126, $C126, $D126, $G126,$E126, $F126, $H126, R$3)*1.3*1.3,0)),"-")</f>
        <v>-</v>
      </c>
      <c r="S126" s="49" t="str">
        <f>IF($J126=S$3,IF(S$3&gt;$I126,"-",ROUNDUP(Ld_cal($B126, $C126, $D126, $G126,$E126, $F126, $H126, S$3)*1.3*1.3,0)),"-")</f>
        <v>-</v>
      </c>
      <c r="T126" s="49" t="str">
        <f>IF($J126=T$3,IF(T$3&gt;$I126,"-",ROUNDUP(Ld_cal($B126, $C126, $D126, $G126,$E126, $F126, $H126, T$3)*1.3*1.3,0)),"-")</f>
        <v>-</v>
      </c>
      <c r="U126" s="49" t="str">
        <f>IF($J126=U$3,IF(U$3&gt;$I126,"-",ROUNDUP(Ld_cal($B126, $C126, $D126, $G126,$E126, $F126, $H126, U$3)*1.3*1.3,0)),"-")</f>
        <v>-</v>
      </c>
      <c r="V126" s="49" t="str">
        <f>IF($J126=V$3,IF(V$3&gt;$I126,"-",ROUNDUP(Ld_cal($B126, $C126, $D126, $G126,$E126, $F126, $H126, V$3)*1.3*1.3,0)),"-")</f>
        <v>-</v>
      </c>
      <c r="W126" s="49" t="str">
        <f>IF($J126=W$3,IF(W$3&gt;$I126,"-",ROUNDUP(Ld_cal($B126, $C126, $D126, $G126,$E126, $F126, $H126, W$3)*1.3*1.3,0)),"-")</f>
        <v>-</v>
      </c>
      <c r="X126" s="49" t="str">
        <f>IF($J126=X$3,IF(X$3&gt;$I126,"-",ROUNDUP(Ld_cal($B126, $C126, $D126, $G126,$E126, $F126, $H126, X$3)*1.3*1.3,0)),"-")</f>
        <v>-</v>
      </c>
      <c r="Y126" s="49">
        <f>IF($J126=Y$3,IF(Y$3&gt;$I126,"-",ROUNDUP(Ld_cal($B126, $C126, $D126, $G126,$E126, $F126, $H126, Y$3)*1.3*1.3,0)),"-")</f>
        <v>231</v>
      </c>
      <c r="Z126" s="49" t="str">
        <f>IF($J126=Z$3,IF(Z$3&gt;$I126,"-",ROUNDUP(Ld_cal($B126, $C126, $D126, $G126,$E126, $F126, $H126, Z$3)*1.3*1.3,0)),"-")</f>
        <v>-</v>
      </c>
      <c r="AA126" s="49" t="str">
        <f>IF($J126=AA$3,IF(AA$3&gt;$I126,"-",ROUNDUP(Ld_cal($B126, $C126, $D126, $G126,$E126, $F126, $H126, AA$3)*1.3*1.3,0)),"-")</f>
        <v>-</v>
      </c>
      <c r="AB126" s="49" t="str">
        <f>IF($J126=AB$3,IF(AB$3&gt;$I126,"-",ROUNDUP(Ld_cal($B126, $C126, $D126, $G126,$E126, $F126, $H126, AB$3)*1.3*1.3,0)),"-")</f>
        <v>-</v>
      </c>
      <c r="AC126" s="49" t="str">
        <f>IF($J126=AC$3,IF(AC$3&gt;$I126,"-",ROUNDUP(Ld_cal($B126, $C126, $D126, $G126,$E126, $F126, $H126, AC$3)*1.3*1.3,0)),"-")</f>
        <v>-</v>
      </c>
      <c r="AD126" s="49">
        <f t="shared" ref="AD126" si="120">IF(J126&gt;I126,"依標準圖",MAX(L126:AC126))</f>
        <v>231</v>
      </c>
    </row>
    <row r="127" spans="1:30" s="45" customFormat="1">
      <c r="A127" s="113"/>
      <c r="B127" s="99"/>
      <c r="C127" s="100"/>
      <c r="D127" s="101"/>
      <c r="E127" s="102"/>
      <c r="F127" s="103"/>
      <c r="G127" s="101"/>
      <c r="H127" s="102"/>
      <c r="I127" s="104"/>
      <c r="J127" s="48">
        <v>12</v>
      </c>
      <c r="K127" s="52" t="s">
        <v>29</v>
      </c>
      <c r="L127" s="49" t="str">
        <f>IF($J127=L$3,IF(L$3&gt;$I126,"-",ROUNDUP(Ld_cal($B126, $C126, $D126, $G126,$E126, $F126, $H126, L$3)*1.3,0)),"-")</f>
        <v>-</v>
      </c>
      <c r="M127" s="49" t="str">
        <f>IF($J127=M$3,IF(M$3&gt;$I126,"-",ROUNDUP(Ld_cal($B126, $C126, $D126, $G126,$E126, $F126, $H126, M$3)*1.3,0)),"-")</f>
        <v>-</v>
      </c>
      <c r="N127" s="49" t="str">
        <f>IF($J127=N$3,IF(N$3&gt;$I126,"-",ROUNDUP(Ld_cal($B126, $C126, $D126, $G126,$E126, $F126, $H126, N$3)*1.3,0)),"-")</f>
        <v>-</v>
      </c>
      <c r="O127" s="49" t="str">
        <f>IF($J127=O$3,IF(O$3&gt;$I126,"-",ROUNDUP(Ld_cal($B126, $C126, $D126, $G126,$E126, $F126, $H126, O$3)*1.3,0)),"-")</f>
        <v>-</v>
      </c>
      <c r="P127" s="49" t="str">
        <f>IF($J127=P$3,IF(P$3&gt;$I126,"-",ROUNDUP(Ld_cal($B126, $C126, $D126, $G126,$E126, $F126, $H126, P$3)*1.3,0)),"-")</f>
        <v>-</v>
      </c>
      <c r="Q127" s="49" t="str">
        <f>IF($J127=Q$3,IF(Q$3&gt;$I126,"-",ROUNDUP(Ld_cal($B126, $C126, $D126, $G126,$E126, $F126, $H126, Q$3)*1.3,0)),"-")</f>
        <v>-</v>
      </c>
      <c r="R127" s="49" t="str">
        <f>IF($J127=R$3,IF(R$3&gt;$I126,"-",ROUNDUP(Ld_cal($B126, $C126, $D126, $G126,$E126, $F126, $H126, R$3)*1.3,0)),"-")</f>
        <v>-</v>
      </c>
      <c r="S127" s="49" t="str">
        <f>IF($J127=S$3,IF(S$3&gt;$I126,"-",ROUNDUP(Ld_cal($B126, $C126, $D126, $G126,$E126, $F126, $H126, S$3)*1.3,0)),"-")</f>
        <v>-</v>
      </c>
      <c r="T127" s="49" t="str">
        <f>IF($J127=T$3,IF(T$3&gt;$I126,"-",ROUNDUP(Ld_cal($B126, $C126, $D126, $G126,$E126, $F126, $H126, T$3)*1.3,0)),"-")</f>
        <v>-</v>
      </c>
      <c r="U127" s="49">
        <f>IF($J127=U$3,IF(U$3&gt;$I126,"-",ROUNDUP(Ld_cal($B126, $C126, $D126, $G126,$E126, $F126, $H126, U$3)*1.3,0)),"-")</f>
        <v>131</v>
      </c>
      <c r="V127" s="49" t="str">
        <f>IF($J127=V$3,IF(V$3&gt;$I126,"-",ROUNDUP(Ld_cal($B126, $C126, $D126, $G126,$E126, $F126, $H126, V$3)*1.3,0)),"-")</f>
        <v>-</v>
      </c>
      <c r="W127" s="49" t="str">
        <f>IF($J127=W$3,IF(W$3&gt;$I126,"-",ROUNDUP(Ld_cal($B126, $C126, $D126, $G126,$E126, $F126, $H126, W$3)*1.3,0)),"-")</f>
        <v>-</v>
      </c>
      <c r="X127" s="49" t="str">
        <f>IF($J127=X$3,IF(X$3&gt;$I126,"-",ROUNDUP(Ld_cal($B126, $C126, $D126, $G126,$E126, $F126, $H126, X$3)*1.3,0)),"-")</f>
        <v>-</v>
      </c>
      <c r="Y127" s="49" t="str">
        <f>IF($J127=Y$3,IF(Y$3&gt;$I126,"-",ROUNDUP(Ld_cal($B126, $C126, $D126, $G126,$E126, $F126, $H126, Y$3)*1.3,0)),"-")</f>
        <v>-</v>
      </c>
      <c r="Z127" s="49" t="str">
        <f>IF($J127=Z$3,IF(Z$3&gt;$I126,"-",ROUNDUP(Ld_cal($B126, $C126, $D126, $G126,$E126, $F126, $H126, Z$3)*1.3,0)),"-")</f>
        <v>-</v>
      </c>
      <c r="AA127" s="49" t="str">
        <f>IF($J127=AA$3,IF(AA$3&gt;$I126,"-",ROUNDUP(Ld_cal($B126, $C126, $D126, $G126,$E126, $F126, $H126, AA$3)*1.3,0)),"-")</f>
        <v>-</v>
      </c>
      <c r="AB127" s="49" t="str">
        <f>IF($J127=AB$3,IF(AB$3&gt;$I126,"-",ROUNDUP(Ld_cal($B126, $C126, $D126, $G126,$E126, $F126, $H126, AB$3)*1.3,0)),"-")</f>
        <v>-</v>
      </c>
      <c r="AC127" s="49" t="str">
        <f>IF($J127=AC$3,IF(AC$3&gt;$I126,"-",ROUNDUP(Ld_cal($B126, $C126, $D126, $G126,$E126, $F126, $H126, AC$3)*1.3,0)),"-")</f>
        <v>-</v>
      </c>
      <c r="AD127" s="49">
        <f t="shared" ref="AD127" si="121">IF(J127&gt;I126,"依標準圖",MAX(L127:AC127))</f>
        <v>131</v>
      </c>
    </row>
    <row r="128" spans="1:30">
      <c r="A128" s="112" t="s">
        <v>109</v>
      </c>
      <c r="B128" s="107">
        <v>120</v>
      </c>
      <c r="C128" s="108">
        <v>7.5</v>
      </c>
      <c r="D128" s="107">
        <v>4200</v>
      </c>
      <c r="E128" s="109">
        <v>16</v>
      </c>
      <c r="F128" s="110">
        <v>7</v>
      </c>
      <c r="G128" s="107">
        <v>350</v>
      </c>
      <c r="H128" s="109">
        <v>32</v>
      </c>
      <c r="I128" s="111">
        <f>ROUNDDOWN(($B128-2*$C128-2*$E128/10-$H128/10)/(($D$1+1)*$H128/10),0)+1</f>
        <v>16</v>
      </c>
      <c r="J128" s="58">
        <v>16</v>
      </c>
      <c r="K128" s="40" t="s">
        <v>30</v>
      </c>
      <c r="L128" s="56" t="str">
        <f>IF($J128=L$3,IF(L$3&gt;$I128,"-",ROUNDUP(Ld_cal($B128, $C128, $D128, $G128,$E128, $F128, $H128, L$3)*1.3*1.3,0)),"-")</f>
        <v>-</v>
      </c>
      <c r="M128" s="56" t="str">
        <f>IF($J128=M$3,IF(M$3&gt;$I128,"-",ROUNDUP(Ld_cal($B128, $C128, $D128, $G128,$E128, $F128, $H128, M$3)*1.3*1.3,0)),"-")</f>
        <v>-</v>
      </c>
      <c r="N128" s="56" t="str">
        <f>IF($J128=N$3,IF(N$3&gt;$I128,"-",ROUNDUP(Ld_cal($B128, $C128, $D128, $G128,$E128, $F128, $H128, N$3)*1.3*1.3,0)),"-")</f>
        <v>-</v>
      </c>
      <c r="O128" s="56" t="str">
        <f>IF($J128=O$3,IF(O$3&gt;$I128,"-",ROUNDUP(Ld_cal($B128, $C128, $D128, $G128,$E128, $F128, $H128, O$3)*1.3*1.3,0)),"-")</f>
        <v>-</v>
      </c>
      <c r="P128" s="56" t="str">
        <f>IF($J128=P$3,IF(P$3&gt;$I128,"-",ROUNDUP(Ld_cal($B128, $C128, $D128, $G128,$E128, $F128, $H128, P$3)*1.3*1.3,0)),"-")</f>
        <v>-</v>
      </c>
      <c r="Q128" s="56" t="str">
        <f>IF($J128=Q$3,IF(Q$3&gt;$I128,"-",ROUNDUP(Ld_cal($B128, $C128, $D128, $G128,$E128, $F128, $H128, Q$3)*1.3*1.3,0)),"-")</f>
        <v>-</v>
      </c>
      <c r="R128" s="56" t="str">
        <f>IF($J128=R$3,IF(R$3&gt;$I128,"-",ROUNDUP(Ld_cal($B128, $C128, $D128, $G128,$E128, $F128, $H128, R$3)*1.3*1.3,0)),"-")</f>
        <v>-</v>
      </c>
      <c r="S128" s="56" t="str">
        <f>IF($J128=S$3,IF(S$3&gt;$I128,"-",ROUNDUP(Ld_cal($B128, $C128, $D128, $G128,$E128, $F128, $H128, S$3)*1.3*1.3,0)),"-")</f>
        <v>-</v>
      </c>
      <c r="T128" s="56" t="str">
        <f>IF($J128=T$3,IF(T$3&gt;$I128,"-",ROUNDUP(Ld_cal($B128, $C128, $D128, $G128,$E128, $F128, $H128, T$3)*1.3*1.3,0)),"-")</f>
        <v>-</v>
      </c>
      <c r="U128" s="56" t="str">
        <f>IF($J128=U$3,IF(U$3&gt;$I128,"-",ROUNDUP(Ld_cal($B128, $C128, $D128, $G128,$E128, $F128, $H128, U$3)*1.3*1.3,0)),"-")</f>
        <v>-</v>
      </c>
      <c r="V128" s="56" t="str">
        <f>IF($J128=V$3,IF(V$3&gt;$I128,"-",ROUNDUP(Ld_cal($B128, $C128, $D128, $G128,$E128, $F128, $H128, V$3)*1.3*1.3,0)),"-")</f>
        <v>-</v>
      </c>
      <c r="W128" s="56" t="str">
        <f>IF($J128=W$3,IF(W$3&gt;$I128,"-",ROUNDUP(Ld_cal($B128, $C128, $D128, $G128,$E128, $F128, $H128, W$3)*1.3*1.3,0)),"-")</f>
        <v>-</v>
      </c>
      <c r="X128" s="56" t="str">
        <f>IF($J128=X$3,IF(X$3&gt;$I128,"-",ROUNDUP(Ld_cal($B128, $C128, $D128, $G128,$E128, $F128, $H128, X$3)*1.3*1.3,0)),"-")</f>
        <v>-</v>
      </c>
      <c r="Y128" s="56">
        <f>IF($J128=Y$3,IF(Y$3&gt;$I128,"-",ROUNDUP(Ld_cal($B128, $C128, $D128, $G128,$E128, $F128, $H128, Y$3)*1.3*1.3,0)),"-")</f>
        <v>231</v>
      </c>
      <c r="Z128" s="56" t="str">
        <f>IF($J128=Z$3,IF(Z$3&gt;$I128,"-",ROUNDUP(Ld_cal($B128, $C128, $D128, $G128,$E128, $F128, $H128, Z$3)*1.3*1.3,0)),"-")</f>
        <v>-</v>
      </c>
      <c r="AA128" s="56" t="str">
        <f>IF($J128=AA$3,IF(AA$3&gt;$I128,"-",ROUNDUP(Ld_cal($B128, $C128, $D128, $G128,$E128, $F128, $H128, AA$3)*1.3*1.3,0)),"-")</f>
        <v>-</v>
      </c>
      <c r="AB128" s="56" t="str">
        <f>IF($J128=AB$3,IF(AB$3&gt;$I128,"-",ROUNDUP(Ld_cal($B128, $C128, $D128, $G128,$E128, $F128, $H128, AB$3)*1.3*1.3,0)),"-")</f>
        <v>-</v>
      </c>
      <c r="AC128" s="56" t="str">
        <f>IF($J128=AC$3,IF(AC$3&gt;$I128,"-",ROUNDUP(Ld_cal($B128, $C128, $D128, $G128,$E128, $F128, $H128, AC$3)*1.3*1.3,0)),"-")</f>
        <v>-</v>
      </c>
      <c r="AD128" s="56">
        <f t="shared" ref="AD128" si="122">IF(J128&gt;I128,"依標準圖",MAX(L128:AC128))</f>
        <v>231</v>
      </c>
    </row>
    <row r="129" spans="1:30">
      <c r="A129" s="112"/>
      <c r="B129" s="107"/>
      <c r="C129" s="108"/>
      <c r="D129" s="107"/>
      <c r="E129" s="109"/>
      <c r="F129" s="110"/>
      <c r="G129" s="107"/>
      <c r="H129" s="109"/>
      <c r="I129" s="111"/>
      <c r="J129" s="58">
        <v>12</v>
      </c>
      <c r="K129" s="40" t="s">
        <v>29</v>
      </c>
      <c r="L129" s="56" t="str">
        <f>IF($J129=L$3,IF(L$3&gt;$I128,"-",ROUNDUP(Ld_cal($B128, $C128, $D128, $G128,$E128, $F128, $H128, L$3)*1.3,0)),"-")</f>
        <v>-</v>
      </c>
      <c r="M129" s="56" t="str">
        <f>IF($J129=M$3,IF(M$3&gt;$I128,"-",ROUNDUP(Ld_cal($B128, $C128, $D128, $G128,$E128, $F128, $H128, M$3)*1.3,0)),"-")</f>
        <v>-</v>
      </c>
      <c r="N129" s="56" t="str">
        <f>IF($J129=N$3,IF(N$3&gt;$I128,"-",ROUNDUP(Ld_cal($B128, $C128, $D128, $G128,$E128, $F128, $H128, N$3)*1.3,0)),"-")</f>
        <v>-</v>
      </c>
      <c r="O129" s="56" t="str">
        <f>IF($J129=O$3,IF(O$3&gt;$I128,"-",ROUNDUP(Ld_cal($B128, $C128, $D128, $G128,$E128, $F128, $H128, O$3)*1.3,0)),"-")</f>
        <v>-</v>
      </c>
      <c r="P129" s="56" t="str">
        <f>IF($J129=P$3,IF(P$3&gt;$I128,"-",ROUNDUP(Ld_cal($B128, $C128, $D128, $G128,$E128, $F128, $H128, P$3)*1.3,0)),"-")</f>
        <v>-</v>
      </c>
      <c r="Q129" s="56" t="str">
        <f>IF($J129=Q$3,IF(Q$3&gt;$I128,"-",ROUNDUP(Ld_cal($B128, $C128, $D128, $G128,$E128, $F128, $H128, Q$3)*1.3,0)),"-")</f>
        <v>-</v>
      </c>
      <c r="R129" s="56" t="str">
        <f>IF($J129=R$3,IF(R$3&gt;$I128,"-",ROUNDUP(Ld_cal($B128, $C128, $D128, $G128,$E128, $F128, $H128, R$3)*1.3,0)),"-")</f>
        <v>-</v>
      </c>
      <c r="S129" s="56" t="str">
        <f>IF($J129=S$3,IF(S$3&gt;$I128,"-",ROUNDUP(Ld_cal($B128, $C128, $D128, $G128,$E128, $F128, $H128, S$3)*1.3,0)),"-")</f>
        <v>-</v>
      </c>
      <c r="T129" s="56" t="str">
        <f>IF($J129=T$3,IF(T$3&gt;$I128,"-",ROUNDUP(Ld_cal($B128, $C128, $D128, $G128,$E128, $F128, $H128, T$3)*1.3,0)),"-")</f>
        <v>-</v>
      </c>
      <c r="U129" s="56">
        <f>IF($J129=U$3,IF(U$3&gt;$I128,"-",ROUNDUP(Ld_cal($B128, $C128, $D128, $G128,$E128, $F128, $H128, U$3)*1.3,0)),"-")</f>
        <v>131</v>
      </c>
      <c r="V129" s="56" t="str">
        <f>IF($J129=V$3,IF(V$3&gt;$I128,"-",ROUNDUP(Ld_cal($B128, $C128, $D128, $G128,$E128, $F128, $H128, V$3)*1.3,0)),"-")</f>
        <v>-</v>
      </c>
      <c r="W129" s="56" t="str">
        <f>IF($J129=W$3,IF(W$3&gt;$I128,"-",ROUNDUP(Ld_cal($B128, $C128, $D128, $G128,$E128, $F128, $H128, W$3)*1.3,0)),"-")</f>
        <v>-</v>
      </c>
      <c r="X129" s="56" t="str">
        <f>IF($J129=X$3,IF(X$3&gt;$I128,"-",ROUNDUP(Ld_cal($B128, $C128, $D128, $G128,$E128, $F128, $H128, X$3)*1.3,0)),"-")</f>
        <v>-</v>
      </c>
      <c r="Y129" s="56" t="str">
        <f>IF($J129=Y$3,IF(Y$3&gt;$I128,"-",ROUNDUP(Ld_cal($B128, $C128, $D128, $G128,$E128, $F128, $H128, Y$3)*1.3,0)),"-")</f>
        <v>-</v>
      </c>
      <c r="Z129" s="56" t="str">
        <f>IF($J129=Z$3,IF(Z$3&gt;$I128,"-",ROUNDUP(Ld_cal($B128, $C128, $D128, $G128,$E128, $F128, $H128, Z$3)*1.3,0)),"-")</f>
        <v>-</v>
      </c>
      <c r="AA129" s="56" t="str">
        <f>IF($J129=AA$3,IF(AA$3&gt;$I128,"-",ROUNDUP(Ld_cal($B128, $C128, $D128, $G128,$E128, $F128, $H128, AA$3)*1.3,0)),"-")</f>
        <v>-</v>
      </c>
      <c r="AB129" s="56" t="str">
        <f>IF($J129=AB$3,IF(AB$3&gt;$I128,"-",ROUNDUP(Ld_cal($B128, $C128, $D128, $G128,$E128, $F128, $H128, AB$3)*1.3,0)),"-")</f>
        <v>-</v>
      </c>
      <c r="AC129" s="56" t="str">
        <f>IF($J129=AC$3,IF(AC$3&gt;$I128,"-",ROUNDUP(Ld_cal($B128, $C128, $D128, $G128,$E128, $F128, $H128, AC$3)*1.3,0)),"-")</f>
        <v>-</v>
      </c>
      <c r="AD129" s="56">
        <f t="shared" ref="AD129" si="123">IF(J129&gt;I128,"依標準圖",MAX(L129:AC129))</f>
        <v>131</v>
      </c>
    </row>
    <row r="130" spans="1:30">
      <c r="A130" s="113" t="s">
        <v>110</v>
      </c>
      <c r="B130" s="99">
        <v>120</v>
      </c>
      <c r="C130" s="100">
        <v>7.5</v>
      </c>
      <c r="D130" s="101">
        <v>4200</v>
      </c>
      <c r="E130" s="102">
        <v>16</v>
      </c>
      <c r="F130" s="103">
        <v>7</v>
      </c>
      <c r="G130" s="101">
        <v>350</v>
      </c>
      <c r="H130" s="102">
        <v>32</v>
      </c>
      <c r="I130" s="104">
        <f>ROUNDDOWN(($B130-2*$C130-2*$E130/10-$H130/10)/(($D$1+1)*$H130/10),0)+1</f>
        <v>16</v>
      </c>
      <c r="J130" s="57">
        <v>16</v>
      </c>
      <c r="K130" s="59" t="s">
        <v>30</v>
      </c>
      <c r="L130" s="55" t="str">
        <f>IF($J130=L$3,IF(L$3&gt;$I130,"-",ROUNDUP(Ld_cal($B130, $C130, $D130, $G130,$E130, $F130, $H130, L$3)*1.3*1.3,0)),"-")</f>
        <v>-</v>
      </c>
      <c r="M130" s="55" t="str">
        <f>IF($J130=M$3,IF(M$3&gt;$I130,"-",ROUNDUP(Ld_cal($B130, $C130, $D130, $G130,$E130, $F130, $H130, M$3)*1.3*1.3,0)),"-")</f>
        <v>-</v>
      </c>
      <c r="N130" s="55" t="str">
        <f>IF($J130=N$3,IF(N$3&gt;$I130,"-",ROUNDUP(Ld_cal($B130, $C130, $D130, $G130,$E130, $F130, $H130, N$3)*1.3*1.3,0)),"-")</f>
        <v>-</v>
      </c>
      <c r="O130" s="55" t="str">
        <f>IF($J130=O$3,IF(O$3&gt;$I130,"-",ROUNDUP(Ld_cal($B130, $C130, $D130, $G130,$E130, $F130, $H130, O$3)*1.3*1.3,0)),"-")</f>
        <v>-</v>
      </c>
      <c r="P130" s="55" t="str">
        <f>IF($J130=P$3,IF(P$3&gt;$I130,"-",ROUNDUP(Ld_cal($B130, $C130, $D130, $G130,$E130, $F130, $H130, P$3)*1.3*1.3,0)),"-")</f>
        <v>-</v>
      </c>
      <c r="Q130" s="55" t="str">
        <f>IF($J130=Q$3,IF(Q$3&gt;$I130,"-",ROUNDUP(Ld_cal($B130, $C130, $D130, $G130,$E130, $F130, $H130, Q$3)*1.3*1.3,0)),"-")</f>
        <v>-</v>
      </c>
      <c r="R130" s="55" t="str">
        <f>IF($J130=R$3,IF(R$3&gt;$I130,"-",ROUNDUP(Ld_cal($B130, $C130, $D130, $G130,$E130, $F130, $H130, R$3)*1.3*1.3,0)),"-")</f>
        <v>-</v>
      </c>
      <c r="S130" s="55" t="str">
        <f>IF($J130=S$3,IF(S$3&gt;$I130,"-",ROUNDUP(Ld_cal($B130, $C130, $D130, $G130,$E130, $F130, $H130, S$3)*1.3*1.3,0)),"-")</f>
        <v>-</v>
      </c>
      <c r="T130" s="55" t="str">
        <f>IF($J130=T$3,IF(T$3&gt;$I130,"-",ROUNDUP(Ld_cal($B130, $C130, $D130, $G130,$E130, $F130, $H130, T$3)*1.3*1.3,0)),"-")</f>
        <v>-</v>
      </c>
      <c r="U130" s="55" t="str">
        <f>IF($J130=U$3,IF(U$3&gt;$I130,"-",ROUNDUP(Ld_cal($B130, $C130, $D130, $G130,$E130, $F130, $H130, U$3)*1.3*1.3,0)),"-")</f>
        <v>-</v>
      </c>
      <c r="V130" s="55" t="str">
        <f>IF($J130=V$3,IF(V$3&gt;$I130,"-",ROUNDUP(Ld_cal($B130, $C130, $D130, $G130,$E130, $F130, $H130, V$3)*1.3*1.3,0)),"-")</f>
        <v>-</v>
      </c>
      <c r="W130" s="55" t="str">
        <f>IF($J130=W$3,IF(W$3&gt;$I130,"-",ROUNDUP(Ld_cal($B130, $C130, $D130, $G130,$E130, $F130, $H130, W$3)*1.3*1.3,0)),"-")</f>
        <v>-</v>
      </c>
      <c r="X130" s="55" t="str">
        <f>IF($J130=X$3,IF(X$3&gt;$I130,"-",ROUNDUP(Ld_cal($B130, $C130, $D130, $G130,$E130, $F130, $H130, X$3)*1.3*1.3,0)),"-")</f>
        <v>-</v>
      </c>
      <c r="Y130" s="55">
        <f>IF($J130=Y$3,IF(Y$3&gt;$I130,"-",ROUNDUP(Ld_cal($B130, $C130, $D130, $G130,$E130, $F130, $H130, Y$3)*1.3*1.3,0)),"-")</f>
        <v>231</v>
      </c>
      <c r="Z130" s="55" t="str">
        <f>IF($J130=Z$3,IF(Z$3&gt;$I130,"-",ROUNDUP(Ld_cal($B130, $C130, $D130, $G130,$E130, $F130, $H130, Z$3)*1.3*1.3,0)),"-")</f>
        <v>-</v>
      </c>
      <c r="AA130" s="55" t="str">
        <f>IF($J130=AA$3,IF(AA$3&gt;$I130,"-",ROUNDUP(Ld_cal($B130, $C130, $D130, $G130,$E130, $F130, $H130, AA$3)*1.3*1.3,0)),"-")</f>
        <v>-</v>
      </c>
      <c r="AB130" s="55" t="str">
        <f>IF($J130=AB$3,IF(AB$3&gt;$I130,"-",ROUNDUP(Ld_cal($B130, $C130, $D130, $G130,$E130, $F130, $H130, AB$3)*1.3*1.3,0)),"-")</f>
        <v>-</v>
      </c>
      <c r="AC130" s="55" t="str">
        <f>IF($J130=AC$3,IF(AC$3&gt;$I130,"-",ROUNDUP(Ld_cal($B130, $C130, $D130, $G130,$E130, $F130, $H130, AC$3)*1.3*1.3,0)),"-")</f>
        <v>-</v>
      </c>
      <c r="AD130" s="55">
        <f t="shared" ref="AD130" si="124">IF(J130&gt;I130,"依標準圖",MAX(L130:AC130))</f>
        <v>231</v>
      </c>
    </row>
    <row r="131" spans="1:30">
      <c r="A131" s="113"/>
      <c r="B131" s="99"/>
      <c r="C131" s="100"/>
      <c r="D131" s="101"/>
      <c r="E131" s="102"/>
      <c r="F131" s="103"/>
      <c r="G131" s="101"/>
      <c r="H131" s="102"/>
      <c r="I131" s="104"/>
      <c r="J131" s="57">
        <v>14</v>
      </c>
      <c r="K131" s="59" t="s">
        <v>29</v>
      </c>
      <c r="L131" s="55" t="str">
        <f>IF($J131=L$3,IF(L$3&gt;$I130,"-",ROUNDUP(Ld_cal($B130, $C130, $D130, $G130,$E130, $F130, $H130, L$3)*1.3,0)),"-")</f>
        <v>-</v>
      </c>
      <c r="M131" s="55" t="str">
        <f>IF($J131=M$3,IF(M$3&gt;$I130,"-",ROUNDUP(Ld_cal($B130, $C130, $D130, $G130,$E130, $F130, $H130, M$3)*1.3,0)),"-")</f>
        <v>-</v>
      </c>
      <c r="N131" s="55" t="str">
        <f>IF($J131=N$3,IF(N$3&gt;$I130,"-",ROUNDUP(Ld_cal($B130, $C130, $D130, $G130,$E130, $F130, $H130, N$3)*1.3,0)),"-")</f>
        <v>-</v>
      </c>
      <c r="O131" s="55" t="str">
        <f>IF($J131=O$3,IF(O$3&gt;$I130,"-",ROUNDUP(Ld_cal($B130, $C130, $D130, $G130,$E130, $F130, $H130, O$3)*1.3,0)),"-")</f>
        <v>-</v>
      </c>
      <c r="P131" s="55" t="str">
        <f>IF($J131=P$3,IF(P$3&gt;$I130,"-",ROUNDUP(Ld_cal($B130, $C130, $D130, $G130,$E130, $F130, $H130, P$3)*1.3,0)),"-")</f>
        <v>-</v>
      </c>
      <c r="Q131" s="55" t="str">
        <f>IF($J131=Q$3,IF(Q$3&gt;$I130,"-",ROUNDUP(Ld_cal($B130, $C130, $D130, $G130,$E130, $F130, $H130, Q$3)*1.3,0)),"-")</f>
        <v>-</v>
      </c>
      <c r="R131" s="55" t="str">
        <f>IF($J131=R$3,IF(R$3&gt;$I130,"-",ROUNDUP(Ld_cal($B130, $C130, $D130, $G130,$E130, $F130, $H130, R$3)*1.3,0)),"-")</f>
        <v>-</v>
      </c>
      <c r="S131" s="55" t="str">
        <f>IF($J131=S$3,IF(S$3&gt;$I130,"-",ROUNDUP(Ld_cal($B130, $C130, $D130, $G130,$E130, $F130, $H130, S$3)*1.3,0)),"-")</f>
        <v>-</v>
      </c>
      <c r="T131" s="55" t="str">
        <f>IF($J131=T$3,IF(T$3&gt;$I130,"-",ROUNDUP(Ld_cal($B130, $C130, $D130, $G130,$E130, $F130, $H130, T$3)*1.3,0)),"-")</f>
        <v>-</v>
      </c>
      <c r="U131" s="55" t="str">
        <f>IF($J131=U$3,IF(U$3&gt;$I130,"-",ROUNDUP(Ld_cal($B130, $C130, $D130, $G130,$E130, $F130, $H130, U$3)*1.3,0)),"-")</f>
        <v>-</v>
      </c>
      <c r="V131" s="55" t="str">
        <f>IF($J131=V$3,IF(V$3&gt;$I130,"-",ROUNDUP(Ld_cal($B130, $C130, $D130, $G130,$E130, $F130, $H130, V$3)*1.3,0)),"-")</f>
        <v>-</v>
      </c>
      <c r="W131" s="55">
        <f>IF($J131=W$3,IF(W$3&gt;$I130,"-",ROUNDUP(Ld_cal($B130, $C130, $D130, $G130,$E130, $F130, $H130, W$3)*1.3,0)),"-")</f>
        <v>155</v>
      </c>
      <c r="X131" s="55" t="str">
        <f>IF($J131=X$3,IF(X$3&gt;$I130,"-",ROUNDUP(Ld_cal($B130, $C130, $D130, $G130,$E130, $F130, $H130, X$3)*1.3,0)),"-")</f>
        <v>-</v>
      </c>
      <c r="Y131" s="55" t="str">
        <f>IF($J131=Y$3,IF(Y$3&gt;$I130,"-",ROUNDUP(Ld_cal($B130, $C130, $D130, $G130,$E130, $F130, $H130, Y$3)*1.3,0)),"-")</f>
        <v>-</v>
      </c>
      <c r="Z131" s="55" t="str">
        <f>IF($J131=Z$3,IF(Z$3&gt;$I130,"-",ROUNDUP(Ld_cal($B130, $C130, $D130, $G130,$E130, $F130, $H130, Z$3)*1.3,0)),"-")</f>
        <v>-</v>
      </c>
      <c r="AA131" s="55" t="str">
        <f>IF($J131=AA$3,IF(AA$3&gt;$I130,"-",ROUNDUP(Ld_cal($B130, $C130, $D130, $G130,$E130, $F130, $H130, AA$3)*1.3,0)),"-")</f>
        <v>-</v>
      </c>
      <c r="AB131" s="55" t="str">
        <f>IF($J131=AB$3,IF(AB$3&gt;$I130,"-",ROUNDUP(Ld_cal($B130, $C130, $D130, $G130,$E130, $F130, $H130, AB$3)*1.3,0)),"-")</f>
        <v>-</v>
      </c>
      <c r="AC131" s="55" t="str">
        <f>IF($J131=AC$3,IF(AC$3&gt;$I130,"-",ROUNDUP(Ld_cal($B130, $C130, $D130, $G130,$E130, $F130, $H130, AC$3)*1.3,0)),"-")</f>
        <v>-</v>
      </c>
      <c r="AD131" s="55">
        <f t="shared" ref="AD131" si="125">IF(J131&gt;I130,"依標準圖",MAX(L131:AC131))</f>
        <v>155</v>
      </c>
    </row>
    <row r="132" spans="1:30">
      <c r="A132" s="112" t="s">
        <v>111</v>
      </c>
      <c r="B132" s="107">
        <v>120</v>
      </c>
      <c r="C132" s="108">
        <v>7.5</v>
      </c>
      <c r="D132" s="107">
        <v>4200</v>
      </c>
      <c r="E132" s="109">
        <v>16</v>
      </c>
      <c r="F132" s="110">
        <v>10</v>
      </c>
      <c r="G132" s="107">
        <v>350</v>
      </c>
      <c r="H132" s="109">
        <v>32</v>
      </c>
      <c r="I132" s="111">
        <f>ROUNDDOWN(($B132-2*$C132-2*$E132/10-$H132/10)/(($D$1+1)*$H132/10),0)+1</f>
        <v>16</v>
      </c>
      <c r="J132" s="58">
        <v>16</v>
      </c>
      <c r="K132" s="40" t="s">
        <v>30</v>
      </c>
      <c r="L132" s="56" t="str">
        <f>IF($J132=L$3,IF(L$3&gt;$I132,"-",ROUNDUP(Ld_cal($B132, $C132, $D132, $G132,$E132, $F132, $H132, L$3)*1.3*1.3,0)),"-")</f>
        <v>-</v>
      </c>
      <c r="M132" s="56" t="str">
        <f>IF($J132=M$3,IF(M$3&gt;$I132,"-",ROUNDUP(Ld_cal($B132, $C132, $D132, $G132,$E132, $F132, $H132, M$3)*1.3*1.3,0)),"-")</f>
        <v>-</v>
      </c>
      <c r="N132" s="56" t="str">
        <f>IF($J132=N$3,IF(N$3&gt;$I132,"-",ROUNDUP(Ld_cal($B132, $C132, $D132, $G132,$E132, $F132, $H132, N$3)*1.3*1.3,0)),"-")</f>
        <v>-</v>
      </c>
      <c r="O132" s="56" t="str">
        <f>IF($J132=O$3,IF(O$3&gt;$I132,"-",ROUNDUP(Ld_cal($B132, $C132, $D132, $G132,$E132, $F132, $H132, O$3)*1.3*1.3,0)),"-")</f>
        <v>-</v>
      </c>
      <c r="P132" s="56" t="str">
        <f>IF($J132=P$3,IF(P$3&gt;$I132,"-",ROUNDUP(Ld_cal($B132, $C132, $D132, $G132,$E132, $F132, $H132, P$3)*1.3*1.3,0)),"-")</f>
        <v>-</v>
      </c>
      <c r="Q132" s="56" t="str">
        <f>IF($J132=Q$3,IF(Q$3&gt;$I132,"-",ROUNDUP(Ld_cal($B132, $C132, $D132, $G132,$E132, $F132, $H132, Q$3)*1.3*1.3,0)),"-")</f>
        <v>-</v>
      </c>
      <c r="R132" s="56" t="str">
        <f>IF($J132=R$3,IF(R$3&gt;$I132,"-",ROUNDUP(Ld_cal($B132, $C132, $D132, $G132,$E132, $F132, $H132, R$3)*1.3*1.3,0)),"-")</f>
        <v>-</v>
      </c>
      <c r="S132" s="56" t="str">
        <f>IF($J132=S$3,IF(S$3&gt;$I132,"-",ROUNDUP(Ld_cal($B132, $C132, $D132, $G132,$E132, $F132, $H132, S$3)*1.3*1.3,0)),"-")</f>
        <v>-</v>
      </c>
      <c r="T132" s="56" t="str">
        <f>IF($J132=T$3,IF(T$3&gt;$I132,"-",ROUNDUP(Ld_cal($B132, $C132, $D132, $G132,$E132, $F132, $H132, T$3)*1.3*1.3,0)),"-")</f>
        <v>-</v>
      </c>
      <c r="U132" s="56" t="str">
        <f>IF($J132=U$3,IF(U$3&gt;$I132,"-",ROUNDUP(Ld_cal($B132, $C132, $D132, $G132,$E132, $F132, $H132, U$3)*1.3*1.3,0)),"-")</f>
        <v>-</v>
      </c>
      <c r="V132" s="56" t="str">
        <f>IF($J132=V$3,IF(V$3&gt;$I132,"-",ROUNDUP(Ld_cal($B132, $C132, $D132, $G132,$E132, $F132, $H132, V$3)*1.3*1.3,0)),"-")</f>
        <v>-</v>
      </c>
      <c r="W132" s="56" t="str">
        <f>IF($J132=W$3,IF(W$3&gt;$I132,"-",ROUNDUP(Ld_cal($B132, $C132, $D132, $G132,$E132, $F132, $H132, W$3)*1.3*1.3,0)),"-")</f>
        <v>-</v>
      </c>
      <c r="X132" s="56" t="str">
        <f>IF($J132=X$3,IF(X$3&gt;$I132,"-",ROUNDUP(Ld_cal($B132, $C132, $D132, $G132,$E132, $F132, $H132, X$3)*1.3*1.3,0)),"-")</f>
        <v>-</v>
      </c>
      <c r="Y132" s="56">
        <f>IF($J132=Y$3,IF(Y$3&gt;$I132,"-",ROUNDUP(Ld_cal($B132, $C132, $D132, $G132,$E132, $F132, $H132, Y$3)*1.3*1.3,0)),"-")</f>
        <v>254</v>
      </c>
      <c r="Z132" s="56" t="str">
        <f>IF($J132=Z$3,IF(Z$3&gt;$I132,"-",ROUNDUP(Ld_cal($B132, $C132, $D132, $G132,$E132, $F132, $H132, Z$3)*1.3*1.3,0)),"-")</f>
        <v>-</v>
      </c>
      <c r="AA132" s="56" t="str">
        <f>IF($J132=AA$3,IF(AA$3&gt;$I132,"-",ROUNDUP(Ld_cal($B132, $C132, $D132, $G132,$E132, $F132, $H132, AA$3)*1.3*1.3,0)),"-")</f>
        <v>-</v>
      </c>
      <c r="AB132" s="56" t="str">
        <f>IF($J132=AB$3,IF(AB$3&gt;$I132,"-",ROUNDUP(Ld_cal($B132, $C132, $D132, $G132,$E132, $F132, $H132, AB$3)*1.3*1.3,0)),"-")</f>
        <v>-</v>
      </c>
      <c r="AC132" s="56" t="str">
        <f>IF($J132=AC$3,IF(AC$3&gt;$I132,"-",ROUNDUP(Ld_cal($B132, $C132, $D132, $G132,$E132, $F132, $H132, AC$3)*1.3*1.3,0)),"-")</f>
        <v>-</v>
      </c>
      <c r="AD132" s="56">
        <f t="shared" ref="AD132" si="126">IF(J132&gt;I132,"依標準圖",MAX(L132:AC132))</f>
        <v>254</v>
      </c>
    </row>
    <row r="133" spans="1:30">
      <c r="A133" s="112"/>
      <c r="B133" s="107"/>
      <c r="C133" s="108"/>
      <c r="D133" s="107"/>
      <c r="E133" s="109"/>
      <c r="F133" s="110"/>
      <c r="G133" s="107"/>
      <c r="H133" s="109"/>
      <c r="I133" s="111"/>
      <c r="J133" s="58">
        <v>14</v>
      </c>
      <c r="K133" s="40" t="s">
        <v>29</v>
      </c>
      <c r="L133" s="56" t="str">
        <f>IF($J133=L$3,IF(L$3&gt;$I132,"-",ROUNDUP(Ld_cal($B132, $C132, $D132, $G132,$E132, $F132, $H132, L$3)*1.3,0)),"-")</f>
        <v>-</v>
      </c>
      <c r="M133" s="56" t="str">
        <f>IF($J133=M$3,IF(M$3&gt;$I132,"-",ROUNDUP(Ld_cal($B132, $C132, $D132, $G132,$E132, $F132, $H132, M$3)*1.3,0)),"-")</f>
        <v>-</v>
      </c>
      <c r="N133" s="56" t="str">
        <f>IF($J133=N$3,IF(N$3&gt;$I132,"-",ROUNDUP(Ld_cal($B132, $C132, $D132, $G132,$E132, $F132, $H132, N$3)*1.3,0)),"-")</f>
        <v>-</v>
      </c>
      <c r="O133" s="56" t="str">
        <f>IF($J133=O$3,IF(O$3&gt;$I132,"-",ROUNDUP(Ld_cal($B132, $C132, $D132, $G132,$E132, $F132, $H132, O$3)*1.3,0)),"-")</f>
        <v>-</v>
      </c>
      <c r="P133" s="56" t="str">
        <f>IF($J133=P$3,IF(P$3&gt;$I132,"-",ROUNDUP(Ld_cal($B132, $C132, $D132, $G132,$E132, $F132, $H132, P$3)*1.3,0)),"-")</f>
        <v>-</v>
      </c>
      <c r="Q133" s="56" t="str">
        <f>IF($J133=Q$3,IF(Q$3&gt;$I132,"-",ROUNDUP(Ld_cal($B132, $C132, $D132, $G132,$E132, $F132, $H132, Q$3)*1.3,0)),"-")</f>
        <v>-</v>
      </c>
      <c r="R133" s="56" t="str">
        <f>IF($J133=R$3,IF(R$3&gt;$I132,"-",ROUNDUP(Ld_cal($B132, $C132, $D132, $G132,$E132, $F132, $H132, R$3)*1.3,0)),"-")</f>
        <v>-</v>
      </c>
      <c r="S133" s="56" t="str">
        <f>IF($J133=S$3,IF(S$3&gt;$I132,"-",ROUNDUP(Ld_cal($B132, $C132, $D132, $G132,$E132, $F132, $H132, S$3)*1.3,0)),"-")</f>
        <v>-</v>
      </c>
      <c r="T133" s="56" t="str">
        <f>IF($J133=T$3,IF(T$3&gt;$I132,"-",ROUNDUP(Ld_cal($B132, $C132, $D132, $G132,$E132, $F132, $H132, T$3)*1.3,0)),"-")</f>
        <v>-</v>
      </c>
      <c r="U133" s="56" t="str">
        <f>IF($J133=U$3,IF(U$3&gt;$I132,"-",ROUNDUP(Ld_cal($B132, $C132, $D132, $G132,$E132, $F132, $H132, U$3)*1.3,0)),"-")</f>
        <v>-</v>
      </c>
      <c r="V133" s="56" t="str">
        <f>IF($J133=V$3,IF(V$3&gt;$I132,"-",ROUNDUP(Ld_cal($B132, $C132, $D132, $G132,$E132, $F132, $H132, V$3)*1.3,0)),"-")</f>
        <v>-</v>
      </c>
      <c r="W133" s="56">
        <f>IF($J133=W$3,IF(W$3&gt;$I132,"-",ROUNDUP(Ld_cal($B132, $C132, $D132, $G132,$E132, $F132, $H132, W$3)*1.3,0)),"-")</f>
        <v>170</v>
      </c>
      <c r="X133" s="56" t="str">
        <f>IF($J133=X$3,IF(X$3&gt;$I132,"-",ROUNDUP(Ld_cal($B132, $C132, $D132, $G132,$E132, $F132, $H132, X$3)*1.3,0)),"-")</f>
        <v>-</v>
      </c>
      <c r="Y133" s="56" t="str">
        <f>IF($J133=Y$3,IF(Y$3&gt;$I132,"-",ROUNDUP(Ld_cal($B132, $C132, $D132, $G132,$E132, $F132, $H132, Y$3)*1.3,0)),"-")</f>
        <v>-</v>
      </c>
      <c r="Z133" s="56" t="str">
        <f>IF($J133=Z$3,IF(Z$3&gt;$I132,"-",ROUNDUP(Ld_cal($B132, $C132, $D132, $G132,$E132, $F132, $H132, Z$3)*1.3,0)),"-")</f>
        <v>-</v>
      </c>
      <c r="AA133" s="56" t="str">
        <f>IF($J133=AA$3,IF(AA$3&gt;$I132,"-",ROUNDUP(Ld_cal($B132, $C132, $D132, $G132,$E132, $F132, $H132, AA$3)*1.3,0)),"-")</f>
        <v>-</v>
      </c>
      <c r="AB133" s="56" t="str">
        <f>IF($J133=AB$3,IF(AB$3&gt;$I132,"-",ROUNDUP(Ld_cal($B132, $C132, $D132, $G132,$E132, $F132, $H132, AB$3)*1.3,0)),"-")</f>
        <v>-</v>
      </c>
      <c r="AC133" s="56" t="str">
        <f>IF($J133=AC$3,IF(AC$3&gt;$I132,"-",ROUNDUP(Ld_cal($B132, $C132, $D132, $G132,$E132, $F132, $H132, AC$3)*1.3,0)),"-")</f>
        <v>-</v>
      </c>
      <c r="AD133" s="56">
        <f t="shared" ref="AD133" si="127">IF(J133&gt;I132,"依標準圖",MAX(L133:AC133))</f>
        <v>170</v>
      </c>
    </row>
    <row r="134" spans="1:30">
      <c r="A134" s="113" t="s">
        <v>112</v>
      </c>
      <c r="B134" s="99">
        <v>120</v>
      </c>
      <c r="C134" s="100">
        <v>7.5</v>
      </c>
      <c r="D134" s="101">
        <v>4200</v>
      </c>
      <c r="E134" s="102">
        <v>16</v>
      </c>
      <c r="F134" s="103">
        <v>14</v>
      </c>
      <c r="G134" s="101">
        <v>350</v>
      </c>
      <c r="H134" s="102">
        <v>32</v>
      </c>
      <c r="I134" s="104">
        <f>ROUNDDOWN(($B134-2*$C134-2*$E134/10-$H134/10)/(($D$1+1)*$H134/10),0)+1</f>
        <v>16</v>
      </c>
      <c r="J134" s="57">
        <v>11</v>
      </c>
      <c r="K134" s="59" t="s">
        <v>30</v>
      </c>
      <c r="L134" s="55" t="str">
        <f>IF($J134=L$3,IF(L$3&gt;$I134,"-",ROUNDUP(Ld_cal($B134, $C134, $D134, $G134,$E134, $F134, $H134, L$3)*1.3*1.3,0)),"-")</f>
        <v>-</v>
      </c>
      <c r="M134" s="55" t="str">
        <f>IF($J134=M$3,IF(M$3&gt;$I134,"-",ROUNDUP(Ld_cal($B134, $C134, $D134, $G134,$E134, $F134, $H134, M$3)*1.3*1.3,0)),"-")</f>
        <v>-</v>
      </c>
      <c r="N134" s="55" t="str">
        <f>IF($J134=N$3,IF(N$3&gt;$I134,"-",ROUNDUP(Ld_cal($B134, $C134, $D134, $G134,$E134, $F134, $H134, N$3)*1.3*1.3,0)),"-")</f>
        <v>-</v>
      </c>
      <c r="O134" s="55" t="str">
        <f>IF($J134=O$3,IF(O$3&gt;$I134,"-",ROUNDUP(Ld_cal($B134, $C134, $D134, $G134,$E134, $F134, $H134, O$3)*1.3*1.3,0)),"-")</f>
        <v>-</v>
      </c>
      <c r="P134" s="55" t="str">
        <f>IF($J134=P$3,IF(P$3&gt;$I134,"-",ROUNDUP(Ld_cal($B134, $C134, $D134, $G134,$E134, $F134, $H134, P$3)*1.3*1.3,0)),"-")</f>
        <v>-</v>
      </c>
      <c r="Q134" s="55" t="str">
        <f>IF($J134=Q$3,IF(Q$3&gt;$I134,"-",ROUNDUP(Ld_cal($B134, $C134, $D134, $G134,$E134, $F134, $H134, Q$3)*1.3*1.3,0)),"-")</f>
        <v>-</v>
      </c>
      <c r="R134" s="55" t="str">
        <f>IF($J134=R$3,IF(R$3&gt;$I134,"-",ROUNDUP(Ld_cal($B134, $C134, $D134, $G134,$E134, $F134, $H134, R$3)*1.3*1.3,0)),"-")</f>
        <v>-</v>
      </c>
      <c r="S134" s="55" t="str">
        <f>IF($J134=S$3,IF(S$3&gt;$I134,"-",ROUNDUP(Ld_cal($B134, $C134, $D134, $G134,$E134, $F134, $H134, S$3)*1.3*1.3,0)),"-")</f>
        <v>-</v>
      </c>
      <c r="T134" s="55">
        <f>IF($J134=T$3,IF(T$3&gt;$I134,"-",ROUNDUP(Ld_cal($B134, $C134, $D134, $G134,$E134, $F134, $H134, T$3)*1.3*1.3,0)),"-")</f>
        <v>183</v>
      </c>
      <c r="U134" s="55" t="str">
        <f>IF($J134=U$3,IF(U$3&gt;$I134,"-",ROUNDUP(Ld_cal($B134, $C134, $D134, $G134,$E134, $F134, $H134, U$3)*1.3*1.3,0)),"-")</f>
        <v>-</v>
      </c>
      <c r="V134" s="55" t="str">
        <f>IF($J134=V$3,IF(V$3&gt;$I134,"-",ROUNDUP(Ld_cal($B134, $C134, $D134, $G134,$E134, $F134, $H134, V$3)*1.3*1.3,0)),"-")</f>
        <v>-</v>
      </c>
      <c r="W134" s="55" t="str">
        <f>IF($J134=W$3,IF(W$3&gt;$I134,"-",ROUNDUP(Ld_cal($B134, $C134, $D134, $G134,$E134, $F134, $H134, W$3)*1.3*1.3,0)),"-")</f>
        <v>-</v>
      </c>
      <c r="X134" s="55" t="str">
        <f>IF($J134=X$3,IF(X$3&gt;$I134,"-",ROUNDUP(Ld_cal($B134, $C134, $D134, $G134,$E134, $F134, $H134, X$3)*1.3*1.3,0)),"-")</f>
        <v>-</v>
      </c>
      <c r="Y134" s="55" t="str">
        <f>IF($J134=Y$3,IF(Y$3&gt;$I134,"-",ROUNDUP(Ld_cal($B134, $C134, $D134, $G134,$E134, $F134, $H134, Y$3)*1.3*1.3,0)),"-")</f>
        <v>-</v>
      </c>
      <c r="Z134" s="55" t="str">
        <f>IF($J134=Z$3,IF(Z$3&gt;$I134,"-",ROUNDUP(Ld_cal($B134, $C134, $D134, $G134,$E134, $F134, $H134, Z$3)*1.3*1.3,0)),"-")</f>
        <v>-</v>
      </c>
      <c r="AA134" s="55" t="str">
        <f>IF($J134=AA$3,IF(AA$3&gt;$I134,"-",ROUNDUP(Ld_cal($B134, $C134, $D134, $G134,$E134, $F134, $H134, AA$3)*1.3*1.3,0)),"-")</f>
        <v>-</v>
      </c>
      <c r="AB134" s="55" t="str">
        <f>IF($J134=AB$3,IF(AB$3&gt;$I134,"-",ROUNDUP(Ld_cal($B134, $C134, $D134, $G134,$E134, $F134, $H134, AB$3)*1.3*1.3,0)),"-")</f>
        <v>-</v>
      </c>
      <c r="AC134" s="55" t="str">
        <f>IF($J134=AC$3,IF(AC$3&gt;$I134,"-",ROUNDUP(Ld_cal($B134, $C134, $D134, $G134,$E134, $F134, $H134, AC$3)*1.3*1.3,0)),"-")</f>
        <v>-</v>
      </c>
      <c r="AD134" s="55">
        <f t="shared" ref="AD134" si="128">IF(J134&gt;I134,"依標準圖",MAX(L134:AC134))</f>
        <v>183</v>
      </c>
    </row>
    <row r="135" spans="1:30">
      <c r="A135" s="113"/>
      <c r="B135" s="99"/>
      <c r="C135" s="100"/>
      <c r="D135" s="101"/>
      <c r="E135" s="102"/>
      <c r="F135" s="103"/>
      <c r="G135" s="101"/>
      <c r="H135" s="102"/>
      <c r="I135" s="104"/>
      <c r="J135" s="57">
        <v>9</v>
      </c>
      <c r="K135" s="59" t="s">
        <v>29</v>
      </c>
      <c r="L135" s="55" t="str">
        <f>IF($J135=L$3,IF(L$3&gt;$I134,"-",ROUNDUP(Ld_cal($B134, $C134, $D134, $G134,$E134, $F134, $H134, L$3)*1.3,0)),"-")</f>
        <v>-</v>
      </c>
      <c r="M135" s="55" t="str">
        <f>IF($J135=M$3,IF(M$3&gt;$I134,"-",ROUNDUP(Ld_cal($B134, $C134, $D134, $G134,$E134, $F134, $H134, M$3)*1.3,0)),"-")</f>
        <v>-</v>
      </c>
      <c r="N135" s="55" t="str">
        <f>IF($J135=N$3,IF(N$3&gt;$I134,"-",ROUNDUP(Ld_cal($B134, $C134, $D134, $G134,$E134, $F134, $H134, N$3)*1.3,0)),"-")</f>
        <v>-</v>
      </c>
      <c r="O135" s="55" t="str">
        <f>IF($J135=O$3,IF(O$3&gt;$I134,"-",ROUNDUP(Ld_cal($B134, $C134, $D134, $G134,$E134, $F134, $H134, O$3)*1.3,0)),"-")</f>
        <v>-</v>
      </c>
      <c r="P135" s="55" t="str">
        <f>IF($J135=P$3,IF(P$3&gt;$I134,"-",ROUNDUP(Ld_cal($B134, $C134, $D134, $G134,$E134, $F134, $H134, P$3)*1.3,0)),"-")</f>
        <v>-</v>
      </c>
      <c r="Q135" s="55" t="str">
        <f>IF($J135=Q$3,IF(Q$3&gt;$I134,"-",ROUNDUP(Ld_cal($B134, $C134, $D134, $G134,$E134, $F134, $H134, Q$3)*1.3,0)),"-")</f>
        <v>-</v>
      </c>
      <c r="R135" s="55">
        <f>IF($J135=R$3,IF(R$3&gt;$I134,"-",ROUNDUP(Ld_cal($B134, $C134, $D134, $G134,$E134, $F134, $H134, R$3)*1.3,0)),"-")</f>
        <v>113</v>
      </c>
      <c r="S135" s="55" t="str">
        <f>IF($J135=S$3,IF(S$3&gt;$I134,"-",ROUNDUP(Ld_cal($B134, $C134, $D134, $G134,$E134, $F134, $H134, S$3)*1.3,0)),"-")</f>
        <v>-</v>
      </c>
      <c r="T135" s="55" t="str">
        <f>IF($J135=T$3,IF(T$3&gt;$I134,"-",ROUNDUP(Ld_cal($B134, $C134, $D134, $G134,$E134, $F134, $H134, T$3)*1.3,0)),"-")</f>
        <v>-</v>
      </c>
      <c r="U135" s="55" t="str">
        <f>IF($J135=U$3,IF(U$3&gt;$I134,"-",ROUNDUP(Ld_cal($B134, $C134, $D134, $G134,$E134, $F134, $H134, U$3)*1.3,0)),"-")</f>
        <v>-</v>
      </c>
      <c r="V135" s="55" t="str">
        <f>IF($J135=V$3,IF(V$3&gt;$I134,"-",ROUNDUP(Ld_cal($B134, $C134, $D134, $G134,$E134, $F134, $H134, V$3)*1.3,0)),"-")</f>
        <v>-</v>
      </c>
      <c r="W135" s="55" t="str">
        <f>IF($J135=W$3,IF(W$3&gt;$I134,"-",ROUNDUP(Ld_cal($B134, $C134, $D134, $G134,$E134, $F134, $H134, W$3)*1.3,0)),"-")</f>
        <v>-</v>
      </c>
      <c r="X135" s="55" t="str">
        <f>IF($J135=X$3,IF(X$3&gt;$I134,"-",ROUNDUP(Ld_cal($B134, $C134, $D134, $G134,$E134, $F134, $H134, X$3)*1.3,0)),"-")</f>
        <v>-</v>
      </c>
      <c r="Y135" s="55" t="str">
        <f>IF($J135=Y$3,IF(Y$3&gt;$I134,"-",ROUNDUP(Ld_cal($B134, $C134, $D134, $G134,$E134, $F134, $H134, Y$3)*1.3,0)),"-")</f>
        <v>-</v>
      </c>
      <c r="Z135" s="55" t="str">
        <f>IF($J135=Z$3,IF(Z$3&gt;$I134,"-",ROUNDUP(Ld_cal($B134, $C134, $D134, $G134,$E134, $F134, $H134, Z$3)*1.3,0)),"-")</f>
        <v>-</v>
      </c>
      <c r="AA135" s="55" t="str">
        <f>IF($J135=AA$3,IF(AA$3&gt;$I134,"-",ROUNDUP(Ld_cal($B134, $C134, $D134, $G134,$E134, $F134, $H134, AA$3)*1.3,0)),"-")</f>
        <v>-</v>
      </c>
      <c r="AB135" s="55" t="str">
        <f>IF($J135=AB$3,IF(AB$3&gt;$I134,"-",ROUNDUP(Ld_cal($B134, $C134, $D134, $G134,$E134, $F134, $H134, AB$3)*1.3,0)),"-")</f>
        <v>-</v>
      </c>
      <c r="AC135" s="55" t="str">
        <f>IF($J135=AC$3,IF(AC$3&gt;$I134,"-",ROUNDUP(Ld_cal($B134, $C134, $D134, $G134,$E134, $F134, $H134, AC$3)*1.3,0)),"-")</f>
        <v>-</v>
      </c>
      <c r="AD135" s="55">
        <f t="shared" ref="AD135" si="129">IF(J135&gt;I134,"依標準圖",MAX(L135:AC135))</f>
        <v>113</v>
      </c>
    </row>
    <row r="136" spans="1:30">
      <c r="A136" s="112" t="s">
        <v>113</v>
      </c>
      <c r="B136" s="107">
        <v>120</v>
      </c>
      <c r="C136" s="108">
        <v>7.5</v>
      </c>
      <c r="D136" s="107">
        <v>4200</v>
      </c>
      <c r="E136" s="109">
        <v>16</v>
      </c>
      <c r="F136" s="110">
        <v>10</v>
      </c>
      <c r="G136" s="107">
        <v>350</v>
      </c>
      <c r="H136" s="109">
        <v>32</v>
      </c>
      <c r="I136" s="111">
        <f>ROUNDDOWN(($B136-2*$C136-2*$E136/10-$H136/10)/(($D$1+1)*$H136/10),0)+1</f>
        <v>16</v>
      </c>
      <c r="J136" s="58">
        <v>16</v>
      </c>
      <c r="K136" s="40" t="s">
        <v>30</v>
      </c>
      <c r="L136" s="56" t="str">
        <f>IF($J136=L$3,IF(L$3&gt;$I136,"-",ROUNDUP(Ld_cal($B136, $C136, $D136, $G136,$E136, $F136, $H136, L$3)*1.3*1.3,0)),"-")</f>
        <v>-</v>
      </c>
      <c r="M136" s="56" t="str">
        <f>IF($J136=M$3,IF(M$3&gt;$I136,"-",ROUNDUP(Ld_cal($B136, $C136, $D136, $G136,$E136, $F136, $H136, M$3)*1.3*1.3,0)),"-")</f>
        <v>-</v>
      </c>
      <c r="N136" s="56" t="str">
        <f>IF($J136=N$3,IF(N$3&gt;$I136,"-",ROUNDUP(Ld_cal($B136, $C136, $D136, $G136,$E136, $F136, $H136, N$3)*1.3*1.3,0)),"-")</f>
        <v>-</v>
      </c>
      <c r="O136" s="56" t="str">
        <f>IF($J136=O$3,IF(O$3&gt;$I136,"-",ROUNDUP(Ld_cal($B136, $C136, $D136, $G136,$E136, $F136, $H136, O$3)*1.3*1.3,0)),"-")</f>
        <v>-</v>
      </c>
      <c r="P136" s="56" t="str">
        <f>IF($J136=P$3,IF(P$3&gt;$I136,"-",ROUNDUP(Ld_cal($B136, $C136, $D136, $G136,$E136, $F136, $H136, P$3)*1.3*1.3,0)),"-")</f>
        <v>-</v>
      </c>
      <c r="Q136" s="56" t="str">
        <f>IF($J136=Q$3,IF(Q$3&gt;$I136,"-",ROUNDUP(Ld_cal($B136, $C136, $D136, $G136,$E136, $F136, $H136, Q$3)*1.3*1.3,0)),"-")</f>
        <v>-</v>
      </c>
      <c r="R136" s="56" t="str">
        <f>IF($J136=R$3,IF(R$3&gt;$I136,"-",ROUNDUP(Ld_cal($B136, $C136, $D136, $G136,$E136, $F136, $H136, R$3)*1.3*1.3,0)),"-")</f>
        <v>-</v>
      </c>
      <c r="S136" s="56" t="str">
        <f>IF($J136=S$3,IF(S$3&gt;$I136,"-",ROUNDUP(Ld_cal($B136, $C136, $D136, $G136,$E136, $F136, $H136, S$3)*1.3*1.3,0)),"-")</f>
        <v>-</v>
      </c>
      <c r="T136" s="56" t="str">
        <f>IF($J136=T$3,IF(T$3&gt;$I136,"-",ROUNDUP(Ld_cal($B136, $C136, $D136, $G136,$E136, $F136, $H136, T$3)*1.3*1.3,0)),"-")</f>
        <v>-</v>
      </c>
      <c r="U136" s="56" t="str">
        <f>IF($J136=U$3,IF(U$3&gt;$I136,"-",ROUNDUP(Ld_cal($B136, $C136, $D136, $G136,$E136, $F136, $H136, U$3)*1.3*1.3,0)),"-")</f>
        <v>-</v>
      </c>
      <c r="V136" s="56" t="str">
        <f>IF($J136=V$3,IF(V$3&gt;$I136,"-",ROUNDUP(Ld_cal($B136, $C136, $D136, $G136,$E136, $F136, $H136, V$3)*1.3*1.3,0)),"-")</f>
        <v>-</v>
      </c>
      <c r="W136" s="56" t="str">
        <f>IF($J136=W$3,IF(W$3&gt;$I136,"-",ROUNDUP(Ld_cal($B136, $C136, $D136, $G136,$E136, $F136, $H136, W$3)*1.3*1.3,0)),"-")</f>
        <v>-</v>
      </c>
      <c r="X136" s="56" t="str">
        <f>IF($J136=X$3,IF(X$3&gt;$I136,"-",ROUNDUP(Ld_cal($B136, $C136, $D136, $G136,$E136, $F136, $H136, X$3)*1.3*1.3,0)),"-")</f>
        <v>-</v>
      </c>
      <c r="Y136" s="56">
        <f>IF($J136=Y$3,IF(Y$3&gt;$I136,"-",ROUNDUP(Ld_cal($B136, $C136, $D136, $G136,$E136, $F136, $H136, Y$3)*1.3*1.3,0)),"-")</f>
        <v>254</v>
      </c>
      <c r="Z136" s="56" t="str">
        <f>IF($J136=Z$3,IF(Z$3&gt;$I136,"-",ROUNDUP(Ld_cal($B136, $C136, $D136, $G136,$E136, $F136, $H136, Z$3)*1.3*1.3,0)),"-")</f>
        <v>-</v>
      </c>
      <c r="AA136" s="56" t="str">
        <f>IF($J136=AA$3,IF(AA$3&gt;$I136,"-",ROUNDUP(Ld_cal($B136, $C136, $D136, $G136,$E136, $F136, $H136, AA$3)*1.3*1.3,0)),"-")</f>
        <v>-</v>
      </c>
      <c r="AB136" s="56" t="str">
        <f>IF($J136=AB$3,IF(AB$3&gt;$I136,"-",ROUNDUP(Ld_cal($B136, $C136, $D136, $G136,$E136, $F136, $H136, AB$3)*1.3*1.3,0)),"-")</f>
        <v>-</v>
      </c>
      <c r="AC136" s="56" t="str">
        <f>IF($J136=AC$3,IF(AC$3&gt;$I136,"-",ROUNDUP(Ld_cal($B136, $C136, $D136, $G136,$E136, $F136, $H136, AC$3)*1.3*1.3,0)),"-")</f>
        <v>-</v>
      </c>
      <c r="AD136" s="56">
        <f t="shared" ref="AD136" si="130">IF(J136&gt;I136,"依標準圖",MAX(L136:AC136))</f>
        <v>254</v>
      </c>
    </row>
    <row r="137" spans="1:30">
      <c r="A137" s="112"/>
      <c r="B137" s="107"/>
      <c r="C137" s="108"/>
      <c r="D137" s="107"/>
      <c r="E137" s="109"/>
      <c r="F137" s="110"/>
      <c r="G137" s="107"/>
      <c r="H137" s="109"/>
      <c r="I137" s="111"/>
      <c r="J137" s="58">
        <v>9</v>
      </c>
      <c r="K137" s="40" t="s">
        <v>29</v>
      </c>
      <c r="L137" s="56" t="str">
        <f>IF($J137=L$3,IF(L$3&gt;$I136,"-",ROUNDUP(Ld_cal($B136, $C136, $D136, $G136,$E136, $F136, $H136, L$3)*1.3,0)),"-")</f>
        <v>-</v>
      </c>
      <c r="M137" s="56" t="str">
        <f>IF($J137=M$3,IF(M$3&gt;$I136,"-",ROUNDUP(Ld_cal($B136, $C136, $D136, $G136,$E136, $F136, $H136, M$3)*1.3,0)),"-")</f>
        <v>-</v>
      </c>
      <c r="N137" s="56" t="str">
        <f>IF($J137=N$3,IF(N$3&gt;$I136,"-",ROUNDUP(Ld_cal($B136, $C136, $D136, $G136,$E136, $F136, $H136, N$3)*1.3,0)),"-")</f>
        <v>-</v>
      </c>
      <c r="O137" s="56" t="str">
        <f>IF($J137=O$3,IF(O$3&gt;$I136,"-",ROUNDUP(Ld_cal($B136, $C136, $D136, $G136,$E136, $F136, $H136, O$3)*1.3,0)),"-")</f>
        <v>-</v>
      </c>
      <c r="P137" s="56" t="str">
        <f>IF($J137=P$3,IF(P$3&gt;$I136,"-",ROUNDUP(Ld_cal($B136, $C136, $D136, $G136,$E136, $F136, $H136, P$3)*1.3,0)),"-")</f>
        <v>-</v>
      </c>
      <c r="Q137" s="56" t="str">
        <f>IF($J137=Q$3,IF(Q$3&gt;$I136,"-",ROUNDUP(Ld_cal($B136, $C136, $D136, $G136,$E136, $F136, $H136, Q$3)*1.3,0)),"-")</f>
        <v>-</v>
      </c>
      <c r="R137" s="56">
        <f>IF($J137=R$3,IF(R$3&gt;$I136,"-",ROUNDUP(Ld_cal($B136, $C136, $D136, $G136,$E136, $F136, $H136, R$3)*1.3,0)),"-")</f>
        <v>106</v>
      </c>
      <c r="S137" s="56" t="str">
        <f>IF($J137=S$3,IF(S$3&gt;$I136,"-",ROUNDUP(Ld_cal($B136, $C136, $D136, $G136,$E136, $F136, $H136, S$3)*1.3,0)),"-")</f>
        <v>-</v>
      </c>
      <c r="T137" s="56" t="str">
        <f>IF($J137=T$3,IF(T$3&gt;$I136,"-",ROUNDUP(Ld_cal($B136, $C136, $D136, $G136,$E136, $F136, $H136, T$3)*1.3,0)),"-")</f>
        <v>-</v>
      </c>
      <c r="U137" s="56" t="str">
        <f>IF($J137=U$3,IF(U$3&gt;$I136,"-",ROUNDUP(Ld_cal($B136, $C136, $D136, $G136,$E136, $F136, $H136, U$3)*1.3,0)),"-")</f>
        <v>-</v>
      </c>
      <c r="V137" s="56" t="str">
        <f>IF($J137=V$3,IF(V$3&gt;$I136,"-",ROUNDUP(Ld_cal($B136, $C136, $D136, $G136,$E136, $F136, $H136, V$3)*1.3,0)),"-")</f>
        <v>-</v>
      </c>
      <c r="W137" s="56" t="str">
        <f>IF($J137=W$3,IF(W$3&gt;$I136,"-",ROUNDUP(Ld_cal($B136, $C136, $D136, $G136,$E136, $F136, $H136, W$3)*1.3,0)),"-")</f>
        <v>-</v>
      </c>
      <c r="X137" s="56" t="str">
        <f>IF($J137=X$3,IF(X$3&gt;$I136,"-",ROUNDUP(Ld_cal($B136, $C136, $D136, $G136,$E136, $F136, $H136, X$3)*1.3,0)),"-")</f>
        <v>-</v>
      </c>
      <c r="Y137" s="56" t="str">
        <f>IF($J137=Y$3,IF(Y$3&gt;$I136,"-",ROUNDUP(Ld_cal($B136, $C136, $D136, $G136,$E136, $F136, $H136, Y$3)*1.3,0)),"-")</f>
        <v>-</v>
      </c>
      <c r="Z137" s="56" t="str">
        <f>IF($J137=Z$3,IF(Z$3&gt;$I136,"-",ROUNDUP(Ld_cal($B136, $C136, $D136, $G136,$E136, $F136, $H136, Z$3)*1.3,0)),"-")</f>
        <v>-</v>
      </c>
      <c r="AA137" s="56" t="str">
        <f>IF($J137=AA$3,IF(AA$3&gt;$I136,"-",ROUNDUP(Ld_cal($B136, $C136, $D136, $G136,$E136, $F136, $H136, AA$3)*1.3,0)),"-")</f>
        <v>-</v>
      </c>
      <c r="AB137" s="56" t="str">
        <f>IF($J137=AB$3,IF(AB$3&gt;$I136,"-",ROUNDUP(Ld_cal($B136, $C136, $D136, $G136,$E136, $F136, $H136, AB$3)*1.3,0)),"-")</f>
        <v>-</v>
      </c>
      <c r="AC137" s="56" t="str">
        <f>IF($J137=AC$3,IF(AC$3&gt;$I136,"-",ROUNDUP(Ld_cal($B136, $C136, $D136, $G136,$E136, $F136, $H136, AC$3)*1.3,0)),"-")</f>
        <v>-</v>
      </c>
      <c r="AD137" s="56">
        <f t="shared" ref="AD137" si="131">IF(J137&gt;I136,"依標準圖",MAX(L137:AC137))</f>
        <v>106</v>
      </c>
    </row>
    <row r="138" spans="1:30">
      <c r="A138" s="113" t="s">
        <v>114</v>
      </c>
      <c r="B138" s="99">
        <v>120</v>
      </c>
      <c r="C138" s="100">
        <v>7.5</v>
      </c>
      <c r="D138" s="101">
        <v>4200</v>
      </c>
      <c r="E138" s="102">
        <v>16</v>
      </c>
      <c r="F138" s="103">
        <v>10</v>
      </c>
      <c r="G138" s="101">
        <v>350</v>
      </c>
      <c r="H138" s="102">
        <v>32</v>
      </c>
      <c r="I138" s="104">
        <f>ROUNDDOWN(($B138-2*$C138-2*$E138/10-$H138/10)/(($D$1+1)*$H138/10),0)+1</f>
        <v>16</v>
      </c>
      <c r="J138" s="57">
        <v>16</v>
      </c>
      <c r="K138" s="59" t="s">
        <v>30</v>
      </c>
      <c r="L138" s="55" t="str">
        <f>IF($J138=L$3,IF(L$3&gt;$I138,"-",ROUNDUP(Ld_cal($B138, $C138, $D138, $G138,$E138, $F138, $H138, L$3)*1.3*1.3,0)),"-")</f>
        <v>-</v>
      </c>
      <c r="M138" s="55" t="str">
        <f>IF($J138=M$3,IF(M$3&gt;$I138,"-",ROUNDUP(Ld_cal($B138, $C138, $D138, $G138,$E138, $F138, $H138, M$3)*1.3*1.3,0)),"-")</f>
        <v>-</v>
      </c>
      <c r="N138" s="55" t="str">
        <f>IF($J138=N$3,IF(N$3&gt;$I138,"-",ROUNDUP(Ld_cal($B138, $C138, $D138, $G138,$E138, $F138, $H138, N$3)*1.3*1.3,0)),"-")</f>
        <v>-</v>
      </c>
      <c r="O138" s="55" t="str">
        <f>IF($J138=O$3,IF(O$3&gt;$I138,"-",ROUNDUP(Ld_cal($B138, $C138, $D138, $G138,$E138, $F138, $H138, O$3)*1.3*1.3,0)),"-")</f>
        <v>-</v>
      </c>
      <c r="P138" s="55" t="str">
        <f>IF($J138=P$3,IF(P$3&gt;$I138,"-",ROUNDUP(Ld_cal($B138, $C138, $D138, $G138,$E138, $F138, $H138, P$3)*1.3*1.3,0)),"-")</f>
        <v>-</v>
      </c>
      <c r="Q138" s="55" t="str">
        <f>IF($J138=Q$3,IF(Q$3&gt;$I138,"-",ROUNDUP(Ld_cal($B138, $C138, $D138, $G138,$E138, $F138, $H138, Q$3)*1.3*1.3,0)),"-")</f>
        <v>-</v>
      </c>
      <c r="R138" s="55" t="str">
        <f>IF($J138=R$3,IF(R$3&gt;$I138,"-",ROUNDUP(Ld_cal($B138, $C138, $D138, $G138,$E138, $F138, $H138, R$3)*1.3*1.3,0)),"-")</f>
        <v>-</v>
      </c>
      <c r="S138" s="55" t="str">
        <f>IF($J138=S$3,IF(S$3&gt;$I138,"-",ROUNDUP(Ld_cal($B138, $C138, $D138, $G138,$E138, $F138, $H138, S$3)*1.3*1.3,0)),"-")</f>
        <v>-</v>
      </c>
      <c r="T138" s="55" t="str">
        <f>IF($J138=T$3,IF(T$3&gt;$I138,"-",ROUNDUP(Ld_cal($B138, $C138, $D138, $G138,$E138, $F138, $H138, T$3)*1.3*1.3,0)),"-")</f>
        <v>-</v>
      </c>
      <c r="U138" s="55" t="str">
        <f>IF($J138=U$3,IF(U$3&gt;$I138,"-",ROUNDUP(Ld_cal($B138, $C138, $D138, $G138,$E138, $F138, $H138, U$3)*1.3*1.3,0)),"-")</f>
        <v>-</v>
      </c>
      <c r="V138" s="55" t="str">
        <f>IF($J138=V$3,IF(V$3&gt;$I138,"-",ROUNDUP(Ld_cal($B138, $C138, $D138, $G138,$E138, $F138, $H138, V$3)*1.3*1.3,0)),"-")</f>
        <v>-</v>
      </c>
      <c r="W138" s="55" t="str">
        <f>IF($J138=W$3,IF(W$3&gt;$I138,"-",ROUNDUP(Ld_cal($B138, $C138, $D138, $G138,$E138, $F138, $H138, W$3)*1.3*1.3,0)),"-")</f>
        <v>-</v>
      </c>
      <c r="X138" s="55" t="str">
        <f>IF($J138=X$3,IF(X$3&gt;$I138,"-",ROUNDUP(Ld_cal($B138, $C138, $D138, $G138,$E138, $F138, $H138, X$3)*1.3*1.3,0)),"-")</f>
        <v>-</v>
      </c>
      <c r="Y138" s="55">
        <f>IF($J138=Y$3,IF(Y$3&gt;$I138,"-",ROUNDUP(Ld_cal($B138, $C138, $D138, $G138,$E138, $F138, $H138, Y$3)*1.3*1.3,0)),"-")</f>
        <v>254</v>
      </c>
      <c r="Z138" s="55" t="str">
        <f>IF($J138=Z$3,IF(Z$3&gt;$I138,"-",ROUNDUP(Ld_cal($B138, $C138, $D138, $G138,$E138, $F138, $H138, Z$3)*1.3*1.3,0)),"-")</f>
        <v>-</v>
      </c>
      <c r="AA138" s="55" t="str">
        <f>IF($J138=AA$3,IF(AA$3&gt;$I138,"-",ROUNDUP(Ld_cal($B138, $C138, $D138, $G138,$E138, $F138, $H138, AA$3)*1.3*1.3,0)),"-")</f>
        <v>-</v>
      </c>
      <c r="AB138" s="55" t="str">
        <f>IF($J138=AB$3,IF(AB$3&gt;$I138,"-",ROUNDUP(Ld_cal($B138, $C138, $D138, $G138,$E138, $F138, $H138, AB$3)*1.3*1.3,0)),"-")</f>
        <v>-</v>
      </c>
      <c r="AC138" s="55" t="str">
        <f>IF($J138=AC$3,IF(AC$3&gt;$I138,"-",ROUNDUP(Ld_cal($B138, $C138, $D138, $G138,$E138, $F138, $H138, AC$3)*1.3*1.3,0)),"-")</f>
        <v>-</v>
      </c>
      <c r="AD138" s="55">
        <f t="shared" ref="AD138" si="132">IF(J138&gt;I138,"依標準圖",MAX(L138:AC138))</f>
        <v>254</v>
      </c>
    </row>
    <row r="139" spans="1:30">
      <c r="A139" s="113"/>
      <c r="B139" s="99"/>
      <c r="C139" s="100"/>
      <c r="D139" s="101"/>
      <c r="E139" s="102"/>
      <c r="F139" s="103"/>
      <c r="G139" s="101"/>
      <c r="H139" s="102"/>
      <c r="I139" s="104"/>
      <c r="J139" s="57">
        <v>16</v>
      </c>
      <c r="K139" s="59" t="s">
        <v>29</v>
      </c>
      <c r="L139" s="55" t="str">
        <f>IF($J139=L$3,IF(L$3&gt;$I138,"-",ROUNDUP(Ld_cal($B138, $C138, $D138, $G138,$E138, $F138, $H138, L$3)*1.3,0)),"-")</f>
        <v>-</v>
      </c>
      <c r="M139" s="55" t="str">
        <f>IF($J139=M$3,IF(M$3&gt;$I138,"-",ROUNDUP(Ld_cal($B138, $C138, $D138, $G138,$E138, $F138, $H138, M$3)*1.3,0)),"-")</f>
        <v>-</v>
      </c>
      <c r="N139" s="55" t="str">
        <f>IF($J139=N$3,IF(N$3&gt;$I138,"-",ROUNDUP(Ld_cal($B138, $C138, $D138, $G138,$E138, $F138, $H138, N$3)*1.3,0)),"-")</f>
        <v>-</v>
      </c>
      <c r="O139" s="55" t="str">
        <f>IF($J139=O$3,IF(O$3&gt;$I138,"-",ROUNDUP(Ld_cal($B138, $C138, $D138, $G138,$E138, $F138, $H138, O$3)*1.3,0)),"-")</f>
        <v>-</v>
      </c>
      <c r="P139" s="55" t="str">
        <f>IF($J139=P$3,IF(P$3&gt;$I138,"-",ROUNDUP(Ld_cal($B138, $C138, $D138, $G138,$E138, $F138, $H138, P$3)*1.3,0)),"-")</f>
        <v>-</v>
      </c>
      <c r="Q139" s="55" t="str">
        <f>IF($J139=Q$3,IF(Q$3&gt;$I138,"-",ROUNDUP(Ld_cal($B138, $C138, $D138, $G138,$E138, $F138, $H138, Q$3)*1.3,0)),"-")</f>
        <v>-</v>
      </c>
      <c r="R139" s="55" t="str">
        <f>IF($J139=R$3,IF(R$3&gt;$I138,"-",ROUNDUP(Ld_cal($B138, $C138, $D138, $G138,$E138, $F138, $H138, R$3)*1.3,0)),"-")</f>
        <v>-</v>
      </c>
      <c r="S139" s="55" t="str">
        <f>IF($J139=S$3,IF(S$3&gt;$I138,"-",ROUNDUP(Ld_cal($B138, $C138, $D138, $G138,$E138, $F138, $H138, S$3)*1.3,0)),"-")</f>
        <v>-</v>
      </c>
      <c r="T139" s="55" t="str">
        <f>IF($J139=T$3,IF(T$3&gt;$I138,"-",ROUNDUP(Ld_cal($B138, $C138, $D138, $G138,$E138, $F138, $H138, T$3)*1.3,0)),"-")</f>
        <v>-</v>
      </c>
      <c r="U139" s="55" t="str">
        <f>IF($J139=U$3,IF(U$3&gt;$I138,"-",ROUNDUP(Ld_cal($B138, $C138, $D138, $G138,$E138, $F138, $H138, U$3)*1.3,0)),"-")</f>
        <v>-</v>
      </c>
      <c r="V139" s="55" t="str">
        <f>IF($J139=V$3,IF(V$3&gt;$I138,"-",ROUNDUP(Ld_cal($B138, $C138, $D138, $G138,$E138, $F138, $H138, V$3)*1.3,0)),"-")</f>
        <v>-</v>
      </c>
      <c r="W139" s="55" t="str">
        <f>IF($J139=W$3,IF(W$3&gt;$I138,"-",ROUNDUP(Ld_cal($B138, $C138, $D138, $G138,$E138, $F138, $H138, W$3)*1.3,0)),"-")</f>
        <v>-</v>
      </c>
      <c r="X139" s="55" t="str">
        <f>IF($J139=X$3,IF(X$3&gt;$I138,"-",ROUNDUP(Ld_cal($B138, $C138, $D138, $G138,$E138, $F138, $H138, X$3)*1.3,0)),"-")</f>
        <v>-</v>
      </c>
      <c r="Y139" s="55">
        <f>IF($J139=Y$3,IF(Y$3&gt;$I138,"-",ROUNDUP(Ld_cal($B138, $C138, $D138, $G138,$E138, $F138, $H138, Y$3)*1.3,0)),"-")</f>
        <v>195</v>
      </c>
      <c r="Z139" s="55" t="str">
        <f>IF($J139=Z$3,IF(Z$3&gt;$I138,"-",ROUNDUP(Ld_cal($B138, $C138, $D138, $G138,$E138, $F138, $H138, Z$3)*1.3,0)),"-")</f>
        <v>-</v>
      </c>
      <c r="AA139" s="55" t="str">
        <f>IF($J139=AA$3,IF(AA$3&gt;$I138,"-",ROUNDUP(Ld_cal($B138, $C138, $D138, $G138,$E138, $F138, $H138, AA$3)*1.3,0)),"-")</f>
        <v>-</v>
      </c>
      <c r="AB139" s="55" t="str">
        <f>IF($J139=AB$3,IF(AB$3&gt;$I138,"-",ROUNDUP(Ld_cal($B138, $C138, $D138, $G138,$E138, $F138, $H138, AB$3)*1.3,0)),"-")</f>
        <v>-</v>
      </c>
      <c r="AC139" s="55" t="str">
        <f>IF($J139=AC$3,IF(AC$3&gt;$I138,"-",ROUNDUP(Ld_cal($B138, $C138, $D138, $G138,$E138, $F138, $H138, AC$3)*1.3,0)),"-")</f>
        <v>-</v>
      </c>
      <c r="AD139" s="55">
        <f t="shared" ref="AD139" si="133">IF(J139&gt;I138,"依標準圖",MAX(L139:AC139))</f>
        <v>195</v>
      </c>
    </row>
    <row r="140" spans="1:30">
      <c r="A140" s="112" t="s">
        <v>115</v>
      </c>
      <c r="B140" s="107">
        <v>120</v>
      </c>
      <c r="C140" s="108">
        <v>7.5</v>
      </c>
      <c r="D140" s="107">
        <v>4200</v>
      </c>
      <c r="E140" s="109">
        <v>16</v>
      </c>
      <c r="F140" s="110">
        <v>14</v>
      </c>
      <c r="G140" s="107">
        <v>350</v>
      </c>
      <c r="H140" s="109">
        <v>32</v>
      </c>
      <c r="I140" s="111">
        <f>ROUNDDOWN(($B140-2*$C140-2*$E140/10-$H140/10)/(($D$1+1)*$H140/10),0)+1</f>
        <v>16</v>
      </c>
      <c r="J140" s="58">
        <v>10</v>
      </c>
      <c r="K140" s="40" t="s">
        <v>30</v>
      </c>
      <c r="L140" s="56" t="str">
        <f>IF($J140=L$3,IF(L$3&gt;$I140,"-",ROUNDUP(Ld_cal($B140, $C140, $D140, $G140,$E140, $F140, $H140, L$3)*1.3*1.3,0)),"-")</f>
        <v>-</v>
      </c>
      <c r="M140" s="56" t="str">
        <f>IF($J140=M$3,IF(M$3&gt;$I140,"-",ROUNDUP(Ld_cal($B140, $C140, $D140, $G140,$E140, $F140, $H140, M$3)*1.3*1.3,0)),"-")</f>
        <v>-</v>
      </c>
      <c r="N140" s="56" t="str">
        <f>IF($J140=N$3,IF(N$3&gt;$I140,"-",ROUNDUP(Ld_cal($B140, $C140, $D140, $G140,$E140, $F140, $H140, N$3)*1.3*1.3,0)),"-")</f>
        <v>-</v>
      </c>
      <c r="O140" s="56" t="str">
        <f>IF($J140=O$3,IF(O$3&gt;$I140,"-",ROUNDUP(Ld_cal($B140, $C140, $D140, $G140,$E140, $F140, $H140, O$3)*1.3*1.3,0)),"-")</f>
        <v>-</v>
      </c>
      <c r="P140" s="56" t="str">
        <f>IF($J140=P$3,IF(P$3&gt;$I140,"-",ROUNDUP(Ld_cal($B140, $C140, $D140, $G140,$E140, $F140, $H140, P$3)*1.3*1.3,0)),"-")</f>
        <v>-</v>
      </c>
      <c r="Q140" s="56" t="str">
        <f>IF($J140=Q$3,IF(Q$3&gt;$I140,"-",ROUNDUP(Ld_cal($B140, $C140, $D140, $G140,$E140, $F140, $H140, Q$3)*1.3*1.3,0)),"-")</f>
        <v>-</v>
      </c>
      <c r="R140" s="56" t="str">
        <f>IF($J140=R$3,IF(R$3&gt;$I140,"-",ROUNDUP(Ld_cal($B140, $C140, $D140, $G140,$E140, $F140, $H140, R$3)*1.3*1.3,0)),"-")</f>
        <v>-</v>
      </c>
      <c r="S140" s="56">
        <f>IF($J140=S$3,IF(S$3&gt;$I140,"-",ROUNDUP(Ld_cal($B140, $C140, $D140, $G140,$E140, $F140, $H140, S$3)*1.3*1.3,0)),"-")</f>
        <v>165</v>
      </c>
      <c r="T140" s="56" t="str">
        <f>IF($J140=T$3,IF(T$3&gt;$I140,"-",ROUNDUP(Ld_cal($B140, $C140, $D140, $G140,$E140, $F140, $H140, T$3)*1.3*1.3,0)),"-")</f>
        <v>-</v>
      </c>
      <c r="U140" s="56" t="str">
        <f>IF($J140=U$3,IF(U$3&gt;$I140,"-",ROUNDUP(Ld_cal($B140, $C140, $D140, $G140,$E140, $F140, $H140, U$3)*1.3*1.3,0)),"-")</f>
        <v>-</v>
      </c>
      <c r="V140" s="56" t="str">
        <f>IF($J140=V$3,IF(V$3&gt;$I140,"-",ROUNDUP(Ld_cal($B140, $C140, $D140, $G140,$E140, $F140, $H140, V$3)*1.3*1.3,0)),"-")</f>
        <v>-</v>
      </c>
      <c r="W140" s="56" t="str">
        <f>IF($J140=W$3,IF(W$3&gt;$I140,"-",ROUNDUP(Ld_cal($B140, $C140, $D140, $G140,$E140, $F140, $H140, W$3)*1.3*1.3,0)),"-")</f>
        <v>-</v>
      </c>
      <c r="X140" s="56" t="str">
        <f>IF($J140=X$3,IF(X$3&gt;$I140,"-",ROUNDUP(Ld_cal($B140, $C140, $D140, $G140,$E140, $F140, $H140, X$3)*1.3*1.3,0)),"-")</f>
        <v>-</v>
      </c>
      <c r="Y140" s="56" t="str">
        <f>IF($J140=Y$3,IF(Y$3&gt;$I140,"-",ROUNDUP(Ld_cal($B140, $C140, $D140, $G140,$E140, $F140, $H140, Y$3)*1.3*1.3,0)),"-")</f>
        <v>-</v>
      </c>
      <c r="Z140" s="56" t="str">
        <f>IF($J140=Z$3,IF(Z$3&gt;$I140,"-",ROUNDUP(Ld_cal($B140, $C140, $D140, $G140,$E140, $F140, $H140, Z$3)*1.3*1.3,0)),"-")</f>
        <v>-</v>
      </c>
      <c r="AA140" s="56" t="str">
        <f>IF($J140=AA$3,IF(AA$3&gt;$I140,"-",ROUNDUP(Ld_cal($B140, $C140, $D140, $G140,$E140, $F140, $H140, AA$3)*1.3*1.3,0)),"-")</f>
        <v>-</v>
      </c>
      <c r="AB140" s="56" t="str">
        <f>IF($J140=AB$3,IF(AB$3&gt;$I140,"-",ROUNDUP(Ld_cal($B140, $C140, $D140, $G140,$E140, $F140, $H140, AB$3)*1.3*1.3,0)),"-")</f>
        <v>-</v>
      </c>
      <c r="AC140" s="56" t="str">
        <f>IF($J140=AC$3,IF(AC$3&gt;$I140,"-",ROUNDUP(Ld_cal($B140, $C140, $D140, $G140,$E140, $F140, $H140, AC$3)*1.3*1.3,0)),"-")</f>
        <v>-</v>
      </c>
      <c r="AD140" s="56">
        <f t="shared" ref="AD140" si="134">IF(J140&gt;I140,"依標準圖",MAX(L140:AC140))</f>
        <v>165</v>
      </c>
    </row>
    <row r="141" spans="1:30">
      <c r="A141" s="112"/>
      <c r="B141" s="107"/>
      <c r="C141" s="108"/>
      <c r="D141" s="107"/>
      <c r="E141" s="109"/>
      <c r="F141" s="110"/>
      <c r="G141" s="107"/>
      <c r="H141" s="109"/>
      <c r="I141" s="111"/>
      <c r="J141" s="58">
        <v>11</v>
      </c>
      <c r="K141" s="40" t="s">
        <v>29</v>
      </c>
      <c r="L141" s="56" t="str">
        <f>IF($J141=L$3,IF(L$3&gt;$I140,"-",ROUNDUP(Ld_cal($B140, $C140, $D140, $G140,$E140, $F140, $H140, L$3)*1.3,0)),"-")</f>
        <v>-</v>
      </c>
      <c r="M141" s="56" t="str">
        <f>IF($J141=M$3,IF(M$3&gt;$I140,"-",ROUNDUP(Ld_cal($B140, $C140, $D140, $G140,$E140, $F140, $H140, M$3)*1.3,0)),"-")</f>
        <v>-</v>
      </c>
      <c r="N141" s="56" t="str">
        <f>IF($J141=N$3,IF(N$3&gt;$I140,"-",ROUNDUP(Ld_cal($B140, $C140, $D140, $G140,$E140, $F140, $H140, N$3)*1.3,0)),"-")</f>
        <v>-</v>
      </c>
      <c r="O141" s="56" t="str">
        <f>IF($J141=O$3,IF(O$3&gt;$I140,"-",ROUNDUP(Ld_cal($B140, $C140, $D140, $G140,$E140, $F140, $H140, O$3)*1.3,0)),"-")</f>
        <v>-</v>
      </c>
      <c r="P141" s="56" t="str">
        <f>IF($J141=P$3,IF(P$3&gt;$I140,"-",ROUNDUP(Ld_cal($B140, $C140, $D140, $G140,$E140, $F140, $H140, P$3)*1.3,0)),"-")</f>
        <v>-</v>
      </c>
      <c r="Q141" s="56" t="str">
        <f>IF($J141=Q$3,IF(Q$3&gt;$I140,"-",ROUNDUP(Ld_cal($B140, $C140, $D140, $G140,$E140, $F140, $H140, Q$3)*1.3,0)),"-")</f>
        <v>-</v>
      </c>
      <c r="R141" s="56" t="str">
        <f>IF($J141=R$3,IF(R$3&gt;$I140,"-",ROUNDUP(Ld_cal($B140, $C140, $D140, $G140,$E140, $F140, $H140, R$3)*1.3,0)),"-")</f>
        <v>-</v>
      </c>
      <c r="S141" s="56" t="str">
        <f>IF($J141=S$3,IF(S$3&gt;$I140,"-",ROUNDUP(Ld_cal($B140, $C140, $D140, $G140,$E140, $F140, $H140, S$3)*1.3,0)),"-")</f>
        <v>-</v>
      </c>
      <c r="T141" s="56">
        <f>IF($J141=T$3,IF(T$3&gt;$I140,"-",ROUNDUP(Ld_cal($B140, $C140, $D140, $G140,$E140, $F140, $H140, T$3)*1.3,0)),"-")</f>
        <v>141</v>
      </c>
      <c r="U141" s="56" t="str">
        <f>IF($J141=U$3,IF(U$3&gt;$I140,"-",ROUNDUP(Ld_cal($B140, $C140, $D140, $G140,$E140, $F140, $H140, U$3)*1.3,0)),"-")</f>
        <v>-</v>
      </c>
      <c r="V141" s="56" t="str">
        <f>IF($J141=V$3,IF(V$3&gt;$I140,"-",ROUNDUP(Ld_cal($B140, $C140, $D140, $G140,$E140, $F140, $H140, V$3)*1.3,0)),"-")</f>
        <v>-</v>
      </c>
      <c r="W141" s="56" t="str">
        <f>IF($J141=W$3,IF(W$3&gt;$I140,"-",ROUNDUP(Ld_cal($B140, $C140, $D140, $G140,$E140, $F140, $H140, W$3)*1.3,0)),"-")</f>
        <v>-</v>
      </c>
      <c r="X141" s="56" t="str">
        <f>IF($J141=X$3,IF(X$3&gt;$I140,"-",ROUNDUP(Ld_cal($B140, $C140, $D140, $G140,$E140, $F140, $H140, X$3)*1.3,0)),"-")</f>
        <v>-</v>
      </c>
      <c r="Y141" s="56" t="str">
        <f>IF($J141=Y$3,IF(Y$3&gt;$I140,"-",ROUNDUP(Ld_cal($B140, $C140, $D140, $G140,$E140, $F140, $H140, Y$3)*1.3,0)),"-")</f>
        <v>-</v>
      </c>
      <c r="Z141" s="56" t="str">
        <f>IF($J141=Z$3,IF(Z$3&gt;$I140,"-",ROUNDUP(Ld_cal($B140, $C140, $D140, $G140,$E140, $F140, $H140, Z$3)*1.3,0)),"-")</f>
        <v>-</v>
      </c>
      <c r="AA141" s="56" t="str">
        <f>IF($J141=AA$3,IF(AA$3&gt;$I140,"-",ROUNDUP(Ld_cal($B140, $C140, $D140, $G140,$E140, $F140, $H140, AA$3)*1.3,0)),"-")</f>
        <v>-</v>
      </c>
      <c r="AB141" s="56" t="str">
        <f>IF($J141=AB$3,IF(AB$3&gt;$I140,"-",ROUNDUP(Ld_cal($B140, $C140, $D140, $G140,$E140, $F140, $H140, AB$3)*1.3,0)),"-")</f>
        <v>-</v>
      </c>
      <c r="AC141" s="56" t="str">
        <f>IF($J141=AC$3,IF(AC$3&gt;$I140,"-",ROUNDUP(Ld_cal($B140, $C140, $D140, $G140,$E140, $F140, $H140, AC$3)*1.3,0)),"-")</f>
        <v>-</v>
      </c>
      <c r="AD141" s="56">
        <f t="shared" ref="AD141" si="135">IF(J141&gt;I140,"依標準圖",MAX(L141:AC141))</f>
        <v>141</v>
      </c>
    </row>
    <row r="142" spans="1:30">
      <c r="A142" s="113" t="s">
        <v>116</v>
      </c>
      <c r="B142" s="99">
        <v>120</v>
      </c>
      <c r="C142" s="100">
        <v>7.5</v>
      </c>
      <c r="D142" s="101">
        <v>4200</v>
      </c>
      <c r="E142" s="102">
        <v>16</v>
      </c>
      <c r="F142" s="103">
        <v>12</v>
      </c>
      <c r="G142" s="101">
        <v>350</v>
      </c>
      <c r="H142" s="102">
        <v>32</v>
      </c>
      <c r="I142" s="104">
        <f>ROUNDDOWN(($B142-2*$C142-2*$E142/10-$H142/10)/(($D$1+1)*$H142/10),0)+1</f>
        <v>16</v>
      </c>
      <c r="J142" s="57">
        <v>11</v>
      </c>
      <c r="K142" s="59" t="s">
        <v>30</v>
      </c>
      <c r="L142" s="55" t="str">
        <f>IF($J142=L$3,IF(L$3&gt;$I142,"-",ROUNDUP(Ld_cal($B142, $C142, $D142, $G142,$E142, $F142, $H142, L$3)*1.3*1.3,0)),"-")</f>
        <v>-</v>
      </c>
      <c r="M142" s="55" t="str">
        <f>IF($J142=M$3,IF(M$3&gt;$I142,"-",ROUNDUP(Ld_cal($B142, $C142, $D142, $G142,$E142, $F142, $H142, M$3)*1.3*1.3,0)),"-")</f>
        <v>-</v>
      </c>
      <c r="N142" s="55" t="str">
        <f>IF($J142=N$3,IF(N$3&gt;$I142,"-",ROUNDUP(Ld_cal($B142, $C142, $D142, $G142,$E142, $F142, $H142, N$3)*1.3*1.3,0)),"-")</f>
        <v>-</v>
      </c>
      <c r="O142" s="55" t="str">
        <f>IF($J142=O$3,IF(O$3&gt;$I142,"-",ROUNDUP(Ld_cal($B142, $C142, $D142, $G142,$E142, $F142, $H142, O$3)*1.3*1.3,0)),"-")</f>
        <v>-</v>
      </c>
      <c r="P142" s="55" t="str">
        <f>IF($J142=P$3,IF(P$3&gt;$I142,"-",ROUNDUP(Ld_cal($B142, $C142, $D142, $G142,$E142, $F142, $H142, P$3)*1.3*1.3,0)),"-")</f>
        <v>-</v>
      </c>
      <c r="Q142" s="55" t="str">
        <f>IF($J142=Q$3,IF(Q$3&gt;$I142,"-",ROUNDUP(Ld_cal($B142, $C142, $D142, $G142,$E142, $F142, $H142, Q$3)*1.3*1.3,0)),"-")</f>
        <v>-</v>
      </c>
      <c r="R142" s="55" t="str">
        <f>IF($J142=R$3,IF(R$3&gt;$I142,"-",ROUNDUP(Ld_cal($B142, $C142, $D142, $G142,$E142, $F142, $H142, R$3)*1.3*1.3,0)),"-")</f>
        <v>-</v>
      </c>
      <c r="S142" s="55" t="str">
        <f>IF($J142=S$3,IF(S$3&gt;$I142,"-",ROUNDUP(Ld_cal($B142, $C142, $D142, $G142,$E142, $F142, $H142, S$3)*1.3*1.3,0)),"-")</f>
        <v>-</v>
      </c>
      <c r="T142" s="55">
        <f>IF($J142=T$3,IF(T$3&gt;$I142,"-",ROUNDUP(Ld_cal($B142, $C142, $D142, $G142,$E142, $F142, $H142, T$3)*1.3*1.3,0)),"-")</f>
        <v>177</v>
      </c>
      <c r="U142" s="55" t="str">
        <f>IF($J142=U$3,IF(U$3&gt;$I142,"-",ROUNDUP(Ld_cal($B142, $C142, $D142, $G142,$E142, $F142, $H142, U$3)*1.3*1.3,0)),"-")</f>
        <v>-</v>
      </c>
      <c r="V142" s="55" t="str">
        <f>IF($J142=V$3,IF(V$3&gt;$I142,"-",ROUNDUP(Ld_cal($B142, $C142, $D142, $G142,$E142, $F142, $H142, V$3)*1.3*1.3,0)),"-")</f>
        <v>-</v>
      </c>
      <c r="W142" s="55" t="str">
        <f>IF($J142=W$3,IF(W$3&gt;$I142,"-",ROUNDUP(Ld_cal($B142, $C142, $D142, $G142,$E142, $F142, $H142, W$3)*1.3*1.3,0)),"-")</f>
        <v>-</v>
      </c>
      <c r="X142" s="55" t="str">
        <f>IF($J142=X$3,IF(X$3&gt;$I142,"-",ROUNDUP(Ld_cal($B142, $C142, $D142, $G142,$E142, $F142, $H142, X$3)*1.3*1.3,0)),"-")</f>
        <v>-</v>
      </c>
      <c r="Y142" s="55" t="str">
        <f>IF($J142=Y$3,IF(Y$3&gt;$I142,"-",ROUNDUP(Ld_cal($B142, $C142, $D142, $G142,$E142, $F142, $H142, Y$3)*1.3*1.3,0)),"-")</f>
        <v>-</v>
      </c>
      <c r="Z142" s="55" t="str">
        <f>IF($J142=Z$3,IF(Z$3&gt;$I142,"-",ROUNDUP(Ld_cal($B142, $C142, $D142, $G142,$E142, $F142, $H142, Z$3)*1.3*1.3,0)),"-")</f>
        <v>-</v>
      </c>
      <c r="AA142" s="55" t="str">
        <f>IF($J142=AA$3,IF(AA$3&gt;$I142,"-",ROUNDUP(Ld_cal($B142, $C142, $D142, $G142,$E142, $F142, $H142, AA$3)*1.3*1.3,0)),"-")</f>
        <v>-</v>
      </c>
      <c r="AB142" s="55" t="str">
        <f>IF($J142=AB$3,IF(AB$3&gt;$I142,"-",ROUNDUP(Ld_cal($B142, $C142, $D142, $G142,$E142, $F142, $H142, AB$3)*1.3*1.3,0)),"-")</f>
        <v>-</v>
      </c>
      <c r="AC142" s="55" t="str">
        <f>IF($J142=AC$3,IF(AC$3&gt;$I142,"-",ROUNDUP(Ld_cal($B142, $C142, $D142, $G142,$E142, $F142, $H142, AC$3)*1.3*1.3,0)),"-")</f>
        <v>-</v>
      </c>
      <c r="AD142" s="55">
        <f t="shared" ref="AD142" si="136">IF(J142&gt;I142,"依標準圖",MAX(L142:AC142))</f>
        <v>177</v>
      </c>
    </row>
    <row r="143" spans="1:30">
      <c r="A143" s="113"/>
      <c r="B143" s="99"/>
      <c r="C143" s="100"/>
      <c r="D143" s="101"/>
      <c r="E143" s="102"/>
      <c r="F143" s="103"/>
      <c r="G143" s="101"/>
      <c r="H143" s="102"/>
      <c r="I143" s="104"/>
      <c r="J143" s="57">
        <v>10</v>
      </c>
      <c r="K143" s="59" t="s">
        <v>29</v>
      </c>
      <c r="L143" s="55" t="str">
        <f>IF($J143=L$3,IF(L$3&gt;$I142,"-",ROUNDUP(Ld_cal($B142, $C142, $D142, $G142,$E142, $F142, $H142, L$3)*1.3,0)),"-")</f>
        <v>-</v>
      </c>
      <c r="M143" s="55" t="str">
        <f>IF($J143=M$3,IF(M$3&gt;$I142,"-",ROUNDUP(Ld_cal($B142, $C142, $D142, $G142,$E142, $F142, $H142, M$3)*1.3,0)),"-")</f>
        <v>-</v>
      </c>
      <c r="N143" s="55" t="str">
        <f>IF($J143=N$3,IF(N$3&gt;$I142,"-",ROUNDUP(Ld_cal($B142, $C142, $D142, $G142,$E142, $F142, $H142, N$3)*1.3,0)),"-")</f>
        <v>-</v>
      </c>
      <c r="O143" s="55" t="str">
        <f>IF($J143=O$3,IF(O$3&gt;$I142,"-",ROUNDUP(Ld_cal($B142, $C142, $D142, $G142,$E142, $F142, $H142, O$3)*1.3,0)),"-")</f>
        <v>-</v>
      </c>
      <c r="P143" s="55" t="str">
        <f>IF($J143=P$3,IF(P$3&gt;$I142,"-",ROUNDUP(Ld_cal($B142, $C142, $D142, $G142,$E142, $F142, $H142, P$3)*1.3,0)),"-")</f>
        <v>-</v>
      </c>
      <c r="Q143" s="55" t="str">
        <f>IF($J143=Q$3,IF(Q$3&gt;$I142,"-",ROUNDUP(Ld_cal($B142, $C142, $D142, $G142,$E142, $F142, $H142, Q$3)*1.3,0)),"-")</f>
        <v>-</v>
      </c>
      <c r="R143" s="55" t="str">
        <f>IF($J143=R$3,IF(R$3&gt;$I142,"-",ROUNDUP(Ld_cal($B142, $C142, $D142, $G142,$E142, $F142, $H142, R$3)*1.3,0)),"-")</f>
        <v>-</v>
      </c>
      <c r="S143" s="55">
        <f>IF($J143=S$3,IF(S$3&gt;$I142,"-",ROUNDUP(Ld_cal($B142, $C142, $D142, $G142,$E142, $F142, $H142, S$3)*1.3,0)),"-")</f>
        <v>123</v>
      </c>
      <c r="T143" s="55" t="str">
        <f>IF($J143=T$3,IF(T$3&gt;$I142,"-",ROUNDUP(Ld_cal($B142, $C142, $D142, $G142,$E142, $F142, $H142, T$3)*1.3,0)),"-")</f>
        <v>-</v>
      </c>
      <c r="U143" s="55" t="str">
        <f>IF($J143=U$3,IF(U$3&gt;$I142,"-",ROUNDUP(Ld_cal($B142, $C142, $D142, $G142,$E142, $F142, $H142, U$3)*1.3,0)),"-")</f>
        <v>-</v>
      </c>
      <c r="V143" s="55" t="str">
        <f>IF($J143=V$3,IF(V$3&gt;$I142,"-",ROUNDUP(Ld_cal($B142, $C142, $D142, $G142,$E142, $F142, $H142, V$3)*1.3,0)),"-")</f>
        <v>-</v>
      </c>
      <c r="W143" s="55" t="str">
        <f>IF($J143=W$3,IF(W$3&gt;$I142,"-",ROUNDUP(Ld_cal($B142, $C142, $D142, $G142,$E142, $F142, $H142, W$3)*1.3,0)),"-")</f>
        <v>-</v>
      </c>
      <c r="X143" s="55" t="str">
        <f>IF($J143=X$3,IF(X$3&gt;$I142,"-",ROUNDUP(Ld_cal($B142, $C142, $D142, $G142,$E142, $F142, $H142, X$3)*1.3,0)),"-")</f>
        <v>-</v>
      </c>
      <c r="Y143" s="55" t="str">
        <f>IF($J143=Y$3,IF(Y$3&gt;$I142,"-",ROUNDUP(Ld_cal($B142, $C142, $D142, $G142,$E142, $F142, $H142, Y$3)*1.3,0)),"-")</f>
        <v>-</v>
      </c>
      <c r="Z143" s="55" t="str">
        <f>IF($J143=Z$3,IF(Z$3&gt;$I142,"-",ROUNDUP(Ld_cal($B142, $C142, $D142, $G142,$E142, $F142, $H142, Z$3)*1.3,0)),"-")</f>
        <v>-</v>
      </c>
      <c r="AA143" s="55" t="str">
        <f>IF($J143=AA$3,IF(AA$3&gt;$I142,"-",ROUNDUP(Ld_cal($B142, $C142, $D142, $G142,$E142, $F142, $H142, AA$3)*1.3,0)),"-")</f>
        <v>-</v>
      </c>
      <c r="AB143" s="55" t="str">
        <f>IF($J143=AB$3,IF(AB$3&gt;$I142,"-",ROUNDUP(Ld_cal($B142, $C142, $D142, $G142,$E142, $F142, $H142, AB$3)*1.3,0)),"-")</f>
        <v>-</v>
      </c>
      <c r="AC143" s="55" t="str">
        <f>IF($J143=AC$3,IF(AC$3&gt;$I142,"-",ROUNDUP(Ld_cal($B142, $C142, $D142, $G142,$E142, $F142, $H142, AC$3)*1.3,0)),"-")</f>
        <v>-</v>
      </c>
      <c r="AD143" s="55">
        <f t="shared" ref="AD143" si="137">IF(J143&gt;I142,"依標準圖",MAX(L143:AC143))</f>
        <v>123</v>
      </c>
    </row>
    <row r="144" spans="1:30">
      <c r="A144" s="112" t="s">
        <v>117</v>
      </c>
      <c r="B144" s="107">
        <v>120</v>
      </c>
      <c r="C144" s="108">
        <v>7.5</v>
      </c>
      <c r="D144" s="107">
        <v>4200</v>
      </c>
      <c r="E144" s="109">
        <v>16</v>
      </c>
      <c r="F144" s="110">
        <v>9</v>
      </c>
      <c r="G144" s="107">
        <v>350</v>
      </c>
      <c r="H144" s="109">
        <v>32</v>
      </c>
      <c r="I144" s="111">
        <f>ROUNDDOWN(($B144-2*$C144-2*$E144/10-$H144/10)/(($D$1+1)*$H144/10),0)+1</f>
        <v>16</v>
      </c>
      <c r="J144" s="58">
        <v>16</v>
      </c>
      <c r="K144" s="40" t="s">
        <v>30</v>
      </c>
      <c r="L144" s="56" t="str">
        <f>IF($J144=L$3,IF(L$3&gt;$I144,"-",ROUNDUP(Ld_cal($B144, $C144, $D144, $G144,$E144, $F144, $H144, L$3)*1.3*1.3,0)),"-")</f>
        <v>-</v>
      </c>
      <c r="M144" s="56" t="str">
        <f>IF($J144=M$3,IF(M$3&gt;$I144,"-",ROUNDUP(Ld_cal($B144, $C144, $D144, $G144,$E144, $F144, $H144, M$3)*1.3*1.3,0)),"-")</f>
        <v>-</v>
      </c>
      <c r="N144" s="56" t="str">
        <f>IF($J144=N$3,IF(N$3&gt;$I144,"-",ROUNDUP(Ld_cal($B144, $C144, $D144, $G144,$E144, $F144, $H144, N$3)*1.3*1.3,0)),"-")</f>
        <v>-</v>
      </c>
      <c r="O144" s="56" t="str">
        <f>IF($J144=O$3,IF(O$3&gt;$I144,"-",ROUNDUP(Ld_cal($B144, $C144, $D144, $G144,$E144, $F144, $H144, O$3)*1.3*1.3,0)),"-")</f>
        <v>-</v>
      </c>
      <c r="P144" s="56" t="str">
        <f>IF($J144=P$3,IF(P$3&gt;$I144,"-",ROUNDUP(Ld_cal($B144, $C144, $D144, $G144,$E144, $F144, $H144, P$3)*1.3*1.3,0)),"-")</f>
        <v>-</v>
      </c>
      <c r="Q144" s="56" t="str">
        <f>IF($J144=Q$3,IF(Q$3&gt;$I144,"-",ROUNDUP(Ld_cal($B144, $C144, $D144, $G144,$E144, $F144, $H144, Q$3)*1.3*1.3,0)),"-")</f>
        <v>-</v>
      </c>
      <c r="R144" s="56" t="str">
        <f>IF($J144=R$3,IF(R$3&gt;$I144,"-",ROUNDUP(Ld_cal($B144, $C144, $D144, $G144,$E144, $F144, $H144, R$3)*1.3*1.3,0)),"-")</f>
        <v>-</v>
      </c>
      <c r="S144" s="56" t="str">
        <f>IF($J144=S$3,IF(S$3&gt;$I144,"-",ROUNDUP(Ld_cal($B144, $C144, $D144, $G144,$E144, $F144, $H144, S$3)*1.3*1.3,0)),"-")</f>
        <v>-</v>
      </c>
      <c r="T144" s="56" t="str">
        <f>IF($J144=T$3,IF(T$3&gt;$I144,"-",ROUNDUP(Ld_cal($B144, $C144, $D144, $G144,$E144, $F144, $H144, T$3)*1.3*1.3,0)),"-")</f>
        <v>-</v>
      </c>
      <c r="U144" s="56" t="str">
        <f>IF($J144=U$3,IF(U$3&gt;$I144,"-",ROUNDUP(Ld_cal($B144, $C144, $D144, $G144,$E144, $F144, $H144, U$3)*1.3*1.3,0)),"-")</f>
        <v>-</v>
      </c>
      <c r="V144" s="56" t="str">
        <f>IF($J144=V$3,IF(V$3&gt;$I144,"-",ROUNDUP(Ld_cal($B144, $C144, $D144, $G144,$E144, $F144, $H144, V$3)*1.3*1.3,0)),"-")</f>
        <v>-</v>
      </c>
      <c r="W144" s="56" t="str">
        <f>IF($J144=W$3,IF(W$3&gt;$I144,"-",ROUNDUP(Ld_cal($B144, $C144, $D144, $G144,$E144, $F144, $H144, W$3)*1.3*1.3,0)),"-")</f>
        <v>-</v>
      </c>
      <c r="X144" s="56" t="str">
        <f>IF($J144=X$3,IF(X$3&gt;$I144,"-",ROUNDUP(Ld_cal($B144, $C144, $D144, $G144,$E144, $F144, $H144, X$3)*1.3*1.3,0)),"-")</f>
        <v>-</v>
      </c>
      <c r="Y144" s="56">
        <f>IF($J144=Y$3,IF(Y$3&gt;$I144,"-",ROUNDUP(Ld_cal($B144, $C144, $D144, $G144,$E144, $F144, $H144, Y$3)*1.3*1.3,0)),"-")</f>
        <v>248</v>
      </c>
      <c r="Z144" s="56" t="str">
        <f>IF($J144=Z$3,IF(Z$3&gt;$I144,"-",ROUNDUP(Ld_cal($B144, $C144, $D144, $G144,$E144, $F144, $H144, Z$3)*1.3*1.3,0)),"-")</f>
        <v>-</v>
      </c>
      <c r="AA144" s="56" t="str">
        <f>IF($J144=AA$3,IF(AA$3&gt;$I144,"-",ROUNDUP(Ld_cal($B144, $C144, $D144, $G144,$E144, $F144, $H144, AA$3)*1.3*1.3,0)),"-")</f>
        <v>-</v>
      </c>
      <c r="AB144" s="56" t="str">
        <f>IF($J144=AB$3,IF(AB$3&gt;$I144,"-",ROUNDUP(Ld_cal($B144, $C144, $D144, $G144,$E144, $F144, $H144, AB$3)*1.3*1.3,0)),"-")</f>
        <v>-</v>
      </c>
      <c r="AC144" s="56" t="str">
        <f>IF($J144=AC$3,IF(AC$3&gt;$I144,"-",ROUNDUP(Ld_cal($B144, $C144, $D144, $G144,$E144, $F144, $H144, AC$3)*1.3*1.3,0)),"-")</f>
        <v>-</v>
      </c>
      <c r="AD144" s="56">
        <f t="shared" ref="AD144" si="138">IF(J144&gt;I144,"依標準圖",MAX(L144:AC144))</f>
        <v>248</v>
      </c>
    </row>
    <row r="145" spans="1:30">
      <c r="A145" s="112"/>
      <c r="B145" s="107"/>
      <c r="C145" s="108"/>
      <c r="D145" s="107"/>
      <c r="E145" s="109"/>
      <c r="F145" s="110"/>
      <c r="G145" s="107"/>
      <c r="H145" s="109"/>
      <c r="I145" s="111"/>
      <c r="J145" s="58">
        <v>10</v>
      </c>
      <c r="K145" s="40" t="s">
        <v>29</v>
      </c>
      <c r="L145" s="56" t="str">
        <f>IF($J145=L$3,IF(L$3&gt;$I144,"-",ROUNDUP(Ld_cal($B144, $C144, $D144, $G144,$E144, $F144, $H144, L$3)*1.3,0)),"-")</f>
        <v>-</v>
      </c>
      <c r="M145" s="56" t="str">
        <f>IF($J145=M$3,IF(M$3&gt;$I144,"-",ROUNDUP(Ld_cal($B144, $C144, $D144, $G144,$E144, $F144, $H144, M$3)*1.3,0)),"-")</f>
        <v>-</v>
      </c>
      <c r="N145" s="56" t="str">
        <f>IF($J145=N$3,IF(N$3&gt;$I144,"-",ROUNDUP(Ld_cal($B144, $C144, $D144, $G144,$E144, $F144, $H144, N$3)*1.3,0)),"-")</f>
        <v>-</v>
      </c>
      <c r="O145" s="56" t="str">
        <f>IF($J145=O$3,IF(O$3&gt;$I144,"-",ROUNDUP(Ld_cal($B144, $C144, $D144, $G144,$E144, $F144, $H144, O$3)*1.3,0)),"-")</f>
        <v>-</v>
      </c>
      <c r="P145" s="56" t="str">
        <f>IF($J145=P$3,IF(P$3&gt;$I144,"-",ROUNDUP(Ld_cal($B144, $C144, $D144, $G144,$E144, $F144, $H144, P$3)*1.3,0)),"-")</f>
        <v>-</v>
      </c>
      <c r="Q145" s="56" t="str">
        <f>IF($J145=Q$3,IF(Q$3&gt;$I144,"-",ROUNDUP(Ld_cal($B144, $C144, $D144, $G144,$E144, $F144, $H144, Q$3)*1.3,0)),"-")</f>
        <v>-</v>
      </c>
      <c r="R145" s="56" t="str">
        <f>IF($J145=R$3,IF(R$3&gt;$I144,"-",ROUNDUP(Ld_cal($B144, $C144, $D144, $G144,$E144, $F144, $H144, R$3)*1.3,0)),"-")</f>
        <v>-</v>
      </c>
      <c r="S145" s="56">
        <f>IF($J145=S$3,IF(S$3&gt;$I144,"-",ROUNDUP(Ld_cal($B144, $C144, $D144, $G144,$E144, $F144, $H144, S$3)*1.3,0)),"-")</f>
        <v>116</v>
      </c>
      <c r="T145" s="56" t="str">
        <f>IF($J145=T$3,IF(T$3&gt;$I144,"-",ROUNDUP(Ld_cal($B144, $C144, $D144, $G144,$E144, $F144, $H144, T$3)*1.3,0)),"-")</f>
        <v>-</v>
      </c>
      <c r="U145" s="56" t="str">
        <f>IF($J145=U$3,IF(U$3&gt;$I144,"-",ROUNDUP(Ld_cal($B144, $C144, $D144, $G144,$E144, $F144, $H144, U$3)*1.3,0)),"-")</f>
        <v>-</v>
      </c>
      <c r="V145" s="56" t="str">
        <f>IF($J145=V$3,IF(V$3&gt;$I144,"-",ROUNDUP(Ld_cal($B144, $C144, $D144, $G144,$E144, $F144, $H144, V$3)*1.3,0)),"-")</f>
        <v>-</v>
      </c>
      <c r="W145" s="56" t="str">
        <f>IF($J145=W$3,IF(W$3&gt;$I144,"-",ROUNDUP(Ld_cal($B144, $C144, $D144, $G144,$E144, $F144, $H144, W$3)*1.3,0)),"-")</f>
        <v>-</v>
      </c>
      <c r="X145" s="56" t="str">
        <f>IF($J145=X$3,IF(X$3&gt;$I144,"-",ROUNDUP(Ld_cal($B144, $C144, $D144, $G144,$E144, $F144, $H144, X$3)*1.3,0)),"-")</f>
        <v>-</v>
      </c>
      <c r="Y145" s="56" t="str">
        <f>IF($J145=Y$3,IF(Y$3&gt;$I144,"-",ROUNDUP(Ld_cal($B144, $C144, $D144, $G144,$E144, $F144, $H144, Y$3)*1.3,0)),"-")</f>
        <v>-</v>
      </c>
      <c r="Z145" s="56" t="str">
        <f>IF($J145=Z$3,IF(Z$3&gt;$I144,"-",ROUNDUP(Ld_cal($B144, $C144, $D144, $G144,$E144, $F144, $H144, Z$3)*1.3,0)),"-")</f>
        <v>-</v>
      </c>
      <c r="AA145" s="56" t="str">
        <f>IF($J145=AA$3,IF(AA$3&gt;$I144,"-",ROUNDUP(Ld_cal($B144, $C144, $D144, $G144,$E144, $F144, $H144, AA$3)*1.3,0)),"-")</f>
        <v>-</v>
      </c>
      <c r="AB145" s="56" t="str">
        <f>IF($J145=AB$3,IF(AB$3&gt;$I144,"-",ROUNDUP(Ld_cal($B144, $C144, $D144, $G144,$E144, $F144, $H144, AB$3)*1.3,0)),"-")</f>
        <v>-</v>
      </c>
      <c r="AC145" s="56" t="str">
        <f>IF($J145=AC$3,IF(AC$3&gt;$I144,"-",ROUNDUP(Ld_cal($B144, $C144, $D144, $G144,$E144, $F144, $H144, AC$3)*1.3,0)),"-")</f>
        <v>-</v>
      </c>
      <c r="AD145" s="56">
        <f t="shared" ref="AD145" si="139">IF(J145&gt;I144,"依標準圖",MAX(L145:AC145))</f>
        <v>116</v>
      </c>
    </row>
    <row r="146" spans="1:30">
      <c r="A146" s="113" t="s">
        <v>118</v>
      </c>
      <c r="B146" s="99">
        <v>120</v>
      </c>
      <c r="C146" s="100">
        <v>7.5</v>
      </c>
      <c r="D146" s="101">
        <v>4200</v>
      </c>
      <c r="E146" s="102">
        <v>16</v>
      </c>
      <c r="F146" s="103">
        <v>9</v>
      </c>
      <c r="G146" s="101">
        <v>350</v>
      </c>
      <c r="H146" s="102">
        <v>32</v>
      </c>
      <c r="I146" s="104">
        <f>ROUNDDOWN(($B146-2*$C146-2*$E146/10-$H146/10)/(($D$1+1)*$H146/10),0)+1</f>
        <v>16</v>
      </c>
      <c r="J146" s="57">
        <v>16</v>
      </c>
      <c r="K146" s="59" t="s">
        <v>30</v>
      </c>
      <c r="L146" s="55" t="str">
        <f>IF($J146=L$3,IF(L$3&gt;$I146,"-",ROUNDUP(Ld_cal($B146, $C146, $D146, $G146,$E146, $F146, $H146, L$3)*1.3*1.3,0)),"-")</f>
        <v>-</v>
      </c>
      <c r="M146" s="55" t="str">
        <f>IF($J146=M$3,IF(M$3&gt;$I146,"-",ROUNDUP(Ld_cal($B146, $C146, $D146, $G146,$E146, $F146, $H146, M$3)*1.3*1.3,0)),"-")</f>
        <v>-</v>
      </c>
      <c r="N146" s="55" t="str">
        <f>IF($J146=N$3,IF(N$3&gt;$I146,"-",ROUNDUP(Ld_cal($B146, $C146, $D146, $G146,$E146, $F146, $H146, N$3)*1.3*1.3,0)),"-")</f>
        <v>-</v>
      </c>
      <c r="O146" s="55" t="str">
        <f>IF($J146=O$3,IF(O$3&gt;$I146,"-",ROUNDUP(Ld_cal($B146, $C146, $D146, $G146,$E146, $F146, $H146, O$3)*1.3*1.3,0)),"-")</f>
        <v>-</v>
      </c>
      <c r="P146" s="55" t="str">
        <f>IF($J146=P$3,IF(P$3&gt;$I146,"-",ROUNDUP(Ld_cal($B146, $C146, $D146, $G146,$E146, $F146, $H146, P$3)*1.3*1.3,0)),"-")</f>
        <v>-</v>
      </c>
      <c r="Q146" s="55" t="str">
        <f>IF($J146=Q$3,IF(Q$3&gt;$I146,"-",ROUNDUP(Ld_cal($B146, $C146, $D146, $G146,$E146, $F146, $H146, Q$3)*1.3*1.3,0)),"-")</f>
        <v>-</v>
      </c>
      <c r="R146" s="55" t="str">
        <f>IF($J146=R$3,IF(R$3&gt;$I146,"-",ROUNDUP(Ld_cal($B146, $C146, $D146, $G146,$E146, $F146, $H146, R$3)*1.3*1.3,0)),"-")</f>
        <v>-</v>
      </c>
      <c r="S146" s="55" t="str">
        <f>IF($J146=S$3,IF(S$3&gt;$I146,"-",ROUNDUP(Ld_cal($B146, $C146, $D146, $G146,$E146, $F146, $H146, S$3)*1.3*1.3,0)),"-")</f>
        <v>-</v>
      </c>
      <c r="T146" s="55" t="str">
        <f>IF($J146=T$3,IF(T$3&gt;$I146,"-",ROUNDUP(Ld_cal($B146, $C146, $D146, $G146,$E146, $F146, $H146, T$3)*1.3*1.3,0)),"-")</f>
        <v>-</v>
      </c>
      <c r="U146" s="55" t="str">
        <f>IF($J146=U$3,IF(U$3&gt;$I146,"-",ROUNDUP(Ld_cal($B146, $C146, $D146, $G146,$E146, $F146, $H146, U$3)*1.3*1.3,0)),"-")</f>
        <v>-</v>
      </c>
      <c r="V146" s="55" t="str">
        <f>IF($J146=V$3,IF(V$3&gt;$I146,"-",ROUNDUP(Ld_cal($B146, $C146, $D146, $G146,$E146, $F146, $H146, V$3)*1.3*1.3,0)),"-")</f>
        <v>-</v>
      </c>
      <c r="W146" s="55" t="str">
        <f>IF($J146=W$3,IF(W$3&gt;$I146,"-",ROUNDUP(Ld_cal($B146, $C146, $D146, $G146,$E146, $F146, $H146, W$3)*1.3*1.3,0)),"-")</f>
        <v>-</v>
      </c>
      <c r="X146" s="55" t="str">
        <f>IF($J146=X$3,IF(X$3&gt;$I146,"-",ROUNDUP(Ld_cal($B146, $C146, $D146, $G146,$E146, $F146, $H146, X$3)*1.3*1.3,0)),"-")</f>
        <v>-</v>
      </c>
      <c r="Y146" s="55">
        <f>IF($J146=Y$3,IF(Y$3&gt;$I146,"-",ROUNDUP(Ld_cal($B146, $C146, $D146, $G146,$E146, $F146, $H146, Y$3)*1.3*1.3,0)),"-")</f>
        <v>248</v>
      </c>
      <c r="Z146" s="55" t="str">
        <f>IF($J146=Z$3,IF(Z$3&gt;$I146,"-",ROUNDUP(Ld_cal($B146, $C146, $D146, $G146,$E146, $F146, $H146, Z$3)*1.3*1.3,0)),"-")</f>
        <v>-</v>
      </c>
      <c r="AA146" s="55" t="str">
        <f>IF($J146=AA$3,IF(AA$3&gt;$I146,"-",ROUNDUP(Ld_cal($B146, $C146, $D146, $G146,$E146, $F146, $H146, AA$3)*1.3*1.3,0)),"-")</f>
        <v>-</v>
      </c>
      <c r="AB146" s="55" t="str">
        <f>IF($J146=AB$3,IF(AB$3&gt;$I146,"-",ROUNDUP(Ld_cal($B146, $C146, $D146, $G146,$E146, $F146, $H146, AB$3)*1.3*1.3,0)),"-")</f>
        <v>-</v>
      </c>
      <c r="AC146" s="55" t="str">
        <f>IF($J146=AC$3,IF(AC$3&gt;$I146,"-",ROUNDUP(Ld_cal($B146, $C146, $D146, $G146,$E146, $F146, $H146, AC$3)*1.3*1.3,0)),"-")</f>
        <v>-</v>
      </c>
      <c r="AD146" s="55">
        <f t="shared" ref="AD146" si="140">IF(J146&gt;I146,"依標準圖",MAX(L146:AC146))</f>
        <v>248</v>
      </c>
    </row>
    <row r="147" spans="1:30">
      <c r="A147" s="113"/>
      <c r="B147" s="99"/>
      <c r="C147" s="100"/>
      <c r="D147" s="101"/>
      <c r="E147" s="102"/>
      <c r="F147" s="103"/>
      <c r="G147" s="101"/>
      <c r="H147" s="102"/>
      <c r="I147" s="104"/>
      <c r="J147" s="57">
        <v>9</v>
      </c>
      <c r="K147" s="59" t="s">
        <v>29</v>
      </c>
      <c r="L147" s="55" t="str">
        <f>IF($J147=L$3,IF(L$3&gt;$I146,"-",ROUNDUP(Ld_cal($B146, $C146, $D146, $G146,$E146, $F146, $H146, L$3)*1.3,0)),"-")</f>
        <v>-</v>
      </c>
      <c r="M147" s="55" t="str">
        <f>IF($J147=M$3,IF(M$3&gt;$I146,"-",ROUNDUP(Ld_cal($B146, $C146, $D146, $G146,$E146, $F146, $H146, M$3)*1.3,0)),"-")</f>
        <v>-</v>
      </c>
      <c r="N147" s="55" t="str">
        <f>IF($J147=N$3,IF(N$3&gt;$I146,"-",ROUNDUP(Ld_cal($B146, $C146, $D146, $G146,$E146, $F146, $H146, N$3)*1.3,0)),"-")</f>
        <v>-</v>
      </c>
      <c r="O147" s="55" t="str">
        <f>IF($J147=O$3,IF(O$3&gt;$I146,"-",ROUNDUP(Ld_cal($B146, $C146, $D146, $G146,$E146, $F146, $H146, O$3)*1.3,0)),"-")</f>
        <v>-</v>
      </c>
      <c r="P147" s="55" t="str">
        <f>IF($J147=P$3,IF(P$3&gt;$I146,"-",ROUNDUP(Ld_cal($B146, $C146, $D146, $G146,$E146, $F146, $H146, P$3)*1.3,0)),"-")</f>
        <v>-</v>
      </c>
      <c r="Q147" s="55" t="str">
        <f>IF($J147=Q$3,IF(Q$3&gt;$I146,"-",ROUNDUP(Ld_cal($B146, $C146, $D146, $G146,$E146, $F146, $H146, Q$3)*1.3,0)),"-")</f>
        <v>-</v>
      </c>
      <c r="R147" s="55">
        <f>IF($J147=R$3,IF(R$3&gt;$I146,"-",ROUNDUP(Ld_cal($B146, $C146, $D146, $G146,$E146, $F146, $H146, R$3)*1.3,0)),"-")</f>
        <v>105</v>
      </c>
      <c r="S147" s="55" t="str">
        <f>IF($J147=S$3,IF(S$3&gt;$I146,"-",ROUNDUP(Ld_cal($B146, $C146, $D146, $G146,$E146, $F146, $H146, S$3)*1.3,0)),"-")</f>
        <v>-</v>
      </c>
      <c r="T147" s="55" t="str">
        <f>IF($J147=T$3,IF(T$3&gt;$I146,"-",ROUNDUP(Ld_cal($B146, $C146, $D146, $G146,$E146, $F146, $H146, T$3)*1.3,0)),"-")</f>
        <v>-</v>
      </c>
      <c r="U147" s="55" t="str">
        <f>IF($J147=U$3,IF(U$3&gt;$I146,"-",ROUNDUP(Ld_cal($B146, $C146, $D146, $G146,$E146, $F146, $H146, U$3)*1.3,0)),"-")</f>
        <v>-</v>
      </c>
      <c r="V147" s="55" t="str">
        <f>IF($J147=V$3,IF(V$3&gt;$I146,"-",ROUNDUP(Ld_cal($B146, $C146, $D146, $G146,$E146, $F146, $H146, V$3)*1.3,0)),"-")</f>
        <v>-</v>
      </c>
      <c r="W147" s="55" t="str">
        <f>IF($J147=W$3,IF(W$3&gt;$I146,"-",ROUNDUP(Ld_cal($B146, $C146, $D146, $G146,$E146, $F146, $H146, W$3)*1.3,0)),"-")</f>
        <v>-</v>
      </c>
      <c r="X147" s="55" t="str">
        <f>IF($J147=X$3,IF(X$3&gt;$I146,"-",ROUNDUP(Ld_cal($B146, $C146, $D146, $G146,$E146, $F146, $H146, X$3)*1.3,0)),"-")</f>
        <v>-</v>
      </c>
      <c r="Y147" s="55" t="str">
        <f>IF($J147=Y$3,IF(Y$3&gt;$I146,"-",ROUNDUP(Ld_cal($B146, $C146, $D146, $G146,$E146, $F146, $H146, Y$3)*1.3,0)),"-")</f>
        <v>-</v>
      </c>
      <c r="Z147" s="55" t="str">
        <f>IF($J147=Z$3,IF(Z$3&gt;$I146,"-",ROUNDUP(Ld_cal($B146, $C146, $D146, $G146,$E146, $F146, $H146, Z$3)*1.3,0)),"-")</f>
        <v>-</v>
      </c>
      <c r="AA147" s="55" t="str">
        <f>IF($J147=AA$3,IF(AA$3&gt;$I146,"-",ROUNDUP(Ld_cal($B146, $C146, $D146, $G146,$E146, $F146, $H146, AA$3)*1.3,0)),"-")</f>
        <v>-</v>
      </c>
      <c r="AB147" s="55" t="str">
        <f>IF($J147=AB$3,IF(AB$3&gt;$I146,"-",ROUNDUP(Ld_cal($B146, $C146, $D146, $G146,$E146, $F146, $H146, AB$3)*1.3,0)),"-")</f>
        <v>-</v>
      </c>
      <c r="AC147" s="55" t="str">
        <f>IF($J147=AC$3,IF(AC$3&gt;$I146,"-",ROUNDUP(Ld_cal($B146, $C146, $D146, $G146,$E146, $F146, $H146, AC$3)*1.3,0)),"-")</f>
        <v>-</v>
      </c>
      <c r="AD147" s="55">
        <f t="shared" ref="AD147" si="141">IF(J147&gt;I146,"依標準圖",MAX(L147:AC147))</f>
        <v>105</v>
      </c>
    </row>
    <row r="148" spans="1:30">
      <c r="A148" s="112" t="s">
        <v>119</v>
      </c>
      <c r="B148" s="107">
        <v>120</v>
      </c>
      <c r="C148" s="108">
        <v>7.5</v>
      </c>
      <c r="D148" s="107">
        <v>4200</v>
      </c>
      <c r="E148" s="109">
        <v>16</v>
      </c>
      <c r="F148" s="110">
        <v>7</v>
      </c>
      <c r="G148" s="107">
        <v>350</v>
      </c>
      <c r="H148" s="109">
        <v>32</v>
      </c>
      <c r="I148" s="111">
        <f>ROUNDDOWN(($B148-2*$C148-2*$E148/10-$H148/10)/(($D$1+1)*$H148/10),0)+1</f>
        <v>16</v>
      </c>
      <c r="J148" s="58">
        <v>16</v>
      </c>
      <c r="K148" s="40" t="s">
        <v>30</v>
      </c>
      <c r="L148" s="56" t="str">
        <f>IF($J148=L$3,IF(L$3&gt;$I148,"-",ROUNDUP(Ld_cal($B148, $C148, $D148, $G148,$E148, $F148, $H148, L$3)*1.3*1.3,0)),"-")</f>
        <v>-</v>
      </c>
      <c r="M148" s="56" t="str">
        <f>IF($J148=M$3,IF(M$3&gt;$I148,"-",ROUNDUP(Ld_cal($B148, $C148, $D148, $G148,$E148, $F148, $H148, M$3)*1.3*1.3,0)),"-")</f>
        <v>-</v>
      </c>
      <c r="N148" s="56" t="str">
        <f>IF($J148=N$3,IF(N$3&gt;$I148,"-",ROUNDUP(Ld_cal($B148, $C148, $D148, $G148,$E148, $F148, $H148, N$3)*1.3*1.3,0)),"-")</f>
        <v>-</v>
      </c>
      <c r="O148" s="56" t="str">
        <f>IF($J148=O$3,IF(O$3&gt;$I148,"-",ROUNDUP(Ld_cal($B148, $C148, $D148, $G148,$E148, $F148, $H148, O$3)*1.3*1.3,0)),"-")</f>
        <v>-</v>
      </c>
      <c r="P148" s="56" t="str">
        <f>IF($J148=P$3,IF(P$3&gt;$I148,"-",ROUNDUP(Ld_cal($B148, $C148, $D148, $G148,$E148, $F148, $H148, P$3)*1.3*1.3,0)),"-")</f>
        <v>-</v>
      </c>
      <c r="Q148" s="56" t="str">
        <f>IF($J148=Q$3,IF(Q$3&gt;$I148,"-",ROUNDUP(Ld_cal($B148, $C148, $D148, $G148,$E148, $F148, $H148, Q$3)*1.3*1.3,0)),"-")</f>
        <v>-</v>
      </c>
      <c r="R148" s="56" t="str">
        <f>IF($J148=R$3,IF(R$3&gt;$I148,"-",ROUNDUP(Ld_cal($B148, $C148, $D148, $G148,$E148, $F148, $H148, R$3)*1.3*1.3,0)),"-")</f>
        <v>-</v>
      </c>
      <c r="S148" s="56" t="str">
        <f>IF($J148=S$3,IF(S$3&gt;$I148,"-",ROUNDUP(Ld_cal($B148, $C148, $D148, $G148,$E148, $F148, $H148, S$3)*1.3*1.3,0)),"-")</f>
        <v>-</v>
      </c>
      <c r="T148" s="56" t="str">
        <f>IF($J148=T$3,IF(T$3&gt;$I148,"-",ROUNDUP(Ld_cal($B148, $C148, $D148, $G148,$E148, $F148, $H148, T$3)*1.3*1.3,0)),"-")</f>
        <v>-</v>
      </c>
      <c r="U148" s="56" t="str">
        <f>IF($J148=U$3,IF(U$3&gt;$I148,"-",ROUNDUP(Ld_cal($B148, $C148, $D148, $G148,$E148, $F148, $H148, U$3)*1.3*1.3,0)),"-")</f>
        <v>-</v>
      </c>
      <c r="V148" s="56" t="str">
        <f>IF($J148=V$3,IF(V$3&gt;$I148,"-",ROUNDUP(Ld_cal($B148, $C148, $D148, $G148,$E148, $F148, $H148, V$3)*1.3*1.3,0)),"-")</f>
        <v>-</v>
      </c>
      <c r="W148" s="56" t="str">
        <f>IF($J148=W$3,IF(W$3&gt;$I148,"-",ROUNDUP(Ld_cal($B148, $C148, $D148, $G148,$E148, $F148, $H148, W$3)*1.3*1.3,0)),"-")</f>
        <v>-</v>
      </c>
      <c r="X148" s="56" t="str">
        <f>IF($J148=X$3,IF(X$3&gt;$I148,"-",ROUNDUP(Ld_cal($B148, $C148, $D148, $G148,$E148, $F148, $H148, X$3)*1.3*1.3,0)),"-")</f>
        <v>-</v>
      </c>
      <c r="Y148" s="56">
        <f>IF($J148=Y$3,IF(Y$3&gt;$I148,"-",ROUNDUP(Ld_cal($B148, $C148, $D148, $G148,$E148, $F148, $H148, Y$3)*1.3*1.3,0)),"-")</f>
        <v>231</v>
      </c>
      <c r="Z148" s="56" t="str">
        <f>IF($J148=Z$3,IF(Z$3&gt;$I148,"-",ROUNDUP(Ld_cal($B148, $C148, $D148, $G148,$E148, $F148, $H148, Z$3)*1.3*1.3,0)),"-")</f>
        <v>-</v>
      </c>
      <c r="AA148" s="56" t="str">
        <f>IF($J148=AA$3,IF(AA$3&gt;$I148,"-",ROUNDUP(Ld_cal($B148, $C148, $D148, $G148,$E148, $F148, $H148, AA$3)*1.3*1.3,0)),"-")</f>
        <v>-</v>
      </c>
      <c r="AB148" s="56" t="str">
        <f>IF($J148=AB$3,IF(AB$3&gt;$I148,"-",ROUNDUP(Ld_cal($B148, $C148, $D148, $G148,$E148, $F148, $H148, AB$3)*1.3*1.3,0)),"-")</f>
        <v>-</v>
      </c>
      <c r="AC148" s="56" t="str">
        <f>IF($J148=AC$3,IF(AC$3&gt;$I148,"-",ROUNDUP(Ld_cal($B148, $C148, $D148, $G148,$E148, $F148, $H148, AC$3)*1.3*1.3,0)),"-")</f>
        <v>-</v>
      </c>
      <c r="AD148" s="56">
        <f t="shared" ref="AD148" si="142">IF(J148&gt;I148,"依標準圖",MAX(L148:AC148))</f>
        <v>231</v>
      </c>
    </row>
    <row r="149" spans="1:30">
      <c r="A149" s="112"/>
      <c r="B149" s="107"/>
      <c r="C149" s="108"/>
      <c r="D149" s="107"/>
      <c r="E149" s="109"/>
      <c r="F149" s="110"/>
      <c r="G149" s="107"/>
      <c r="H149" s="109"/>
      <c r="I149" s="111"/>
      <c r="J149" s="58">
        <v>11</v>
      </c>
      <c r="K149" s="40" t="s">
        <v>29</v>
      </c>
      <c r="L149" s="56" t="str">
        <f>IF($J149=L$3,IF(L$3&gt;$I148,"-",ROUNDUP(Ld_cal($B148, $C148, $D148, $G148,$E148, $F148, $H148, L$3)*1.3,0)),"-")</f>
        <v>-</v>
      </c>
      <c r="M149" s="56" t="str">
        <f>IF($J149=M$3,IF(M$3&gt;$I148,"-",ROUNDUP(Ld_cal($B148, $C148, $D148, $G148,$E148, $F148, $H148, M$3)*1.3,0)),"-")</f>
        <v>-</v>
      </c>
      <c r="N149" s="56" t="str">
        <f>IF($J149=N$3,IF(N$3&gt;$I148,"-",ROUNDUP(Ld_cal($B148, $C148, $D148, $G148,$E148, $F148, $H148, N$3)*1.3,0)),"-")</f>
        <v>-</v>
      </c>
      <c r="O149" s="56" t="str">
        <f>IF($J149=O$3,IF(O$3&gt;$I148,"-",ROUNDUP(Ld_cal($B148, $C148, $D148, $G148,$E148, $F148, $H148, O$3)*1.3,0)),"-")</f>
        <v>-</v>
      </c>
      <c r="P149" s="56" t="str">
        <f>IF($J149=P$3,IF(P$3&gt;$I148,"-",ROUNDUP(Ld_cal($B148, $C148, $D148, $G148,$E148, $F148, $H148, P$3)*1.3,0)),"-")</f>
        <v>-</v>
      </c>
      <c r="Q149" s="56" t="str">
        <f>IF($J149=Q$3,IF(Q$3&gt;$I148,"-",ROUNDUP(Ld_cal($B148, $C148, $D148, $G148,$E148, $F148, $H148, Q$3)*1.3,0)),"-")</f>
        <v>-</v>
      </c>
      <c r="R149" s="56" t="str">
        <f>IF($J149=R$3,IF(R$3&gt;$I148,"-",ROUNDUP(Ld_cal($B148, $C148, $D148, $G148,$E148, $F148, $H148, R$3)*1.3,0)),"-")</f>
        <v>-</v>
      </c>
      <c r="S149" s="56" t="str">
        <f>IF($J149=S$3,IF(S$3&gt;$I148,"-",ROUNDUP(Ld_cal($B148, $C148, $D148, $G148,$E148, $F148, $H148, S$3)*1.3,0)),"-")</f>
        <v>-</v>
      </c>
      <c r="T149" s="56">
        <f>IF($J149=T$3,IF(T$3&gt;$I148,"-",ROUNDUP(Ld_cal($B148, $C148, $D148, $G148,$E148, $F148, $H148, T$3)*1.3,0)),"-")</f>
        <v>120</v>
      </c>
      <c r="U149" s="56" t="str">
        <f>IF($J149=U$3,IF(U$3&gt;$I148,"-",ROUNDUP(Ld_cal($B148, $C148, $D148, $G148,$E148, $F148, $H148, U$3)*1.3,0)),"-")</f>
        <v>-</v>
      </c>
      <c r="V149" s="56" t="str">
        <f>IF($J149=V$3,IF(V$3&gt;$I148,"-",ROUNDUP(Ld_cal($B148, $C148, $D148, $G148,$E148, $F148, $H148, V$3)*1.3,0)),"-")</f>
        <v>-</v>
      </c>
      <c r="W149" s="56" t="str">
        <f>IF($J149=W$3,IF(W$3&gt;$I148,"-",ROUNDUP(Ld_cal($B148, $C148, $D148, $G148,$E148, $F148, $H148, W$3)*1.3,0)),"-")</f>
        <v>-</v>
      </c>
      <c r="X149" s="56" t="str">
        <f>IF($J149=X$3,IF(X$3&gt;$I148,"-",ROUNDUP(Ld_cal($B148, $C148, $D148, $G148,$E148, $F148, $H148, X$3)*1.3,0)),"-")</f>
        <v>-</v>
      </c>
      <c r="Y149" s="56" t="str">
        <f>IF($J149=Y$3,IF(Y$3&gt;$I148,"-",ROUNDUP(Ld_cal($B148, $C148, $D148, $G148,$E148, $F148, $H148, Y$3)*1.3,0)),"-")</f>
        <v>-</v>
      </c>
      <c r="Z149" s="56" t="str">
        <f>IF($J149=Z$3,IF(Z$3&gt;$I148,"-",ROUNDUP(Ld_cal($B148, $C148, $D148, $G148,$E148, $F148, $H148, Z$3)*1.3,0)),"-")</f>
        <v>-</v>
      </c>
      <c r="AA149" s="56" t="str">
        <f>IF($J149=AA$3,IF(AA$3&gt;$I148,"-",ROUNDUP(Ld_cal($B148, $C148, $D148, $G148,$E148, $F148, $H148, AA$3)*1.3,0)),"-")</f>
        <v>-</v>
      </c>
      <c r="AB149" s="56" t="str">
        <f>IF($J149=AB$3,IF(AB$3&gt;$I148,"-",ROUNDUP(Ld_cal($B148, $C148, $D148, $G148,$E148, $F148, $H148, AB$3)*1.3,0)),"-")</f>
        <v>-</v>
      </c>
      <c r="AC149" s="56" t="str">
        <f>IF($J149=AC$3,IF(AC$3&gt;$I148,"-",ROUNDUP(Ld_cal($B148, $C148, $D148, $G148,$E148, $F148, $H148, AC$3)*1.3,0)),"-")</f>
        <v>-</v>
      </c>
      <c r="AD149" s="56">
        <f t="shared" ref="AD149" si="143">IF(J149&gt;I148,"依標準圖",MAX(L149:AC149))</f>
        <v>120</v>
      </c>
    </row>
    <row r="150" spans="1:30">
      <c r="A150" s="113" t="s">
        <v>120</v>
      </c>
      <c r="B150" s="99">
        <v>120</v>
      </c>
      <c r="C150" s="100">
        <v>7.5</v>
      </c>
      <c r="D150" s="101">
        <v>4200</v>
      </c>
      <c r="E150" s="102">
        <v>16</v>
      </c>
      <c r="F150" s="103">
        <v>7</v>
      </c>
      <c r="G150" s="101">
        <v>350</v>
      </c>
      <c r="H150" s="102">
        <v>32</v>
      </c>
      <c r="I150" s="104">
        <f>ROUNDDOWN(($B150-2*$C150-2*$E150/10-$H150/10)/(($D$1+1)*$H150/10),0)+1</f>
        <v>16</v>
      </c>
      <c r="J150" s="57">
        <v>16</v>
      </c>
      <c r="K150" s="59" t="s">
        <v>30</v>
      </c>
      <c r="L150" s="55" t="str">
        <f>IF($J150=L$3,IF(L$3&gt;$I150,"-",ROUNDUP(Ld_cal($B150, $C150, $D150, $G150,$E150, $F150, $H150, L$3)*1.3*1.3,0)),"-")</f>
        <v>-</v>
      </c>
      <c r="M150" s="55" t="str">
        <f>IF($J150=M$3,IF(M$3&gt;$I150,"-",ROUNDUP(Ld_cal($B150, $C150, $D150, $G150,$E150, $F150, $H150, M$3)*1.3*1.3,0)),"-")</f>
        <v>-</v>
      </c>
      <c r="N150" s="55" t="str">
        <f>IF($J150=N$3,IF(N$3&gt;$I150,"-",ROUNDUP(Ld_cal($B150, $C150, $D150, $G150,$E150, $F150, $H150, N$3)*1.3*1.3,0)),"-")</f>
        <v>-</v>
      </c>
      <c r="O150" s="55" t="str">
        <f>IF($J150=O$3,IF(O$3&gt;$I150,"-",ROUNDUP(Ld_cal($B150, $C150, $D150, $G150,$E150, $F150, $H150, O$3)*1.3*1.3,0)),"-")</f>
        <v>-</v>
      </c>
      <c r="P150" s="55" t="str">
        <f>IF($J150=P$3,IF(P$3&gt;$I150,"-",ROUNDUP(Ld_cal($B150, $C150, $D150, $G150,$E150, $F150, $H150, P$3)*1.3*1.3,0)),"-")</f>
        <v>-</v>
      </c>
      <c r="Q150" s="55" t="str">
        <f>IF($J150=Q$3,IF(Q$3&gt;$I150,"-",ROUNDUP(Ld_cal($B150, $C150, $D150, $G150,$E150, $F150, $H150, Q$3)*1.3*1.3,0)),"-")</f>
        <v>-</v>
      </c>
      <c r="R150" s="55" t="str">
        <f>IF($J150=R$3,IF(R$3&gt;$I150,"-",ROUNDUP(Ld_cal($B150, $C150, $D150, $G150,$E150, $F150, $H150, R$3)*1.3*1.3,0)),"-")</f>
        <v>-</v>
      </c>
      <c r="S150" s="55" t="str">
        <f>IF($J150=S$3,IF(S$3&gt;$I150,"-",ROUNDUP(Ld_cal($B150, $C150, $D150, $G150,$E150, $F150, $H150, S$3)*1.3*1.3,0)),"-")</f>
        <v>-</v>
      </c>
      <c r="T150" s="55" t="str">
        <f>IF($J150=T$3,IF(T$3&gt;$I150,"-",ROUNDUP(Ld_cal($B150, $C150, $D150, $G150,$E150, $F150, $H150, T$3)*1.3*1.3,0)),"-")</f>
        <v>-</v>
      </c>
      <c r="U150" s="55" t="str">
        <f>IF($J150=U$3,IF(U$3&gt;$I150,"-",ROUNDUP(Ld_cal($B150, $C150, $D150, $G150,$E150, $F150, $H150, U$3)*1.3*1.3,0)),"-")</f>
        <v>-</v>
      </c>
      <c r="V150" s="55" t="str">
        <f>IF($J150=V$3,IF(V$3&gt;$I150,"-",ROUNDUP(Ld_cal($B150, $C150, $D150, $G150,$E150, $F150, $H150, V$3)*1.3*1.3,0)),"-")</f>
        <v>-</v>
      </c>
      <c r="W150" s="55" t="str">
        <f>IF($J150=W$3,IF(W$3&gt;$I150,"-",ROUNDUP(Ld_cal($B150, $C150, $D150, $G150,$E150, $F150, $H150, W$3)*1.3*1.3,0)),"-")</f>
        <v>-</v>
      </c>
      <c r="X150" s="55" t="str">
        <f>IF($J150=X$3,IF(X$3&gt;$I150,"-",ROUNDUP(Ld_cal($B150, $C150, $D150, $G150,$E150, $F150, $H150, X$3)*1.3*1.3,0)),"-")</f>
        <v>-</v>
      </c>
      <c r="Y150" s="55">
        <f>IF($J150=Y$3,IF(Y$3&gt;$I150,"-",ROUNDUP(Ld_cal($B150, $C150, $D150, $G150,$E150, $F150, $H150, Y$3)*1.3*1.3,0)),"-")</f>
        <v>231</v>
      </c>
      <c r="Z150" s="55" t="str">
        <f>IF($J150=Z$3,IF(Z$3&gt;$I150,"-",ROUNDUP(Ld_cal($B150, $C150, $D150, $G150,$E150, $F150, $H150, Z$3)*1.3*1.3,0)),"-")</f>
        <v>-</v>
      </c>
      <c r="AA150" s="55" t="str">
        <f>IF($J150=AA$3,IF(AA$3&gt;$I150,"-",ROUNDUP(Ld_cal($B150, $C150, $D150, $G150,$E150, $F150, $H150, AA$3)*1.3*1.3,0)),"-")</f>
        <v>-</v>
      </c>
      <c r="AB150" s="55" t="str">
        <f>IF($J150=AB$3,IF(AB$3&gt;$I150,"-",ROUNDUP(Ld_cal($B150, $C150, $D150, $G150,$E150, $F150, $H150, AB$3)*1.3*1.3,0)),"-")</f>
        <v>-</v>
      </c>
      <c r="AC150" s="55" t="str">
        <f>IF($J150=AC$3,IF(AC$3&gt;$I150,"-",ROUNDUP(Ld_cal($B150, $C150, $D150, $G150,$E150, $F150, $H150, AC$3)*1.3*1.3,0)),"-")</f>
        <v>-</v>
      </c>
      <c r="AD150" s="55">
        <f t="shared" ref="AD150" si="144">IF(J150&gt;I150,"依標準圖",MAX(L150:AC150))</f>
        <v>231</v>
      </c>
    </row>
    <row r="151" spans="1:30">
      <c r="A151" s="113"/>
      <c r="B151" s="99"/>
      <c r="C151" s="100"/>
      <c r="D151" s="101"/>
      <c r="E151" s="102"/>
      <c r="F151" s="103"/>
      <c r="G151" s="101"/>
      <c r="H151" s="102"/>
      <c r="I151" s="104"/>
      <c r="J151" s="57">
        <v>14</v>
      </c>
      <c r="K151" s="59" t="s">
        <v>29</v>
      </c>
      <c r="L151" s="55" t="str">
        <f>IF($J151=L$3,IF(L$3&gt;$I150,"-",ROUNDUP(Ld_cal($B150, $C150, $D150, $G150,$E150, $F150, $H150, L$3)*1.3,0)),"-")</f>
        <v>-</v>
      </c>
      <c r="M151" s="55" t="str">
        <f>IF($J151=M$3,IF(M$3&gt;$I150,"-",ROUNDUP(Ld_cal($B150, $C150, $D150, $G150,$E150, $F150, $H150, M$3)*1.3,0)),"-")</f>
        <v>-</v>
      </c>
      <c r="N151" s="55" t="str">
        <f>IF($J151=N$3,IF(N$3&gt;$I150,"-",ROUNDUP(Ld_cal($B150, $C150, $D150, $G150,$E150, $F150, $H150, N$3)*1.3,0)),"-")</f>
        <v>-</v>
      </c>
      <c r="O151" s="55" t="str">
        <f>IF($J151=O$3,IF(O$3&gt;$I150,"-",ROUNDUP(Ld_cal($B150, $C150, $D150, $G150,$E150, $F150, $H150, O$3)*1.3,0)),"-")</f>
        <v>-</v>
      </c>
      <c r="P151" s="55" t="str">
        <f>IF($J151=P$3,IF(P$3&gt;$I150,"-",ROUNDUP(Ld_cal($B150, $C150, $D150, $G150,$E150, $F150, $H150, P$3)*1.3,0)),"-")</f>
        <v>-</v>
      </c>
      <c r="Q151" s="55" t="str">
        <f>IF($J151=Q$3,IF(Q$3&gt;$I150,"-",ROUNDUP(Ld_cal($B150, $C150, $D150, $G150,$E150, $F150, $H150, Q$3)*1.3,0)),"-")</f>
        <v>-</v>
      </c>
      <c r="R151" s="55" t="str">
        <f>IF($J151=R$3,IF(R$3&gt;$I150,"-",ROUNDUP(Ld_cal($B150, $C150, $D150, $G150,$E150, $F150, $H150, R$3)*1.3,0)),"-")</f>
        <v>-</v>
      </c>
      <c r="S151" s="55" t="str">
        <f>IF($J151=S$3,IF(S$3&gt;$I150,"-",ROUNDUP(Ld_cal($B150, $C150, $D150, $G150,$E150, $F150, $H150, S$3)*1.3,0)),"-")</f>
        <v>-</v>
      </c>
      <c r="T151" s="55" t="str">
        <f>IF($J151=T$3,IF(T$3&gt;$I150,"-",ROUNDUP(Ld_cal($B150, $C150, $D150, $G150,$E150, $F150, $H150, T$3)*1.3,0)),"-")</f>
        <v>-</v>
      </c>
      <c r="U151" s="55" t="str">
        <f>IF($J151=U$3,IF(U$3&gt;$I150,"-",ROUNDUP(Ld_cal($B150, $C150, $D150, $G150,$E150, $F150, $H150, U$3)*1.3,0)),"-")</f>
        <v>-</v>
      </c>
      <c r="V151" s="55" t="str">
        <f>IF($J151=V$3,IF(V$3&gt;$I150,"-",ROUNDUP(Ld_cal($B150, $C150, $D150, $G150,$E150, $F150, $H150, V$3)*1.3,0)),"-")</f>
        <v>-</v>
      </c>
      <c r="W151" s="55">
        <f>IF($J151=W$3,IF(W$3&gt;$I150,"-",ROUNDUP(Ld_cal($B150, $C150, $D150, $G150,$E150, $F150, $H150, W$3)*1.3,0)),"-")</f>
        <v>155</v>
      </c>
      <c r="X151" s="55" t="str">
        <f>IF($J151=X$3,IF(X$3&gt;$I150,"-",ROUNDUP(Ld_cal($B150, $C150, $D150, $G150,$E150, $F150, $H150, X$3)*1.3,0)),"-")</f>
        <v>-</v>
      </c>
      <c r="Y151" s="55" t="str">
        <f>IF($J151=Y$3,IF(Y$3&gt;$I150,"-",ROUNDUP(Ld_cal($B150, $C150, $D150, $G150,$E150, $F150, $H150, Y$3)*1.3,0)),"-")</f>
        <v>-</v>
      </c>
      <c r="Z151" s="55" t="str">
        <f>IF($J151=Z$3,IF(Z$3&gt;$I150,"-",ROUNDUP(Ld_cal($B150, $C150, $D150, $G150,$E150, $F150, $H150, Z$3)*1.3,0)),"-")</f>
        <v>-</v>
      </c>
      <c r="AA151" s="55" t="str">
        <f>IF($J151=AA$3,IF(AA$3&gt;$I150,"-",ROUNDUP(Ld_cal($B150, $C150, $D150, $G150,$E150, $F150, $H150, AA$3)*1.3,0)),"-")</f>
        <v>-</v>
      </c>
      <c r="AB151" s="55" t="str">
        <f>IF($J151=AB$3,IF(AB$3&gt;$I150,"-",ROUNDUP(Ld_cal($B150, $C150, $D150, $G150,$E150, $F150, $H150, AB$3)*1.3,0)),"-")</f>
        <v>-</v>
      </c>
      <c r="AC151" s="55" t="str">
        <f>IF($J151=AC$3,IF(AC$3&gt;$I150,"-",ROUNDUP(Ld_cal($B150, $C150, $D150, $G150,$E150, $F150, $H150, AC$3)*1.3,0)),"-")</f>
        <v>-</v>
      </c>
      <c r="AD151" s="55">
        <f t="shared" ref="AD151" si="145">IF(J151&gt;I150,"依標準圖",MAX(L151:AC151))</f>
        <v>155</v>
      </c>
    </row>
    <row r="152" spans="1:30">
      <c r="A152" s="112" t="s">
        <v>121</v>
      </c>
      <c r="B152" s="107">
        <v>120</v>
      </c>
      <c r="C152" s="108">
        <v>7.5</v>
      </c>
      <c r="D152" s="107">
        <v>4200</v>
      </c>
      <c r="E152" s="109">
        <v>16</v>
      </c>
      <c r="F152" s="110">
        <v>9</v>
      </c>
      <c r="G152" s="107">
        <v>350</v>
      </c>
      <c r="H152" s="109">
        <v>32</v>
      </c>
      <c r="I152" s="111">
        <f>ROUNDDOWN(($B152-2*$C152-2*$E152/10-$H152/10)/(($D$1+1)*$H152/10),0)+1</f>
        <v>16</v>
      </c>
      <c r="J152" s="58">
        <v>15</v>
      </c>
      <c r="K152" s="40" t="s">
        <v>30</v>
      </c>
      <c r="L152" s="56" t="str">
        <f>IF($J152=L$3,IF(L$3&gt;$I152,"-",ROUNDUP(Ld_cal($B152, $C152, $D152, $G152,$E152, $F152, $H152, L$3)*1.3*1.3,0)),"-")</f>
        <v>-</v>
      </c>
      <c r="M152" s="56" t="str">
        <f>IF($J152=M$3,IF(M$3&gt;$I152,"-",ROUNDUP(Ld_cal($B152, $C152, $D152, $G152,$E152, $F152, $H152, M$3)*1.3*1.3,0)),"-")</f>
        <v>-</v>
      </c>
      <c r="N152" s="56" t="str">
        <f>IF($J152=N$3,IF(N$3&gt;$I152,"-",ROUNDUP(Ld_cal($B152, $C152, $D152, $G152,$E152, $F152, $H152, N$3)*1.3*1.3,0)),"-")</f>
        <v>-</v>
      </c>
      <c r="O152" s="56" t="str">
        <f>IF($J152=O$3,IF(O$3&gt;$I152,"-",ROUNDUP(Ld_cal($B152, $C152, $D152, $G152,$E152, $F152, $H152, O$3)*1.3*1.3,0)),"-")</f>
        <v>-</v>
      </c>
      <c r="P152" s="56" t="str">
        <f>IF($J152=P$3,IF(P$3&gt;$I152,"-",ROUNDUP(Ld_cal($B152, $C152, $D152, $G152,$E152, $F152, $H152, P$3)*1.3*1.3,0)),"-")</f>
        <v>-</v>
      </c>
      <c r="Q152" s="56" t="str">
        <f>IF($J152=Q$3,IF(Q$3&gt;$I152,"-",ROUNDUP(Ld_cal($B152, $C152, $D152, $G152,$E152, $F152, $H152, Q$3)*1.3*1.3,0)),"-")</f>
        <v>-</v>
      </c>
      <c r="R152" s="56" t="str">
        <f>IF($J152=R$3,IF(R$3&gt;$I152,"-",ROUNDUP(Ld_cal($B152, $C152, $D152, $G152,$E152, $F152, $H152, R$3)*1.3*1.3,0)),"-")</f>
        <v>-</v>
      </c>
      <c r="S152" s="56" t="str">
        <f>IF($J152=S$3,IF(S$3&gt;$I152,"-",ROUNDUP(Ld_cal($B152, $C152, $D152, $G152,$E152, $F152, $H152, S$3)*1.3*1.3,0)),"-")</f>
        <v>-</v>
      </c>
      <c r="T152" s="56" t="str">
        <f>IF($J152=T$3,IF(T$3&gt;$I152,"-",ROUNDUP(Ld_cal($B152, $C152, $D152, $G152,$E152, $F152, $H152, T$3)*1.3*1.3,0)),"-")</f>
        <v>-</v>
      </c>
      <c r="U152" s="56" t="str">
        <f>IF($J152=U$3,IF(U$3&gt;$I152,"-",ROUNDUP(Ld_cal($B152, $C152, $D152, $G152,$E152, $F152, $H152, U$3)*1.3*1.3,0)),"-")</f>
        <v>-</v>
      </c>
      <c r="V152" s="56" t="str">
        <f>IF($J152=V$3,IF(V$3&gt;$I152,"-",ROUNDUP(Ld_cal($B152, $C152, $D152, $G152,$E152, $F152, $H152, V$3)*1.3*1.3,0)),"-")</f>
        <v>-</v>
      </c>
      <c r="W152" s="56" t="str">
        <f>IF($J152=W$3,IF(W$3&gt;$I152,"-",ROUNDUP(Ld_cal($B152, $C152, $D152, $G152,$E152, $F152, $H152, W$3)*1.3*1.3,0)),"-")</f>
        <v>-</v>
      </c>
      <c r="X152" s="56">
        <f>IF($J152=X$3,IF(X$3&gt;$I152,"-",ROUNDUP(Ld_cal($B152, $C152, $D152, $G152,$E152, $F152, $H152, X$3)*1.3*1.3,0)),"-")</f>
        <v>231</v>
      </c>
      <c r="Y152" s="56" t="str">
        <f>IF($J152=Y$3,IF(Y$3&gt;$I152,"-",ROUNDUP(Ld_cal($B152, $C152, $D152, $G152,$E152, $F152, $H152, Y$3)*1.3*1.3,0)),"-")</f>
        <v>-</v>
      </c>
      <c r="Z152" s="56" t="str">
        <f>IF($J152=Z$3,IF(Z$3&gt;$I152,"-",ROUNDUP(Ld_cal($B152, $C152, $D152, $G152,$E152, $F152, $H152, Z$3)*1.3*1.3,0)),"-")</f>
        <v>-</v>
      </c>
      <c r="AA152" s="56" t="str">
        <f>IF($J152=AA$3,IF(AA$3&gt;$I152,"-",ROUNDUP(Ld_cal($B152, $C152, $D152, $G152,$E152, $F152, $H152, AA$3)*1.3*1.3,0)),"-")</f>
        <v>-</v>
      </c>
      <c r="AB152" s="56" t="str">
        <f>IF($J152=AB$3,IF(AB$3&gt;$I152,"-",ROUNDUP(Ld_cal($B152, $C152, $D152, $G152,$E152, $F152, $H152, AB$3)*1.3*1.3,0)),"-")</f>
        <v>-</v>
      </c>
      <c r="AC152" s="56" t="str">
        <f>IF($J152=AC$3,IF(AC$3&gt;$I152,"-",ROUNDUP(Ld_cal($B152, $C152, $D152, $G152,$E152, $F152, $H152, AC$3)*1.3*1.3,0)),"-")</f>
        <v>-</v>
      </c>
      <c r="AD152" s="56">
        <f t="shared" ref="AD152" si="146">IF(J152&gt;I152,"依標準圖",MAX(L152:AC152))</f>
        <v>231</v>
      </c>
    </row>
    <row r="153" spans="1:30">
      <c r="A153" s="112"/>
      <c r="B153" s="107"/>
      <c r="C153" s="108"/>
      <c r="D153" s="107"/>
      <c r="E153" s="109"/>
      <c r="F153" s="110"/>
      <c r="G153" s="107"/>
      <c r="H153" s="109"/>
      <c r="I153" s="111"/>
      <c r="J153" s="58">
        <v>14</v>
      </c>
      <c r="K153" s="40" t="s">
        <v>29</v>
      </c>
      <c r="L153" s="56" t="str">
        <f>IF($J153=L$3,IF(L$3&gt;$I152,"-",ROUNDUP(Ld_cal($B152, $C152, $D152, $G152,$E152, $F152, $H152, L$3)*1.3,0)),"-")</f>
        <v>-</v>
      </c>
      <c r="M153" s="56" t="str">
        <f>IF($J153=M$3,IF(M$3&gt;$I152,"-",ROUNDUP(Ld_cal($B152, $C152, $D152, $G152,$E152, $F152, $H152, M$3)*1.3,0)),"-")</f>
        <v>-</v>
      </c>
      <c r="N153" s="56" t="str">
        <f>IF($J153=N$3,IF(N$3&gt;$I152,"-",ROUNDUP(Ld_cal($B152, $C152, $D152, $G152,$E152, $F152, $H152, N$3)*1.3,0)),"-")</f>
        <v>-</v>
      </c>
      <c r="O153" s="56" t="str">
        <f>IF($J153=O$3,IF(O$3&gt;$I152,"-",ROUNDUP(Ld_cal($B152, $C152, $D152, $G152,$E152, $F152, $H152, O$3)*1.3,0)),"-")</f>
        <v>-</v>
      </c>
      <c r="P153" s="56" t="str">
        <f>IF($J153=P$3,IF(P$3&gt;$I152,"-",ROUNDUP(Ld_cal($B152, $C152, $D152, $G152,$E152, $F152, $H152, P$3)*1.3,0)),"-")</f>
        <v>-</v>
      </c>
      <c r="Q153" s="56" t="str">
        <f>IF($J153=Q$3,IF(Q$3&gt;$I152,"-",ROUNDUP(Ld_cal($B152, $C152, $D152, $G152,$E152, $F152, $H152, Q$3)*1.3,0)),"-")</f>
        <v>-</v>
      </c>
      <c r="R153" s="56" t="str">
        <f>IF($J153=R$3,IF(R$3&gt;$I152,"-",ROUNDUP(Ld_cal($B152, $C152, $D152, $G152,$E152, $F152, $H152, R$3)*1.3,0)),"-")</f>
        <v>-</v>
      </c>
      <c r="S153" s="56" t="str">
        <f>IF($J153=S$3,IF(S$3&gt;$I152,"-",ROUNDUP(Ld_cal($B152, $C152, $D152, $G152,$E152, $F152, $H152, S$3)*1.3,0)),"-")</f>
        <v>-</v>
      </c>
      <c r="T153" s="56" t="str">
        <f>IF($J153=T$3,IF(T$3&gt;$I152,"-",ROUNDUP(Ld_cal($B152, $C152, $D152, $G152,$E152, $F152, $H152, T$3)*1.3,0)),"-")</f>
        <v>-</v>
      </c>
      <c r="U153" s="56" t="str">
        <f>IF($J153=U$3,IF(U$3&gt;$I152,"-",ROUNDUP(Ld_cal($B152, $C152, $D152, $G152,$E152, $F152, $H152, U$3)*1.3,0)),"-")</f>
        <v>-</v>
      </c>
      <c r="V153" s="56" t="str">
        <f>IF($J153=V$3,IF(V$3&gt;$I152,"-",ROUNDUP(Ld_cal($B152, $C152, $D152, $G152,$E152, $F152, $H152, V$3)*1.3,0)),"-")</f>
        <v>-</v>
      </c>
      <c r="W153" s="56">
        <f>IF($J153=W$3,IF(W$3&gt;$I152,"-",ROUNDUP(Ld_cal($B152, $C152, $D152, $G152,$E152, $F152, $H152, W$3)*1.3,0)),"-")</f>
        <v>166</v>
      </c>
      <c r="X153" s="56" t="str">
        <f>IF($J153=X$3,IF(X$3&gt;$I152,"-",ROUNDUP(Ld_cal($B152, $C152, $D152, $G152,$E152, $F152, $H152, X$3)*1.3,0)),"-")</f>
        <v>-</v>
      </c>
      <c r="Y153" s="56" t="str">
        <f>IF($J153=Y$3,IF(Y$3&gt;$I152,"-",ROUNDUP(Ld_cal($B152, $C152, $D152, $G152,$E152, $F152, $H152, Y$3)*1.3,0)),"-")</f>
        <v>-</v>
      </c>
      <c r="Z153" s="56" t="str">
        <f>IF($J153=Z$3,IF(Z$3&gt;$I152,"-",ROUNDUP(Ld_cal($B152, $C152, $D152, $G152,$E152, $F152, $H152, Z$3)*1.3,0)),"-")</f>
        <v>-</v>
      </c>
      <c r="AA153" s="56" t="str">
        <f>IF($J153=AA$3,IF(AA$3&gt;$I152,"-",ROUNDUP(Ld_cal($B152, $C152, $D152, $G152,$E152, $F152, $H152, AA$3)*1.3,0)),"-")</f>
        <v>-</v>
      </c>
      <c r="AB153" s="56" t="str">
        <f>IF($J153=AB$3,IF(AB$3&gt;$I152,"-",ROUNDUP(Ld_cal($B152, $C152, $D152, $G152,$E152, $F152, $H152, AB$3)*1.3,0)),"-")</f>
        <v>-</v>
      </c>
      <c r="AC153" s="56" t="str">
        <f>IF($J153=AC$3,IF(AC$3&gt;$I152,"-",ROUNDUP(Ld_cal($B152, $C152, $D152, $G152,$E152, $F152, $H152, AC$3)*1.3,0)),"-")</f>
        <v>-</v>
      </c>
      <c r="AD153" s="56">
        <f t="shared" ref="AD153" si="147">IF(J153&gt;I152,"依標準圖",MAX(L153:AC153))</f>
        <v>166</v>
      </c>
    </row>
    <row r="154" spans="1:30">
      <c r="A154" s="113" t="s">
        <v>122</v>
      </c>
      <c r="B154" s="99">
        <v>120</v>
      </c>
      <c r="C154" s="100">
        <v>7.5</v>
      </c>
      <c r="D154" s="101">
        <v>4200</v>
      </c>
      <c r="E154" s="102">
        <v>13</v>
      </c>
      <c r="F154" s="103">
        <v>7</v>
      </c>
      <c r="G154" s="101">
        <v>350</v>
      </c>
      <c r="H154" s="102">
        <v>32</v>
      </c>
      <c r="I154" s="104">
        <f>ROUNDDOWN(($B154-2*$C154-2*$E154/10-$H154/10)/(($D$1+1)*$H154/10),0)+1</f>
        <v>16</v>
      </c>
      <c r="J154" s="57">
        <v>15</v>
      </c>
      <c r="K154" s="59" t="s">
        <v>30</v>
      </c>
      <c r="L154" s="55" t="str">
        <f>IF($J154=L$3,IF(L$3&gt;$I154,"-",ROUNDUP(Ld_cal($B154, $C154, $D154, $G154,$E154, $F154, $H154, L$3)*1.3*1.3,0)),"-")</f>
        <v>-</v>
      </c>
      <c r="M154" s="55" t="str">
        <f>IF($J154=M$3,IF(M$3&gt;$I154,"-",ROUNDUP(Ld_cal($B154, $C154, $D154, $G154,$E154, $F154, $H154, M$3)*1.3*1.3,0)),"-")</f>
        <v>-</v>
      </c>
      <c r="N154" s="55" t="str">
        <f>IF($J154=N$3,IF(N$3&gt;$I154,"-",ROUNDUP(Ld_cal($B154, $C154, $D154, $G154,$E154, $F154, $H154, N$3)*1.3*1.3,0)),"-")</f>
        <v>-</v>
      </c>
      <c r="O154" s="55" t="str">
        <f>IF($J154=O$3,IF(O$3&gt;$I154,"-",ROUNDUP(Ld_cal($B154, $C154, $D154, $G154,$E154, $F154, $H154, O$3)*1.3*1.3,0)),"-")</f>
        <v>-</v>
      </c>
      <c r="P154" s="55" t="str">
        <f>IF($J154=P$3,IF(P$3&gt;$I154,"-",ROUNDUP(Ld_cal($B154, $C154, $D154, $G154,$E154, $F154, $H154, P$3)*1.3*1.3,0)),"-")</f>
        <v>-</v>
      </c>
      <c r="Q154" s="55" t="str">
        <f>IF($J154=Q$3,IF(Q$3&gt;$I154,"-",ROUNDUP(Ld_cal($B154, $C154, $D154, $G154,$E154, $F154, $H154, Q$3)*1.3*1.3,0)),"-")</f>
        <v>-</v>
      </c>
      <c r="R154" s="55" t="str">
        <f>IF($J154=R$3,IF(R$3&gt;$I154,"-",ROUNDUP(Ld_cal($B154, $C154, $D154, $G154,$E154, $F154, $H154, R$3)*1.3*1.3,0)),"-")</f>
        <v>-</v>
      </c>
      <c r="S154" s="55" t="str">
        <f>IF($J154=S$3,IF(S$3&gt;$I154,"-",ROUNDUP(Ld_cal($B154, $C154, $D154, $G154,$E154, $F154, $H154, S$3)*1.3*1.3,0)),"-")</f>
        <v>-</v>
      </c>
      <c r="T154" s="55" t="str">
        <f>IF($J154=T$3,IF(T$3&gt;$I154,"-",ROUNDUP(Ld_cal($B154, $C154, $D154, $G154,$E154, $F154, $H154, T$3)*1.3*1.3,0)),"-")</f>
        <v>-</v>
      </c>
      <c r="U154" s="55" t="str">
        <f>IF($J154=U$3,IF(U$3&gt;$I154,"-",ROUNDUP(Ld_cal($B154, $C154, $D154, $G154,$E154, $F154, $H154, U$3)*1.3*1.3,0)),"-")</f>
        <v>-</v>
      </c>
      <c r="V154" s="55" t="str">
        <f>IF($J154=V$3,IF(V$3&gt;$I154,"-",ROUNDUP(Ld_cal($B154, $C154, $D154, $G154,$E154, $F154, $H154, V$3)*1.3*1.3,0)),"-")</f>
        <v>-</v>
      </c>
      <c r="W154" s="55" t="str">
        <f>IF($J154=W$3,IF(W$3&gt;$I154,"-",ROUNDUP(Ld_cal($B154, $C154, $D154, $G154,$E154, $F154, $H154, W$3)*1.3*1.3,0)),"-")</f>
        <v>-</v>
      </c>
      <c r="X154" s="55">
        <f>IF($J154=X$3,IF(X$3&gt;$I154,"-",ROUNDUP(Ld_cal($B154, $C154, $D154, $G154,$E154, $F154, $H154, X$3)*1.3*1.3,0)),"-")</f>
        <v>239</v>
      </c>
      <c r="Y154" s="55" t="str">
        <f>IF($J154=Y$3,IF(Y$3&gt;$I154,"-",ROUNDUP(Ld_cal($B154, $C154, $D154, $G154,$E154, $F154, $H154, Y$3)*1.3*1.3,0)),"-")</f>
        <v>-</v>
      </c>
      <c r="Z154" s="55" t="str">
        <f>IF($J154=Z$3,IF(Z$3&gt;$I154,"-",ROUNDUP(Ld_cal($B154, $C154, $D154, $G154,$E154, $F154, $H154, Z$3)*1.3*1.3,0)),"-")</f>
        <v>-</v>
      </c>
      <c r="AA154" s="55" t="str">
        <f>IF($J154=AA$3,IF(AA$3&gt;$I154,"-",ROUNDUP(Ld_cal($B154, $C154, $D154, $G154,$E154, $F154, $H154, AA$3)*1.3*1.3,0)),"-")</f>
        <v>-</v>
      </c>
      <c r="AB154" s="55" t="str">
        <f>IF($J154=AB$3,IF(AB$3&gt;$I154,"-",ROUNDUP(Ld_cal($B154, $C154, $D154, $G154,$E154, $F154, $H154, AB$3)*1.3*1.3,0)),"-")</f>
        <v>-</v>
      </c>
      <c r="AC154" s="55" t="str">
        <f>IF($J154=AC$3,IF(AC$3&gt;$I154,"-",ROUNDUP(Ld_cal($B154, $C154, $D154, $G154,$E154, $F154, $H154, AC$3)*1.3*1.3,0)),"-")</f>
        <v>-</v>
      </c>
      <c r="AD154" s="55">
        <f t="shared" ref="AD154" si="148">IF(J154&gt;I154,"依標準圖",MAX(L154:AC154))</f>
        <v>239</v>
      </c>
    </row>
    <row r="155" spans="1:30">
      <c r="A155" s="113"/>
      <c r="B155" s="99"/>
      <c r="C155" s="100"/>
      <c r="D155" s="101"/>
      <c r="E155" s="102"/>
      <c r="F155" s="103"/>
      <c r="G155" s="101"/>
      <c r="H155" s="102"/>
      <c r="I155" s="104"/>
      <c r="J155" s="57">
        <v>16</v>
      </c>
      <c r="K155" s="59" t="s">
        <v>29</v>
      </c>
      <c r="L155" s="55" t="str">
        <f>IF($J155=L$3,IF(L$3&gt;$I154,"-",ROUNDUP(Ld_cal($B154, $C154, $D154, $G154,$E154, $F154, $H154, L$3)*1.3,0)),"-")</f>
        <v>-</v>
      </c>
      <c r="M155" s="55" t="str">
        <f>IF($J155=M$3,IF(M$3&gt;$I154,"-",ROUNDUP(Ld_cal($B154, $C154, $D154, $G154,$E154, $F154, $H154, M$3)*1.3,0)),"-")</f>
        <v>-</v>
      </c>
      <c r="N155" s="55" t="str">
        <f>IF($J155=N$3,IF(N$3&gt;$I154,"-",ROUNDUP(Ld_cal($B154, $C154, $D154, $G154,$E154, $F154, $H154, N$3)*1.3,0)),"-")</f>
        <v>-</v>
      </c>
      <c r="O155" s="55" t="str">
        <f>IF($J155=O$3,IF(O$3&gt;$I154,"-",ROUNDUP(Ld_cal($B154, $C154, $D154, $G154,$E154, $F154, $H154, O$3)*1.3,0)),"-")</f>
        <v>-</v>
      </c>
      <c r="P155" s="55" t="str">
        <f>IF($J155=P$3,IF(P$3&gt;$I154,"-",ROUNDUP(Ld_cal($B154, $C154, $D154, $G154,$E154, $F154, $H154, P$3)*1.3,0)),"-")</f>
        <v>-</v>
      </c>
      <c r="Q155" s="55" t="str">
        <f>IF($J155=Q$3,IF(Q$3&gt;$I154,"-",ROUNDUP(Ld_cal($B154, $C154, $D154, $G154,$E154, $F154, $H154, Q$3)*1.3,0)),"-")</f>
        <v>-</v>
      </c>
      <c r="R155" s="55" t="str">
        <f>IF($J155=R$3,IF(R$3&gt;$I154,"-",ROUNDUP(Ld_cal($B154, $C154, $D154, $G154,$E154, $F154, $H154, R$3)*1.3,0)),"-")</f>
        <v>-</v>
      </c>
      <c r="S155" s="55" t="str">
        <f>IF($J155=S$3,IF(S$3&gt;$I154,"-",ROUNDUP(Ld_cal($B154, $C154, $D154, $G154,$E154, $F154, $H154, S$3)*1.3,0)),"-")</f>
        <v>-</v>
      </c>
      <c r="T155" s="55" t="str">
        <f>IF($J155=T$3,IF(T$3&gt;$I154,"-",ROUNDUP(Ld_cal($B154, $C154, $D154, $G154,$E154, $F154, $H154, T$3)*1.3,0)),"-")</f>
        <v>-</v>
      </c>
      <c r="U155" s="55" t="str">
        <f>IF($J155=U$3,IF(U$3&gt;$I154,"-",ROUNDUP(Ld_cal($B154, $C154, $D154, $G154,$E154, $F154, $H154, U$3)*1.3,0)),"-")</f>
        <v>-</v>
      </c>
      <c r="V155" s="55" t="str">
        <f>IF($J155=V$3,IF(V$3&gt;$I154,"-",ROUNDUP(Ld_cal($B154, $C154, $D154, $G154,$E154, $F154, $H154, V$3)*1.3,0)),"-")</f>
        <v>-</v>
      </c>
      <c r="W155" s="55" t="str">
        <f>IF($J155=W$3,IF(W$3&gt;$I154,"-",ROUNDUP(Ld_cal($B154, $C154, $D154, $G154,$E154, $F154, $H154, W$3)*1.3,0)),"-")</f>
        <v>-</v>
      </c>
      <c r="X155" s="55" t="str">
        <f>IF($J155=X$3,IF(X$3&gt;$I154,"-",ROUNDUP(Ld_cal($B154, $C154, $D154, $G154,$E154, $F154, $H154, X$3)*1.3,0)),"-")</f>
        <v>-</v>
      </c>
      <c r="Y155" s="55">
        <f>IF($J155=Y$3,IF(Y$3&gt;$I154,"-",ROUNDUP(Ld_cal($B154, $C154, $D154, $G154,$E154, $F154, $H154, Y$3)*1.3,0)),"-")</f>
        <v>197</v>
      </c>
      <c r="Z155" s="55" t="str">
        <f>IF($J155=Z$3,IF(Z$3&gt;$I154,"-",ROUNDUP(Ld_cal($B154, $C154, $D154, $G154,$E154, $F154, $H154, Z$3)*1.3,0)),"-")</f>
        <v>-</v>
      </c>
      <c r="AA155" s="55" t="str">
        <f>IF($J155=AA$3,IF(AA$3&gt;$I154,"-",ROUNDUP(Ld_cal($B154, $C154, $D154, $G154,$E154, $F154, $H154, AA$3)*1.3,0)),"-")</f>
        <v>-</v>
      </c>
      <c r="AB155" s="55" t="str">
        <f>IF($J155=AB$3,IF(AB$3&gt;$I154,"-",ROUNDUP(Ld_cal($B154, $C154, $D154, $G154,$E154, $F154, $H154, AB$3)*1.3,0)),"-")</f>
        <v>-</v>
      </c>
      <c r="AC155" s="55" t="str">
        <f>IF($J155=AC$3,IF(AC$3&gt;$I154,"-",ROUNDUP(Ld_cal($B154, $C154, $D154, $G154,$E154, $F154, $H154, AC$3)*1.3,0)),"-")</f>
        <v>-</v>
      </c>
      <c r="AD155" s="55">
        <f t="shared" ref="AD155" si="149">IF(J155&gt;I154,"依標準圖",MAX(L155:AC155))</f>
        <v>197</v>
      </c>
    </row>
    <row r="156" spans="1:30">
      <c r="A156" s="112" t="s">
        <v>123</v>
      </c>
      <c r="B156" s="107">
        <v>120</v>
      </c>
      <c r="C156" s="108">
        <v>7.5</v>
      </c>
      <c r="D156" s="107">
        <v>4200</v>
      </c>
      <c r="E156" s="109">
        <v>16</v>
      </c>
      <c r="F156" s="110">
        <v>6</v>
      </c>
      <c r="G156" s="107">
        <v>350</v>
      </c>
      <c r="H156" s="109">
        <v>32</v>
      </c>
      <c r="I156" s="111">
        <f>ROUNDDOWN(($B156-2*$C156-2*$E156/10-$H156/10)/(($D$1+1)*$H156/10),0)+1</f>
        <v>16</v>
      </c>
      <c r="J156" s="58">
        <v>16</v>
      </c>
      <c r="K156" s="40" t="s">
        <v>30</v>
      </c>
      <c r="L156" s="56" t="str">
        <f>IF($J156=L$3,IF(L$3&gt;$I156,"-",ROUNDUP(Ld_cal($B156, $C156, $D156, $G156,$E156, $F156, $H156, L$3)*1.3*1.3,0)),"-")</f>
        <v>-</v>
      </c>
      <c r="M156" s="56" t="str">
        <f>IF($J156=M$3,IF(M$3&gt;$I156,"-",ROUNDUP(Ld_cal($B156, $C156, $D156, $G156,$E156, $F156, $H156, M$3)*1.3*1.3,0)),"-")</f>
        <v>-</v>
      </c>
      <c r="N156" s="56" t="str">
        <f>IF($J156=N$3,IF(N$3&gt;$I156,"-",ROUNDUP(Ld_cal($B156, $C156, $D156, $G156,$E156, $F156, $H156, N$3)*1.3*1.3,0)),"-")</f>
        <v>-</v>
      </c>
      <c r="O156" s="56" t="str">
        <f>IF($J156=O$3,IF(O$3&gt;$I156,"-",ROUNDUP(Ld_cal($B156, $C156, $D156, $G156,$E156, $F156, $H156, O$3)*1.3*1.3,0)),"-")</f>
        <v>-</v>
      </c>
      <c r="P156" s="56" t="str">
        <f>IF($J156=P$3,IF(P$3&gt;$I156,"-",ROUNDUP(Ld_cal($B156, $C156, $D156, $G156,$E156, $F156, $H156, P$3)*1.3*1.3,0)),"-")</f>
        <v>-</v>
      </c>
      <c r="Q156" s="56" t="str">
        <f>IF($J156=Q$3,IF(Q$3&gt;$I156,"-",ROUNDUP(Ld_cal($B156, $C156, $D156, $G156,$E156, $F156, $H156, Q$3)*1.3*1.3,0)),"-")</f>
        <v>-</v>
      </c>
      <c r="R156" s="56" t="str">
        <f>IF($J156=R$3,IF(R$3&gt;$I156,"-",ROUNDUP(Ld_cal($B156, $C156, $D156, $G156,$E156, $F156, $H156, R$3)*1.3*1.3,0)),"-")</f>
        <v>-</v>
      </c>
      <c r="S156" s="56" t="str">
        <f>IF($J156=S$3,IF(S$3&gt;$I156,"-",ROUNDUP(Ld_cal($B156, $C156, $D156, $G156,$E156, $F156, $H156, S$3)*1.3*1.3,0)),"-")</f>
        <v>-</v>
      </c>
      <c r="T156" s="56" t="str">
        <f>IF($J156=T$3,IF(T$3&gt;$I156,"-",ROUNDUP(Ld_cal($B156, $C156, $D156, $G156,$E156, $F156, $H156, T$3)*1.3*1.3,0)),"-")</f>
        <v>-</v>
      </c>
      <c r="U156" s="56" t="str">
        <f>IF($J156=U$3,IF(U$3&gt;$I156,"-",ROUNDUP(Ld_cal($B156, $C156, $D156, $G156,$E156, $F156, $H156, U$3)*1.3*1.3,0)),"-")</f>
        <v>-</v>
      </c>
      <c r="V156" s="56" t="str">
        <f>IF($J156=V$3,IF(V$3&gt;$I156,"-",ROUNDUP(Ld_cal($B156, $C156, $D156, $G156,$E156, $F156, $H156, V$3)*1.3*1.3,0)),"-")</f>
        <v>-</v>
      </c>
      <c r="W156" s="56" t="str">
        <f>IF($J156=W$3,IF(W$3&gt;$I156,"-",ROUNDUP(Ld_cal($B156, $C156, $D156, $G156,$E156, $F156, $H156, W$3)*1.3*1.3,0)),"-")</f>
        <v>-</v>
      </c>
      <c r="X156" s="56" t="str">
        <f>IF($J156=X$3,IF(X$3&gt;$I156,"-",ROUNDUP(Ld_cal($B156, $C156, $D156, $G156,$E156, $F156, $H156, X$3)*1.3*1.3,0)),"-")</f>
        <v>-</v>
      </c>
      <c r="Y156" s="56">
        <f>IF($J156=Y$3,IF(Y$3&gt;$I156,"-",ROUNDUP(Ld_cal($B156, $C156, $D156, $G156,$E156, $F156, $H156, Y$3)*1.3*1.3,0)),"-")</f>
        <v>220</v>
      </c>
      <c r="Z156" s="56" t="str">
        <f>IF($J156=Z$3,IF(Z$3&gt;$I156,"-",ROUNDUP(Ld_cal($B156, $C156, $D156, $G156,$E156, $F156, $H156, Z$3)*1.3*1.3,0)),"-")</f>
        <v>-</v>
      </c>
      <c r="AA156" s="56" t="str">
        <f>IF($J156=AA$3,IF(AA$3&gt;$I156,"-",ROUNDUP(Ld_cal($B156, $C156, $D156, $G156,$E156, $F156, $H156, AA$3)*1.3*1.3,0)),"-")</f>
        <v>-</v>
      </c>
      <c r="AB156" s="56" t="str">
        <f>IF($J156=AB$3,IF(AB$3&gt;$I156,"-",ROUNDUP(Ld_cal($B156, $C156, $D156, $G156,$E156, $F156, $H156, AB$3)*1.3*1.3,0)),"-")</f>
        <v>-</v>
      </c>
      <c r="AC156" s="56" t="str">
        <f>IF($J156=AC$3,IF(AC$3&gt;$I156,"-",ROUNDUP(Ld_cal($B156, $C156, $D156, $G156,$E156, $F156, $H156, AC$3)*1.3*1.3,0)),"-")</f>
        <v>-</v>
      </c>
      <c r="AD156" s="56">
        <f t="shared" ref="AD156" si="150">IF(J156&gt;I156,"依標準圖",MAX(L156:AC156))</f>
        <v>220</v>
      </c>
    </row>
    <row r="157" spans="1:30">
      <c r="A157" s="112"/>
      <c r="B157" s="107"/>
      <c r="C157" s="108"/>
      <c r="D157" s="107"/>
      <c r="E157" s="109"/>
      <c r="F157" s="110"/>
      <c r="G157" s="107"/>
      <c r="H157" s="109"/>
      <c r="I157" s="111"/>
      <c r="J157" s="58">
        <v>16</v>
      </c>
      <c r="K157" s="40" t="s">
        <v>29</v>
      </c>
      <c r="L157" s="56" t="str">
        <f>IF($J157=L$3,IF(L$3&gt;$I156,"-",ROUNDUP(Ld_cal($B156, $C156, $D156, $G156,$E156, $F156, $H156, L$3)*1.3,0)),"-")</f>
        <v>-</v>
      </c>
      <c r="M157" s="56" t="str">
        <f>IF($J157=M$3,IF(M$3&gt;$I156,"-",ROUNDUP(Ld_cal($B156, $C156, $D156, $G156,$E156, $F156, $H156, M$3)*1.3,0)),"-")</f>
        <v>-</v>
      </c>
      <c r="N157" s="56" t="str">
        <f>IF($J157=N$3,IF(N$3&gt;$I156,"-",ROUNDUP(Ld_cal($B156, $C156, $D156, $G156,$E156, $F156, $H156, N$3)*1.3,0)),"-")</f>
        <v>-</v>
      </c>
      <c r="O157" s="56" t="str">
        <f>IF($J157=O$3,IF(O$3&gt;$I156,"-",ROUNDUP(Ld_cal($B156, $C156, $D156, $G156,$E156, $F156, $H156, O$3)*1.3,0)),"-")</f>
        <v>-</v>
      </c>
      <c r="P157" s="56" t="str">
        <f>IF($J157=P$3,IF(P$3&gt;$I156,"-",ROUNDUP(Ld_cal($B156, $C156, $D156, $G156,$E156, $F156, $H156, P$3)*1.3,0)),"-")</f>
        <v>-</v>
      </c>
      <c r="Q157" s="56" t="str">
        <f>IF($J157=Q$3,IF(Q$3&gt;$I156,"-",ROUNDUP(Ld_cal($B156, $C156, $D156, $G156,$E156, $F156, $H156, Q$3)*1.3,0)),"-")</f>
        <v>-</v>
      </c>
      <c r="R157" s="56" t="str">
        <f>IF($J157=R$3,IF(R$3&gt;$I156,"-",ROUNDUP(Ld_cal($B156, $C156, $D156, $G156,$E156, $F156, $H156, R$3)*1.3,0)),"-")</f>
        <v>-</v>
      </c>
      <c r="S157" s="56" t="str">
        <f>IF($J157=S$3,IF(S$3&gt;$I156,"-",ROUNDUP(Ld_cal($B156, $C156, $D156, $G156,$E156, $F156, $H156, S$3)*1.3,0)),"-")</f>
        <v>-</v>
      </c>
      <c r="T157" s="56" t="str">
        <f>IF($J157=T$3,IF(T$3&gt;$I156,"-",ROUNDUP(Ld_cal($B156, $C156, $D156, $G156,$E156, $F156, $H156, T$3)*1.3,0)),"-")</f>
        <v>-</v>
      </c>
      <c r="U157" s="56" t="str">
        <f>IF($J157=U$3,IF(U$3&gt;$I156,"-",ROUNDUP(Ld_cal($B156, $C156, $D156, $G156,$E156, $F156, $H156, U$3)*1.3,0)),"-")</f>
        <v>-</v>
      </c>
      <c r="V157" s="56" t="str">
        <f>IF($J157=V$3,IF(V$3&gt;$I156,"-",ROUNDUP(Ld_cal($B156, $C156, $D156, $G156,$E156, $F156, $H156, V$3)*1.3,0)),"-")</f>
        <v>-</v>
      </c>
      <c r="W157" s="56" t="str">
        <f>IF($J157=W$3,IF(W$3&gt;$I156,"-",ROUNDUP(Ld_cal($B156, $C156, $D156, $G156,$E156, $F156, $H156, W$3)*1.3,0)),"-")</f>
        <v>-</v>
      </c>
      <c r="X157" s="56" t="str">
        <f>IF($J157=X$3,IF(X$3&gt;$I156,"-",ROUNDUP(Ld_cal($B156, $C156, $D156, $G156,$E156, $F156, $H156, X$3)*1.3,0)),"-")</f>
        <v>-</v>
      </c>
      <c r="Y157" s="56">
        <f>IF($J157=Y$3,IF(Y$3&gt;$I156,"-",ROUNDUP(Ld_cal($B156, $C156, $D156, $G156,$E156, $F156, $H156, Y$3)*1.3,0)),"-")</f>
        <v>169</v>
      </c>
      <c r="Z157" s="56" t="str">
        <f>IF($J157=Z$3,IF(Z$3&gt;$I156,"-",ROUNDUP(Ld_cal($B156, $C156, $D156, $G156,$E156, $F156, $H156, Z$3)*1.3,0)),"-")</f>
        <v>-</v>
      </c>
      <c r="AA157" s="56" t="str">
        <f>IF($J157=AA$3,IF(AA$3&gt;$I156,"-",ROUNDUP(Ld_cal($B156, $C156, $D156, $G156,$E156, $F156, $H156, AA$3)*1.3,0)),"-")</f>
        <v>-</v>
      </c>
      <c r="AB157" s="56" t="str">
        <f>IF($J157=AB$3,IF(AB$3&gt;$I156,"-",ROUNDUP(Ld_cal($B156, $C156, $D156, $G156,$E156, $F156, $H156, AB$3)*1.3,0)),"-")</f>
        <v>-</v>
      </c>
      <c r="AC157" s="56" t="str">
        <f>IF($J157=AC$3,IF(AC$3&gt;$I156,"-",ROUNDUP(Ld_cal($B156, $C156, $D156, $G156,$E156, $F156, $H156, AC$3)*1.3,0)),"-")</f>
        <v>-</v>
      </c>
      <c r="AD157" s="56">
        <f t="shared" ref="AD157" si="151">IF(J157&gt;I156,"依標準圖",MAX(L157:AC157))</f>
        <v>169</v>
      </c>
    </row>
    <row r="158" spans="1:30">
      <c r="A158" s="113" t="s">
        <v>124</v>
      </c>
      <c r="B158" s="99">
        <v>120</v>
      </c>
      <c r="C158" s="100">
        <v>7.5</v>
      </c>
      <c r="D158" s="101">
        <v>4200</v>
      </c>
      <c r="E158" s="102">
        <v>16</v>
      </c>
      <c r="F158" s="103">
        <v>7</v>
      </c>
      <c r="G158" s="101">
        <v>350</v>
      </c>
      <c r="H158" s="102">
        <v>32</v>
      </c>
      <c r="I158" s="104">
        <f>ROUNDDOWN(($B158-2*$C158-2*$E158/10-$H158/10)/(($D$1+1)*$H158/10),0)+1</f>
        <v>16</v>
      </c>
      <c r="J158" s="57">
        <v>16</v>
      </c>
      <c r="K158" s="59" t="s">
        <v>30</v>
      </c>
      <c r="L158" s="55" t="str">
        <f>IF($J158=L$3,IF(L$3&gt;$I158,"-",ROUNDUP(Ld_cal($B158, $C158, $D158, $G158,$E158, $F158, $H158, L$3)*1.3*1.3,0)),"-")</f>
        <v>-</v>
      </c>
      <c r="M158" s="55" t="str">
        <f>IF($J158=M$3,IF(M$3&gt;$I158,"-",ROUNDUP(Ld_cal($B158, $C158, $D158, $G158,$E158, $F158, $H158, M$3)*1.3*1.3,0)),"-")</f>
        <v>-</v>
      </c>
      <c r="N158" s="55" t="str">
        <f>IF($J158=N$3,IF(N$3&gt;$I158,"-",ROUNDUP(Ld_cal($B158, $C158, $D158, $G158,$E158, $F158, $H158, N$3)*1.3*1.3,0)),"-")</f>
        <v>-</v>
      </c>
      <c r="O158" s="55" t="str">
        <f>IF($J158=O$3,IF(O$3&gt;$I158,"-",ROUNDUP(Ld_cal($B158, $C158, $D158, $G158,$E158, $F158, $H158, O$3)*1.3*1.3,0)),"-")</f>
        <v>-</v>
      </c>
      <c r="P158" s="55" t="str">
        <f>IF($J158=P$3,IF(P$3&gt;$I158,"-",ROUNDUP(Ld_cal($B158, $C158, $D158, $G158,$E158, $F158, $H158, P$3)*1.3*1.3,0)),"-")</f>
        <v>-</v>
      </c>
      <c r="Q158" s="55" t="str">
        <f>IF($J158=Q$3,IF(Q$3&gt;$I158,"-",ROUNDUP(Ld_cal($B158, $C158, $D158, $G158,$E158, $F158, $H158, Q$3)*1.3*1.3,0)),"-")</f>
        <v>-</v>
      </c>
      <c r="R158" s="55" t="str">
        <f>IF($J158=R$3,IF(R$3&gt;$I158,"-",ROUNDUP(Ld_cal($B158, $C158, $D158, $G158,$E158, $F158, $H158, R$3)*1.3*1.3,0)),"-")</f>
        <v>-</v>
      </c>
      <c r="S158" s="55" t="str">
        <f>IF($J158=S$3,IF(S$3&gt;$I158,"-",ROUNDUP(Ld_cal($B158, $C158, $D158, $G158,$E158, $F158, $H158, S$3)*1.3*1.3,0)),"-")</f>
        <v>-</v>
      </c>
      <c r="T158" s="55" t="str">
        <f>IF($J158=T$3,IF(T$3&gt;$I158,"-",ROUNDUP(Ld_cal($B158, $C158, $D158, $G158,$E158, $F158, $H158, T$3)*1.3*1.3,0)),"-")</f>
        <v>-</v>
      </c>
      <c r="U158" s="55" t="str">
        <f>IF($J158=U$3,IF(U$3&gt;$I158,"-",ROUNDUP(Ld_cal($B158, $C158, $D158, $G158,$E158, $F158, $H158, U$3)*1.3*1.3,0)),"-")</f>
        <v>-</v>
      </c>
      <c r="V158" s="55" t="str">
        <f>IF($J158=V$3,IF(V$3&gt;$I158,"-",ROUNDUP(Ld_cal($B158, $C158, $D158, $G158,$E158, $F158, $H158, V$3)*1.3*1.3,0)),"-")</f>
        <v>-</v>
      </c>
      <c r="W158" s="55" t="str">
        <f>IF($J158=W$3,IF(W$3&gt;$I158,"-",ROUNDUP(Ld_cal($B158, $C158, $D158, $G158,$E158, $F158, $H158, W$3)*1.3*1.3,0)),"-")</f>
        <v>-</v>
      </c>
      <c r="X158" s="55" t="str">
        <f>IF($J158=X$3,IF(X$3&gt;$I158,"-",ROUNDUP(Ld_cal($B158, $C158, $D158, $G158,$E158, $F158, $H158, X$3)*1.3*1.3,0)),"-")</f>
        <v>-</v>
      </c>
      <c r="Y158" s="55">
        <f>IF($J158=Y$3,IF(Y$3&gt;$I158,"-",ROUNDUP(Ld_cal($B158, $C158, $D158, $G158,$E158, $F158, $H158, Y$3)*1.3*1.3,0)),"-")</f>
        <v>231</v>
      </c>
      <c r="Z158" s="55" t="str">
        <f>IF($J158=Z$3,IF(Z$3&gt;$I158,"-",ROUNDUP(Ld_cal($B158, $C158, $D158, $G158,$E158, $F158, $H158, Z$3)*1.3*1.3,0)),"-")</f>
        <v>-</v>
      </c>
      <c r="AA158" s="55" t="str">
        <f>IF($J158=AA$3,IF(AA$3&gt;$I158,"-",ROUNDUP(Ld_cal($B158, $C158, $D158, $G158,$E158, $F158, $H158, AA$3)*1.3*1.3,0)),"-")</f>
        <v>-</v>
      </c>
      <c r="AB158" s="55" t="str">
        <f>IF($J158=AB$3,IF(AB$3&gt;$I158,"-",ROUNDUP(Ld_cal($B158, $C158, $D158, $G158,$E158, $F158, $H158, AB$3)*1.3*1.3,0)),"-")</f>
        <v>-</v>
      </c>
      <c r="AC158" s="55" t="str">
        <f>IF($J158=AC$3,IF(AC$3&gt;$I158,"-",ROUNDUP(Ld_cal($B158, $C158, $D158, $G158,$E158, $F158, $H158, AC$3)*1.3*1.3,0)),"-")</f>
        <v>-</v>
      </c>
      <c r="AD158" s="55">
        <f t="shared" ref="AD158" si="152">IF(J158&gt;I158,"依標準圖",MAX(L158:AC158))</f>
        <v>231</v>
      </c>
    </row>
    <row r="159" spans="1:30">
      <c r="A159" s="113"/>
      <c r="B159" s="99"/>
      <c r="C159" s="100"/>
      <c r="D159" s="101"/>
      <c r="E159" s="102"/>
      <c r="F159" s="103"/>
      <c r="G159" s="101"/>
      <c r="H159" s="102"/>
      <c r="I159" s="104"/>
      <c r="J159" s="57">
        <v>16</v>
      </c>
      <c r="K159" s="59" t="s">
        <v>29</v>
      </c>
      <c r="L159" s="55" t="str">
        <f>IF($J159=L$3,IF(L$3&gt;$I158,"-",ROUNDUP(Ld_cal($B158, $C158, $D158, $G158,$E158, $F158, $H158, L$3)*1.3,0)),"-")</f>
        <v>-</v>
      </c>
      <c r="M159" s="55" t="str">
        <f>IF($J159=M$3,IF(M$3&gt;$I158,"-",ROUNDUP(Ld_cal($B158, $C158, $D158, $G158,$E158, $F158, $H158, M$3)*1.3,0)),"-")</f>
        <v>-</v>
      </c>
      <c r="N159" s="55" t="str">
        <f>IF($J159=N$3,IF(N$3&gt;$I158,"-",ROUNDUP(Ld_cal($B158, $C158, $D158, $G158,$E158, $F158, $H158, N$3)*1.3,0)),"-")</f>
        <v>-</v>
      </c>
      <c r="O159" s="55" t="str">
        <f>IF($J159=O$3,IF(O$3&gt;$I158,"-",ROUNDUP(Ld_cal($B158, $C158, $D158, $G158,$E158, $F158, $H158, O$3)*1.3,0)),"-")</f>
        <v>-</v>
      </c>
      <c r="P159" s="55" t="str">
        <f>IF($J159=P$3,IF(P$3&gt;$I158,"-",ROUNDUP(Ld_cal($B158, $C158, $D158, $G158,$E158, $F158, $H158, P$3)*1.3,0)),"-")</f>
        <v>-</v>
      </c>
      <c r="Q159" s="55" t="str">
        <f>IF($J159=Q$3,IF(Q$3&gt;$I158,"-",ROUNDUP(Ld_cal($B158, $C158, $D158, $G158,$E158, $F158, $H158, Q$3)*1.3,0)),"-")</f>
        <v>-</v>
      </c>
      <c r="R159" s="55" t="str">
        <f>IF($J159=R$3,IF(R$3&gt;$I158,"-",ROUNDUP(Ld_cal($B158, $C158, $D158, $G158,$E158, $F158, $H158, R$3)*1.3,0)),"-")</f>
        <v>-</v>
      </c>
      <c r="S159" s="55" t="str">
        <f>IF($J159=S$3,IF(S$3&gt;$I158,"-",ROUNDUP(Ld_cal($B158, $C158, $D158, $G158,$E158, $F158, $H158, S$3)*1.3,0)),"-")</f>
        <v>-</v>
      </c>
      <c r="T159" s="55" t="str">
        <f>IF($J159=T$3,IF(T$3&gt;$I158,"-",ROUNDUP(Ld_cal($B158, $C158, $D158, $G158,$E158, $F158, $H158, T$3)*1.3,0)),"-")</f>
        <v>-</v>
      </c>
      <c r="U159" s="55" t="str">
        <f>IF($J159=U$3,IF(U$3&gt;$I158,"-",ROUNDUP(Ld_cal($B158, $C158, $D158, $G158,$E158, $F158, $H158, U$3)*1.3,0)),"-")</f>
        <v>-</v>
      </c>
      <c r="V159" s="55" t="str">
        <f>IF($J159=V$3,IF(V$3&gt;$I158,"-",ROUNDUP(Ld_cal($B158, $C158, $D158, $G158,$E158, $F158, $H158, V$3)*1.3,0)),"-")</f>
        <v>-</v>
      </c>
      <c r="W159" s="55" t="str">
        <f>IF($J159=W$3,IF(W$3&gt;$I158,"-",ROUNDUP(Ld_cal($B158, $C158, $D158, $G158,$E158, $F158, $H158, W$3)*1.3,0)),"-")</f>
        <v>-</v>
      </c>
      <c r="X159" s="55" t="str">
        <f>IF($J159=X$3,IF(X$3&gt;$I158,"-",ROUNDUP(Ld_cal($B158, $C158, $D158, $G158,$E158, $F158, $H158, X$3)*1.3,0)),"-")</f>
        <v>-</v>
      </c>
      <c r="Y159" s="55">
        <f>IF($J159=Y$3,IF(Y$3&gt;$I158,"-",ROUNDUP(Ld_cal($B158, $C158, $D158, $G158,$E158, $F158, $H158, Y$3)*1.3,0)),"-")</f>
        <v>178</v>
      </c>
      <c r="Z159" s="55" t="str">
        <f>IF($J159=Z$3,IF(Z$3&gt;$I158,"-",ROUNDUP(Ld_cal($B158, $C158, $D158, $G158,$E158, $F158, $H158, Z$3)*1.3,0)),"-")</f>
        <v>-</v>
      </c>
      <c r="AA159" s="55" t="str">
        <f>IF($J159=AA$3,IF(AA$3&gt;$I158,"-",ROUNDUP(Ld_cal($B158, $C158, $D158, $G158,$E158, $F158, $H158, AA$3)*1.3,0)),"-")</f>
        <v>-</v>
      </c>
      <c r="AB159" s="55" t="str">
        <f>IF($J159=AB$3,IF(AB$3&gt;$I158,"-",ROUNDUP(Ld_cal($B158, $C158, $D158, $G158,$E158, $F158, $H158, AB$3)*1.3,0)),"-")</f>
        <v>-</v>
      </c>
      <c r="AC159" s="55" t="str">
        <f>IF($J159=AC$3,IF(AC$3&gt;$I158,"-",ROUNDUP(Ld_cal($B158, $C158, $D158, $G158,$E158, $F158, $H158, AC$3)*1.3,0)),"-")</f>
        <v>-</v>
      </c>
      <c r="AD159" s="55">
        <f t="shared" ref="AD159" si="153">IF(J159&gt;I158,"依標準圖",MAX(L159:AC159))</f>
        <v>178</v>
      </c>
    </row>
    <row r="160" spans="1:30">
      <c r="A160" s="112" t="s">
        <v>125</v>
      </c>
      <c r="B160" s="107">
        <v>120</v>
      </c>
      <c r="C160" s="108">
        <v>7.5</v>
      </c>
      <c r="D160" s="107">
        <v>4200</v>
      </c>
      <c r="E160" s="109">
        <v>16</v>
      </c>
      <c r="F160" s="110">
        <v>7</v>
      </c>
      <c r="G160" s="107">
        <v>350</v>
      </c>
      <c r="H160" s="109">
        <v>32</v>
      </c>
      <c r="I160" s="111">
        <f>ROUNDDOWN(($B160-2*$C160-2*$E160/10-$H160/10)/(($D$1+1)*$H160/10),0)+1</f>
        <v>16</v>
      </c>
      <c r="J160" s="58">
        <v>16</v>
      </c>
      <c r="K160" s="40" t="s">
        <v>30</v>
      </c>
      <c r="L160" s="56" t="str">
        <f>IF($J160=L$3,IF(L$3&gt;$I160,"-",ROUNDUP(Ld_cal($B160, $C160, $D160, $G160,$E160, $F160, $H160, L$3)*1.3*1.3,0)),"-")</f>
        <v>-</v>
      </c>
      <c r="M160" s="56" t="str">
        <f>IF($J160=M$3,IF(M$3&gt;$I160,"-",ROUNDUP(Ld_cal($B160, $C160, $D160, $G160,$E160, $F160, $H160, M$3)*1.3*1.3,0)),"-")</f>
        <v>-</v>
      </c>
      <c r="N160" s="56" t="str">
        <f>IF($J160=N$3,IF(N$3&gt;$I160,"-",ROUNDUP(Ld_cal($B160, $C160, $D160, $G160,$E160, $F160, $H160, N$3)*1.3*1.3,0)),"-")</f>
        <v>-</v>
      </c>
      <c r="O160" s="56" t="str">
        <f>IF($J160=O$3,IF(O$3&gt;$I160,"-",ROUNDUP(Ld_cal($B160, $C160, $D160, $G160,$E160, $F160, $H160, O$3)*1.3*1.3,0)),"-")</f>
        <v>-</v>
      </c>
      <c r="P160" s="56" t="str">
        <f>IF($J160=P$3,IF(P$3&gt;$I160,"-",ROUNDUP(Ld_cal($B160, $C160, $D160, $G160,$E160, $F160, $H160, P$3)*1.3*1.3,0)),"-")</f>
        <v>-</v>
      </c>
      <c r="Q160" s="56" t="str">
        <f>IF($J160=Q$3,IF(Q$3&gt;$I160,"-",ROUNDUP(Ld_cal($B160, $C160, $D160, $G160,$E160, $F160, $H160, Q$3)*1.3*1.3,0)),"-")</f>
        <v>-</v>
      </c>
      <c r="R160" s="56" t="str">
        <f>IF($J160=R$3,IF(R$3&gt;$I160,"-",ROUNDUP(Ld_cal($B160, $C160, $D160, $G160,$E160, $F160, $H160, R$3)*1.3*1.3,0)),"-")</f>
        <v>-</v>
      </c>
      <c r="S160" s="56" t="str">
        <f>IF($J160=S$3,IF(S$3&gt;$I160,"-",ROUNDUP(Ld_cal($B160, $C160, $D160, $G160,$E160, $F160, $H160, S$3)*1.3*1.3,0)),"-")</f>
        <v>-</v>
      </c>
      <c r="T160" s="56" t="str">
        <f>IF($J160=T$3,IF(T$3&gt;$I160,"-",ROUNDUP(Ld_cal($B160, $C160, $D160, $G160,$E160, $F160, $H160, T$3)*1.3*1.3,0)),"-")</f>
        <v>-</v>
      </c>
      <c r="U160" s="56" t="str">
        <f>IF($J160=U$3,IF(U$3&gt;$I160,"-",ROUNDUP(Ld_cal($B160, $C160, $D160, $G160,$E160, $F160, $H160, U$3)*1.3*1.3,0)),"-")</f>
        <v>-</v>
      </c>
      <c r="V160" s="56" t="str">
        <f>IF($J160=V$3,IF(V$3&gt;$I160,"-",ROUNDUP(Ld_cal($B160, $C160, $D160, $G160,$E160, $F160, $H160, V$3)*1.3*1.3,0)),"-")</f>
        <v>-</v>
      </c>
      <c r="W160" s="56" t="str">
        <f>IF($J160=W$3,IF(W$3&gt;$I160,"-",ROUNDUP(Ld_cal($B160, $C160, $D160, $G160,$E160, $F160, $H160, W$3)*1.3*1.3,0)),"-")</f>
        <v>-</v>
      </c>
      <c r="X160" s="56" t="str">
        <f>IF($J160=X$3,IF(X$3&gt;$I160,"-",ROUNDUP(Ld_cal($B160, $C160, $D160, $G160,$E160, $F160, $H160, X$3)*1.3*1.3,0)),"-")</f>
        <v>-</v>
      </c>
      <c r="Y160" s="56">
        <f>IF($J160=Y$3,IF(Y$3&gt;$I160,"-",ROUNDUP(Ld_cal($B160, $C160, $D160, $G160,$E160, $F160, $H160, Y$3)*1.3*1.3,0)),"-")</f>
        <v>231</v>
      </c>
      <c r="Z160" s="56" t="str">
        <f>IF($J160=Z$3,IF(Z$3&gt;$I160,"-",ROUNDUP(Ld_cal($B160, $C160, $D160, $G160,$E160, $F160, $H160, Z$3)*1.3*1.3,0)),"-")</f>
        <v>-</v>
      </c>
      <c r="AA160" s="56" t="str">
        <f>IF($J160=AA$3,IF(AA$3&gt;$I160,"-",ROUNDUP(Ld_cal($B160, $C160, $D160, $G160,$E160, $F160, $H160, AA$3)*1.3*1.3,0)),"-")</f>
        <v>-</v>
      </c>
      <c r="AB160" s="56" t="str">
        <f>IF($J160=AB$3,IF(AB$3&gt;$I160,"-",ROUNDUP(Ld_cal($B160, $C160, $D160, $G160,$E160, $F160, $H160, AB$3)*1.3*1.3,0)),"-")</f>
        <v>-</v>
      </c>
      <c r="AC160" s="56" t="str">
        <f>IF($J160=AC$3,IF(AC$3&gt;$I160,"-",ROUNDUP(Ld_cal($B160, $C160, $D160, $G160,$E160, $F160, $H160, AC$3)*1.3*1.3,0)),"-")</f>
        <v>-</v>
      </c>
      <c r="AD160" s="56">
        <f t="shared" ref="AD160" si="154">IF(J160&gt;I160,"依標準圖",MAX(L160:AC160))</f>
        <v>231</v>
      </c>
    </row>
    <row r="161" spans="1:30">
      <c r="A161" s="112"/>
      <c r="B161" s="107"/>
      <c r="C161" s="108"/>
      <c r="D161" s="107"/>
      <c r="E161" s="109"/>
      <c r="F161" s="110"/>
      <c r="G161" s="107"/>
      <c r="H161" s="109"/>
      <c r="I161" s="111"/>
      <c r="J161" s="58">
        <v>14</v>
      </c>
      <c r="K161" s="40" t="s">
        <v>29</v>
      </c>
      <c r="L161" s="56" t="str">
        <f>IF($J161=L$3,IF(L$3&gt;$I160,"-",ROUNDUP(Ld_cal($B160, $C160, $D160, $G160,$E160, $F160, $H160, L$3)*1.3,0)),"-")</f>
        <v>-</v>
      </c>
      <c r="M161" s="56" t="str">
        <f>IF($J161=M$3,IF(M$3&gt;$I160,"-",ROUNDUP(Ld_cal($B160, $C160, $D160, $G160,$E160, $F160, $H160, M$3)*1.3,0)),"-")</f>
        <v>-</v>
      </c>
      <c r="N161" s="56" t="str">
        <f>IF($J161=N$3,IF(N$3&gt;$I160,"-",ROUNDUP(Ld_cal($B160, $C160, $D160, $G160,$E160, $F160, $H160, N$3)*1.3,0)),"-")</f>
        <v>-</v>
      </c>
      <c r="O161" s="56" t="str">
        <f>IF($J161=O$3,IF(O$3&gt;$I160,"-",ROUNDUP(Ld_cal($B160, $C160, $D160, $G160,$E160, $F160, $H160, O$3)*1.3,0)),"-")</f>
        <v>-</v>
      </c>
      <c r="P161" s="56" t="str">
        <f>IF($J161=P$3,IF(P$3&gt;$I160,"-",ROUNDUP(Ld_cal($B160, $C160, $D160, $G160,$E160, $F160, $H160, P$3)*1.3,0)),"-")</f>
        <v>-</v>
      </c>
      <c r="Q161" s="56" t="str">
        <f>IF($J161=Q$3,IF(Q$3&gt;$I160,"-",ROUNDUP(Ld_cal($B160, $C160, $D160, $G160,$E160, $F160, $H160, Q$3)*1.3,0)),"-")</f>
        <v>-</v>
      </c>
      <c r="R161" s="56" t="str">
        <f>IF($J161=R$3,IF(R$3&gt;$I160,"-",ROUNDUP(Ld_cal($B160, $C160, $D160, $G160,$E160, $F160, $H160, R$3)*1.3,0)),"-")</f>
        <v>-</v>
      </c>
      <c r="S161" s="56" t="str">
        <f>IF($J161=S$3,IF(S$3&gt;$I160,"-",ROUNDUP(Ld_cal($B160, $C160, $D160, $G160,$E160, $F160, $H160, S$3)*1.3,0)),"-")</f>
        <v>-</v>
      </c>
      <c r="T161" s="56" t="str">
        <f>IF($J161=T$3,IF(T$3&gt;$I160,"-",ROUNDUP(Ld_cal($B160, $C160, $D160, $G160,$E160, $F160, $H160, T$3)*1.3,0)),"-")</f>
        <v>-</v>
      </c>
      <c r="U161" s="56" t="str">
        <f>IF($J161=U$3,IF(U$3&gt;$I160,"-",ROUNDUP(Ld_cal($B160, $C160, $D160, $G160,$E160, $F160, $H160, U$3)*1.3,0)),"-")</f>
        <v>-</v>
      </c>
      <c r="V161" s="56" t="str">
        <f>IF($J161=V$3,IF(V$3&gt;$I160,"-",ROUNDUP(Ld_cal($B160, $C160, $D160, $G160,$E160, $F160, $H160, V$3)*1.3,0)),"-")</f>
        <v>-</v>
      </c>
      <c r="W161" s="56">
        <f>IF($J161=W$3,IF(W$3&gt;$I160,"-",ROUNDUP(Ld_cal($B160, $C160, $D160, $G160,$E160, $F160, $H160, W$3)*1.3,0)),"-")</f>
        <v>155</v>
      </c>
      <c r="X161" s="56" t="str">
        <f>IF($J161=X$3,IF(X$3&gt;$I160,"-",ROUNDUP(Ld_cal($B160, $C160, $D160, $G160,$E160, $F160, $H160, X$3)*1.3,0)),"-")</f>
        <v>-</v>
      </c>
      <c r="Y161" s="56" t="str">
        <f>IF($J161=Y$3,IF(Y$3&gt;$I160,"-",ROUNDUP(Ld_cal($B160, $C160, $D160, $G160,$E160, $F160, $H160, Y$3)*1.3,0)),"-")</f>
        <v>-</v>
      </c>
      <c r="Z161" s="56" t="str">
        <f>IF($J161=Z$3,IF(Z$3&gt;$I160,"-",ROUNDUP(Ld_cal($B160, $C160, $D160, $G160,$E160, $F160, $H160, Z$3)*1.3,0)),"-")</f>
        <v>-</v>
      </c>
      <c r="AA161" s="56" t="str">
        <f>IF($J161=AA$3,IF(AA$3&gt;$I160,"-",ROUNDUP(Ld_cal($B160, $C160, $D160, $G160,$E160, $F160, $H160, AA$3)*1.3,0)),"-")</f>
        <v>-</v>
      </c>
      <c r="AB161" s="56" t="str">
        <f>IF($J161=AB$3,IF(AB$3&gt;$I160,"-",ROUNDUP(Ld_cal($B160, $C160, $D160, $G160,$E160, $F160, $H160, AB$3)*1.3,0)),"-")</f>
        <v>-</v>
      </c>
      <c r="AC161" s="56" t="str">
        <f>IF($J161=AC$3,IF(AC$3&gt;$I160,"-",ROUNDUP(Ld_cal($B160, $C160, $D160, $G160,$E160, $F160, $H160, AC$3)*1.3,0)),"-")</f>
        <v>-</v>
      </c>
      <c r="AD161" s="56">
        <f t="shared" ref="AD161" si="155">IF(J161&gt;I160,"依標準圖",MAX(L161:AC161))</f>
        <v>155</v>
      </c>
    </row>
    <row r="162" spans="1:30">
      <c r="A162" s="113" t="s">
        <v>126</v>
      </c>
      <c r="B162" s="99">
        <v>120</v>
      </c>
      <c r="C162" s="100">
        <v>7.5</v>
      </c>
      <c r="D162" s="101">
        <v>4200</v>
      </c>
      <c r="E162" s="102">
        <v>16</v>
      </c>
      <c r="F162" s="103">
        <v>7</v>
      </c>
      <c r="G162" s="101">
        <v>350</v>
      </c>
      <c r="H162" s="102">
        <v>32</v>
      </c>
      <c r="I162" s="104">
        <f>ROUNDDOWN(($B162-2*$C162-2*$E162/10-$H162/10)/(($D$1+1)*$H162/10),0)+1</f>
        <v>16</v>
      </c>
      <c r="J162" s="57">
        <v>16</v>
      </c>
      <c r="K162" s="59" t="s">
        <v>30</v>
      </c>
      <c r="L162" s="55" t="str">
        <f>IF($J162=L$3,IF(L$3&gt;$I162,"-",ROUNDUP(Ld_cal($B162, $C162, $D162, $G162,$E162, $F162, $H162, L$3)*1.3*1.3,0)),"-")</f>
        <v>-</v>
      </c>
      <c r="M162" s="55" t="str">
        <f>IF($J162=M$3,IF(M$3&gt;$I162,"-",ROUNDUP(Ld_cal($B162, $C162, $D162, $G162,$E162, $F162, $H162, M$3)*1.3*1.3,0)),"-")</f>
        <v>-</v>
      </c>
      <c r="N162" s="55" t="str">
        <f>IF($J162=N$3,IF(N$3&gt;$I162,"-",ROUNDUP(Ld_cal($B162, $C162, $D162, $G162,$E162, $F162, $H162, N$3)*1.3*1.3,0)),"-")</f>
        <v>-</v>
      </c>
      <c r="O162" s="55" t="str">
        <f>IF($J162=O$3,IF(O$3&gt;$I162,"-",ROUNDUP(Ld_cal($B162, $C162, $D162, $G162,$E162, $F162, $H162, O$3)*1.3*1.3,0)),"-")</f>
        <v>-</v>
      </c>
      <c r="P162" s="55" t="str">
        <f>IF($J162=P$3,IF(P$3&gt;$I162,"-",ROUNDUP(Ld_cal($B162, $C162, $D162, $G162,$E162, $F162, $H162, P$3)*1.3*1.3,0)),"-")</f>
        <v>-</v>
      </c>
      <c r="Q162" s="55" t="str">
        <f>IF($J162=Q$3,IF(Q$3&gt;$I162,"-",ROUNDUP(Ld_cal($B162, $C162, $D162, $G162,$E162, $F162, $H162, Q$3)*1.3*1.3,0)),"-")</f>
        <v>-</v>
      </c>
      <c r="R162" s="55" t="str">
        <f>IF($J162=R$3,IF(R$3&gt;$I162,"-",ROUNDUP(Ld_cal($B162, $C162, $D162, $G162,$E162, $F162, $H162, R$3)*1.3*1.3,0)),"-")</f>
        <v>-</v>
      </c>
      <c r="S162" s="55" t="str">
        <f>IF($J162=S$3,IF(S$3&gt;$I162,"-",ROUNDUP(Ld_cal($B162, $C162, $D162, $G162,$E162, $F162, $H162, S$3)*1.3*1.3,0)),"-")</f>
        <v>-</v>
      </c>
      <c r="T162" s="55" t="str">
        <f>IF($J162=T$3,IF(T$3&gt;$I162,"-",ROUNDUP(Ld_cal($B162, $C162, $D162, $G162,$E162, $F162, $H162, T$3)*1.3*1.3,0)),"-")</f>
        <v>-</v>
      </c>
      <c r="U162" s="55" t="str">
        <f>IF($J162=U$3,IF(U$3&gt;$I162,"-",ROUNDUP(Ld_cal($B162, $C162, $D162, $G162,$E162, $F162, $H162, U$3)*1.3*1.3,0)),"-")</f>
        <v>-</v>
      </c>
      <c r="V162" s="55" t="str">
        <f>IF($J162=V$3,IF(V$3&gt;$I162,"-",ROUNDUP(Ld_cal($B162, $C162, $D162, $G162,$E162, $F162, $H162, V$3)*1.3*1.3,0)),"-")</f>
        <v>-</v>
      </c>
      <c r="W162" s="55" t="str">
        <f>IF($J162=W$3,IF(W$3&gt;$I162,"-",ROUNDUP(Ld_cal($B162, $C162, $D162, $G162,$E162, $F162, $H162, W$3)*1.3*1.3,0)),"-")</f>
        <v>-</v>
      </c>
      <c r="X162" s="55" t="str">
        <f>IF($J162=X$3,IF(X$3&gt;$I162,"-",ROUNDUP(Ld_cal($B162, $C162, $D162, $G162,$E162, $F162, $H162, X$3)*1.3*1.3,0)),"-")</f>
        <v>-</v>
      </c>
      <c r="Y162" s="55">
        <f>IF($J162=Y$3,IF(Y$3&gt;$I162,"-",ROUNDUP(Ld_cal($B162, $C162, $D162, $G162,$E162, $F162, $H162, Y$3)*1.3*1.3,0)),"-")</f>
        <v>231</v>
      </c>
      <c r="Z162" s="55" t="str">
        <f>IF($J162=Z$3,IF(Z$3&gt;$I162,"-",ROUNDUP(Ld_cal($B162, $C162, $D162, $G162,$E162, $F162, $H162, Z$3)*1.3*1.3,0)),"-")</f>
        <v>-</v>
      </c>
      <c r="AA162" s="55" t="str">
        <f>IF($J162=AA$3,IF(AA$3&gt;$I162,"-",ROUNDUP(Ld_cal($B162, $C162, $D162, $G162,$E162, $F162, $H162, AA$3)*1.3*1.3,0)),"-")</f>
        <v>-</v>
      </c>
      <c r="AB162" s="55" t="str">
        <f>IF($J162=AB$3,IF(AB$3&gt;$I162,"-",ROUNDUP(Ld_cal($B162, $C162, $D162, $G162,$E162, $F162, $H162, AB$3)*1.3*1.3,0)),"-")</f>
        <v>-</v>
      </c>
      <c r="AC162" s="55" t="str">
        <f>IF($J162=AC$3,IF(AC$3&gt;$I162,"-",ROUNDUP(Ld_cal($B162, $C162, $D162, $G162,$E162, $F162, $H162, AC$3)*1.3*1.3,0)),"-")</f>
        <v>-</v>
      </c>
      <c r="AD162" s="55">
        <f t="shared" ref="AD162" si="156">IF(J162&gt;I162,"依標準圖",MAX(L162:AC162))</f>
        <v>231</v>
      </c>
    </row>
    <row r="163" spans="1:30">
      <c r="A163" s="113"/>
      <c r="B163" s="99"/>
      <c r="C163" s="100"/>
      <c r="D163" s="101"/>
      <c r="E163" s="102"/>
      <c r="F163" s="103"/>
      <c r="G163" s="101"/>
      <c r="H163" s="102"/>
      <c r="I163" s="104"/>
      <c r="J163" s="57">
        <v>12</v>
      </c>
      <c r="K163" s="59" t="s">
        <v>29</v>
      </c>
      <c r="L163" s="55" t="str">
        <f>IF($J163=L$3,IF(L$3&gt;$I162,"-",ROUNDUP(Ld_cal($B162, $C162, $D162, $G162,$E162, $F162, $H162, L$3)*1.3,0)),"-")</f>
        <v>-</v>
      </c>
      <c r="M163" s="55" t="str">
        <f>IF($J163=M$3,IF(M$3&gt;$I162,"-",ROUNDUP(Ld_cal($B162, $C162, $D162, $G162,$E162, $F162, $H162, M$3)*1.3,0)),"-")</f>
        <v>-</v>
      </c>
      <c r="N163" s="55" t="str">
        <f>IF($J163=N$3,IF(N$3&gt;$I162,"-",ROUNDUP(Ld_cal($B162, $C162, $D162, $G162,$E162, $F162, $H162, N$3)*1.3,0)),"-")</f>
        <v>-</v>
      </c>
      <c r="O163" s="55" t="str">
        <f>IF($J163=O$3,IF(O$3&gt;$I162,"-",ROUNDUP(Ld_cal($B162, $C162, $D162, $G162,$E162, $F162, $H162, O$3)*1.3,0)),"-")</f>
        <v>-</v>
      </c>
      <c r="P163" s="55" t="str">
        <f>IF($J163=P$3,IF(P$3&gt;$I162,"-",ROUNDUP(Ld_cal($B162, $C162, $D162, $G162,$E162, $F162, $H162, P$3)*1.3,0)),"-")</f>
        <v>-</v>
      </c>
      <c r="Q163" s="55" t="str">
        <f>IF($J163=Q$3,IF(Q$3&gt;$I162,"-",ROUNDUP(Ld_cal($B162, $C162, $D162, $G162,$E162, $F162, $H162, Q$3)*1.3,0)),"-")</f>
        <v>-</v>
      </c>
      <c r="R163" s="55" t="str">
        <f>IF($J163=R$3,IF(R$3&gt;$I162,"-",ROUNDUP(Ld_cal($B162, $C162, $D162, $G162,$E162, $F162, $H162, R$3)*1.3,0)),"-")</f>
        <v>-</v>
      </c>
      <c r="S163" s="55" t="str">
        <f>IF($J163=S$3,IF(S$3&gt;$I162,"-",ROUNDUP(Ld_cal($B162, $C162, $D162, $G162,$E162, $F162, $H162, S$3)*1.3,0)),"-")</f>
        <v>-</v>
      </c>
      <c r="T163" s="55" t="str">
        <f>IF($J163=T$3,IF(T$3&gt;$I162,"-",ROUNDUP(Ld_cal($B162, $C162, $D162, $G162,$E162, $F162, $H162, T$3)*1.3,0)),"-")</f>
        <v>-</v>
      </c>
      <c r="U163" s="55">
        <f>IF($J163=U$3,IF(U$3&gt;$I162,"-",ROUNDUP(Ld_cal($B162, $C162, $D162, $G162,$E162, $F162, $H162, U$3)*1.3,0)),"-")</f>
        <v>131</v>
      </c>
      <c r="V163" s="55" t="str">
        <f>IF($J163=V$3,IF(V$3&gt;$I162,"-",ROUNDUP(Ld_cal($B162, $C162, $D162, $G162,$E162, $F162, $H162, V$3)*1.3,0)),"-")</f>
        <v>-</v>
      </c>
      <c r="W163" s="55" t="str">
        <f>IF($J163=W$3,IF(W$3&gt;$I162,"-",ROUNDUP(Ld_cal($B162, $C162, $D162, $G162,$E162, $F162, $H162, W$3)*1.3,0)),"-")</f>
        <v>-</v>
      </c>
      <c r="X163" s="55" t="str">
        <f>IF($J163=X$3,IF(X$3&gt;$I162,"-",ROUNDUP(Ld_cal($B162, $C162, $D162, $G162,$E162, $F162, $H162, X$3)*1.3,0)),"-")</f>
        <v>-</v>
      </c>
      <c r="Y163" s="55" t="str">
        <f>IF($J163=Y$3,IF(Y$3&gt;$I162,"-",ROUNDUP(Ld_cal($B162, $C162, $D162, $G162,$E162, $F162, $H162, Y$3)*1.3,0)),"-")</f>
        <v>-</v>
      </c>
      <c r="Z163" s="55" t="str">
        <f>IF($J163=Z$3,IF(Z$3&gt;$I162,"-",ROUNDUP(Ld_cal($B162, $C162, $D162, $G162,$E162, $F162, $H162, Z$3)*1.3,0)),"-")</f>
        <v>-</v>
      </c>
      <c r="AA163" s="55" t="str">
        <f>IF($J163=AA$3,IF(AA$3&gt;$I162,"-",ROUNDUP(Ld_cal($B162, $C162, $D162, $G162,$E162, $F162, $H162, AA$3)*1.3,0)),"-")</f>
        <v>-</v>
      </c>
      <c r="AB163" s="55" t="str">
        <f>IF($J163=AB$3,IF(AB$3&gt;$I162,"-",ROUNDUP(Ld_cal($B162, $C162, $D162, $G162,$E162, $F162, $H162, AB$3)*1.3,0)),"-")</f>
        <v>-</v>
      </c>
      <c r="AC163" s="55" t="str">
        <f>IF($J163=AC$3,IF(AC$3&gt;$I162,"-",ROUNDUP(Ld_cal($B162, $C162, $D162, $G162,$E162, $F162, $H162, AC$3)*1.3,0)),"-")</f>
        <v>-</v>
      </c>
      <c r="AD163" s="55">
        <f t="shared" ref="AD163" si="157">IF(J163&gt;I162,"依標準圖",MAX(L163:AC163))</f>
        <v>131</v>
      </c>
    </row>
    <row r="164" spans="1:30">
      <c r="A164" s="112" t="s">
        <v>127</v>
      </c>
      <c r="B164" s="107">
        <v>120</v>
      </c>
      <c r="C164" s="108">
        <v>7.5</v>
      </c>
      <c r="D164" s="107">
        <v>4200</v>
      </c>
      <c r="E164" s="109">
        <v>16</v>
      </c>
      <c r="F164" s="110">
        <v>7</v>
      </c>
      <c r="G164" s="107">
        <v>350</v>
      </c>
      <c r="H164" s="109">
        <v>32</v>
      </c>
      <c r="I164" s="111">
        <f>ROUNDDOWN(($B164-2*$C164-2*$E164/10-$H164/10)/(($D$1+1)*$H164/10),0)+1</f>
        <v>16</v>
      </c>
      <c r="J164" s="58">
        <v>16</v>
      </c>
      <c r="K164" s="40" t="s">
        <v>30</v>
      </c>
      <c r="L164" s="56" t="str">
        <f>IF($J164=L$3,IF(L$3&gt;$I164,"-",ROUNDUP(Ld_cal($B164, $C164, $D164, $G164,$E164, $F164, $H164, L$3)*1.3*1.3,0)),"-")</f>
        <v>-</v>
      </c>
      <c r="M164" s="56" t="str">
        <f>IF($J164=M$3,IF(M$3&gt;$I164,"-",ROUNDUP(Ld_cal($B164, $C164, $D164, $G164,$E164, $F164, $H164, M$3)*1.3*1.3,0)),"-")</f>
        <v>-</v>
      </c>
      <c r="N164" s="56" t="str">
        <f>IF($J164=N$3,IF(N$3&gt;$I164,"-",ROUNDUP(Ld_cal($B164, $C164, $D164, $G164,$E164, $F164, $H164, N$3)*1.3*1.3,0)),"-")</f>
        <v>-</v>
      </c>
      <c r="O164" s="56" t="str">
        <f>IF($J164=O$3,IF(O$3&gt;$I164,"-",ROUNDUP(Ld_cal($B164, $C164, $D164, $G164,$E164, $F164, $H164, O$3)*1.3*1.3,0)),"-")</f>
        <v>-</v>
      </c>
      <c r="P164" s="56" t="str">
        <f>IF($J164=P$3,IF(P$3&gt;$I164,"-",ROUNDUP(Ld_cal($B164, $C164, $D164, $G164,$E164, $F164, $H164, P$3)*1.3*1.3,0)),"-")</f>
        <v>-</v>
      </c>
      <c r="Q164" s="56" t="str">
        <f>IF($J164=Q$3,IF(Q$3&gt;$I164,"-",ROUNDUP(Ld_cal($B164, $C164, $D164, $G164,$E164, $F164, $H164, Q$3)*1.3*1.3,0)),"-")</f>
        <v>-</v>
      </c>
      <c r="R164" s="56" t="str">
        <f>IF($J164=R$3,IF(R$3&gt;$I164,"-",ROUNDUP(Ld_cal($B164, $C164, $D164, $G164,$E164, $F164, $H164, R$3)*1.3*1.3,0)),"-")</f>
        <v>-</v>
      </c>
      <c r="S164" s="56" t="str">
        <f>IF($J164=S$3,IF(S$3&gt;$I164,"-",ROUNDUP(Ld_cal($B164, $C164, $D164, $G164,$E164, $F164, $H164, S$3)*1.3*1.3,0)),"-")</f>
        <v>-</v>
      </c>
      <c r="T164" s="56" t="str">
        <f>IF($J164=T$3,IF(T$3&gt;$I164,"-",ROUNDUP(Ld_cal($B164, $C164, $D164, $G164,$E164, $F164, $H164, T$3)*1.3*1.3,0)),"-")</f>
        <v>-</v>
      </c>
      <c r="U164" s="56" t="str">
        <f>IF($J164=U$3,IF(U$3&gt;$I164,"-",ROUNDUP(Ld_cal($B164, $C164, $D164, $G164,$E164, $F164, $H164, U$3)*1.3*1.3,0)),"-")</f>
        <v>-</v>
      </c>
      <c r="V164" s="56" t="str">
        <f>IF($J164=V$3,IF(V$3&gt;$I164,"-",ROUNDUP(Ld_cal($B164, $C164, $D164, $G164,$E164, $F164, $H164, V$3)*1.3*1.3,0)),"-")</f>
        <v>-</v>
      </c>
      <c r="W164" s="56" t="str">
        <f>IF($J164=W$3,IF(W$3&gt;$I164,"-",ROUNDUP(Ld_cal($B164, $C164, $D164, $G164,$E164, $F164, $H164, W$3)*1.3*1.3,0)),"-")</f>
        <v>-</v>
      </c>
      <c r="X164" s="56" t="str">
        <f>IF($J164=X$3,IF(X$3&gt;$I164,"-",ROUNDUP(Ld_cal($B164, $C164, $D164, $G164,$E164, $F164, $H164, X$3)*1.3*1.3,0)),"-")</f>
        <v>-</v>
      </c>
      <c r="Y164" s="56">
        <f>IF($J164=Y$3,IF(Y$3&gt;$I164,"-",ROUNDUP(Ld_cal($B164, $C164, $D164, $G164,$E164, $F164, $H164, Y$3)*1.3*1.3,0)),"-")</f>
        <v>231</v>
      </c>
      <c r="Z164" s="56" t="str">
        <f>IF($J164=Z$3,IF(Z$3&gt;$I164,"-",ROUNDUP(Ld_cal($B164, $C164, $D164, $G164,$E164, $F164, $H164, Z$3)*1.3*1.3,0)),"-")</f>
        <v>-</v>
      </c>
      <c r="AA164" s="56" t="str">
        <f>IF($J164=AA$3,IF(AA$3&gt;$I164,"-",ROUNDUP(Ld_cal($B164, $C164, $D164, $G164,$E164, $F164, $H164, AA$3)*1.3*1.3,0)),"-")</f>
        <v>-</v>
      </c>
      <c r="AB164" s="56" t="str">
        <f>IF($J164=AB$3,IF(AB$3&gt;$I164,"-",ROUNDUP(Ld_cal($B164, $C164, $D164, $G164,$E164, $F164, $H164, AB$3)*1.3*1.3,0)),"-")</f>
        <v>-</v>
      </c>
      <c r="AC164" s="56" t="str">
        <f>IF($J164=AC$3,IF(AC$3&gt;$I164,"-",ROUNDUP(Ld_cal($B164, $C164, $D164, $G164,$E164, $F164, $H164, AC$3)*1.3*1.3,0)),"-")</f>
        <v>-</v>
      </c>
      <c r="AD164" s="56">
        <f t="shared" ref="AD164" si="158">IF(J164&gt;I164,"依標準圖",MAX(L164:AC164))</f>
        <v>231</v>
      </c>
    </row>
    <row r="165" spans="1:30">
      <c r="A165" s="112"/>
      <c r="B165" s="107"/>
      <c r="C165" s="108"/>
      <c r="D165" s="107"/>
      <c r="E165" s="109"/>
      <c r="F165" s="110"/>
      <c r="G165" s="107"/>
      <c r="H165" s="109"/>
      <c r="I165" s="111"/>
      <c r="J165" s="58">
        <v>12</v>
      </c>
      <c r="K165" s="40" t="s">
        <v>29</v>
      </c>
      <c r="L165" s="56" t="str">
        <f>IF($J165=L$3,IF(L$3&gt;$I164,"-",ROUNDUP(Ld_cal($B164, $C164, $D164, $G164,$E164, $F164, $H164, L$3)*1.3,0)),"-")</f>
        <v>-</v>
      </c>
      <c r="M165" s="56" t="str">
        <f>IF($J165=M$3,IF(M$3&gt;$I164,"-",ROUNDUP(Ld_cal($B164, $C164, $D164, $G164,$E164, $F164, $H164, M$3)*1.3,0)),"-")</f>
        <v>-</v>
      </c>
      <c r="N165" s="56" t="str">
        <f>IF($J165=N$3,IF(N$3&gt;$I164,"-",ROUNDUP(Ld_cal($B164, $C164, $D164, $G164,$E164, $F164, $H164, N$3)*1.3,0)),"-")</f>
        <v>-</v>
      </c>
      <c r="O165" s="56" t="str">
        <f>IF($J165=O$3,IF(O$3&gt;$I164,"-",ROUNDUP(Ld_cal($B164, $C164, $D164, $G164,$E164, $F164, $H164, O$3)*1.3,0)),"-")</f>
        <v>-</v>
      </c>
      <c r="P165" s="56" t="str">
        <f>IF($J165=P$3,IF(P$3&gt;$I164,"-",ROUNDUP(Ld_cal($B164, $C164, $D164, $G164,$E164, $F164, $H164, P$3)*1.3,0)),"-")</f>
        <v>-</v>
      </c>
      <c r="Q165" s="56" t="str">
        <f>IF($J165=Q$3,IF(Q$3&gt;$I164,"-",ROUNDUP(Ld_cal($B164, $C164, $D164, $G164,$E164, $F164, $H164, Q$3)*1.3,0)),"-")</f>
        <v>-</v>
      </c>
      <c r="R165" s="56" t="str">
        <f>IF($J165=R$3,IF(R$3&gt;$I164,"-",ROUNDUP(Ld_cal($B164, $C164, $D164, $G164,$E164, $F164, $H164, R$3)*1.3,0)),"-")</f>
        <v>-</v>
      </c>
      <c r="S165" s="56" t="str">
        <f>IF($J165=S$3,IF(S$3&gt;$I164,"-",ROUNDUP(Ld_cal($B164, $C164, $D164, $G164,$E164, $F164, $H164, S$3)*1.3,0)),"-")</f>
        <v>-</v>
      </c>
      <c r="T165" s="56" t="str">
        <f>IF($J165=T$3,IF(T$3&gt;$I164,"-",ROUNDUP(Ld_cal($B164, $C164, $D164, $G164,$E164, $F164, $H164, T$3)*1.3,0)),"-")</f>
        <v>-</v>
      </c>
      <c r="U165" s="56">
        <f>IF($J165=U$3,IF(U$3&gt;$I164,"-",ROUNDUP(Ld_cal($B164, $C164, $D164, $G164,$E164, $F164, $H164, U$3)*1.3,0)),"-")</f>
        <v>131</v>
      </c>
      <c r="V165" s="56" t="str">
        <f>IF($J165=V$3,IF(V$3&gt;$I164,"-",ROUNDUP(Ld_cal($B164, $C164, $D164, $G164,$E164, $F164, $H164, V$3)*1.3,0)),"-")</f>
        <v>-</v>
      </c>
      <c r="W165" s="56" t="str">
        <f>IF($J165=W$3,IF(W$3&gt;$I164,"-",ROUNDUP(Ld_cal($B164, $C164, $D164, $G164,$E164, $F164, $H164, W$3)*1.3,0)),"-")</f>
        <v>-</v>
      </c>
      <c r="X165" s="56" t="str">
        <f>IF($J165=X$3,IF(X$3&gt;$I164,"-",ROUNDUP(Ld_cal($B164, $C164, $D164, $G164,$E164, $F164, $H164, X$3)*1.3,0)),"-")</f>
        <v>-</v>
      </c>
      <c r="Y165" s="56" t="str">
        <f>IF($J165=Y$3,IF(Y$3&gt;$I164,"-",ROUNDUP(Ld_cal($B164, $C164, $D164, $G164,$E164, $F164, $H164, Y$3)*1.3,0)),"-")</f>
        <v>-</v>
      </c>
      <c r="Z165" s="56" t="str">
        <f>IF($J165=Z$3,IF(Z$3&gt;$I164,"-",ROUNDUP(Ld_cal($B164, $C164, $D164, $G164,$E164, $F164, $H164, Z$3)*1.3,0)),"-")</f>
        <v>-</v>
      </c>
      <c r="AA165" s="56" t="str">
        <f>IF($J165=AA$3,IF(AA$3&gt;$I164,"-",ROUNDUP(Ld_cal($B164, $C164, $D164, $G164,$E164, $F164, $H164, AA$3)*1.3,0)),"-")</f>
        <v>-</v>
      </c>
      <c r="AB165" s="56" t="str">
        <f>IF($J165=AB$3,IF(AB$3&gt;$I164,"-",ROUNDUP(Ld_cal($B164, $C164, $D164, $G164,$E164, $F164, $H164, AB$3)*1.3,0)),"-")</f>
        <v>-</v>
      </c>
      <c r="AC165" s="56" t="str">
        <f>IF($J165=AC$3,IF(AC$3&gt;$I164,"-",ROUNDUP(Ld_cal($B164, $C164, $D164, $G164,$E164, $F164, $H164, AC$3)*1.3,0)),"-")</f>
        <v>-</v>
      </c>
      <c r="AD165" s="56">
        <f t="shared" ref="AD165" si="159">IF(J165&gt;I164,"依標準圖",MAX(L165:AC165))</f>
        <v>131</v>
      </c>
    </row>
    <row r="166" spans="1:30">
      <c r="A166" s="113" t="s">
        <v>128</v>
      </c>
      <c r="B166" s="99">
        <v>120</v>
      </c>
      <c r="C166" s="100">
        <v>7.5</v>
      </c>
      <c r="D166" s="101">
        <v>4200</v>
      </c>
      <c r="E166" s="102">
        <v>16</v>
      </c>
      <c r="F166" s="103">
        <v>7</v>
      </c>
      <c r="G166" s="101">
        <v>350</v>
      </c>
      <c r="H166" s="102">
        <v>32</v>
      </c>
      <c r="I166" s="104">
        <f>ROUNDDOWN(($B166-2*$C166-2*$E166/10-$H166/10)/(($D$1+1)*$H166/10),0)+1</f>
        <v>16</v>
      </c>
      <c r="J166" s="57">
        <v>16</v>
      </c>
      <c r="K166" s="59" t="s">
        <v>30</v>
      </c>
      <c r="L166" s="55" t="str">
        <f>IF($J166=L$3,IF(L$3&gt;$I166,"-",ROUNDUP(Ld_cal($B166, $C166, $D166, $G166,$E166, $F166, $H166, L$3)*1.3*1.3,0)),"-")</f>
        <v>-</v>
      </c>
      <c r="M166" s="55" t="str">
        <f>IF($J166=M$3,IF(M$3&gt;$I166,"-",ROUNDUP(Ld_cal($B166, $C166, $D166, $G166,$E166, $F166, $H166, M$3)*1.3*1.3,0)),"-")</f>
        <v>-</v>
      </c>
      <c r="N166" s="55" t="str">
        <f>IF($J166=N$3,IF(N$3&gt;$I166,"-",ROUNDUP(Ld_cal($B166, $C166, $D166, $G166,$E166, $F166, $H166, N$3)*1.3*1.3,0)),"-")</f>
        <v>-</v>
      </c>
      <c r="O166" s="55" t="str">
        <f>IF($J166=O$3,IF(O$3&gt;$I166,"-",ROUNDUP(Ld_cal($B166, $C166, $D166, $G166,$E166, $F166, $H166, O$3)*1.3*1.3,0)),"-")</f>
        <v>-</v>
      </c>
      <c r="P166" s="55" t="str">
        <f>IF($J166=P$3,IF(P$3&gt;$I166,"-",ROUNDUP(Ld_cal($B166, $C166, $D166, $G166,$E166, $F166, $H166, P$3)*1.3*1.3,0)),"-")</f>
        <v>-</v>
      </c>
      <c r="Q166" s="55" t="str">
        <f>IF($J166=Q$3,IF(Q$3&gt;$I166,"-",ROUNDUP(Ld_cal($B166, $C166, $D166, $G166,$E166, $F166, $H166, Q$3)*1.3*1.3,0)),"-")</f>
        <v>-</v>
      </c>
      <c r="R166" s="55" t="str">
        <f>IF($J166=R$3,IF(R$3&gt;$I166,"-",ROUNDUP(Ld_cal($B166, $C166, $D166, $G166,$E166, $F166, $H166, R$3)*1.3*1.3,0)),"-")</f>
        <v>-</v>
      </c>
      <c r="S166" s="55" t="str">
        <f>IF($J166=S$3,IF(S$3&gt;$I166,"-",ROUNDUP(Ld_cal($B166, $C166, $D166, $G166,$E166, $F166, $H166, S$3)*1.3*1.3,0)),"-")</f>
        <v>-</v>
      </c>
      <c r="T166" s="55" t="str">
        <f>IF($J166=T$3,IF(T$3&gt;$I166,"-",ROUNDUP(Ld_cal($B166, $C166, $D166, $G166,$E166, $F166, $H166, T$3)*1.3*1.3,0)),"-")</f>
        <v>-</v>
      </c>
      <c r="U166" s="55" t="str">
        <f>IF($J166=U$3,IF(U$3&gt;$I166,"-",ROUNDUP(Ld_cal($B166, $C166, $D166, $G166,$E166, $F166, $H166, U$3)*1.3*1.3,0)),"-")</f>
        <v>-</v>
      </c>
      <c r="V166" s="55" t="str">
        <f>IF($J166=V$3,IF(V$3&gt;$I166,"-",ROUNDUP(Ld_cal($B166, $C166, $D166, $G166,$E166, $F166, $H166, V$3)*1.3*1.3,0)),"-")</f>
        <v>-</v>
      </c>
      <c r="W166" s="55" t="str">
        <f>IF($J166=W$3,IF(W$3&gt;$I166,"-",ROUNDUP(Ld_cal($B166, $C166, $D166, $G166,$E166, $F166, $H166, W$3)*1.3*1.3,0)),"-")</f>
        <v>-</v>
      </c>
      <c r="X166" s="55" t="str">
        <f>IF($J166=X$3,IF(X$3&gt;$I166,"-",ROUNDUP(Ld_cal($B166, $C166, $D166, $G166,$E166, $F166, $H166, X$3)*1.3*1.3,0)),"-")</f>
        <v>-</v>
      </c>
      <c r="Y166" s="55">
        <f>IF($J166=Y$3,IF(Y$3&gt;$I166,"-",ROUNDUP(Ld_cal($B166, $C166, $D166, $G166,$E166, $F166, $H166, Y$3)*1.3*1.3,0)),"-")</f>
        <v>231</v>
      </c>
      <c r="Z166" s="55" t="str">
        <f>IF($J166=Z$3,IF(Z$3&gt;$I166,"-",ROUNDUP(Ld_cal($B166, $C166, $D166, $G166,$E166, $F166, $H166, Z$3)*1.3*1.3,0)),"-")</f>
        <v>-</v>
      </c>
      <c r="AA166" s="55" t="str">
        <f>IF($J166=AA$3,IF(AA$3&gt;$I166,"-",ROUNDUP(Ld_cal($B166, $C166, $D166, $G166,$E166, $F166, $H166, AA$3)*1.3*1.3,0)),"-")</f>
        <v>-</v>
      </c>
      <c r="AB166" s="55" t="str">
        <f>IF($J166=AB$3,IF(AB$3&gt;$I166,"-",ROUNDUP(Ld_cal($B166, $C166, $D166, $G166,$E166, $F166, $H166, AB$3)*1.3*1.3,0)),"-")</f>
        <v>-</v>
      </c>
      <c r="AC166" s="55" t="str">
        <f>IF($J166=AC$3,IF(AC$3&gt;$I166,"-",ROUNDUP(Ld_cal($B166, $C166, $D166, $G166,$E166, $F166, $H166, AC$3)*1.3*1.3,0)),"-")</f>
        <v>-</v>
      </c>
      <c r="AD166" s="55">
        <f t="shared" ref="AD166" si="160">IF(J166&gt;I166,"依標準圖",MAX(L166:AC166))</f>
        <v>231</v>
      </c>
    </row>
    <row r="167" spans="1:30">
      <c r="A167" s="113"/>
      <c r="B167" s="99"/>
      <c r="C167" s="100"/>
      <c r="D167" s="101"/>
      <c r="E167" s="102"/>
      <c r="F167" s="103"/>
      <c r="G167" s="101"/>
      <c r="H167" s="102"/>
      <c r="I167" s="104"/>
      <c r="J167" s="57">
        <v>12</v>
      </c>
      <c r="K167" s="59" t="s">
        <v>29</v>
      </c>
      <c r="L167" s="55" t="str">
        <f>IF($J167=L$3,IF(L$3&gt;$I166,"-",ROUNDUP(Ld_cal($B166, $C166, $D166, $G166,$E166, $F166, $H166, L$3)*1.3,0)),"-")</f>
        <v>-</v>
      </c>
      <c r="M167" s="55" t="str">
        <f>IF($J167=M$3,IF(M$3&gt;$I166,"-",ROUNDUP(Ld_cal($B166, $C166, $D166, $G166,$E166, $F166, $H166, M$3)*1.3,0)),"-")</f>
        <v>-</v>
      </c>
      <c r="N167" s="55" t="str">
        <f>IF($J167=N$3,IF(N$3&gt;$I166,"-",ROUNDUP(Ld_cal($B166, $C166, $D166, $G166,$E166, $F166, $H166, N$3)*1.3,0)),"-")</f>
        <v>-</v>
      </c>
      <c r="O167" s="55" t="str">
        <f>IF($J167=O$3,IF(O$3&gt;$I166,"-",ROUNDUP(Ld_cal($B166, $C166, $D166, $G166,$E166, $F166, $H166, O$3)*1.3,0)),"-")</f>
        <v>-</v>
      </c>
      <c r="P167" s="55" t="str">
        <f>IF($J167=P$3,IF(P$3&gt;$I166,"-",ROUNDUP(Ld_cal($B166, $C166, $D166, $G166,$E166, $F166, $H166, P$3)*1.3,0)),"-")</f>
        <v>-</v>
      </c>
      <c r="Q167" s="55" t="str">
        <f>IF($J167=Q$3,IF(Q$3&gt;$I166,"-",ROUNDUP(Ld_cal($B166, $C166, $D166, $G166,$E166, $F166, $H166, Q$3)*1.3,0)),"-")</f>
        <v>-</v>
      </c>
      <c r="R167" s="55" t="str">
        <f>IF($J167=R$3,IF(R$3&gt;$I166,"-",ROUNDUP(Ld_cal($B166, $C166, $D166, $G166,$E166, $F166, $H166, R$3)*1.3,0)),"-")</f>
        <v>-</v>
      </c>
      <c r="S167" s="55" t="str">
        <f>IF($J167=S$3,IF(S$3&gt;$I166,"-",ROUNDUP(Ld_cal($B166, $C166, $D166, $G166,$E166, $F166, $H166, S$3)*1.3,0)),"-")</f>
        <v>-</v>
      </c>
      <c r="T167" s="55" t="str">
        <f>IF($J167=T$3,IF(T$3&gt;$I166,"-",ROUNDUP(Ld_cal($B166, $C166, $D166, $G166,$E166, $F166, $H166, T$3)*1.3,0)),"-")</f>
        <v>-</v>
      </c>
      <c r="U167" s="55">
        <f>IF($J167=U$3,IF(U$3&gt;$I166,"-",ROUNDUP(Ld_cal($B166, $C166, $D166, $G166,$E166, $F166, $H166, U$3)*1.3,0)),"-")</f>
        <v>131</v>
      </c>
      <c r="V167" s="55" t="str">
        <f>IF($J167=V$3,IF(V$3&gt;$I166,"-",ROUNDUP(Ld_cal($B166, $C166, $D166, $G166,$E166, $F166, $H166, V$3)*1.3,0)),"-")</f>
        <v>-</v>
      </c>
      <c r="W167" s="55" t="str">
        <f>IF($J167=W$3,IF(W$3&gt;$I166,"-",ROUNDUP(Ld_cal($B166, $C166, $D166, $G166,$E166, $F166, $H166, W$3)*1.3,0)),"-")</f>
        <v>-</v>
      </c>
      <c r="X167" s="55" t="str">
        <f>IF($J167=X$3,IF(X$3&gt;$I166,"-",ROUNDUP(Ld_cal($B166, $C166, $D166, $G166,$E166, $F166, $H166, X$3)*1.3,0)),"-")</f>
        <v>-</v>
      </c>
      <c r="Y167" s="55" t="str">
        <f>IF($J167=Y$3,IF(Y$3&gt;$I166,"-",ROUNDUP(Ld_cal($B166, $C166, $D166, $G166,$E166, $F166, $H166, Y$3)*1.3,0)),"-")</f>
        <v>-</v>
      </c>
      <c r="Z167" s="55" t="str">
        <f>IF($J167=Z$3,IF(Z$3&gt;$I166,"-",ROUNDUP(Ld_cal($B166, $C166, $D166, $G166,$E166, $F166, $H166, Z$3)*1.3,0)),"-")</f>
        <v>-</v>
      </c>
      <c r="AA167" s="55" t="str">
        <f>IF($J167=AA$3,IF(AA$3&gt;$I166,"-",ROUNDUP(Ld_cal($B166, $C166, $D166, $G166,$E166, $F166, $H166, AA$3)*1.3,0)),"-")</f>
        <v>-</v>
      </c>
      <c r="AB167" s="55" t="str">
        <f>IF($J167=AB$3,IF(AB$3&gt;$I166,"-",ROUNDUP(Ld_cal($B166, $C166, $D166, $G166,$E166, $F166, $H166, AB$3)*1.3,0)),"-")</f>
        <v>-</v>
      </c>
      <c r="AC167" s="55" t="str">
        <f>IF($J167=AC$3,IF(AC$3&gt;$I166,"-",ROUNDUP(Ld_cal($B166, $C166, $D166, $G166,$E166, $F166, $H166, AC$3)*1.3,0)),"-")</f>
        <v>-</v>
      </c>
      <c r="AD167" s="55">
        <f t="shared" ref="AD167" si="161">IF(J167&gt;I166,"依標準圖",MAX(L167:AC167))</f>
        <v>131</v>
      </c>
    </row>
    <row r="168" spans="1:30">
      <c r="A168" s="112" t="s">
        <v>129</v>
      </c>
      <c r="B168" s="107">
        <v>120</v>
      </c>
      <c r="C168" s="108">
        <v>7.5</v>
      </c>
      <c r="D168" s="107">
        <v>4200</v>
      </c>
      <c r="E168" s="109">
        <v>16</v>
      </c>
      <c r="F168" s="110">
        <v>7</v>
      </c>
      <c r="G168" s="107">
        <v>350</v>
      </c>
      <c r="H168" s="109">
        <v>32</v>
      </c>
      <c r="I168" s="111">
        <f>ROUNDDOWN(($B168-2*$C168-2*$E168/10-$H168/10)/(($D$1+1)*$H168/10),0)+1</f>
        <v>16</v>
      </c>
      <c r="J168" s="58">
        <v>16</v>
      </c>
      <c r="K168" s="40" t="s">
        <v>30</v>
      </c>
      <c r="L168" s="56" t="str">
        <f>IF($J168=L$3,IF(L$3&gt;$I168,"-",ROUNDUP(Ld_cal($B168, $C168, $D168, $G168,$E168, $F168, $H168, L$3)*1.3*1.3,0)),"-")</f>
        <v>-</v>
      </c>
      <c r="M168" s="56" t="str">
        <f>IF($J168=M$3,IF(M$3&gt;$I168,"-",ROUNDUP(Ld_cal($B168, $C168, $D168, $G168,$E168, $F168, $H168, M$3)*1.3*1.3,0)),"-")</f>
        <v>-</v>
      </c>
      <c r="N168" s="56" t="str">
        <f>IF($J168=N$3,IF(N$3&gt;$I168,"-",ROUNDUP(Ld_cal($B168, $C168, $D168, $G168,$E168, $F168, $H168, N$3)*1.3*1.3,0)),"-")</f>
        <v>-</v>
      </c>
      <c r="O168" s="56" t="str">
        <f>IF($J168=O$3,IF(O$3&gt;$I168,"-",ROUNDUP(Ld_cal($B168, $C168, $D168, $G168,$E168, $F168, $H168, O$3)*1.3*1.3,0)),"-")</f>
        <v>-</v>
      </c>
      <c r="P168" s="56" t="str">
        <f>IF($J168=P$3,IF(P$3&gt;$I168,"-",ROUNDUP(Ld_cal($B168, $C168, $D168, $G168,$E168, $F168, $H168, P$3)*1.3*1.3,0)),"-")</f>
        <v>-</v>
      </c>
      <c r="Q168" s="56" t="str">
        <f>IF($J168=Q$3,IF(Q$3&gt;$I168,"-",ROUNDUP(Ld_cal($B168, $C168, $D168, $G168,$E168, $F168, $H168, Q$3)*1.3*1.3,0)),"-")</f>
        <v>-</v>
      </c>
      <c r="R168" s="56" t="str">
        <f>IF($J168=R$3,IF(R$3&gt;$I168,"-",ROUNDUP(Ld_cal($B168, $C168, $D168, $G168,$E168, $F168, $H168, R$3)*1.3*1.3,0)),"-")</f>
        <v>-</v>
      </c>
      <c r="S168" s="56" t="str">
        <f>IF($J168=S$3,IF(S$3&gt;$I168,"-",ROUNDUP(Ld_cal($B168, $C168, $D168, $G168,$E168, $F168, $H168, S$3)*1.3*1.3,0)),"-")</f>
        <v>-</v>
      </c>
      <c r="T168" s="56" t="str">
        <f>IF($J168=T$3,IF(T$3&gt;$I168,"-",ROUNDUP(Ld_cal($B168, $C168, $D168, $G168,$E168, $F168, $H168, T$3)*1.3*1.3,0)),"-")</f>
        <v>-</v>
      </c>
      <c r="U168" s="56" t="str">
        <f>IF($J168=U$3,IF(U$3&gt;$I168,"-",ROUNDUP(Ld_cal($B168, $C168, $D168, $G168,$E168, $F168, $H168, U$3)*1.3*1.3,0)),"-")</f>
        <v>-</v>
      </c>
      <c r="V168" s="56" t="str">
        <f>IF($J168=V$3,IF(V$3&gt;$I168,"-",ROUNDUP(Ld_cal($B168, $C168, $D168, $G168,$E168, $F168, $H168, V$3)*1.3*1.3,0)),"-")</f>
        <v>-</v>
      </c>
      <c r="W168" s="56" t="str">
        <f>IF($J168=W$3,IF(W$3&gt;$I168,"-",ROUNDUP(Ld_cal($B168, $C168, $D168, $G168,$E168, $F168, $H168, W$3)*1.3*1.3,0)),"-")</f>
        <v>-</v>
      </c>
      <c r="X168" s="56" t="str">
        <f>IF($J168=X$3,IF(X$3&gt;$I168,"-",ROUNDUP(Ld_cal($B168, $C168, $D168, $G168,$E168, $F168, $H168, X$3)*1.3*1.3,0)),"-")</f>
        <v>-</v>
      </c>
      <c r="Y168" s="56">
        <f>IF($J168=Y$3,IF(Y$3&gt;$I168,"-",ROUNDUP(Ld_cal($B168, $C168, $D168, $G168,$E168, $F168, $H168, Y$3)*1.3*1.3,0)),"-")</f>
        <v>231</v>
      </c>
      <c r="Z168" s="56" t="str">
        <f>IF($J168=Z$3,IF(Z$3&gt;$I168,"-",ROUNDUP(Ld_cal($B168, $C168, $D168, $G168,$E168, $F168, $H168, Z$3)*1.3*1.3,0)),"-")</f>
        <v>-</v>
      </c>
      <c r="AA168" s="56" t="str">
        <f>IF($J168=AA$3,IF(AA$3&gt;$I168,"-",ROUNDUP(Ld_cal($B168, $C168, $D168, $G168,$E168, $F168, $H168, AA$3)*1.3*1.3,0)),"-")</f>
        <v>-</v>
      </c>
      <c r="AB168" s="56" t="str">
        <f>IF($J168=AB$3,IF(AB$3&gt;$I168,"-",ROUNDUP(Ld_cal($B168, $C168, $D168, $G168,$E168, $F168, $H168, AB$3)*1.3*1.3,0)),"-")</f>
        <v>-</v>
      </c>
      <c r="AC168" s="56" t="str">
        <f>IF($J168=AC$3,IF(AC$3&gt;$I168,"-",ROUNDUP(Ld_cal($B168, $C168, $D168, $G168,$E168, $F168, $H168, AC$3)*1.3*1.3,0)),"-")</f>
        <v>-</v>
      </c>
      <c r="AD168" s="56">
        <f t="shared" ref="AD168" si="162">IF(J168&gt;I168,"依標準圖",MAX(L168:AC168))</f>
        <v>231</v>
      </c>
    </row>
    <row r="169" spans="1:30">
      <c r="A169" s="112"/>
      <c r="B169" s="107"/>
      <c r="C169" s="108"/>
      <c r="D169" s="107"/>
      <c r="E169" s="109"/>
      <c r="F169" s="110"/>
      <c r="G169" s="107"/>
      <c r="H169" s="109"/>
      <c r="I169" s="111"/>
      <c r="J169" s="58">
        <v>12</v>
      </c>
      <c r="K169" s="40" t="s">
        <v>29</v>
      </c>
      <c r="L169" s="56" t="str">
        <f>IF($J169=L$3,IF(L$3&gt;$I168,"-",ROUNDUP(Ld_cal($B168, $C168, $D168, $G168,$E168, $F168, $H168, L$3)*1.3,0)),"-")</f>
        <v>-</v>
      </c>
      <c r="M169" s="56" t="str">
        <f>IF($J169=M$3,IF(M$3&gt;$I168,"-",ROUNDUP(Ld_cal($B168, $C168, $D168, $G168,$E168, $F168, $H168, M$3)*1.3,0)),"-")</f>
        <v>-</v>
      </c>
      <c r="N169" s="56" t="str">
        <f>IF($J169=N$3,IF(N$3&gt;$I168,"-",ROUNDUP(Ld_cal($B168, $C168, $D168, $G168,$E168, $F168, $H168, N$3)*1.3,0)),"-")</f>
        <v>-</v>
      </c>
      <c r="O169" s="56" t="str">
        <f>IF($J169=O$3,IF(O$3&gt;$I168,"-",ROUNDUP(Ld_cal($B168, $C168, $D168, $G168,$E168, $F168, $H168, O$3)*1.3,0)),"-")</f>
        <v>-</v>
      </c>
      <c r="P169" s="56" t="str">
        <f>IF($J169=P$3,IF(P$3&gt;$I168,"-",ROUNDUP(Ld_cal($B168, $C168, $D168, $G168,$E168, $F168, $H168, P$3)*1.3,0)),"-")</f>
        <v>-</v>
      </c>
      <c r="Q169" s="56" t="str">
        <f>IF($J169=Q$3,IF(Q$3&gt;$I168,"-",ROUNDUP(Ld_cal($B168, $C168, $D168, $G168,$E168, $F168, $H168, Q$3)*1.3,0)),"-")</f>
        <v>-</v>
      </c>
      <c r="R169" s="56" t="str">
        <f>IF($J169=R$3,IF(R$3&gt;$I168,"-",ROUNDUP(Ld_cal($B168, $C168, $D168, $G168,$E168, $F168, $H168, R$3)*1.3,0)),"-")</f>
        <v>-</v>
      </c>
      <c r="S169" s="56" t="str">
        <f>IF($J169=S$3,IF(S$3&gt;$I168,"-",ROUNDUP(Ld_cal($B168, $C168, $D168, $G168,$E168, $F168, $H168, S$3)*1.3,0)),"-")</f>
        <v>-</v>
      </c>
      <c r="T169" s="56" t="str">
        <f>IF($J169=T$3,IF(T$3&gt;$I168,"-",ROUNDUP(Ld_cal($B168, $C168, $D168, $G168,$E168, $F168, $H168, T$3)*1.3,0)),"-")</f>
        <v>-</v>
      </c>
      <c r="U169" s="56">
        <f>IF($J169=U$3,IF(U$3&gt;$I168,"-",ROUNDUP(Ld_cal($B168, $C168, $D168, $G168,$E168, $F168, $H168, U$3)*1.3,0)),"-")</f>
        <v>131</v>
      </c>
      <c r="V169" s="56" t="str">
        <f>IF($J169=V$3,IF(V$3&gt;$I168,"-",ROUNDUP(Ld_cal($B168, $C168, $D168, $G168,$E168, $F168, $H168, V$3)*1.3,0)),"-")</f>
        <v>-</v>
      </c>
      <c r="W169" s="56" t="str">
        <f>IF($J169=W$3,IF(W$3&gt;$I168,"-",ROUNDUP(Ld_cal($B168, $C168, $D168, $G168,$E168, $F168, $H168, W$3)*1.3,0)),"-")</f>
        <v>-</v>
      </c>
      <c r="X169" s="56" t="str">
        <f>IF($J169=X$3,IF(X$3&gt;$I168,"-",ROUNDUP(Ld_cal($B168, $C168, $D168, $G168,$E168, $F168, $H168, X$3)*1.3,0)),"-")</f>
        <v>-</v>
      </c>
      <c r="Y169" s="56" t="str">
        <f>IF($J169=Y$3,IF(Y$3&gt;$I168,"-",ROUNDUP(Ld_cal($B168, $C168, $D168, $G168,$E168, $F168, $H168, Y$3)*1.3,0)),"-")</f>
        <v>-</v>
      </c>
      <c r="Z169" s="56" t="str">
        <f>IF($J169=Z$3,IF(Z$3&gt;$I168,"-",ROUNDUP(Ld_cal($B168, $C168, $D168, $G168,$E168, $F168, $H168, Z$3)*1.3,0)),"-")</f>
        <v>-</v>
      </c>
      <c r="AA169" s="56" t="str">
        <f>IF($J169=AA$3,IF(AA$3&gt;$I168,"-",ROUNDUP(Ld_cal($B168, $C168, $D168, $G168,$E168, $F168, $H168, AA$3)*1.3,0)),"-")</f>
        <v>-</v>
      </c>
      <c r="AB169" s="56" t="str">
        <f>IF($J169=AB$3,IF(AB$3&gt;$I168,"-",ROUNDUP(Ld_cal($B168, $C168, $D168, $G168,$E168, $F168, $H168, AB$3)*1.3,0)),"-")</f>
        <v>-</v>
      </c>
      <c r="AC169" s="56" t="str">
        <f>IF($J169=AC$3,IF(AC$3&gt;$I168,"-",ROUNDUP(Ld_cal($B168, $C168, $D168, $G168,$E168, $F168, $H168, AC$3)*1.3,0)),"-")</f>
        <v>-</v>
      </c>
      <c r="AD169" s="56">
        <f t="shared" ref="AD169" si="163">IF(J169&gt;I168,"依標準圖",MAX(L169:AC169))</f>
        <v>131</v>
      </c>
    </row>
    <row r="170" spans="1:30">
      <c r="A170" s="113" t="s">
        <v>130</v>
      </c>
      <c r="B170" s="99">
        <v>120</v>
      </c>
      <c r="C170" s="100">
        <v>7.5</v>
      </c>
      <c r="D170" s="101">
        <v>4200</v>
      </c>
      <c r="E170" s="102">
        <v>16</v>
      </c>
      <c r="F170" s="103">
        <v>7</v>
      </c>
      <c r="G170" s="101">
        <v>350</v>
      </c>
      <c r="H170" s="102">
        <v>32</v>
      </c>
      <c r="I170" s="104">
        <f>ROUNDDOWN(($B170-2*$C170-2*$E170/10-$H170/10)/(($D$1+1)*$H170/10),0)+1</f>
        <v>16</v>
      </c>
      <c r="J170" s="57">
        <v>16</v>
      </c>
      <c r="K170" s="59" t="s">
        <v>30</v>
      </c>
      <c r="L170" s="55" t="str">
        <f>IF($J170=L$3,IF(L$3&gt;$I170,"-",ROUNDUP(Ld_cal($B170, $C170, $D170, $G170,$E170, $F170, $H170, L$3)*1.3*1.3,0)),"-")</f>
        <v>-</v>
      </c>
      <c r="M170" s="55" t="str">
        <f>IF($J170=M$3,IF(M$3&gt;$I170,"-",ROUNDUP(Ld_cal($B170, $C170, $D170, $G170,$E170, $F170, $H170, M$3)*1.3*1.3,0)),"-")</f>
        <v>-</v>
      </c>
      <c r="N170" s="55" t="str">
        <f>IF($J170=N$3,IF(N$3&gt;$I170,"-",ROUNDUP(Ld_cal($B170, $C170, $D170, $G170,$E170, $F170, $H170, N$3)*1.3*1.3,0)),"-")</f>
        <v>-</v>
      </c>
      <c r="O170" s="55" t="str">
        <f>IF($J170=O$3,IF(O$3&gt;$I170,"-",ROUNDUP(Ld_cal($B170, $C170, $D170, $G170,$E170, $F170, $H170, O$3)*1.3*1.3,0)),"-")</f>
        <v>-</v>
      </c>
      <c r="P170" s="55" t="str">
        <f>IF($J170=P$3,IF(P$3&gt;$I170,"-",ROUNDUP(Ld_cal($B170, $C170, $D170, $G170,$E170, $F170, $H170, P$3)*1.3*1.3,0)),"-")</f>
        <v>-</v>
      </c>
      <c r="Q170" s="55" t="str">
        <f>IF($J170=Q$3,IF(Q$3&gt;$I170,"-",ROUNDUP(Ld_cal($B170, $C170, $D170, $G170,$E170, $F170, $H170, Q$3)*1.3*1.3,0)),"-")</f>
        <v>-</v>
      </c>
      <c r="R170" s="55" t="str">
        <f>IF($J170=R$3,IF(R$3&gt;$I170,"-",ROUNDUP(Ld_cal($B170, $C170, $D170, $G170,$E170, $F170, $H170, R$3)*1.3*1.3,0)),"-")</f>
        <v>-</v>
      </c>
      <c r="S170" s="55" t="str">
        <f>IF($J170=S$3,IF(S$3&gt;$I170,"-",ROUNDUP(Ld_cal($B170, $C170, $D170, $G170,$E170, $F170, $H170, S$3)*1.3*1.3,0)),"-")</f>
        <v>-</v>
      </c>
      <c r="T170" s="55" t="str">
        <f>IF($J170=T$3,IF(T$3&gt;$I170,"-",ROUNDUP(Ld_cal($B170, $C170, $D170, $G170,$E170, $F170, $H170, T$3)*1.3*1.3,0)),"-")</f>
        <v>-</v>
      </c>
      <c r="U170" s="55" t="str">
        <f>IF($J170=U$3,IF(U$3&gt;$I170,"-",ROUNDUP(Ld_cal($B170, $C170, $D170, $G170,$E170, $F170, $H170, U$3)*1.3*1.3,0)),"-")</f>
        <v>-</v>
      </c>
      <c r="V170" s="55" t="str">
        <f>IF($J170=V$3,IF(V$3&gt;$I170,"-",ROUNDUP(Ld_cal($B170, $C170, $D170, $G170,$E170, $F170, $H170, V$3)*1.3*1.3,0)),"-")</f>
        <v>-</v>
      </c>
      <c r="W170" s="55" t="str">
        <f>IF($J170=W$3,IF(W$3&gt;$I170,"-",ROUNDUP(Ld_cal($B170, $C170, $D170, $G170,$E170, $F170, $H170, W$3)*1.3*1.3,0)),"-")</f>
        <v>-</v>
      </c>
      <c r="X170" s="55" t="str">
        <f>IF($J170=X$3,IF(X$3&gt;$I170,"-",ROUNDUP(Ld_cal($B170, $C170, $D170, $G170,$E170, $F170, $H170, X$3)*1.3*1.3,0)),"-")</f>
        <v>-</v>
      </c>
      <c r="Y170" s="55">
        <f>IF($J170=Y$3,IF(Y$3&gt;$I170,"-",ROUNDUP(Ld_cal($B170, $C170, $D170, $G170,$E170, $F170, $H170, Y$3)*1.3*1.3,0)),"-")</f>
        <v>231</v>
      </c>
      <c r="Z170" s="55" t="str">
        <f>IF($J170=Z$3,IF(Z$3&gt;$I170,"-",ROUNDUP(Ld_cal($B170, $C170, $D170, $G170,$E170, $F170, $H170, Z$3)*1.3*1.3,0)),"-")</f>
        <v>-</v>
      </c>
      <c r="AA170" s="55" t="str">
        <f>IF($J170=AA$3,IF(AA$3&gt;$I170,"-",ROUNDUP(Ld_cal($B170, $C170, $D170, $G170,$E170, $F170, $H170, AA$3)*1.3*1.3,0)),"-")</f>
        <v>-</v>
      </c>
      <c r="AB170" s="55" t="str">
        <f>IF($J170=AB$3,IF(AB$3&gt;$I170,"-",ROUNDUP(Ld_cal($B170, $C170, $D170, $G170,$E170, $F170, $H170, AB$3)*1.3*1.3,0)),"-")</f>
        <v>-</v>
      </c>
      <c r="AC170" s="55" t="str">
        <f>IF($J170=AC$3,IF(AC$3&gt;$I170,"-",ROUNDUP(Ld_cal($B170, $C170, $D170, $G170,$E170, $F170, $H170, AC$3)*1.3*1.3,0)),"-")</f>
        <v>-</v>
      </c>
      <c r="AD170" s="55">
        <f t="shared" ref="AD170" si="164">IF(J170&gt;I170,"依標準圖",MAX(L170:AC170))</f>
        <v>231</v>
      </c>
    </row>
    <row r="171" spans="1:30">
      <c r="A171" s="113"/>
      <c r="B171" s="99"/>
      <c r="C171" s="100"/>
      <c r="D171" s="101"/>
      <c r="E171" s="102"/>
      <c r="F171" s="103"/>
      <c r="G171" s="101"/>
      <c r="H171" s="102"/>
      <c r="I171" s="104"/>
      <c r="J171" s="57">
        <v>14</v>
      </c>
      <c r="K171" s="59" t="s">
        <v>29</v>
      </c>
      <c r="L171" s="55" t="str">
        <f>IF($J171=L$3,IF(L$3&gt;$I170,"-",ROUNDUP(Ld_cal($B170, $C170, $D170, $G170,$E170, $F170, $H170, L$3)*1.3,0)),"-")</f>
        <v>-</v>
      </c>
      <c r="M171" s="55" t="str">
        <f>IF($J171=M$3,IF(M$3&gt;$I170,"-",ROUNDUP(Ld_cal($B170, $C170, $D170, $G170,$E170, $F170, $H170, M$3)*1.3,0)),"-")</f>
        <v>-</v>
      </c>
      <c r="N171" s="55" t="str">
        <f>IF($J171=N$3,IF(N$3&gt;$I170,"-",ROUNDUP(Ld_cal($B170, $C170, $D170, $G170,$E170, $F170, $H170, N$3)*1.3,0)),"-")</f>
        <v>-</v>
      </c>
      <c r="O171" s="55" t="str">
        <f>IF($J171=O$3,IF(O$3&gt;$I170,"-",ROUNDUP(Ld_cal($B170, $C170, $D170, $G170,$E170, $F170, $H170, O$3)*1.3,0)),"-")</f>
        <v>-</v>
      </c>
      <c r="P171" s="55" t="str">
        <f>IF($J171=P$3,IF(P$3&gt;$I170,"-",ROUNDUP(Ld_cal($B170, $C170, $D170, $G170,$E170, $F170, $H170, P$3)*1.3,0)),"-")</f>
        <v>-</v>
      </c>
      <c r="Q171" s="55" t="str">
        <f>IF($J171=Q$3,IF(Q$3&gt;$I170,"-",ROUNDUP(Ld_cal($B170, $C170, $D170, $G170,$E170, $F170, $H170, Q$3)*1.3,0)),"-")</f>
        <v>-</v>
      </c>
      <c r="R171" s="55" t="str">
        <f>IF($J171=R$3,IF(R$3&gt;$I170,"-",ROUNDUP(Ld_cal($B170, $C170, $D170, $G170,$E170, $F170, $H170, R$3)*1.3,0)),"-")</f>
        <v>-</v>
      </c>
      <c r="S171" s="55" t="str">
        <f>IF($J171=S$3,IF(S$3&gt;$I170,"-",ROUNDUP(Ld_cal($B170, $C170, $D170, $G170,$E170, $F170, $H170, S$3)*1.3,0)),"-")</f>
        <v>-</v>
      </c>
      <c r="T171" s="55" t="str">
        <f>IF($J171=T$3,IF(T$3&gt;$I170,"-",ROUNDUP(Ld_cal($B170, $C170, $D170, $G170,$E170, $F170, $H170, T$3)*1.3,0)),"-")</f>
        <v>-</v>
      </c>
      <c r="U171" s="55" t="str">
        <f>IF($J171=U$3,IF(U$3&gt;$I170,"-",ROUNDUP(Ld_cal($B170, $C170, $D170, $G170,$E170, $F170, $H170, U$3)*1.3,0)),"-")</f>
        <v>-</v>
      </c>
      <c r="V171" s="55" t="str">
        <f>IF($J171=V$3,IF(V$3&gt;$I170,"-",ROUNDUP(Ld_cal($B170, $C170, $D170, $G170,$E170, $F170, $H170, V$3)*1.3,0)),"-")</f>
        <v>-</v>
      </c>
      <c r="W171" s="55">
        <f>IF($J171=W$3,IF(W$3&gt;$I170,"-",ROUNDUP(Ld_cal($B170, $C170, $D170, $G170,$E170, $F170, $H170, W$3)*1.3,0)),"-")</f>
        <v>155</v>
      </c>
      <c r="X171" s="55" t="str">
        <f>IF($J171=X$3,IF(X$3&gt;$I170,"-",ROUNDUP(Ld_cal($B170, $C170, $D170, $G170,$E170, $F170, $H170, X$3)*1.3,0)),"-")</f>
        <v>-</v>
      </c>
      <c r="Y171" s="55" t="str">
        <f>IF($J171=Y$3,IF(Y$3&gt;$I170,"-",ROUNDUP(Ld_cal($B170, $C170, $D170, $G170,$E170, $F170, $H170, Y$3)*1.3,0)),"-")</f>
        <v>-</v>
      </c>
      <c r="Z171" s="55" t="str">
        <f>IF($J171=Z$3,IF(Z$3&gt;$I170,"-",ROUNDUP(Ld_cal($B170, $C170, $D170, $G170,$E170, $F170, $H170, Z$3)*1.3,0)),"-")</f>
        <v>-</v>
      </c>
      <c r="AA171" s="55" t="str">
        <f>IF($J171=AA$3,IF(AA$3&gt;$I170,"-",ROUNDUP(Ld_cal($B170, $C170, $D170, $G170,$E170, $F170, $H170, AA$3)*1.3,0)),"-")</f>
        <v>-</v>
      </c>
      <c r="AB171" s="55" t="str">
        <f>IF($J171=AB$3,IF(AB$3&gt;$I170,"-",ROUNDUP(Ld_cal($B170, $C170, $D170, $G170,$E170, $F170, $H170, AB$3)*1.3,0)),"-")</f>
        <v>-</v>
      </c>
      <c r="AC171" s="55" t="str">
        <f>IF($J171=AC$3,IF(AC$3&gt;$I170,"-",ROUNDUP(Ld_cal($B170, $C170, $D170, $G170,$E170, $F170, $H170, AC$3)*1.3,0)),"-")</f>
        <v>-</v>
      </c>
      <c r="AD171" s="55">
        <f t="shared" ref="AD171" si="165">IF(J171&gt;I170,"依標準圖",MAX(L171:AC171))</f>
        <v>155</v>
      </c>
    </row>
    <row r="172" spans="1:30">
      <c r="A172" s="105" t="s">
        <v>131</v>
      </c>
      <c r="B172" s="107">
        <v>120</v>
      </c>
      <c r="C172" s="108">
        <v>7.5</v>
      </c>
      <c r="D172" s="107">
        <v>4200</v>
      </c>
      <c r="E172" s="109">
        <v>16</v>
      </c>
      <c r="F172" s="110">
        <v>7</v>
      </c>
      <c r="G172" s="107">
        <v>350</v>
      </c>
      <c r="H172" s="109">
        <v>32</v>
      </c>
      <c r="I172" s="111">
        <f>ROUNDDOWN(($B172-2*$C172-2*$E172/10-$H172/10)/(($D$1+1)*$H172/10),0)+1</f>
        <v>16</v>
      </c>
      <c r="J172" s="58">
        <v>16</v>
      </c>
      <c r="K172" s="40" t="s">
        <v>30</v>
      </c>
      <c r="L172" s="56" t="str">
        <f>IF($J172=L$3,IF(L$3&gt;$I172,"-",ROUNDUP(Ld_cal($B172, $C172, $D172, $G172,$E172, $F172, $H172, L$3)*1.3*1.3,0)),"-")</f>
        <v>-</v>
      </c>
      <c r="M172" s="56" t="str">
        <f>IF($J172=M$3,IF(M$3&gt;$I172,"-",ROUNDUP(Ld_cal($B172, $C172, $D172, $G172,$E172, $F172, $H172, M$3)*1.3*1.3,0)),"-")</f>
        <v>-</v>
      </c>
      <c r="N172" s="56" t="str">
        <f>IF($J172=N$3,IF(N$3&gt;$I172,"-",ROUNDUP(Ld_cal($B172, $C172, $D172, $G172,$E172, $F172, $H172, N$3)*1.3*1.3,0)),"-")</f>
        <v>-</v>
      </c>
      <c r="O172" s="56" t="str">
        <f>IF($J172=O$3,IF(O$3&gt;$I172,"-",ROUNDUP(Ld_cal($B172, $C172, $D172, $G172,$E172, $F172, $H172, O$3)*1.3*1.3,0)),"-")</f>
        <v>-</v>
      </c>
      <c r="P172" s="56" t="str">
        <f>IF($J172=P$3,IF(P$3&gt;$I172,"-",ROUNDUP(Ld_cal($B172, $C172, $D172, $G172,$E172, $F172, $H172, P$3)*1.3*1.3,0)),"-")</f>
        <v>-</v>
      </c>
      <c r="Q172" s="56" t="str">
        <f>IF($J172=Q$3,IF(Q$3&gt;$I172,"-",ROUNDUP(Ld_cal($B172, $C172, $D172, $G172,$E172, $F172, $H172, Q$3)*1.3*1.3,0)),"-")</f>
        <v>-</v>
      </c>
      <c r="R172" s="56" t="str">
        <f>IF($J172=R$3,IF(R$3&gt;$I172,"-",ROUNDUP(Ld_cal($B172, $C172, $D172, $G172,$E172, $F172, $H172, R$3)*1.3*1.3,0)),"-")</f>
        <v>-</v>
      </c>
      <c r="S172" s="56" t="str">
        <f>IF($J172=S$3,IF(S$3&gt;$I172,"-",ROUNDUP(Ld_cal($B172, $C172, $D172, $G172,$E172, $F172, $H172, S$3)*1.3*1.3,0)),"-")</f>
        <v>-</v>
      </c>
      <c r="T172" s="56" t="str">
        <f>IF($J172=T$3,IF(T$3&gt;$I172,"-",ROUNDUP(Ld_cal($B172, $C172, $D172, $G172,$E172, $F172, $H172, T$3)*1.3*1.3,0)),"-")</f>
        <v>-</v>
      </c>
      <c r="U172" s="56" t="str">
        <f>IF($J172=U$3,IF(U$3&gt;$I172,"-",ROUNDUP(Ld_cal($B172, $C172, $D172, $G172,$E172, $F172, $H172, U$3)*1.3*1.3,0)),"-")</f>
        <v>-</v>
      </c>
      <c r="V172" s="56" t="str">
        <f>IF($J172=V$3,IF(V$3&gt;$I172,"-",ROUNDUP(Ld_cal($B172, $C172, $D172, $G172,$E172, $F172, $H172, V$3)*1.3*1.3,0)),"-")</f>
        <v>-</v>
      </c>
      <c r="W172" s="56" t="str">
        <f>IF($J172=W$3,IF(W$3&gt;$I172,"-",ROUNDUP(Ld_cal($B172, $C172, $D172, $G172,$E172, $F172, $H172, W$3)*1.3*1.3,0)),"-")</f>
        <v>-</v>
      </c>
      <c r="X172" s="56" t="str">
        <f>IF($J172=X$3,IF(X$3&gt;$I172,"-",ROUNDUP(Ld_cal($B172, $C172, $D172, $G172,$E172, $F172, $H172, X$3)*1.3*1.3,0)),"-")</f>
        <v>-</v>
      </c>
      <c r="Y172" s="56">
        <f>IF($J172=Y$3,IF(Y$3&gt;$I172,"-",ROUNDUP(Ld_cal($B172, $C172, $D172, $G172,$E172, $F172, $H172, Y$3)*1.3*1.3,0)),"-")</f>
        <v>231</v>
      </c>
      <c r="Z172" s="56" t="str">
        <f>IF($J172=Z$3,IF(Z$3&gt;$I172,"-",ROUNDUP(Ld_cal($B172, $C172, $D172, $G172,$E172, $F172, $H172, Z$3)*1.3*1.3,0)),"-")</f>
        <v>-</v>
      </c>
      <c r="AA172" s="56" t="str">
        <f>IF($J172=AA$3,IF(AA$3&gt;$I172,"-",ROUNDUP(Ld_cal($B172, $C172, $D172, $G172,$E172, $F172, $H172, AA$3)*1.3*1.3,0)),"-")</f>
        <v>-</v>
      </c>
      <c r="AB172" s="56" t="str">
        <f>IF($J172=AB$3,IF(AB$3&gt;$I172,"-",ROUNDUP(Ld_cal($B172, $C172, $D172, $G172,$E172, $F172, $H172, AB$3)*1.3*1.3,0)),"-")</f>
        <v>-</v>
      </c>
      <c r="AC172" s="56" t="str">
        <f>IF($J172=AC$3,IF(AC$3&gt;$I172,"-",ROUNDUP(Ld_cal($B172, $C172, $D172, $G172,$E172, $F172, $H172, AC$3)*1.3*1.3,0)),"-")</f>
        <v>-</v>
      </c>
      <c r="AD172" s="56">
        <f t="shared" ref="AD172" si="166">IF(J172&gt;I172,"依標準圖",MAX(L172:AC172))</f>
        <v>231</v>
      </c>
    </row>
    <row r="173" spans="1:30">
      <c r="A173" s="106"/>
      <c r="B173" s="107"/>
      <c r="C173" s="108"/>
      <c r="D173" s="107"/>
      <c r="E173" s="109"/>
      <c r="F173" s="110"/>
      <c r="G173" s="107"/>
      <c r="H173" s="109"/>
      <c r="I173" s="111"/>
      <c r="J173" s="58">
        <v>14</v>
      </c>
      <c r="K173" s="40" t="s">
        <v>29</v>
      </c>
      <c r="L173" s="56" t="str">
        <f>IF($J173=L$3,IF(L$3&gt;$I172,"-",ROUNDUP(Ld_cal($B172, $C172, $D172, $G172,$E172, $F172, $H172, L$3)*1.3,0)),"-")</f>
        <v>-</v>
      </c>
      <c r="M173" s="56" t="str">
        <f>IF($J173=M$3,IF(M$3&gt;$I172,"-",ROUNDUP(Ld_cal($B172, $C172, $D172, $G172,$E172, $F172, $H172, M$3)*1.3,0)),"-")</f>
        <v>-</v>
      </c>
      <c r="N173" s="56" t="str">
        <f>IF($J173=N$3,IF(N$3&gt;$I172,"-",ROUNDUP(Ld_cal($B172, $C172, $D172, $G172,$E172, $F172, $H172, N$3)*1.3,0)),"-")</f>
        <v>-</v>
      </c>
      <c r="O173" s="56" t="str">
        <f>IF($J173=O$3,IF(O$3&gt;$I172,"-",ROUNDUP(Ld_cal($B172, $C172, $D172, $G172,$E172, $F172, $H172, O$3)*1.3,0)),"-")</f>
        <v>-</v>
      </c>
      <c r="P173" s="56" t="str">
        <f>IF($J173=P$3,IF(P$3&gt;$I172,"-",ROUNDUP(Ld_cal($B172, $C172, $D172, $G172,$E172, $F172, $H172, P$3)*1.3,0)),"-")</f>
        <v>-</v>
      </c>
      <c r="Q173" s="56" t="str">
        <f>IF($J173=Q$3,IF(Q$3&gt;$I172,"-",ROUNDUP(Ld_cal($B172, $C172, $D172, $G172,$E172, $F172, $H172, Q$3)*1.3,0)),"-")</f>
        <v>-</v>
      </c>
      <c r="R173" s="56" t="str">
        <f>IF($J173=R$3,IF(R$3&gt;$I172,"-",ROUNDUP(Ld_cal($B172, $C172, $D172, $G172,$E172, $F172, $H172, R$3)*1.3,0)),"-")</f>
        <v>-</v>
      </c>
      <c r="S173" s="56" t="str">
        <f>IF($J173=S$3,IF(S$3&gt;$I172,"-",ROUNDUP(Ld_cal($B172, $C172, $D172, $G172,$E172, $F172, $H172, S$3)*1.3,0)),"-")</f>
        <v>-</v>
      </c>
      <c r="T173" s="56" t="str">
        <f>IF($J173=T$3,IF(T$3&gt;$I172,"-",ROUNDUP(Ld_cal($B172, $C172, $D172, $G172,$E172, $F172, $H172, T$3)*1.3,0)),"-")</f>
        <v>-</v>
      </c>
      <c r="U173" s="56" t="str">
        <f>IF($J173=U$3,IF(U$3&gt;$I172,"-",ROUNDUP(Ld_cal($B172, $C172, $D172, $G172,$E172, $F172, $H172, U$3)*1.3,0)),"-")</f>
        <v>-</v>
      </c>
      <c r="V173" s="56" t="str">
        <f>IF($J173=V$3,IF(V$3&gt;$I172,"-",ROUNDUP(Ld_cal($B172, $C172, $D172, $G172,$E172, $F172, $H172, V$3)*1.3,0)),"-")</f>
        <v>-</v>
      </c>
      <c r="W173" s="56">
        <f>IF($J173=W$3,IF(W$3&gt;$I172,"-",ROUNDUP(Ld_cal($B172, $C172, $D172, $G172,$E172, $F172, $H172, W$3)*1.3,0)),"-")</f>
        <v>155</v>
      </c>
      <c r="X173" s="56" t="str">
        <f>IF($J173=X$3,IF(X$3&gt;$I172,"-",ROUNDUP(Ld_cal($B172, $C172, $D172, $G172,$E172, $F172, $H172, X$3)*1.3,0)),"-")</f>
        <v>-</v>
      </c>
      <c r="Y173" s="56" t="str">
        <f>IF($J173=Y$3,IF(Y$3&gt;$I172,"-",ROUNDUP(Ld_cal($B172, $C172, $D172, $G172,$E172, $F172, $H172, Y$3)*1.3,0)),"-")</f>
        <v>-</v>
      </c>
      <c r="Z173" s="56" t="str">
        <f>IF($J173=Z$3,IF(Z$3&gt;$I172,"-",ROUNDUP(Ld_cal($B172, $C172, $D172, $G172,$E172, $F172, $H172, Z$3)*1.3,0)),"-")</f>
        <v>-</v>
      </c>
      <c r="AA173" s="56" t="str">
        <f>IF($J173=AA$3,IF(AA$3&gt;$I172,"-",ROUNDUP(Ld_cal($B172, $C172, $D172, $G172,$E172, $F172, $H172, AA$3)*1.3,0)),"-")</f>
        <v>-</v>
      </c>
      <c r="AB173" s="56" t="str">
        <f>IF($J173=AB$3,IF(AB$3&gt;$I172,"-",ROUNDUP(Ld_cal($B172, $C172, $D172, $G172,$E172, $F172, $H172, AB$3)*1.3,0)),"-")</f>
        <v>-</v>
      </c>
      <c r="AC173" s="56" t="str">
        <f>IF($J173=AC$3,IF(AC$3&gt;$I172,"-",ROUNDUP(Ld_cal($B172, $C172, $D172, $G172,$E172, $F172, $H172, AC$3)*1.3,0)),"-")</f>
        <v>-</v>
      </c>
      <c r="AD173" s="56">
        <f t="shared" ref="AD173" si="167">IF(J173&gt;I172,"依標準圖",MAX(L173:AC173))</f>
        <v>155</v>
      </c>
    </row>
    <row r="174" spans="1:30">
      <c r="A174" s="97" t="s">
        <v>132</v>
      </c>
      <c r="B174" s="99">
        <v>120</v>
      </c>
      <c r="C174" s="100">
        <v>7.5</v>
      </c>
      <c r="D174" s="101">
        <v>4200</v>
      </c>
      <c r="E174" s="102">
        <v>16</v>
      </c>
      <c r="F174" s="103">
        <v>10</v>
      </c>
      <c r="G174" s="101">
        <v>350</v>
      </c>
      <c r="H174" s="102">
        <v>32</v>
      </c>
      <c r="I174" s="104">
        <f>ROUNDDOWN(($B174-2*$C174-2*$E174/10-$H174/10)/(($D$1+1)*$H174/10),0)+1</f>
        <v>16</v>
      </c>
      <c r="J174" s="57">
        <v>9</v>
      </c>
      <c r="K174" s="59" t="s">
        <v>30</v>
      </c>
      <c r="L174" s="55" t="str">
        <f>IF($J174=L$3,IF(L$3&gt;$I174,"-",ROUNDUP(Ld_cal($B174, $C174, $D174, $G174,$E174, $F174, $H174, L$3)*1.3*1.3,0)),"-")</f>
        <v>-</v>
      </c>
      <c r="M174" s="55" t="str">
        <f>IF($J174=M$3,IF(M$3&gt;$I174,"-",ROUNDUP(Ld_cal($B174, $C174, $D174, $G174,$E174, $F174, $H174, M$3)*1.3*1.3,0)),"-")</f>
        <v>-</v>
      </c>
      <c r="N174" s="55" t="str">
        <f>IF($J174=N$3,IF(N$3&gt;$I174,"-",ROUNDUP(Ld_cal($B174, $C174, $D174, $G174,$E174, $F174, $H174, N$3)*1.3*1.3,0)),"-")</f>
        <v>-</v>
      </c>
      <c r="O174" s="55" t="str">
        <f>IF($J174=O$3,IF(O$3&gt;$I174,"-",ROUNDUP(Ld_cal($B174, $C174, $D174, $G174,$E174, $F174, $H174, O$3)*1.3*1.3,0)),"-")</f>
        <v>-</v>
      </c>
      <c r="P174" s="55" t="str">
        <f>IF($J174=P$3,IF(P$3&gt;$I174,"-",ROUNDUP(Ld_cal($B174, $C174, $D174, $G174,$E174, $F174, $H174, P$3)*1.3*1.3,0)),"-")</f>
        <v>-</v>
      </c>
      <c r="Q174" s="55" t="str">
        <f>IF($J174=Q$3,IF(Q$3&gt;$I174,"-",ROUNDUP(Ld_cal($B174, $C174, $D174, $G174,$E174, $F174, $H174, Q$3)*1.3*1.3,0)),"-")</f>
        <v>-</v>
      </c>
      <c r="R174" s="55">
        <f>IF($J174=R$3,IF(R$3&gt;$I174,"-",ROUNDUP(Ld_cal($B174, $C174, $D174, $G174,$E174, $F174, $H174, R$3)*1.3*1.3,0)),"-")</f>
        <v>137</v>
      </c>
      <c r="S174" s="55" t="str">
        <f>IF($J174=S$3,IF(S$3&gt;$I174,"-",ROUNDUP(Ld_cal($B174, $C174, $D174, $G174,$E174, $F174, $H174, S$3)*1.3*1.3,0)),"-")</f>
        <v>-</v>
      </c>
      <c r="T174" s="55" t="str">
        <f>IF($J174=T$3,IF(T$3&gt;$I174,"-",ROUNDUP(Ld_cal($B174, $C174, $D174, $G174,$E174, $F174, $H174, T$3)*1.3*1.3,0)),"-")</f>
        <v>-</v>
      </c>
      <c r="U174" s="55" t="str">
        <f>IF($J174=U$3,IF(U$3&gt;$I174,"-",ROUNDUP(Ld_cal($B174, $C174, $D174, $G174,$E174, $F174, $H174, U$3)*1.3*1.3,0)),"-")</f>
        <v>-</v>
      </c>
      <c r="V174" s="55" t="str">
        <f>IF($J174=V$3,IF(V$3&gt;$I174,"-",ROUNDUP(Ld_cal($B174, $C174, $D174, $G174,$E174, $F174, $H174, V$3)*1.3*1.3,0)),"-")</f>
        <v>-</v>
      </c>
      <c r="W174" s="55" t="str">
        <f>IF($J174=W$3,IF(W$3&gt;$I174,"-",ROUNDUP(Ld_cal($B174, $C174, $D174, $G174,$E174, $F174, $H174, W$3)*1.3*1.3,0)),"-")</f>
        <v>-</v>
      </c>
      <c r="X174" s="55" t="str">
        <f>IF($J174=X$3,IF(X$3&gt;$I174,"-",ROUNDUP(Ld_cal($B174, $C174, $D174, $G174,$E174, $F174, $H174, X$3)*1.3*1.3,0)),"-")</f>
        <v>-</v>
      </c>
      <c r="Y174" s="55" t="str">
        <f>IF($J174=Y$3,IF(Y$3&gt;$I174,"-",ROUNDUP(Ld_cal($B174, $C174, $D174, $G174,$E174, $F174, $H174, Y$3)*1.3*1.3,0)),"-")</f>
        <v>-</v>
      </c>
      <c r="Z174" s="55" t="str">
        <f>IF($J174=Z$3,IF(Z$3&gt;$I174,"-",ROUNDUP(Ld_cal($B174, $C174, $D174, $G174,$E174, $F174, $H174, Z$3)*1.3*1.3,0)),"-")</f>
        <v>-</v>
      </c>
      <c r="AA174" s="55" t="str">
        <f>IF($J174=AA$3,IF(AA$3&gt;$I174,"-",ROUNDUP(Ld_cal($B174, $C174, $D174, $G174,$E174, $F174, $H174, AA$3)*1.3*1.3,0)),"-")</f>
        <v>-</v>
      </c>
      <c r="AB174" s="55" t="str">
        <f>IF($J174=AB$3,IF(AB$3&gt;$I174,"-",ROUNDUP(Ld_cal($B174, $C174, $D174, $G174,$E174, $F174, $H174, AB$3)*1.3*1.3,0)),"-")</f>
        <v>-</v>
      </c>
      <c r="AC174" s="55" t="str">
        <f>IF($J174=AC$3,IF(AC$3&gt;$I174,"-",ROUNDUP(Ld_cal($B174, $C174, $D174, $G174,$E174, $F174, $H174, AC$3)*1.3*1.3,0)),"-")</f>
        <v>-</v>
      </c>
      <c r="AD174" s="55">
        <f t="shared" ref="AD174" si="168">IF(J174&gt;I174,"依標準圖",MAX(L174:AC174))</f>
        <v>137</v>
      </c>
    </row>
    <row r="175" spans="1:30">
      <c r="A175" s="98"/>
      <c r="B175" s="99"/>
      <c r="C175" s="100"/>
      <c r="D175" s="101"/>
      <c r="E175" s="102"/>
      <c r="F175" s="103"/>
      <c r="G175" s="101"/>
      <c r="H175" s="102"/>
      <c r="I175" s="104"/>
      <c r="J175" s="57">
        <v>11</v>
      </c>
      <c r="K175" s="59" t="s">
        <v>29</v>
      </c>
      <c r="L175" s="55" t="str">
        <f>IF($J175=L$3,IF(L$3&gt;$I174,"-",ROUNDUP(Ld_cal($B174, $C174, $D174, $G174,$E174, $F174, $H174, L$3)*1.3,0)),"-")</f>
        <v>-</v>
      </c>
      <c r="M175" s="55" t="str">
        <f>IF($J175=M$3,IF(M$3&gt;$I174,"-",ROUNDUP(Ld_cal($B174, $C174, $D174, $G174,$E174, $F174, $H174, M$3)*1.3,0)),"-")</f>
        <v>-</v>
      </c>
      <c r="N175" s="55" t="str">
        <f>IF($J175=N$3,IF(N$3&gt;$I174,"-",ROUNDUP(Ld_cal($B174, $C174, $D174, $G174,$E174, $F174, $H174, N$3)*1.3,0)),"-")</f>
        <v>-</v>
      </c>
      <c r="O175" s="55" t="str">
        <f>IF($J175=O$3,IF(O$3&gt;$I174,"-",ROUNDUP(Ld_cal($B174, $C174, $D174, $G174,$E174, $F174, $H174, O$3)*1.3,0)),"-")</f>
        <v>-</v>
      </c>
      <c r="P175" s="55" t="str">
        <f>IF($J175=P$3,IF(P$3&gt;$I174,"-",ROUNDUP(Ld_cal($B174, $C174, $D174, $G174,$E174, $F174, $H174, P$3)*1.3,0)),"-")</f>
        <v>-</v>
      </c>
      <c r="Q175" s="55" t="str">
        <f>IF($J175=Q$3,IF(Q$3&gt;$I174,"-",ROUNDUP(Ld_cal($B174, $C174, $D174, $G174,$E174, $F174, $H174, Q$3)*1.3,0)),"-")</f>
        <v>-</v>
      </c>
      <c r="R175" s="55" t="str">
        <f>IF($J175=R$3,IF(R$3&gt;$I174,"-",ROUNDUP(Ld_cal($B174, $C174, $D174, $G174,$E174, $F174, $H174, R$3)*1.3,0)),"-")</f>
        <v>-</v>
      </c>
      <c r="S175" s="55" t="str">
        <f>IF($J175=S$3,IF(S$3&gt;$I174,"-",ROUNDUP(Ld_cal($B174, $C174, $D174, $G174,$E174, $F174, $H174, S$3)*1.3,0)),"-")</f>
        <v>-</v>
      </c>
      <c r="T175" s="55">
        <f>IF($J175=T$3,IF(T$3&gt;$I174,"-",ROUNDUP(Ld_cal($B174, $C174, $D174, $G174,$E174, $F174, $H174, T$3)*1.3,0)),"-")</f>
        <v>131</v>
      </c>
      <c r="U175" s="55" t="str">
        <f>IF($J175=U$3,IF(U$3&gt;$I174,"-",ROUNDUP(Ld_cal($B174, $C174, $D174, $G174,$E174, $F174, $H174, U$3)*1.3,0)),"-")</f>
        <v>-</v>
      </c>
      <c r="V175" s="55" t="str">
        <f>IF($J175=V$3,IF(V$3&gt;$I174,"-",ROUNDUP(Ld_cal($B174, $C174, $D174, $G174,$E174, $F174, $H174, V$3)*1.3,0)),"-")</f>
        <v>-</v>
      </c>
      <c r="W175" s="55" t="str">
        <f>IF($J175=W$3,IF(W$3&gt;$I174,"-",ROUNDUP(Ld_cal($B174, $C174, $D174, $G174,$E174, $F174, $H174, W$3)*1.3,0)),"-")</f>
        <v>-</v>
      </c>
      <c r="X175" s="55" t="str">
        <f>IF($J175=X$3,IF(X$3&gt;$I174,"-",ROUNDUP(Ld_cal($B174, $C174, $D174, $G174,$E174, $F174, $H174, X$3)*1.3,0)),"-")</f>
        <v>-</v>
      </c>
      <c r="Y175" s="55" t="str">
        <f>IF($J175=Y$3,IF(Y$3&gt;$I174,"-",ROUNDUP(Ld_cal($B174, $C174, $D174, $G174,$E174, $F174, $H174, Y$3)*1.3,0)),"-")</f>
        <v>-</v>
      </c>
      <c r="Z175" s="55" t="str">
        <f>IF($J175=Z$3,IF(Z$3&gt;$I174,"-",ROUNDUP(Ld_cal($B174, $C174, $D174, $G174,$E174, $F174, $H174, Z$3)*1.3,0)),"-")</f>
        <v>-</v>
      </c>
      <c r="AA175" s="55" t="str">
        <f>IF($J175=AA$3,IF(AA$3&gt;$I174,"-",ROUNDUP(Ld_cal($B174, $C174, $D174, $G174,$E174, $F174, $H174, AA$3)*1.3,0)),"-")</f>
        <v>-</v>
      </c>
      <c r="AB175" s="55" t="str">
        <f>IF($J175=AB$3,IF(AB$3&gt;$I174,"-",ROUNDUP(Ld_cal($B174, $C174, $D174, $G174,$E174, $F174, $H174, AB$3)*1.3,0)),"-")</f>
        <v>-</v>
      </c>
      <c r="AC175" s="55" t="str">
        <f>IF($J175=AC$3,IF(AC$3&gt;$I174,"-",ROUNDUP(Ld_cal($B174, $C174, $D174, $G174,$E174, $F174, $H174, AC$3)*1.3,0)),"-")</f>
        <v>-</v>
      </c>
      <c r="AD175" s="55">
        <f t="shared" ref="AD175" si="169">IF(J175&gt;I174,"依標準圖",MAX(L175:AC175))</f>
        <v>131</v>
      </c>
    </row>
    <row r="176" spans="1:30">
      <c r="A176" s="105" t="s">
        <v>133</v>
      </c>
      <c r="B176" s="107">
        <v>120</v>
      </c>
      <c r="C176" s="108">
        <v>7.5</v>
      </c>
      <c r="D176" s="107">
        <v>4200</v>
      </c>
      <c r="E176" s="109">
        <v>16</v>
      </c>
      <c r="F176" s="110">
        <v>9</v>
      </c>
      <c r="G176" s="107">
        <v>350</v>
      </c>
      <c r="H176" s="109">
        <v>32</v>
      </c>
      <c r="I176" s="111">
        <f>ROUNDDOWN(($B176-2*$C176-2*$E176/10-$H176/10)/(($D$1+1)*$H176/10),0)+1</f>
        <v>16</v>
      </c>
      <c r="J176" s="58">
        <v>16</v>
      </c>
      <c r="K176" s="40" t="s">
        <v>30</v>
      </c>
      <c r="L176" s="56" t="str">
        <f>IF($J176=L$3,IF(L$3&gt;$I176,"-",ROUNDUP(Ld_cal($B176, $C176, $D176, $G176,$E176, $F176, $H176, L$3)*1.3*1.3,0)),"-")</f>
        <v>-</v>
      </c>
      <c r="M176" s="56" t="str">
        <f>IF($J176=M$3,IF(M$3&gt;$I176,"-",ROUNDUP(Ld_cal($B176, $C176, $D176, $G176,$E176, $F176, $H176, M$3)*1.3*1.3,0)),"-")</f>
        <v>-</v>
      </c>
      <c r="N176" s="56" t="str">
        <f>IF($J176=N$3,IF(N$3&gt;$I176,"-",ROUNDUP(Ld_cal($B176, $C176, $D176, $G176,$E176, $F176, $H176, N$3)*1.3*1.3,0)),"-")</f>
        <v>-</v>
      </c>
      <c r="O176" s="56" t="str">
        <f>IF($J176=O$3,IF(O$3&gt;$I176,"-",ROUNDUP(Ld_cal($B176, $C176, $D176, $G176,$E176, $F176, $H176, O$3)*1.3*1.3,0)),"-")</f>
        <v>-</v>
      </c>
      <c r="P176" s="56" t="str">
        <f>IF($J176=P$3,IF(P$3&gt;$I176,"-",ROUNDUP(Ld_cal($B176, $C176, $D176, $G176,$E176, $F176, $H176, P$3)*1.3*1.3,0)),"-")</f>
        <v>-</v>
      </c>
      <c r="Q176" s="56" t="str">
        <f>IF($J176=Q$3,IF(Q$3&gt;$I176,"-",ROUNDUP(Ld_cal($B176, $C176, $D176, $G176,$E176, $F176, $H176, Q$3)*1.3*1.3,0)),"-")</f>
        <v>-</v>
      </c>
      <c r="R176" s="56" t="str">
        <f>IF($J176=R$3,IF(R$3&gt;$I176,"-",ROUNDUP(Ld_cal($B176, $C176, $D176, $G176,$E176, $F176, $H176, R$3)*1.3*1.3,0)),"-")</f>
        <v>-</v>
      </c>
      <c r="S176" s="56" t="str">
        <f>IF($J176=S$3,IF(S$3&gt;$I176,"-",ROUNDUP(Ld_cal($B176, $C176, $D176, $G176,$E176, $F176, $H176, S$3)*1.3*1.3,0)),"-")</f>
        <v>-</v>
      </c>
      <c r="T176" s="56" t="str">
        <f>IF($J176=T$3,IF(T$3&gt;$I176,"-",ROUNDUP(Ld_cal($B176, $C176, $D176, $G176,$E176, $F176, $H176, T$3)*1.3*1.3,0)),"-")</f>
        <v>-</v>
      </c>
      <c r="U176" s="56" t="str">
        <f>IF($J176=U$3,IF(U$3&gt;$I176,"-",ROUNDUP(Ld_cal($B176, $C176, $D176, $G176,$E176, $F176, $H176, U$3)*1.3*1.3,0)),"-")</f>
        <v>-</v>
      </c>
      <c r="V176" s="56" t="str">
        <f>IF($J176=V$3,IF(V$3&gt;$I176,"-",ROUNDUP(Ld_cal($B176, $C176, $D176, $G176,$E176, $F176, $H176, V$3)*1.3*1.3,0)),"-")</f>
        <v>-</v>
      </c>
      <c r="W176" s="56" t="str">
        <f>IF($J176=W$3,IF(W$3&gt;$I176,"-",ROUNDUP(Ld_cal($B176, $C176, $D176, $G176,$E176, $F176, $H176, W$3)*1.3*1.3,0)),"-")</f>
        <v>-</v>
      </c>
      <c r="X176" s="56" t="str">
        <f>IF($J176=X$3,IF(X$3&gt;$I176,"-",ROUNDUP(Ld_cal($B176, $C176, $D176, $G176,$E176, $F176, $H176, X$3)*1.3*1.3,0)),"-")</f>
        <v>-</v>
      </c>
      <c r="Y176" s="56">
        <f>IF($J176=Y$3,IF(Y$3&gt;$I176,"-",ROUNDUP(Ld_cal($B176, $C176, $D176, $G176,$E176, $F176, $H176, Y$3)*1.3*1.3,0)),"-")</f>
        <v>248</v>
      </c>
      <c r="Z176" s="56" t="str">
        <f>IF($J176=Z$3,IF(Z$3&gt;$I176,"-",ROUNDUP(Ld_cal($B176, $C176, $D176, $G176,$E176, $F176, $H176, Z$3)*1.3*1.3,0)),"-")</f>
        <v>-</v>
      </c>
      <c r="AA176" s="56" t="str">
        <f>IF($J176=AA$3,IF(AA$3&gt;$I176,"-",ROUNDUP(Ld_cal($B176, $C176, $D176, $G176,$E176, $F176, $H176, AA$3)*1.3*1.3,0)),"-")</f>
        <v>-</v>
      </c>
      <c r="AB176" s="56" t="str">
        <f>IF($J176=AB$3,IF(AB$3&gt;$I176,"-",ROUNDUP(Ld_cal($B176, $C176, $D176, $G176,$E176, $F176, $H176, AB$3)*1.3*1.3,0)),"-")</f>
        <v>-</v>
      </c>
      <c r="AC176" s="56" t="str">
        <f>IF($J176=AC$3,IF(AC$3&gt;$I176,"-",ROUNDUP(Ld_cal($B176, $C176, $D176, $G176,$E176, $F176, $H176, AC$3)*1.3*1.3,0)),"-")</f>
        <v>-</v>
      </c>
      <c r="AD176" s="56">
        <f t="shared" ref="AD176" si="170">IF(J176&gt;I176,"依標準圖",MAX(L176:AC176))</f>
        <v>248</v>
      </c>
    </row>
    <row r="177" spans="1:30">
      <c r="A177" s="106"/>
      <c r="B177" s="107"/>
      <c r="C177" s="108"/>
      <c r="D177" s="107"/>
      <c r="E177" s="109"/>
      <c r="F177" s="110"/>
      <c r="G177" s="107"/>
      <c r="H177" s="109"/>
      <c r="I177" s="111"/>
      <c r="J177" s="58">
        <v>11</v>
      </c>
      <c r="K177" s="40" t="s">
        <v>29</v>
      </c>
      <c r="L177" s="56" t="str">
        <f>IF($J177=L$3,IF(L$3&gt;$I176,"-",ROUNDUP(Ld_cal($B176, $C176, $D176, $G176,$E176, $F176, $H176, L$3)*1.3,0)),"-")</f>
        <v>-</v>
      </c>
      <c r="M177" s="56" t="str">
        <f>IF($J177=M$3,IF(M$3&gt;$I176,"-",ROUNDUP(Ld_cal($B176, $C176, $D176, $G176,$E176, $F176, $H176, M$3)*1.3,0)),"-")</f>
        <v>-</v>
      </c>
      <c r="N177" s="56" t="str">
        <f>IF($J177=N$3,IF(N$3&gt;$I176,"-",ROUNDUP(Ld_cal($B176, $C176, $D176, $G176,$E176, $F176, $H176, N$3)*1.3,0)),"-")</f>
        <v>-</v>
      </c>
      <c r="O177" s="56" t="str">
        <f>IF($J177=O$3,IF(O$3&gt;$I176,"-",ROUNDUP(Ld_cal($B176, $C176, $D176, $G176,$E176, $F176, $H176, O$3)*1.3,0)),"-")</f>
        <v>-</v>
      </c>
      <c r="P177" s="56" t="str">
        <f>IF($J177=P$3,IF(P$3&gt;$I176,"-",ROUNDUP(Ld_cal($B176, $C176, $D176, $G176,$E176, $F176, $H176, P$3)*1.3,0)),"-")</f>
        <v>-</v>
      </c>
      <c r="Q177" s="56" t="str">
        <f>IF($J177=Q$3,IF(Q$3&gt;$I176,"-",ROUNDUP(Ld_cal($B176, $C176, $D176, $G176,$E176, $F176, $H176, Q$3)*1.3,0)),"-")</f>
        <v>-</v>
      </c>
      <c r="R177" s="56" t="str">
        <f>IF($J177=R$3,IF(R$3&gt;$I176,"-",ROUNDUP(Ld_cal($B176, $C176, $D176, $G176,$E176, $F176, $H176, R$3)*1.3,0)),"-")</f>
        <v>-</v>
      </c>
      <c r="S177" s="56" t="str">
        <f>IF($J177=S$3,IF(S$3&gt;$I176,"-",ROUNDUP(Ld_cal($B176, $C176, $D176, $G176,$E176, $F176, $H176, S$3)*1.3,0)),"-")</f>
        <v>-</v>
      </c>
      <c r="T177" s="56">
        <f>IF($J177=T$3,IF(T$3&gt;$I176,"-",ROUNDUP(Ld_cal($B176, $C176, $D176, $G176,$E176, $F176, $H176, T$3)*1.3,0)),"-")</f>
        <v>128</v>
      </c>
      <c r="U177" s="56" t="str">
        <f>IF($J177=U$3,IF(U$3&gt;$I176,"-",ROUNDUP(Ld_cal($B176, $C176, $D176, $G176,$E176, $F176, $H176, U$3)*1.3,0)),"-")</f>
        <v>-</v>
      </c>
      <c r="V177" s="56" t="str">
        <f>IF($J177=V$3,IF(V$3&gt;$I176,"-",ROUNDUP(Ld_cal($B176, $C176, $D176, $G176,$E176, $F176, $H176, V$3)*1.3,0)),"-")</f>
        <v>-</v>
      </c>
      <c r="W177" s="56" t="str">
        <f>IF($J177=W$3,IF(W$3&gt;$I176,"-",ROUNDUP(Ld_cal($B176, $C176, $D176, $G176,$E176, $F176, $H176, W$3)*1.3,0)),"-")</f>
        <v>-</v>
      </c>
      <c r="X177" s="56" t="str">
        <f>IF($J177=X$3,IF(X$3&gt;$I176,"-",ROUNDUP(Ld_cal($B176, $C176, $D176, $G176,$E176, $F176, $H176, X$3)*1.3,0)),"-")</f>
        <v>-</v>
      </c>
      <c r="Y177" s="56" t="str">
        <f>IF($J177=Y$3,IF(Y$3&gt;$I176,"-",ROUNDUP(Ld_cal($B176, $C176, $D176, $G176,$E176, $F176, $H176, Y$3)*1.3,0)),"-")</f>
        <v>-</v>
      </c>
      <c r="Z177" s="56" t="str">
        <f>IF($J177=Z$3,IF(Z$3&gt;$I176,"-",ROUNDUP(Ld_cal($B176, $C176, $D176, $G176,$E176, $F176, $H176, Z$3)*1.3,0)),"-")</f>
        <v>-</v>
      </c>
      <c r="AA177" s="56" t="str">
        <f>IF($J177=AA$3,IF(AA$3&gt;$I176,"-",ROUNDUP(Ld_cal($B176, $C176, $D176, $G176,$E176, $F176, $H176, AA$3)*1.3,0)),"-")</f>
        <v>-</v>
      </c>
      <c r="AB177" s="56" t="str">
        <f>IF($J177=AB$3,IF(AB$3&gt;$I176,"-",ROUNDUP(Ld_cal($B176, $C176, $D176, $G176,$E176, $F176, $H176, AB$3)*1.3,0)),"-")</f>
        <v>-</v>
      </c>
      <c r="AC177" s="56" t="str">
        <f>IF($J177=AC$3,IF(AC$3&gt;$I176,"-",ROUNDUP(Ld_cal($B176, $C176, $D176, $G176,$E176, $F176, $H176, AC$3)*1.3,0)),"-")</f>
        <v>-</v>
      </c>
      <c r="AD177" s="56">
        <f t="shared" ref="AD177" si="171">IF(J177&gt;I176,"依標準圖",MAX(L177:AC177))</f>
        <v>128</v>
      </c>
    </row>
    <row r="178" spans="1:30">
      <c r="A178" s="97" t="s">
        <v>134</v>
      </c>
      <c r="B178" s="99">
        <v>120</v>
      </c>
      <c r="C178" s="100">
        <v>7.5</v>
      </c>
      <c r="D178" s="101">
        <v>4200</v>
      </c>
      <c r="E178" s="102">
        <v>16</v>
      </c>
      <c r="F178" s="103">
        <v>9</v>
      </c>
      <c r="G178" s="101">
        <v>350</v>
      </c>
      <c r="H178" s="102">
        <v>32</v>
      </c>
      <c r="I178" s="104">
        <f>ROUNDDOWN(($B178-2*$C178-2*$E178/10-$H178/10)/(($D$1+1)*$H178/10),0)+1</f>
        <v>16</v>
      </c>
      <c r="J178" s="57">
        <v>16</v>
      </c>
      <c r="K178" s="59" t="s">
        <v>30</v>
      </c>
      <c r="L178" s="55" t="str">
        <f>IF($J178=L$3,IF(L$3&gt;$I178,"-",ROUNDUP(Ld_cal($B178, $C178, $D178, $G178,$E178, $F178, $H178, L$3)*1.3*1.3,0)),"-")</f>
        <v>-</v>
      </c>
      <c r="M178" s="55" t="str">
        <f>IF($J178=M$3,IF(M$3&gt;$I178,"-",ROUNDUP(Ld_cal($B178, $C178, $D178, $G178,$E178, $F178, $H178, M$3)*1.3*1.3,0)),"-")</f>
        <v>-</v>
      </c>
      <c r="N178" s="55" t="str">
        <f>IF($J178=N$3,IF(N$3&gt;$I178,"-",ROUNDUP(Ld_cal($B178, $C178, $D178, $G178,$E178, $F178, $H178, N$3)*1.3*1.3,0)),"-")</f>
        <v>-</v>
      </c>
      <c r="O178" s="55" t="str">
        <f>IF($J178=O$3,IF(O$3&gt;$I178,"-",ROUNDUP(Ld_cal($B178, $C178, $D178, $G178,$E178, $F178, $H178, O$3)*1.3*1.3,0)),"-")</f>
        <v>-</v>
      </c>
      <c r="P178" s="55" t="str">
        <f>IF($J178=P$3,IF(P$3&gt;$I178,"-",ROUNDUP(Ld_cal($B178, $C178, $D178, $G178,$E178, $F178, $H178, P$3)*1.3*1.3,0)),"-")</f>
        <v>-</v>
      </c>
      <c r="Q178" s="55" t="str">
        <f>IF($J178=Q$3,IF(Q$3&gt;$I178,"-",ROUNDUP(Ld_cal($B178, $C178, $D178, $G178,$E178, $F178, $H178, Q$3)*1.3*1.3,0)),"-")</f>
        <v>-</v>
      </c>
      <c r="R178" s="55" t="str">
        <f>IF($J178=R$3,IF(R$3&gt;$I178,"-",ROUNDUP(Ld_cal($B178, $C178, $D178, $G178,$E178, $F178, $H178, R$3)*1.3*1.3,0)),"-")</f>
        <v>-</v>
      </c>
      <c r="S178" s="55" t="str">
        <f>IF($J178=S$3,IF(S$3&gt;$I178,"-",ROUNDUP(Ld_cal($B178, $C178, $D178, $G178,$E178, $F178, $H178, S$3)*1.3*1.3,0)),"-")</f>
        <v>-</v>
      </c>
      <c r="T178" s="55" t="str">
        <f>IF($J178=T$3,IF(T$3&gt;$I178,"-",ROUNDUP(Ld_cal($B178, $C178, $D178, $G178,$E178, $F178, $H178, T$3)*1.3*1.3,0)),"-")</f>
        <v>-</v>
      </c>
      <c r="U178" s="55" t="str">
        <f>IF($J178=U$3,IF(U$3&gt;$I178,"-",ROUNDUP(Ld_cal($B178, $C178, $D178, $G178,$E178, $F178, $H178, U$3)*1.3*1.3,0)),"-")</f>
        <v>-</v>
      </c>
      <c r="V178" s="55" t="str">
        <f>IF($J178=V$3,IF(V$3&gt;$I178,"-",ROUNDUP(Ld_cal($B178, $C178, $D178, $G178,$E178, $F178, $H178, V$3)*1.3*1.3,0)),"-")</f>
        <v>-</v>
      </c>
      <c r="W178" s="55" t="str">
        <f>IF($J178=W$3,IF(W$3&gt;$I178,"-",ROUNDUP(Ld_cal($B178, $C178, $D178, $G178,$E178, $F178, $H178, W$3)*1.3*1.3,0)),"-")</f>
        <v>-</v>
      </c>
      <c r="X178" s="55" t="str">
        <f>IF($J178=X$3,IF(X$3&gt;$I178,"-",ROUNDUP(Ld_cal($B178, $C178, $D178, $G178,$E178, $F178, $H178, X$3)*1.3*1.3,0)),"-")</f>
        <v>-</v>
      </c>
      <c r="Y178" s="55">
        <f>IF($J178=Y$3,IF(Y$3&gt;$I178,"-",ROUNDUP(Ld_cal($B178, $C178, $D178, $G178,$E178, $F178, $H178, Y$3)*1.3*1.3,0)),"-")</f>
        <v>248</v>
      </c>
      <c r="Z178" s="55" t="str">
        <f>IF($J178=Z$3,IF(Z$3&gt;$I178,"-",ROUNDUP(Ld_cal($B178, $C178, $D178, $G178,$E178, $F178, $H178, Z$3)*1.3*1.3,0)),"-")</f>
        <v>-</v>
      </c>
      <c r="AA178" s="55" t="str">
        <f>IF($J178=AA$3,IF(AA$3&gt;$I178,"-",ROUNDUP(Ld_cal($B178, $C178, $D178, $G178,$E178, $F178, $H178, AA$3)*1.3*1.3,0)),"-")</f>
        <v>-</v>
      </c>
      <c r="AB178" s="55" t="str">
        <f>IF($J178=AB$3,IF(AB$3&gt;$I178,"-",ROUNDUP(Ld_cal($B178, $C178, $D178, $G178,$E178, $F178, $H178, AB$3)*1.3*1.3,0)),"-")</f>
        <v>-</v>
      </c>
      <c r="AC178" s="55" t="str">
        <f>IF($J178=AC$3,IF(AC$3&gt;$I178,"-",ROUNDUP(Ld_cal($B178, $C178, $D178, $G178,$E178, $F178, $H178, AC$3)*1.3*1.3,0)),"-")</f>
        <v>-</v>
      </c>
      <c r="AD178" s="55">
        <f t="shared" ref="AD178" si="172">IF(J178&gt;I178,"依標準圖",MAX(L178:AC178))</f>
        <v>248</v>
      </c>
    </row>
    <row r="179" spans="1:30">
      <c r="A179" s="98"/>
      <c r="B179" s="99"/>
      <c r="C179" s="100"/>
      <c r="D179" s="101"/>
      <c r="E179" s="102"/>
      <c r="F179" s="103"/>
      <c r="G179" s="101"/>
      <c r="H179" s="102"/>
      <c r="I179" s="104"/>
      <c r="J179" s="57">
        <v>16</v>
      </c>
      <c r="K179" s="59" t="s">
        <v>29</v>
      </c>
      <c r="L179" s="55" t="str">
        <f>IF($J179=L$3,IF(L$3&gt;$I178,"-",ROUNDUP(Ld_cal($B178, $C178, $D178, $G178,$E178, $F178, $H178, L$3)*1.3,0)),"-")</f>
        <v>-</v>
      </c>
      <c r="M179" s="55" t="str">
        <f>IF($J179=M$3,IF(M$3&gt;$I178,"-",ROUNDUP(Ld_cal($B178, $C178, $D178, $G178,$E178, $F178, $H178, M$3)*1.3,0)),"-")</f>
        <v>-</v>
      </c>
      <c r="N179" s="55" t="str">
        <f>IF($J179=N$3,IF(N$3&gt;$I178,"-",ROUNDUP(Ld_cal($B178, $C178, $D178, $G178,$E178, $F178, $H178, N$3)*1.3,0)),"-")</f>
        <v>-</v>
      </c>
      <c r="O179" s="55" t="str">
        <f>IF($J179=O$3,IF(O$3&gt;$I178,"-",ROUNDUP(Ld_cal($B178, $C178, $D178, $G178,$E178, $F178, $H178, O$3)*1.3,0)),"-")</f>
        <v>-</v>
      </c>
      <c r="P179" s="55" t="str">
        <f>IF($J179=P$3,IF(P$3&gt;$I178,"-",ROUNDUP(Ld_cal($B178, $C178, $D178, $G178,$E178, $F178, $H178, P$3)*1.3,0)),"-")</f>
        <v>-</v>
      </c>
      <c r="Q179" s="55" t="str">
        <f>IF($J179=Q$3,IF(Q$3&gt;$I178,"-",ROUNDUP(Ld_cal($B178, $C178, $D178, $G178,$E178, $F178, $H178, Q$3)*1.3,0)),"-")</f>
        <v>-</v>
      </c>
      <c r="R179" s="55" t="str">
        <f>IF($J179=R$3,IF(R$3&gt;$I178,"-",ROUNDUP(Ld_cal($B178, $C178, $D178, $G178,$E178, $F178, $H178, R$3)*1.3,0)),"-")</f>
        <v>-</v>
      </c>
      <c r="S179" s="55" t="str">
        <f>IF($J179=S$3,IF(S$3&gt;$I178,"-",ROUNDUP(Ld_cal($B178, $C178, $D178, $G178,$E178, $F178, $H178, S$3)*1.3,0)),"-")</f>
        <v>-</v>
      </c>
      <c r="T179" s="55" t="str">
        <f>IF($J179=T$3,IF(T$3&gt;$I178,"-",ROUNDUP(Ld_cal($B178, $C178, $D178, $G178,$E178, $F178, $H178, T$3)*1.3,0)),"-")</f>
        <v>-</v>
      </c>
      <c r="U179" s="55" t="str">
        <f>IF($J179=U$3,IF(U$3&gt;$I178,"-",ROUNDUP(Ld_cal($B178, $C178, $D178, $G178,$E178, $F178, $H178, U$3)*1.3,0)),"-")</f>
        <v>-</v>
      </c>
      <c r="V179" s="55" t="str">
        <f>IF($J179=V$3,IF(V$3&gt;$I178,"-",ROUNDUP(Ld_cal($B178, $C178, $D178, $G178,$E178, $F178, $H178, V$3)*1.3,0)),"-")</f>
        <v>-</v>
      </c>
      <c r="W179" s="55" t="str">
        <f>IF($J179=W$3,IF(W$3&gt;$I178,"-",ROUNDUP(Ld_cal($B178, $C178, $D178, $G178,$E178, $F178, $H178, W$3)*1.3,0)),"-")</f>
        <v>-</v>
      </c>
      <c r="X179" s="55" t="str">
        <f>IF($J179=X$3,IF(X$3&gt;$I178,"-",ROUNDUP(Ld_cal($B178, $C178, $D178, $G178,$E178, $F178, $H178, X$3)*1.3,0)),"-")</f>
        <v>-</v>
      </c>
      <c r="Y179" s="55">
        <f>IF($J179=Y$3,IF(Y$3&gt;$I178,"-",ROUNDUP(Ld_cal($B178, $C178, $D178, $G178,$E178, $F178, $H178, Y$3)*1.3,0)),"-")</f>
        <v>191</v>
      </c>
      <c r="Z179" s="55" t="str">
        <f>IF($J179=Z$3,IF(Z$3&gt;$I178,"-",ROUNDUP(Ld_cal($B178, $C178, $D178, $G178,$E178, $F178, $H178, Z$3)*1.3,0)),"-")</f>
        <v>-</v>
      </c>
      <c r="AA179" s="55" t="str">
        <f>IF($J179=AA$3,IF(AA$3&gt;$I178,"-",ROUNDUP(Ld_cal($B178, $C178, $D178, $G178,$E178, $F178, $H178, AA$3)*1.3,0)),"-")</f>
        <v>-</v>
      </c>
      <c r="AB179" s="55" t="str">
        <f>IF($J179=AB$3,IF(AB$3&gt;$I178,"-",ROUNDUP(Ld_cal($B178, $C178, $D178, $G178,$E178, $F178, $H178, AB$3)*1.3,0)),"-")</f>
        <v>-</v>
      </c>
      <c r="AC179" s="55" t="str">
        <f>IF($J179=AC$3,IF(AC$3&gt;$I178,"-",ROUNDUP(Ld_cal($B178, $C178, $D178, $G178,$E178, $F178, $H178, AC$3)*1.3,0)),"-")</f>
        <v>-</v>
      </c>
      <c r="AD179" s="55">
        <f t="shared" ref="AD179" si="173">IF(J179&gt;I178,"依標準圖",MAX(L179:AC179))</f>
        <v>191</v>
      </c>
    </row>
    <row r="180" spans="1:30">
      <c r="A180" s="105" t="s">
        <v>135</v>
      </c>
      <c r="B180" s="107">
        <v>120</v>
      </c>
      <c r="C180" s="108">
        <v>7.5</v>
      </c>
      <c r="D180" s="107">
        <v>4200</v>
      </c>
      <c r="E180" s="109">
        <v>16</v>
      </c>
      <c r="F180" s="110">
        <v>14</v>
      </c>
      <c r="G180" s="107">
        <v>350</v>
      </c>
      <c r="H180" s="109">
        <v>32</v>
      </c>
      <c r="I180" s="111">
        <f>ROUNDDOWN(($B180-2*$C180-2*$E180/10-$H180/10)/(($D$1+1)*$H180/10),0)+1</f>
        <v>16</v>
      </c>
      <c r="J180" s="58">
        <v>10</v>
      </c>
      <c r="K180" s="40" t="s">
        <v>30</v>
      </c>
      <c r="L180" s="56" t="str">
        <f>IF($J180=L$3,IF(L$3&gt;$I180,"-",ROUNDUP(Ld_cal($B180, $C180, $D180, $G180,$E180, $F180, $H180, L$3)*1.3*1.3,0)),"-")</f>
        <v>-</v>
      </c>
      <c r="M180" s="56" t="str">
        <f>IF($J180=M$3,IF(M$3&gt;$I180,"-",ROUNDUP(Ld_cal($B180, $C180, $D180, $G180,$E180, $F180, $H180, M$3)*1.3*1.3,0)),"-")</f>
        <v>-</v>
      </c>
      <c r="N180" s="56" t="str">
        <f>IF($J180=N$3,IF(N$3&gt;$I180,"-",ROUNDUP(Ld_cal($B180, $C180, $D180, $G180,$E180, $F180, $H180, N$3)*1.3*1.3,0)),"-")</f>
        <v>-</v>
      </c>
      <c r="O180" s="56" t="str">
        <f>IF($J180=O$3,IF(O$3&gt;$I180,"-",ROUNDUP(Ld_cal($B180, $C180, $D180, $G180,$E180, $F180, $H180, O$3)*1.3*1.3,0)),"-")</f>
        <v>-</v>
      </c>
      <c r="P180" s="56" t="str">
        <f>IF($J180=P$3,IF(P$3&gt;$I180,"-",ROUNDUP(Ld_cal($B180, $C180, $D180, $G180,$E180, $F180, $H180, P$3)*1.3*1.3,0)),"-")</f>
        <v>-</v>
      </c>
      <c r="Q180" s="56" t="str">
        <f>IF($J180=Q$3,IF(Q$3&gt;$I180,"-",ROUNDUP(Ld_cal($B180, $C180, $D180, $G180,$E180, $F180, $H180, Q$3)*1.3*1.3,0)),"-")</f>
        <v>-</v>
      </c>
      <c r="R180" s="56" t="str">
        <f>IF($J180=R$3,IF(R$3&gt;$I180,"-",ROUNDUP(Ld_cal($B180, $C180, $D180, $G180,$E180, $F180, $H180, R$3)*1.3*1.3,0)),"-")</f>
        <v>-</v>
      </c>
      <c r="S180" s="56">
        <f>IF($J180=S$3,IF(S$3&gt;$I180,"-",ROUNDUP(Ld_cal($B180, $C180, $D180, $G180,$E180, $F180, $H180, S$3)*1.3*1.3,0)),"-")</f>
        <v>165</v>
      </c>
      <c r="T180" s="56" t="str">
        <f>IF($J180=T$3,IF(T$3&gt;$I180,"-",ROUNDUP(Ld_cal($B180, $C180, $D180, $G180,$E180, $F180, $H180, T$3)*1.3*1.3,0)),"-")</f>
        <v>-</v>
      </c>
      <c r="U180" s="56" t="str">
        <f>IF($J180=U$3,IF(U$3&gt;$I180,"-",ROUNDUP(Ld_cal($B180, $C180, $D180, $G180,$E180, $F180, $H180, U$3)*1.3*1.3,0)),"-")</f>
        <v>-</v>
      </c>
      <c r="V180" s="56" t="str">
        <f>IF($J180=V$3,IF(V$3&gt;$I180,"-",ROUNDUP(Ld_cal($B180, $C180, $D180, $G180,$E180, $F180, $H180, V$3)*1.3*1.3,0)),"-")</f>
        <v>-</v>
      </c>
      <c r="W180" s="56" t="str">
        <f>IF($J180=W$3,IF(W$3&gt;$I180,"-",ROUNDUP(Ld_cal($B180, $C180, $D180, $G180,$E180, $F180, $H180, W$3)*1.3*1.3,0)),"-")</f>
        <v>-</v>
      </c>
      <c r="X180" s="56" t="str">
        <f>IF($J180=X$3,IF(X$3&gt;$I180,"-",ROUNDUP(Ld_cal($B180, $C180, $D180, $G180,$E180, $F180, $H180, X$3)*1.3*1.3,0)),"-")</f>
        <v>-</v>
      </c>
      <c r="Y180" s="56" t="str">
        <f>IF($J180=Y$3,IF(Y$3&gt;$I180,"-",ROUNDUP(Ld_cal($B180, $C180, $D180, $G180,$E180, $F180, $H180, Y$3)*1.3*1.3,0)),"-")</f>
        <v>-</v>
      </c>
      <c r="Z180" s="56" t="str">
        <f>IF($J180=Z$3,IF(Z$3&gt;$I180,"-",ROUNDUP(Ld_cal($B180, $C180, $D180, $G180,$E180, $F180, $H180, Z$3)*1.3*1.3,0)),"-")</f>
        <v>-</v>
      </c>
      <c r="AA180" s="56" t="str">
        <f>IF($J180=AA$3,IF(AA$3&gt;$I180,"-",ROUNDUP(Ld_cal($B180, $C180, $D180, $G180,$E180, $F180, $H180, AA$3)*1.3*1.3,0)),"-")</f>
        <v>-</v>
      </c>
      <c r="AB180" s="56" t="str">
        <f>IF($J180=AB$3,IF(AB$3&gt;$I180,"-",ROUNDUP(Ld_cal($B180, $C180, $D180, $G180,$E180, $F180, $H180, AB$3)*1.3*1.3,0)),"-")</f>
        <v>-</v>
      </c>
      <c r="AC180" s="56" t="str">
        <f>IF($J180=AC$3,IF(AC$3&gt;$I180,"-",ROUNDUP(Ld_cal($B180, $C180, $D180, $G180,$E180, $F180, $H180, AC$3)*1.3*1.3,0)),"-")</f>
        <v>-</v>
      </c>
      <c r="AD180" s="56">
        <f t="shared" ref="AD180" si="174">IF(J180&gt;I180,"依標準圖",MAX(L180:AC180))</f>
        <v>165</v>
      </c>
    </row>
    <row r="181" spans="1:30">
      <c r="A181" s="106"/>
      <c r="B181" s="107"/>
      <c r="C181" s="108"/>
      <c r="D181" s="107"/>
      <c r="E181" s="109"/>
      <c r="F181" s="110"/>
      <c r="G181" s="107"/>
      <c r="H181" s="109"/>
      <c r="I181" s="111"/>
      <c r="J181" s="58">
        <v>12</v>
      </c>
      <c r="K181" s="40" t="s">
        <v>29</v>
      </c>
      <c r="L181" s="56" t="str">
        <f>IF($J181=L$3,IF(L$3&gt;$I180,"-",ROUNDUP(Ld_cal($B180, $C180, $D180, $G180,$E180, $F180, $H180, L$3)*1.3,0)),"-")</f>
        <v>-</v>
      </c>
      <c r="M181" s="56" t="str">
        <f>IF($J181=M$3,IF(M$3&gt;$I180,"-",ROUNDUP(Ld_cal($B180, $C180, $D180, $G180,$E180, $F180, $H180, M$3)*1.3,0)),"-")</f>
        <v>-</v>
      </c>
      <c r="N181" s="56" t="str">
        <f>IF($J181=N$3,IF(N$3&gt;$I180,"-",ROUNDUP(Ld_cal($B180, $C180, $D180, $G180,$E180, $F180, $H180, N$3)*1.3,0)),"-")</f>
        <v>-</v>
      </c>
      <c r="O181" s="56" t="str">
        <f>IF($J181=O$3,IF(O$3&gt;$I180,"-",ROUNDUP(Ld_cal($B180, $C180, $D180, $G180,$E180, $F180, $H180, O$3)*1.3,0)),"-")</f>
        <v>-</v>
      </c>
      <c r="P181" s="56" t="str">
        <f>IF($J181=P$3,IF(P$3&gt;$I180,"-",ROUNDUP(Ld_cal($B180, $C180, $D180, $G180,$E180, $F180, $H180, P$3)*1.3,0)),"-")</f>
        <v>-</v>
      </c>
      <c r="Q181" s="56" t="str">
        <f>IF($J181=Q$3,IF(Q$3&gt;$I180,"-",ROUNDUP(Ld_cal($B180, $C180, $D180, $G180,$E180, $F180, $H180, Q$3)*1.3,0)),"-")</f>
        <v>-</v>
      </c>
      <c r="R181" s="56" t="str">
        <f>IF($J181=R$3,IF(R$3&gt;$I180,"-",ROUNDUP(Ld_cal($B180, $C180, $D180, $G180,$E180, $F180, $H180, R$3)*1.3,0)),"-")</f>
        <v>-</v>
      </c>
      <c r="S181" s="56" t="str">
        <f>IF($J181=S$3,IF(S$3&gt;$I180,"-",ROUNDUP(Ld_cal($B180, $C180, $D180, $G180,$E180, $F180, $H180, S$3)*1.3,0)),"-")</f>
        <v>-</v>
      </c>
      <c r="T181" s="56" t="str">
        <f>IF($J181=T$3,IF(T$3&gt;$I180,"-",ROUNDUP(Ld_cal($B180, $C180, $D180, $G180,$E180, $F180, $H180, T$3)*1.3,0)),"-")</f>
        <v>-</v>
      </c>
      <c r="U181" s="56">
        <f>IF($J181=U$3,IF(U$3&gt;$I180,"-",ROUNDUP(Ld_cal($B180, $C180, $D180, $G180,$E180, $F180, $H180, U$3)*1.3,0)),"-")</f>
        <v>154</v>
      </c>
      <c r="V181" s="56" t="str">
        <f>IF($J181=V$3,IF(V$3&gt;$I180,"-",ROUNDUP(Ld_cal($B180, $C180, $D180, $G180,$E180, $F180, $H180, V$3)*1.3,0)),"-")</f>
        <v>-</v>
      </c>
      <c r="W181" s="56" t="str">
        <f>IF($J181=W$3,IF(W$3&gt;$I180,"-",ROUNDUP(Ld_cal($B180, $C180, $D180, $G180,$E180, $F180, $H180, W$3)*1.3,0)),"-")</f>
        <v>-</v>
      </c>
      <c r="X181" s="56" t="str">
        <f>IF($J181=X$3,IF(X$3&gt;$I180,"-",ROUNDUP(Ld_cal($B180, $C180, $D180, $G180,$E180, $F180, $H180, X$3)*1.3,0)),"-")</f>
        <v>-</v>
      </c>
      <c r="Y181" s="56" t="str">
        <f>IF($J181=Y$3,IF(Y$3&gt;$I180,"-",ROUNDUP(Ld_cal($B180, $C180, $D180, $G180,$E180, $F180, $H180, Y$3)*1.3,0)),"-")</f>
        <v>-</v>
      </c>
      <c r="Z181" s="56" t="str">
        <f>IF($J181=Z$3,IF(Z$3&gt;$I180,"-",ROUNDUP(Ld_cal($B180, $C180, $D180, $G180,$E180, $F180, $H180, Z$3)*1.3,0)),"-")</f>
        <v>-</v>
      </c>
      <c r="AA181" s="56" t="str">
        <f>IF($J181=AA$3,IF(AA$3&gt;$I180,"-",ROUNDUP(Ld_cal($B180, $C180, $D180, $G180,$E180, $F180, $H180, AA$3)*1.3,0)),"-")</f>
        <v>-</v>
      </c>
      <c r="AB181" s="56" t="str">
        <f>IF($J181=AB$3,IF(AB$3&gt;$I180,"-",ROUNDUP(Ld_cal($B180, $C180, $D180, $G180,$E180, $F180, $H180, AB$3)*1.3,0)),"-")</f>
        <v>-</v>
      </c>
      <c r="AC181" s="56" t="str">
        <f>IF($J181=AC$3,IF(AC$3&gt;$I180,"-",ROUNDUP(Ld_cal($B180, $C180, $D180, $G180,$E180, $F180, $H180, AC$3)*1.3,0)),"-")</f>
        <v>-</v>
      </c>
      <c r="AD181" s="56">
        <f t="shared" ref="AD181" si="175">IF(J181&gt;I180,"依標準圖",MAX(L181:AC181))</f>
        <v>154</v>
      </c>
    </row>
    <row r="182" spans="1:30">
      <c r="A182" s="97" t="s">
        <v>136</v>
      </c>
      <c r="B182" s="99">
        <v>120</v>
      </c>
      <c r="C182" s="100">
        <v>7.5</v>
      </c>
      <c r="D182" s="101">
        <v>4200</v>
      </c>
      <c r="E182" s="102">
        <v>16</v>
      </c>
      <c r="F182" s="103">
        <v>10</v>
      </c>
      <c r="G182" s="101">
        <v>350</v>
      </c>
      <c r="H182" s="102">
        <v>32</v>
      </c>
      <c r="I182" s="104">
        <f>ROUNDDOWN(($B182-2*$C182-2*$E182/10-$H182/10)/(($D$1+1)*$H182/10),0)+1</f>
        <v>16</v>
      </c>
      <c r="J182" s="57">
        <v>16</v>
      </c>
      <c r="K182" s="59" t="s">
        <v>30</v>
      </c>
      <c r="L182" s="55" t="str">
        <f>IF($J182=L$3,IF(L$3&gt;$I182,"-",ROUNDUP(Ld_cal($B182, $C182, $D182, $G182,$E182, $F182, $H182, L$3)*1.3*1.3,0)),"-")</f>
        <v>-</v>
      </c>
      <c r="M182" s="55" t="str">
        <f>IF($J182=M$3,IF(M$3&gt;$I182,"-",ROUNDUP(Ld_cal($B182, $C182, $D182, $G182,$E182, $F182, $H182, M$3)*1.3*1.3,0)),"-")</f>
        <v>-</v>
      </c>
      <c r="N182" s="55" t="str">
        <f>IF($J182=N$3,IF(N$3&gt;$I182,"-",ROUNDUP(Ld_cal($B182, $C182, $D182, $G182,$E182, $F182, $H182, N$3)*1.3*1.3,0)),"-")</f>
        <v>-</v>
      </c>
      <c r="O182" s="55" t="str">
        <f>IF($J182=O$3,IF(O$3&gt;$I182,"-",ROUNDUP(Ld_cal($B182, $C182, $D182, $G182,$E182, $F182, $H182, O$3)*1.3*1.3,0)),"-")</f>
        <v>-</v>
      </c>
      <c r="P182" s="55" t="str">
        <f>IF($J182=P$3,IF(P$3&gt;$I182,"-",ROUNDUP(Ld_cal($B182, $C182, $D182, $G182,$E182, $F182, $H182, P$3)*1.3*1.3,0)),"-")</f>
        <v>-</v>
      </c>
      <c r="Q182" s="55" t="str">
        <f>IF($J182=Q$3,IF(Q$3&gt;$I182,"-",ROUNDUP(Ld_cal($B182, $C182, $D182, $G182,$E182, $F182, $H182, Q$3)*1.3*1.3,0)),"-")</f>
        <v>-</v>
      </c>
      <c r="R182" s="55" t="str">
        <f>IF($J182=R$3,IF(R$3&gt;$I182,"-",ROUNDUP(Ld_cal($B182, $C182, $D182, $G182,$E182, $F182, $H182, R$3)*1.3*1.3,0)),"-")</f>
        <v>-</v>
      </c>
      <c r="S182" s="55" t="str">
        <f>IF($J182=S$3,IF(S$3&gt;$I182,"-",ROUNDUP(Ld_cal($B182, $C182, $D182, $G182,$E182, $F182, $H182, S$3)*1.3*1.3,0)),"-")</f>
        <v>-</v>
      </c>
      <c r="T182" s="55" t="str">
        <f>IF($J182=T$3,IF(T$3&gt;$I182,"-",ROUNDUP(Ld_cal($B182, $C182, $D182, $G182,$E182, $F182, $H182, T$3)*1.3*1.3,0)),"-")</f>
        <v>-</v>
      </c>
      <c r="U182" s="55" t="str">
        <f>IF($J182=U$3,IF(U$3&gt;$I182,"-",ROUNDUP(Ld_cal($B182, $C182, $D182, $G182,$E182, $F182, $H182, U$3)*1.3*1.3,0)),"-")</f>
        <v>-</v>
      </c>
      <c r="V182" s="55" t="str">
        <f>IF($J182=V$3,IF(V$3&gt;$I182,"-",ROUNDUP(Ld_cal($B182, $C182, $D182, $G182,$E182, $F182, $H182, V$3)*1.3*1.3,0)),"-")</f>
        <v>-</v>
      </c>
      <c r="W182" s="55" t="str">
        <f>IF($J182=W$3,IF(W$3&gt;$I182,"-",ROUNDUP(Ld_cal($B182, $C182, $D182, $G182,$E182, $F182, $H182, W$3)*1.3*1.3,0)),"-")</f>
        <v>-</v>
      </c>
      <c r="X182" s="55" t="str">
        <f>IF($J182=X$3,IF(X$3&gt;$I182,"-",ROUNDUP(Ld_cal($B182, $C182, $D182, $G182,$E182, $F182, $H182, X$3)*1.3*1.3,0)),"-")</f>
        <v>-</v>
      </c>
      <c r="Y182" s="55">
        <f>IF($J182=Y$3,IF(Y$3&gt;$I182,"-",ROUNDUP(Ld_cal($B182, $C182, $D182, $G182,$E182, $F182, $H182, Y$3)*1.3*1.3,0)),"-")</f>
        <v>254</v>
      </c>
      <c r="Z182" s="55" t="str">
        <f>IF($J182=Z$3,IF(Z$3&gt;$I182,"-",ROUNDUP(Ld_cal($B182, $C182, $D182, $G182,$E182, $F182, $H182, Z$3)*1.3*1.3,0)),"-")</f>
        <v>-</v>
      </c>
      <c r="AA182" s="55" t="str">
        <f>IF($J182=AA$3,IF(AA$3&gt;$I182,"-",ROUNDUP(Ld_cal($B182, $C182, $D182, $G182,$E182, $F182, $H182, AA$3)*1.3*1.3,0)),"-")</f>
        <v>-</v>
      </c>
      <c r="AB182" s="55" t="str">
        <f>IF($J182=AB$3,IF(AB$3&gt;$I182,"-",ROUNDUP(Ld_cal($B182, $C182, $D182, $G182,$E182, $F182, $H182, AB$3)*1.3*1.3,0)),"-")</f>
        <v>-</v>
      </c>
      <c r="AC182" s="55" t="str">
        <f>IF($J182=AC$3,IF(AC$3&gt;$I182,"-",ROUNDUP(Ld_cal($B182, $C182, $D182, $G182,$E182, $F182, $H182, AC$3)*1.3*1.3,0)),"-")</f>
        <v>-</v>
      </c>
      <c r="AD182" s="55">
        <f t="shared" ref="AD182" si="176">IF(J182&gt;I182,"依標準圖",MAX(L182:AC182))</f>
        <v>254</v>
      </c>
    </row>
    <row r="183" spans="1:30">
      <c r="A183" s="98"/>
      <c r="B183" s="99"/>
      <c r="C183" s="100"/>
      <c r="D183" s="101"/>
      <c r="E183" s="102"/>
      <c r="F183" s="103"/>
      <c r="G183" s="101"/>
      <c r="H183" s="102"/>
      <c r="I183" s="104"/>
      <c r="J183" s="57">
        <v>10</v>
      </c>
      <c r="K183" s="59" t="s">
        <v>29</v>
      </c>
      <c r="L183" s="55" t="str">
        <f>IF($J183=L$3,IF(L$3&gt;$I182,"-",ROUNDUP(Ld_cal($B182, $C182, $D182, $G182,$E182, $F182, $H182, L$3)*1.3,0)),"-")</f>
        <v>-</v>
      </c>
      <c r="M183" s="55" t="str">
        <f>IF($J183=M$3,IF(M$3&gt;$I182,"-",ROUNDUP(Ld_cal($B182, $C182, $D182, $G182,$E182, $F182, $H182, M$3)*1.3,0)),"-")</f>
        <v>-</v>
      </c>
      <c r="N183" s="55" t="str">
        <f>IF($J183=N$3,IF(N$3&gt;$I182,"-",ROUNDUP(Ld_cal($B182, $C182, $D182, $G182,$E182, $F182, $H182, N$3)*1.3,0)),"-")</f>
        <v>-</v>
      </c>
      <c r="O183" s="55" t="str">
        <f>IF($J183=O$3,IF(O$3&gt;$I182,"-",ROUNDUP(Ld_cal($B182, $C182, $D182, $G182,$E182, $F182, $H182, O$3)*1.3,0)),"-")</f>
        <v>-</v>
      </c>
      <c r="P183" s="55" t="str">
        <f>IF($J183=P$3,IF(P$3&gt;$I182,"-",ROUNDUP(Ld_cal($B182, $C182, $D182, $G182,$E182, $F182, $H182, P$3)*1.3,0)),"-")</f>
        <v>-</v>
      </c>
      <c r="Q183" s="55" t="str">
        <f>IF($J183=Q$3,IF(Q$3&gt;$I182,"-",ROUNDUP(Ld_cal($B182, $C182, $D182, $G182,$E182, $F182, $H182, Q$3)*1.3,0)),"-")</f>
        <v>-</v>
      </c>
      <c r="R183" s="55" t="str">
        <f>IF($J183=R$3,IF(R$3&gt;$I182,"-",ROUNDUP(Ld_cal($B182, $C182, $D182, $G182,$E182, $F182, $H182, R$3)*1.3,0)),"-")</f>
        <v>-</v>
      </c>
      <c r="S183" s="55">
        <f>IF($J183=S$3,IF(S$3&gt;$I182,"-",ROUNDUP(Ld_cal($B182, $C182, $D182, $G182,$E182, $F182, $H182, S$3)*1.3,0)),"-")</f>
        <v>119</v>
      </c>
      <c r="T183" s="55" t="str">
        <f>IF($J183=T$3,IF(T$3&gt;$I182,"-",ROUNDUP(Ld_cal($B182, $C182, $D182, $G182,$E182, $F182, $H182, T$3)*1.3,0)),"-")</f>
        <v>-</v>
      </c>
      <c r="U183" s="55" t="str">
        <f>IF($J183=U$3,IF(U$3&gt;$I182,"-",ROUNDUP(Ld_cal($B182, $C182, $D182, $G182,$E182, $F182, $H182, U$3)*1.3,0)),"-")</f>
        <v>-</v>
      </c>
      <c r="V183" s="55" t="str">
        <f>IF($J183=V$3,IF(V$3&gt;$I182,"-",ROUNDUP(Ld_cal($B182, $C182, $D182, $G182,$E182, $F182, $H182, V$3)*1.3,0)),"-")</f>
        <v>-</v>
      </c>
      <c r="W183" s="55" t="str">
        <f>IF($J183=W$3,IF(W$3&gt;$I182,"-",ROUNDUP(Ld_cal($B182, $C182, $D182, $G182,$E182, $F182, $H182, W$3)*1.3,0)),"-")</f>
        <v>-</v>
      </c>
      <c r="X183" s="55" t="str">
        <f>IF($J183=X$3,IF(X$3&gt;$I182,"-",ROUNDUP(Ld_cal($B182, $C182, $D182, $G182,$E182, $F182, $H182, X$3)*1.3,0)),"-")</f>
        <v>-</v>
      </c>
      <c r="Y183" s="55" t="str">
        <f>IF($J183=Y$3,IF(Y$3&gt;$I182,"-",ROUNDUP(Ld_cal($B182, $C182, $D182, $G182,$E182, $F182, $H182, Y$3)*1.3,0)),"-")</f>
        <v>-</v>
      </c>
      <c r="Z183" s="55" t="str">
        <f>IF($J183=Z$3,IF(Z$3&gt;$I182,"-",ROUNDUP(Ld_cal($B182, $C182, $D182, $G182,$E182, $F182, $H182, Z$3)*1.3,0)),"-")</f>
        <v>-</v>
      </c>
      <c r="AA183" s="55" t="str">
        <f>IF($J183=AA$3,IF(AA$3&gt;$I182,"-",ROUNDUP(Ld_cal($B182, $C182, $D182, $G182,$E182, $F182, $H182, AA$3)*1.3,0)),"-")</f>
        <v>-</v>
      </c>
      <c r="AB183" s="55" t="str">
        <f>IF($J183=AB$3,IF(AB$3&gt;$I182,"-",ROUNDUP(Ld_cal($B182, $C182, $D182, $G182,$E182, $F182, $H182, AB$3)*1.3,0)),"-")</f>
        <v>-</v>
      </c>
      <c r="AC183" s="55" t="str">
        <f>IF($J183=AC$3,IF(AC$3&gt;$I182,"-",ROUNDUP(Ld_cal($B182, $C182, $D182, $G182,$E182, $F182, $H182, AC$3)*1.3,0)),"-")</f>
        <v>-</v>
      </c>
      <c r="AD183" s="55">
        <f t="shared" ref="AD183" si="177">IF(J183&gt;I182,"依標準圖",MAX(L183:AC183))</f>
        <v>119</v>
      </c>
    </row>
    <row r="184" spans="1:30">
      <c r="A184" s="105" t="s">
        <v>137</v>
      </c>
      <c r="B184" s="107">
        <v>120</v>
      </c>
      <c r="C184" s="108">
        <v>7.5</v>
      </c>
      <c r="D184" s="107">
        <v>4200</v>
      </c>
      <c r="E184" s="109">
        <v>16</v>
      </c>
      <c r="F184" s="110">
        <v>10</v>
      </c>
      <c r="G184" s="107">
        <v>350</v>
      </c>
      <c r="H184" s="109">
        <v>32</v>
      </c>
      <c r="I184" s="111">
        <f>ROUNDDOWN(($B184-2*$C184-2*$E184/10-$H184/10)/(($D$1+1)*$H184/10),0)+1</f>
        <v>16</v>
      </c>
      <c r="J184" s="58">
        <v>16</v>
      </c>
      <c r="K184" s="40" t="s">
        <v>30</v>
      </c>
      <c r="L184" s="56" t="str">
        <f>IF($J184=L$3,IF(L$3&gt;$I184,"-",ROUNDUP(Ld_cal($B184, $C184, $D184, $G184,$E184, $F184, $H184, L$3)*1.3*1.3,0)),"-")</f>
        <v>-</v>
      </c>
      <c r="M184" s="56" t="str">
        <f>IF($J184=M$3,IF(M$3&gt;$I184,"-",ROUNDUP(Ld_cal($B184, $C184, $D184, $G184,$E184, $F184, $H184, M$3)*1.3*1.3,0)),"-")</f>
        <v>-</v>
      </c>
      <c r="N184" s="56" t="str">
        <f>IF($J184=N$3,IF(N$3&gt;$I184,"-",ROUNDUP(Ld_cal($B184, $C184, $D184, $G184,$E184, $F184, $H184, N$3)*1.3*1.3,0)),"-")</f>
        <v>-</v>
      </c>
      <c r="O184" s="56" t="str">
        <f>IF($J184=O$3,IF(O$3&gt;$I184,"-",ROUNDUP(Ld_cal($B184, $C184, $D184, $G184,$E184, $F184, $H184, O$3)*1.3*1.3,0)),"-")</f>
        <v>-</v>
      </c>
      <c r="P184" s="56" t="str">
        <f>IF($J184=P$3,IF(P$3&gt;$I184,"-",ROUNDUP(Ld_cal($B184, $C184, $D184, $G184,$E184, $F184, $H184, P$3)*1.3*1.3,0)),"-")</f>
        <v>-</v>
      </c>
      <c r="Q184" s="56" t="str">
        <f>IF($J184=Q$3,IF(Q$3&gt;$I184,"-",ROUNDUP(Ld_cal($B184, $C184, $D184, $G184,$E184, $F184, $H184, Q$3)*1.3*1.3,0)),"-")</f>
        <v>-</v>
      </c>
      <c r="R184" s="56" t="str">
        <f>IF($J184=R$3,IF(R$3&gt;$I184,"-",ROUNDUP(Ld_cal($B184, $C184, $D184, $G184,$E184, $F184, $H184, R$3)*1.3*1.3,0)),"-")</f>
        <v>-</v>
      </c>
      <c r="S184" s="56" t="str">
        <f>IF($J184=S$3,IF(S$3&gt;$I184,"-",ROUNDUP(Ld_cal($B184, $C184, $D184, $G184,$E184, $F184, $H184, S$3)*1.3*1.3,0)),"-")</f>
        <v>-</v>
      </c>
      <c r="T184" s="56" t="str">
        <f>IF($J184=T$3,IF(T$3&gt;$I184,"-",ROUNDUP(Ld_cal($B184, $C184, $D184, $G184,$E184, $F184, $H184, T$3)*1.3*1.3,0)),"-")</f>
        <v>-</v>
      </c>
      <c r="U184" s="56" t="str">
        <f>IF($J184=U$3,IF(U$3&gt;$I184,"-",ROUNDUP(Ld_cal($B184, $C184, $D184, $G184,$E184, $F184, $H184, U$3)*1.3*1.3,0)),"-")</f>
        <v>-</v>
      </c>
      <c r="V184" s="56" t="str">
        <f>IF($J184=V$3,IF(V$3&gt;$I184,"-",ROUNDUP(Ld_cal($B184, $C184, $D184, $G184,$E184, $F184, $H184, V$3)*1.3*1.3,0)),"-")</f>
        <v>-</v>
      </c>
      <c r="W184" s="56" t="str">
        <f>IF($J184=W$3,IF(W$3&gt;$I184,"-",ROUNDUP(Ld_cal($B184, $C184, $D184, $G184,$E184, $F184, $H184, W$3)*1.3*1.3,0)),"-")</f>
        <v>-</v>
      </c>
      <c r="X184" s="56" t="str">
        <f>IF($J184=X$3,IF(X$3&gt;$I184,"-",ROUNDUP(Ld_cal($B184, $C184, $D184, $G184,$E184, $F184, $H184, X$3)*1.3*1.3,0)),"-")</f>
        <v>-</v>
      </c>
      <c r="Y184" s="56">
        <f>IF($J184=Y$3,IF(Y$3&gt;$I184,"-",ROUNDUP(Ld_cal($B184, $C184, $D184, $G184,$E184, $F184, $H184, Y$3)*1.3*1.3,0)),"-")</f>
        <v>254</v>
      </c>
      <c r="Z184" s="56" t="str">
        <f>IF($J184=Z$3,IF(Z$3&gt;$I184,"-",ROUNDUP(Ld_cal($B184, $C184, $D184, $G184,$E184, $F184, $H184, Z$3)*1.3*1.3,0)),"-")</f>
        <v>-</v>
      </c>
      <c r="AA184" s="56" t="str">
        <f>IF($J184=AA$3,IF(AA$3&gt;$I184,"-",ROUNDUP(Ld_cal($B184, $C184, $D184, $G184,$E184, $F184, $H184, AA$3)*1.3*1.3,0)),"-")</f>
        <v>-</v>
      </c>
      <c r="AB184" s="56" t="str">
        <f>IF($J184=AB$3,IF(AB$3&gt;$I184,"-",ROUNDUP(Ld_cal($B184, $C184, $D184, $G184,$E184, $F184, $H184, AB$3)*1.3*1.3,0)),"-")</f>
        <v>-</v>
      </c>
      <c r="AC184" s="56" t="str">
        <f>IF($J184=AC$3,IF(AC$3&gt;$I184,"-",ROUNDUP(Ld_cal($B184, $C184, $D184, $G184,$E184, $F184, $H184, AC$3)*1.3*1.3,0)),"-")</f>
        <v>-</v>
      </c>
      <c r="AD184" s="56">
        <f t="shared" ref="AD184" si="178">IF(J184&gt;I184,"依標準圖",MAX(L184:AC184))</f>
        <v>254</v>
      </c>
    </row>
    <row r="185" spans="1:30">
      <c r="A185" s="106"/>
      <c r="B185" s="107"/>
      <c r="C185" s="108"/>
      <c r="D185" s="107"/>
      <c r="E185" s="109"/>
      <c r="F185" s="110"/>
      <c r="G185" s="107"/>
      <c r="H185" s="109"/>
      <c r="I185" s="111"/>
      <c r="J185" s="58">
        <v>9</v>
      </c>
      <c r="K185" s="40" t="s">
        <v>29</v>
      </c>
      <c r="L185" s="56" t="str">
        <f>IF($J185=L$3,IF(L$3&gt;$I184,"-",ROUNDUP(Ld_cal($B184, $C184, $D184, $G184,$E184, $F184, $H184, L$3)*1.3,0)),"-")</f>
        <v>-</v>
      </c>
      <c r="M185" s="56" t="str">
        <f>IF($J185=M$3,IF(M$3&gt;$I184,"-",ROUNDUP(Ld_cal($B184, $C184, $D184, $G184,$E184, $F184, $H184, M$3)*1.3,0)),"-")</f>
        <v>-</v>
      </c>
      <c r="N185" s="56" t="str">
        <f>IF($J185=N$3,IF(N$3&gt;$I184,"-",ROUNDUP(Ld_cal($B184, $C184, $D184, $G184,$E184, $F184, $H184, N$3)*1.3,0)),"-")</f>
        <v>-</v>
      </c>
      <c r="O185" s="56" t="str">
        <f>IF($J185=O$3,IF(O$3&gt;$I184,"-",ROUNDUP(Ld_cal($B184, $C184, $D184, $G184,$E184, $F184, $H184, O$3)*1.3,0)),"-")</f>
        <v>-</v>
      </c>
      <c r="P185" s="56" t="str">
        <f>IF($J185=P$3,IF(P$3&gt;$I184,"-",ROUNDUP(Ld_cal($B184, $C184, $D184, $G184,$E184, $F184, $H184, P$3)*1.3,0)),"-")</f>
        <v>-</v>
      </c>
      <c r="Q185" s="56" t="str">
        <f>IF($J185=Q$3,IF(Q$3&gt;$I184,"-",ROUNDUP(Ld_cal($B184, $C184, $D184, $G184,$E184, $F184, $H184, Q$3)*1.3,0)),"-")</f>
        <v>-</v>
      </c>
      <c r="R185" s="56">
        <f>IF($J185=R$3,IF(R$3&gt;$I184,"-",ROUNDUP(Ld_cal($B184, $C184, $D184, $G184,$E184, $F184, $H184, R$3)*1.3,0)),"-")</f>
        <v>106</v>
      </c>
      <c r="S185" s="56" t="str">
        <f>IF($J185=S$3,IF(S$3&gt;$I184,"-",ROUNDUP(Ld_cal($B184, $C184, $D184, $G184,$E184, $F184, $H184, S$3)*1.3,0)),"-")</f>
        <v>-</v>
      </c>
      <c r="T185" s="56" t="str">
        <f>IF($J185=T$3,IF(T$3&gt;$I184,"-",ROUNDUP(Ld_cal($B184, $C184, $D184, $G184,$E184, $F184, $H184, T$3)*1.3,0)),"-")</f>
        <v>-</v>
      </c>
      <c r="U185" s="56" t="str">
        <f>IF($J185=U$3,IF(U$3&gt;$I184,"-",ROUNDUP(Ld_cal($B184, $C184, $D184, $G184,$E184, $F184, $H184, U$3)*1.3,0)),"-")</f>
        <v>-</v>
      </c>
      <c r="V185" s="56" t="str">
        <f>IF($J185=V$3,IF(V$3&gt;$I184,"-",ROUNDUP(Ld_cal($B184, $C184, $D184, $G184,$E184, $F184, $H184, V$3)*1.3,0)),"-")</f>
        <v>-</v>
      </c>
      <c r="W185" s="56" t="str">
        <f>IF($J185=W$3,IF(W$3&gt;$I184,"-",ROUNDUP(Ld_cal($B184, $C184, $D184, $G184,$E184, $F184, $H184, W$3)*1.3,0)),"-")</f>
        <v>-</v>
      </c>
      <c r="X185" s="56" t="str">
        <f>IF($J185=X$3,IF(X$3&gt;$I184,"-",ROUNDUP(Ld_cal($B184, $C184, $D184, $G184,$E184, $F184, $H184, X$3)*1.3,0)),"-")</f>
        <v>-</v>
      </c>
      <c r="Y185" s="56" t="str">
        <f>IF($J185=Y$3,IF(Y$3&gt;$I184,"-",ROUNDUP(Ld_cal($B184, $C184, $D184, $G184,$E184, $F184, $H184, Y$3)*1.3,0)),"-")</f>
        <v>-</v>
      </c>
      <c r="Z185" s="56" t="str">
        <f>IF($J185=Z$3,IF(Z$3&gt;$I184,"-",ROUNDUP(Ld_cal($B184, $C184, $D184, $G184,$E184, $F184, $H184, Z$3)*1.3,0)),"-")</f>
        <v>-</v>
      </c>
      <c r="AA185" s="56" t="str">
        <f>IF($J185=AA$3,IF(AA$3&gt;$I184,"-",ROUNDUP(Ld_cal($B184, $C184, $D184, $G184,$E184, $F184, $H184, AA$3)*1.3,0)),"-")</f>
        <v>-</v>
      </c>
      <c r="AB185" s="56" t="str">
        <f>IF($J185=AB$3,IF(AB$3&gt;$I184,"-",ROUNDUP(Ld_cal($B184, $C184, $D184, $G184,$E184, $F184, $H184, AB$3)*1.3,0)),"-")</f>
        <v>-</v>
      </c>
      <c r="AC185" s="56" t="str">
        <f>IF($J185=AC$3,IF(AC$3&gt;$I184,"-",ROUNDUP(Ld_cal($B184, $C184, $D184, $G184,$E184, $F184, $H184, AC$3)*1.3,0)),"-")</f>
        <v>-</v>
      </c>
      <c r="AD185" s="56">
        <f t="shared" ref="AD185" si="179">IF(J185&gt;I184,"依標準圖",MAX(L185:AC185))</f>
        <v>106</v>
      </c>
    </row>
    <row r="186" spans="1:30">
      <c r="A186" s="97" t="s">
        <v>138</v>
      </c>
      <c r="B186" s="99">
        <v>120</v>
      </c>
      <c r="C186" s="100">
        <v>7.5</v>
      </c>
      <c r="D186" s="101">
        <v>4200</v>
      </c>
      <c r="E186" s="102">
        <v>16</v>
      </c>
      <c r="F186" s="103">
        <v>10</v>
      </c>
      <c r="G186" s="101">
        <v>350</v>
      </c>
      <c r="H186" s="102">
        <v>32</v>
      </c>
      <c r="I186" s="104">
        <f>ROUNDDOWN(($B186-2*$C186-2*$E186/10-$H186/10)/(($D$1+1)*$H186/10),0)+1</f>
        <v>16</v>
      </c>
      <c r="J186" s="57">
        <v>16</v>
      </c>
      <c r="K186" s="59" t="s">
        <v>30</v>
      </c>
      <c r="L186" s="55" t="str">
        <f>IF($J186=L$3,IF(L$3&gt;$I186,"-",ROUNDUP(Ld_cal($B186, $C186, $D186, $G186,$E186, $F186, $H186, L$3)*1.3*1.3,0)),"-")</f>
        <v>-</v>
      </c>
      <c r="M186" s="55" t="str">
        <f>IF($J186=M$3,IF(M$3&gt;$I186,"-",ROUNDUP(Ld_cal($B186, $C186, $D186, $G186,$E186, $F186, $H186, M$3)*1.3*1.3,0)),"-")</f>
        <v>-</v>
      </c>
      <c r="N186" s="55" t="str">
        <f>IF($J186=N$3,IF(N$3&gt;$I186,"-",ROUNDUP(Ld_cal($B186, $C186, $D186, $G186,$E186, $F186, $H186, N$3)*1.3*1.3,0)),"-")</f>
        <v>-</v>
      </c>
      <c r="O186" s="55" t="str">
        <f>IF($J186=O$3,IF(O$3&gt;$I186,"-",ROUNDUP(Ld_cal($B186, $C186, $D186, $G186,$E186, $F186, $H186, O$3)*1.3*1.3,0)),"-")</f>
        <v>-</v>
      </c>
      <c r="P186" s="55" t="str">
        <f>IF($J186=P$3,IF(P$3&gt;$I186,"-",ROUNDUP(Ld_cal($B186, $C186, $D186, $G186,$E186, $F186, $H186, P$3)*1.3*1.3,0)),"-")</f>
        <v>-</v>
      </c>
      <c r="Q186" s="55" t="str">
        <f>IF($J186=Q$3,IF(Q$3&gt;$I186,"-",ROUNDUP(Ld_cal($B186, $C186, $D186, $G186,$E186, $F186, $H186, Q$3)*1.3*1.3,0)),"-")</f>
        <v>-</v>
      </c>
      <c r="R186" s="55" t="str">
        <f>IF($J186=R$3,IF(R$3&gt;$I186,"-",ROUNDUP(Ld_cal($B186, $C186, $D186, $G186,$E186, $F186, $H186, R$3)*1.3*1.3,0)),"-")</f>
        <v>-</v>
      </c>
      <c r="S186" s="55" t="str">
        <f>IF($J186=S$3,IF(S$3&gt;$I186,"-",ROUNDUP(Ld_cal($B186, $C186, $D186, $G186,$E186, $F186, $H186, S$3)*1.3*1.3,0)),"-")</f>
        <v>-</v>
      </c>
      <c r="T186" s="55" t="str">
        <f>IF($J186=T$3,IF(T$3&gt;$I186,"-",ROUNDUP(Ld_cal($B186, $C186, $D186, $G186,$E186, $F186, $H186, T$3)*1.3*1.3,0)),"-")</f>
        <v>-</v>
      </c>
      <c r="U186" s="55" t="str">
        <f>IF($J186=U$3,IF(U$3&gt;$I186,"-",ROUNDUP(Ld_cal($B186, $C186, $D186, $G186,$E186, $F186, $H186, U$3)*1.3*1.3,0)),"-")</f>
        <v>-</v>
      </c>
      <c r="V186" s="55" t="str">
        <f>IF($J186=V$3,IF(V$3&gt;$I186,"-",ROUNDUP(Ld_cal($B186, $C186, $D186, $G186,$E186, $F186, $H186, V$3)*1.3*1.3,0)),"-")</f>
        <v>-</v>
      </c>
      <c r="W186" s="55" t="str">
        <f>IF($J186=W$3,IF(W$3&gt;$I186,"-",ROUNDUP(Ld_cal($B186, $C186, $D186, $G186,$E186, $F186, $H186, W$3)*1.3*1.3,0)),"-")</f>
        <v>-</v>
      </c>
      <c r="X186" s="55" t="str">
        <f>IF($J186=X$3,IF(X$3&gt;$I186,"-",ROUNDUP(Ld_cal($B186, $C186, $D186, $G186,$E186, $F186, $H186, X$3)*1.3*1.3,0)),"-")</f>
        <v>-</v>
      </c>
      <c r="Y186" s="55">
        <f>IF($J186=Y$3,IF(Y$3&gt;$I186,"-",ROUNDUP(Ld_cal($B186, $C186, $D186, $G186,$E186, $F186, $H186, Y$3)*1.3*1.3,0)),"-")</f>
        <v>254</v>
      </c>
      <c r="Z186" s="55" t="str">
        <f>IF($J186=Z$3,IF(Z$3&gt;$I186,"-",ROUNDUP(Ld_cal($B186, $C186, $D186, $G186,$E186, $F186, $H186, Z$3)*1.3*1.3,0)),"-")</f>
        <v>-</v>
      </c>
      <c r="AA186" s="55" t="str">
        <f>IF($J186=AA$3,IF(AA$3&gt;$I186,"-",ROUNDUP(Ld_cal($B186, $C186, $D186, $G186,$E186, $F186, $H186, AA$3)*1.3*1.3,0)),"-")</f>
        <v>-</v>
      </c>
      <c r="AB186" s="55" t="str">
        <f>IF($J186=AB$3,IF(AB$3&gt;$I186,"-",ROUNDUP(Ld_cal($B186, $C186, $D186, $G186,$E186, $F186, $H186, AB$3)*1.3*1.3,0)),"-")</f>
        <v>-</v>
      </c>
      <c r="AC186" s="55" t="str">
        <f>IF($J186=AC$3,IF(AC$3&gt;$I186,"-",ROUNDUP(Ld_cal($B186, $C186, $D186, $G186,$E186, $F186, $H186, AC$3)*1.3*1.3,0)),"-")</f>
        <v>-</v>
      </c>
      <c r="AD186" s="55">
        <f t="shared" ref="AD186" si="180">IF(J186&gt;I186,"依標準圖",MAX(L186:AC186))</f>
        <v>254</v>
      </c>
    </row>
    <row r="187" spans="1:30">
      <c r="A187" s="98"/>
      <c r="B187" s="99"/>
      <c r="C187" s="100"/>
      <c r="D187" s="101"/>
      <c r="E187" s="102"/>
      <c r="F187" s="103"/>
      <c r="G187" s="101"/>
      <c r="H187" s="102"/>
      <c r="I187" s="104"/>
      <c r="J187" s="57">
        <v>8</v>
      </c>
      <c r="K187" s="59" t="s">
        <v>29</v>
      </c>
      <c r="L187" s="55" t="str">
        <f>IF($J187=L$3,IF(L$3&gt;$I186,"-",ROUNDUP(Ld_cal($B186, $C186, $D186, $G186,$E186, $F186, $H186, L$3)*1.3,0)),"-")</f>
        <v>-</v>
      </c>
      <c r="M187" s="55" t="str">
        <f>IF($J187=M$3,IF(M$3&gt;$I186,"-",ROUNDUP(Ld_cal($B186, $C186, $D186, $G186,$E186, $F186, $H186, M$3)*1.3,0)),"-")</f>
        <v>-</v>
      </c>
      <c r="N187" s="55" t="str">
        <f>IF($J187=N$3,IF(N$3&gt;$I186,"-",ROUNDUP(Ld_cal($B186, $C186, $D186, $G186,$E186, $F186, $H186, N$3)*1.3,0)),"-")</f>
        <v>-</v>
      </c>
      <c r="O187" s="55" t="str">
        <f>IF($J187=O$3,IF(O$3&gt;$I186,"-",ROUNDUP(Ld_cal($B186, $C186, $D186, $G186,$E186, $F186, $H186, O$3)*1.3,0)),"-")</f>
        <v>-</v>
      </c>
      <c r="P187" s="55" t="str">
        <f>IF($J187=P$3,IF(P$3&gt;$I186,"-",ROUNDUP(Ld_cal($B186, $C186, $D186, $G186,$E186, $F186, $H186, P$3)*1.3,0)),"-")</f>
        <v>-</v>
      </c>
      <c r="Q187" s="55">
        <f>IF($J187=Q$3,IF(Q$3&gt;$I186,"-",ROUNDUP(Ld_cal($B186, $C186, $D186, $G186,$E186, $F186, $H186, Q$3)*1.3,0)),"-")</f>
        <v>105</v>
      </c>
      <c r="R187" s="55" t="str">
        <f>IF($J187=R$3,IF(R$3&gt;$I186,"-",ROUNDUP(Ld_cal($B186, $C186, $D186, $G186,$E186, $F186, $H186, R$3)*1.3,0)),"-")</f>
        <v>-</v>
      </c>
      <c r="S187" s="55" t="str">
        <f>IF($J187=S$3,IF(S$3&gt;$I186,"-",ROUNDUP(Ld_cal($B186, $C186, $D186, $G186,$E186, $F186, $H186, S$3)*1.3,0)),"-")</f>
        <v>-</v>
      </c>
      <c r="T187" s="55" t="str">
        <f>IF($J187=T$3,IF(T$3&gt;$I186,"-",ROUNDUP(Ld_cal($B186, $C186, $D186, $G186,$E186, $F186, $H186, T$3)*1.3,0)),"-")</f>
        <v>-</v>
      </c>
      <c r="U187" s="55" t="str">
        <f>IF($J187=U$3,IF(U$3&gt;$I186,"-",ROUNDUP(Ld_cal($B186, $C186, $D186, $G186,$E186, $F186, $H186, U$3)*1.3,0)),"-")</f>
        <v>-</v>
      </c>
      <c r="V187" s="55" t="str">
        <f>IF($J187=V$3,IF(V$3&gt;$I186,"-",ROUNDUP(Ld_cal($B186, $C186, $D186, $G186,$E186, $F186, $H186, V$3)*1.3,0)),"-")</f>
        <v>-</v>
      </c>
      <c r="W187" s="55" t="str">
        <f>IF($J187=W$3,IF(W$3&gt;$I186,"-",ROUNDUP(Ld_cal($B186, $C186, $D186, $G186,$E186, $F186, $H186, W$3)*1.3,0)),"-")</f>
        <v>-</v>
      </c>
      <c r="X187" s="55" t="str">
        <f>IF($J187=X$3,IF(X$3&gt;$I186,"-",ROUNDUP(Ld_cal($B186, $C186, $D186, $G186,$E186, $F186, $H186, X$3)*1.3,0)),"-")</f>
        <v>-</v>
      </c>
      <c r="Y187" s="55" t="str">
        <f>IF($J187=Y$3,IF(Y$3&gt;$I186,"-",ROUNDUP(Ld_cal($B186, $C186, $D186, $G186,$E186, $F186, $H186, Y$3)*1.3,0)),"-")</f>
        <v>-</v>
      </c>
      <c r="Z187" s="55" t="str">
        <f>IF($J187=Z$3,IF(Z$3&gt;$I186,"-",ROUNDUP(Ld_cal($B186, $C186, $D186, $G186,$E186, $F186, $H186, Z$3)*1.3,0)),"-")</f>
        <v>-</v>
      </c>
      <c r="AA187" s="55" t="str">
        <f>IF($J187=AA$3,IF(AA$3&gt;$I186,"-",ROUNDUP(Ld_cal($B186, $C186, $D186, $G186,$E186, $F186, $H186, AA$3)*1.3,0)),"-")</f>
        <v>-</v>
      </c>
      <c r="AB187" s="55" t="str">
        <f>IF($J187=AB$3,IF(AB$3&gt;$I186,"-",ROUNDUP(Ld_cal($B186, $C186, $D186, $G186,$E186, $F186, $H186, AB$3)*1.3,0)),"-")</f>
        <v>-</v>
      </c>
      <c r="AC187" s="55" t="str">
        <f>IF($J187=AC$3,IF(AC$3&gt;$I186,"-",ROUNDUP(Ld_cal($B186, $C186, $D186, $G186,$E186, $F186, $H186, AC$3)*1.3,0)),"-")</f>
        <v>-</v>
      </c>
      <c r="AD187" s="55">
        <f t="shared" ref="AD187" si="181">IF(J187&gt;I186,"依標準圖",MAX(L187:AC187))</f>
        <v>105</v>
      </c>
    </row>
    <row r="188" spans="1:30">
      <c r="A188" s="105" t="s">
        <v>139</v>
      </c>
      <c r="B188" s="107">
        <v>120</v>
      </c>
      <c r="C188" s="108">
        <v>7.5</v>
      </c>
      <c r="D188" s="107">
        <v>4200</v>
      </c>
      <c r="E188" s="109">
        <v>16</v>
      </c>
      <c r="F188" s="110">
        <v>7</v>
      </c>
      <c r="G188" s="107">
        <v>350</v>
      </c>
      <c r="H188" s="109">
        <v>32</v>
      </c>
      <c r="I188" s="111">
        <f>ROUNDDOWN(($B188-2*$C188-2*$E188/10-$H188/10)/(($D$1+1)*$H188/10),0)+1</f>
        <v>16</v>
      </c>
      <c r="J188" s="58">
        <v>16</v>
      </c>
      <c r="K188" s="40" t="s">
        <v>30</v>
      </c>
      <c r="L188" s="56" t="str">
        <f>IF($J188=L$3,IF(L$3&gt;$I188,"-",ROUNDUP(Ld_cal($B188, $C188, $D188, $G188,$E188, $F188, $H188, L$3)*1.3*1.3,0)),"-")</f>
        <v>-</v>
      </c>
      <c r="M188" s="56" t="str">
        <f>IF($J188=M$3,IF(M$3&gt;$I188,"-",ROUNDUP(Ld_cal($B188, $C188, $D188, $G188,$E188, $F188, $H188, M$3)*1.3*1.3,0)),"-")</f>
        <v>-</v>
      </c>
      <c r="N188" s="56" t="str">
        <f>IF($J188=N$3,IF(N$3&gt;$I188,"-",ROUNDUP(Ld_cal($B188, $C188, $D188, $G188,$E188, $F188, $H188, N$3)*1.3*1.3,0)),"-")</f>
        <v>-</v>
      </c>
      <c r="O188" s="56" t="str">
        <f>IF($J188=O$3,IF(O$3&gt;$I188,"-",ROUNDUP(Ld_cal($B188, $C188, $D188, $G188,$E188, $F188, $H188, O$3)*1.3*1.3,0)),"-")</f>
        <v>-</v>
      </c>
      <c r="P188" s="56" t="str">
        <f>IF($J188=P$3,IF(P$3&gt;$I188,"-",ROUNDUP(Ld_cal($B188, $C188, $D188, $G188,$E188, $F188, $H188, P$3)*1.3*1.3,0)),"-")</f>
        <v>-</v>
      </c>
      <c r="Q188" s="56" t="str">
        <f>IF($J188=Q$3,IF(Q$3&gt;$I188,"-",ROUNDUP(Ld_cal($B188, $C188, $D188, $G188,$E188, $F188, $H188, Q$3)*1.3*1.3,0)),"-")</f>
        <v>-</v>
      </c>
      <c r="R188" s="56" t="str">
        <f>IF($J188=R$3,IF(R$3&gt;$I188,"-",ROUNDUP(Ld_cal($B188, $C188, $D188, $G188,$E188, $F188, $H188, R$3)*1.3*1.3,0)),"-")</f>
        <v>-</v>
      </c>
      <c r="S188" s="56" t="str">
        <f>IF($J188=S$3,IF(S$3&gt;$I188,"-",ROUNDUP(Ld_cal($B188, $C188, $D188, $G188,$E188, $F188, $H188, S$3)*1.3*1.3,0)),"-")</f>
        <v>-</v>
      </c>
      <c r="T188" s="56" t="str">
        <f>IF($J188=T$3,IF(T$3&gt;$I188,"-",ROUNDUP(Ld_cal($B188, $C188, $D188, $G188,$E188, $F188, $H188, T$3)*1.3*1.3,0)),"-")</f>
        <v>-</v>
      </c>
      <c r="U188" s="56" t="str">
        <f>IF($J188=U$3,IF(U$3&gt;$I188,"-",ROUNDUP(Ld_cal($B188, $C188, $D188, $G188,$E188, $F188, $H188, U$3)*1.3*1.3,0)),"-")</f>
        <v>-</v>
      </c>
      <c r="V188" s="56" t="str">
        <f>IF($J188=V$3,IF(V$3&gt;$I188,"-",ROUNDUP(Ld_cal($B188, $C188, $D188, $G188,$E188, $F188, $H188, V$3)*1.3*1.3,0)),"-")</f>
        <v>-</v>
      </c>
      <c r="W188" s="56" t="str">
        <f>IF($J188=W$3,IF(W$3&gt;$I188,"-",ROUNDUP(Ld_cal($B188, $C188, $D188, $G188,$E188, $F188, $H188, W$3)*1.3*1.3,0)),"-")</f>
        <v>-</v>
      </c>
      <c r="X188" s="56" t="str">
        <f>IF($J188=X$3,IF(X$3&gt;$I188,"-",ROUNDUP(Ld_cal($B188, $C188, $D188, $G188,$E188, $F188, $H188, X$3)*1.3*1.3,0)),"-")</f>
        <v>-</v>
      </c>
      <c r="Y188" s="56">
        <f>IF($J188=Y$3,IF(Y$3&gt;$I188,"-",ROUNDUP(Ld_cal($B188, $C188, $D188, $G188,$E188, $F188, $H188, Y$3)*1.3*1.3,0)),"-")</f>
        <v>231</v>
      </c>
      <c r="Z188" s="56" t="str">
        <f>IF($J188=Z$3,IF(Z$3&gt;$I188,"-",ROUNDUP(Ld_cal($B188, $C188, $D188, $G188,$E188, $F188, $H188, Z$3)*1.3*1.3,0)),"-")</f>
        <v>-</v>
      </c>
      <c r="AA188" s="56" t="str">
        <f>IF($J188=AA$3,IF(AA$3&gt;$I188,"-",ROUNDUP(Ld_cal($B188, $C188, $D188, $G188,$E188, $F188, $H188, AA$3)*1.3*1.3,0)),"-")</f>
        <v>-</v>
      </c>
      <c r="AB188" s="56" t="str">
        <f>IF($J188=AB$3,IF(AB$3&gt;$I188,"-",ROUNDUP(Ld_cal($B188, $C188, $D188, $G188,$E188, $F188, $H188, AB$3)*1.3*1.3,0)),"-")</f>
        <v>-</v>
      </c>
      <c r="AC188" s="56" t="str">
        <f>IF($J188=AC$3,IF(AC$3&gt;$I188,"-",ROUNDUP(Ld_cal($B188, $C188, $D188, $G188,$E188, $F188, $H188, AC$3)*1.3*1.3,0)),"-")</f>
        <v>-</v>
      </c>
      <c r="AD188" s="56">
        <f t="shared" ref="AD188" si="182">IF(J188&gt;I188,"依標準圖",MAX(L188:AC188))</f>
        <v>231</v>
      </c>
    </row>
    <row r="189" spans="1:30">
      <c r="A189" s="106"/>
      <c r="B189" s="107"/>
      <c r="C189" s="108"/>
      <c r="D189" s="107"/>
      <c r="E189" s="109"/>
      <c r="F189" s="110"/>
      <c r="G189" s="107"/>
      <c r="H189" s="109"/>
      <c r="I189" s="111"/>
      <c r="J189" s="58">
        <v>12</v>
      </c>
      <c r="K189" s="40" t="s">
        <v>29</v>
      </c>
      <c r="L189" s="56" t="str">
        <f>IF($J189=L$3,IF(L$3&gt;$I188,"-",ROUNDUP(Ld_cal($B188, $C188, $D188, $G188,$E188, $F188, $H188, L$3)*1.3,0)),"-")</f>
        <v>-</v>
      </c>
      <c r="M189" s="56" t="str">
        <f>IF($J189=M$3,IF(M$3&gt;$I188,"-",ROUNDUP(Ld_cal($B188, $C188, $D188, $G188,$E188, $F188, $H188, M$3)*1.3,0)),"-")</f>
        <v>-</v>
      </c>
      <c r="N189" s="56" t="str">
        <f>IF($J189=N$3,IF(N$3&gt;$I188,"-",ROUNDUP(Ld_cal($B188, $C188, $D188, $G188,$E188, $F188, $H188, N$3)*1.3,0)),"-")</f>
        <v>-</v>
      </c>
      <c r="O189" s="56" t="str">
        <f>IF($J189=O$3,IF(O$3&gt;$I188,"-",ROUNDUP(Ld_cal($B188, $C188, $D188, $G188,$E188, $F188, $H188, O$3)*1.3,0)),"-")</f>
        <v>-</v>
      </c>
      <c r="P189" s="56" t="str">
        <f>IF($J189=P$3,IF(P$3&gt;$I188,"-",ROUNDUP(Ld_cal($B188, $C188, $D188, $G188,$E188, $F188, $H188, P$3)*1.3,0)),"-")</f>
        <v>-</v>
      </c>
      <c r="Q189" s="56" t="str">
        <f>IF($J189=Q$3,IF(Q$3&gt;$I188,"-",ROUNDUP(Ld_cal($B188, $C188, $D188, $G188,$E188, $F188, $H188, Q$3)*1.3,0)),"-")</f>
        <v>-</v>
      </c>
      <c r="R189" s="56" t="str">
        <f>IF($J189=R$3,IF(R$3&gt;$I188,"-",ROUNDUP(Ld_cal($B188, $C188, $D188, $G188,$E188, $F188, $H188, R$3)*1.3,0)),"-")</f>
        <v>-</v>
      </c>
      <c r="S189" s="56" t="str">
        <f>IF($J189=S$3,IF(S$3&gt;$I188,"-",ROUNDUP(Ld_cal($B188, $C188, $D188, $G188,$E188, $F188, $H188, S$3)*1.3,0)),"-")</f>
        <v>-</v>
      </c>
      <c r="T189" s="56" t="str">
        <f>IF($J189=T$3,IF(T$3&gt;$I188,"-",ROUNDUP(Ld_cal($B188, $C188, $D188, $G188,$E188, $F188, $H188, T$3)*1.3,0)),"-")</f>
        <v>-</v>
      </c>
      <c r="U189" s="56">
        <f>IF($J189=U$3,IF(U$3&gt;$I188,"-",ROUNDUP(Ld_cal($B188, $C188, $D188, $G188,$E188, $F188, $H188, U$3)*1.3,0)),"-")</f>
        <v>131</v>
      </c>
      <c r="V189" s="56" t="str">
        <f>IF($J189=V$3,IF(V$3&gt;$I188,"-",ROUNDUP(Ld_cal($B188, $C188, $D188, $G188,$E188, $F188, $H188, V$3)*1.3,0)),"-")</f>
        <v>-</v>
      </c>
      <c r="W189" s="56" t="str">
        <f>IF($J189=W$3,IF(W$3&gt;$I188,"-",ROUNDUP(Ld_cal($B188, $C188, $D188, $G188,$E188, $F188, $H188, W$3)*1.3,0)),"-")</f>
        <v>-</v>
      </c>
      <c r="X189" s="56" t="str">
        <f>IF($J189=X$3,IF(X$3&gt;$I188,"-",ROUNDUP(Ld_cal($B188, $C188, $D188, $G188,$E188, $F188, $H188, X$3)*1.3,0)),"-")</f>
        <v>-</v>
      </c>
      <c r="Y189" s="56" t="str">
        <f>IF($J189=Y$3,IF(Y$3&gt;$I188,"-",ROUNDUP(Ld_cal($B188, $C188, $D188, $G188,$E188, $F188, $H188, Y$3)*1.3,0)),"-")</f>
        <v>-</v>
      </c>
      <c r="Z189" s="56" t="str">
        <f>IF($J189=Z$3,IF(Z$3&gt;$I188,"-",ROUNDUP(Ld_cal($B188, $C188, $D188, $G188,$E188, $F188, $H188, Z$3)*1.3,0)),"-")</f>
        <v>-</v>
      </c>
      <c r="AA189" s="56" t="str">
        <f>IF($J189=AA$3,IF(AA$3&gt;$I188,"-",ROUNDUP(Ld_cal($B188, $C188, $D188, $G188,$E188, $F188, $H188, AA$3)*1.3,0)),"-")</f>
        <v>-</v>
      </c>
      <c r="AB189" s="56" t="str">
        <f>IF($J189=AB$3,IF(AB$3&gt;$I188,"-",ROUNDUP(Ld_cal($B188, $C188, $D188, $G188,$E188, $F188, $H188, AB$3)*1.3,0)),"-")</f>
        <v>-</v>
      </c>
      <c r="AC189" s="56" t="str">
        <f>IF($J189=AC$3,IF(AC$3&gt;$I188,"-",ROUNDUP(Ld_cal($B188, $C188, $D188, $G188,$E188, $F188, $H188, AC$3)*1.3,0)),"-")</f>
        <v>-</v>
      </c>
      <c r="AD189" s="56">
        <f t="shared" ref="AD189" si="183">IF(J189&gt;I188,"依標準圖",MAX(L189:AC189))</f>
        <v>131</v>
      </c>
    </row>
    <row r="190" spans="1:30">
      <c r="A190" s="97" t="s">
        <v>140</v>
      </c>
      <c r="B190" s="99">
        <v>120</v>
      </c>
      <c r="C190" s="100">
        <v>7.5</v>
      </c>
      <c r="D190" s="101">
        <v>4200</v>
      </c>
      <c r="E190" s="102">
        <v>16</v>
      </c>
      <c r="F190" s="103">
        <v>7</v>
      </c>
      <c r="G190" s="101">
        <v>350</v>
      </c>
      <c r="H190" s="102">
        <v>32</v>
      </c>
      <c r="I190" s="104">
        <f>ROUNDDOWN(($B190-2*$C190-2*$E190/10-$H190/10)/(($D$1+1)*$H190/10),0)+1</f>
        <v>16</v>
      </c>
      <c r="J190" s="57">
        <v>16</v>
      </c>
      <c r="K190" s="59" t="s">
        <v>30</v>
      </c>
      <c r="L190" s="55" t="str">
        <f>IF($J190=L$3,IF(L$3&gt;$I190,"-",ROUNDUP(Ld_cal($B190, $C190, $D190, $G190,$E190, $F190, $H190, L$3)*1.3*1.3,0)),"-")</f>
        <v>-</v>
      </c>
      <c r="M190" s="55" t="str">
        <f>IF($J190=M$3,IF(M$3&gt;$I190,"-",ROUNDUP(Ld_cal($B190, $C190, $D190, $G190,$E190, $F190, $H190, M$3)*1.3*1.3,0)),"-")</f>
        <v>-</v>
      </c>
      <c r="N190" s="55" t="str">
        <f>IF($J190=N$3,IF(N$3&gt;$I190,"-",ROUNDUP(Ld_cal($B190, $C190, $D190, $G190,$E190, $F190, $H190, N$3)*1.3*1.3,0)),"-")</f>
        <v>-</v>
      </c>
      <c r="O190" s="55" t="str">
        <f>IF($J190=O$3,IF(O$3&gt;$I190,"-",ROUNDUP(Ld_cal($B190, $C190, $D190, $G190,$E190, $F190, $H190, O$3)*1.3*1.3,0)),"-")</f>
        <v>-</v>
      </c>
      <c r="P190" s="55" t="str">
        <f>IF($J190=P$3,IF(P$3&gt;$I190,"-",ROUNDUP(Ld_cal($B190, $C190, $D190, $G190,$E190, $F190, $H190, P$3)*1.3*1.3,0)),"-")</f>
        <v>-</v>
      </c>
      <c r="Q190" s="55" t="str">
        <f>IF($J190=Q$3,IF(Q$3&gt;$I190,"-",ROUNDUP(Ld_cal($B190, $C190, $D190, $G190,$E190, $F190, $H190, Q$3)*1.3*1.3,0)),"-")</f>
        <v>-</v>
      </c>
      <c r="R190" s="55" t="str">
        <f>IF($J190=R$3,IF(R$3&gt;$I190,"-",ROUNDUP(Ld_cal($B190, $C190, $D190, $G190,$E190, $F190, $H190, R$3)*1.3*1.3,0)),"-")</f>
        <v>-</v>
      </c>
      <c r="S190" s="55" t="str">
        <f>IF($J190=S$3,IF(S$3&gt;$I190,"-",ROUNDUP(Ld_cal($B190, $C190, $D190, $G190,$E190, $F190, $H190, S$3)*1.3*1.3,0)),"-")</f>
        <v>-</v>
      </c>
      <c r="T190" s="55" t="str">
        <f>IF($J190=T$3,IF(T$3&gt;$I190,"-",ROUNDUP(Ld_cal($B190, $C190, $D190, $G190,$E190, $F190, $H190, T$3)*1.3*1.3,0)),"-")</f>
        <v>-</v>
      </c>
      <c r="U190" s="55" t="str">
        <f>IF($J190=U$3,IF(U$3&gt;$I190,"-",ROUNDUP(Ld_cal($B190, $C190, $D190, $G190,$E190, $F190, $H190, U$3)*1.3*1.3,0)),"-")</f>
        <v>-</v>
      </c>
      <c r="V190" s="55" t="str">
        <f>IF($J190=V$3,IF(V$3&gt;$I190,"-",ROUNDUP(Ld_cal($B190, $C190, $D190, $G190,$E190, $F190, $H190, V$3)*1.3*1.3,0)),"-")</f>
        <v>-</v>
      </c>
      <c r="W190" s="55" t="str">
        <f>IF($J190=W$3,IF(W$3&gt;$I190,"-",ROUNDUP(Ld_cal($B190, $C190, $D190, $G190,$E190, $F190, $H190, W$3)*1.3*1.3,0)),"-")</f>
        <v>-</v>
      </c>
      <c r="X190" s="55" t="str">
        <f>IF($J190=X$3,IF(X$3&gt;$I190,"-",ROUNDUP(Ld_cal($B190, $C190, $D190, $G190,$E190, $F190, $H190, X$3)*1.3*1.3,0)),"-")</f>
        <v>-</v>
      </c>
      <c r="Y190" s="55">
        <f>IF($J190=Y$3,IF(Y$3&gt;$I190,"-",ROUNDUP(Ld_cal($B190, $C190, $D190, $G190,$E190, $F190, $H190, Y$3)*1.3*1.3,0)),"-")</f>
        <v>231</v>
      </c>
      <c r="Z190" s="55" t="str">
        <f>IF($J190=Z$3,IF(Z$3&gt;$I190,"-",ROUNDUP(Ld_cal($B190, $C190, $D190, $G190,$E190, $F190, $H190, Z$3)*1.3*1.3,0)),"-")</f>
        <v>-</v>
      </c>
      <c r="AA190" s="55" t="str">
        <f>IF($J190=AA$3,IF(AA$3&gt;$I190,"-",ROUNDUP(Ld_cal($B190, $C190, $D190, $G190,$E190, $F190, $H190, AA$3)*1.3*1.3,0)),"-")</f>
        <v>-</v>
      </c>
      <c r="AB190" s="55" t="str">
        <f>IF($J190=AB$3,IF(AB$3&gt;$I190,"-",ROUNDUP(Ld_cal($B190, $C190, $D190, $G190,$E190, $F190, $H190, AB$3)*1.3*1.3,0)),"-")</f>
        <v>-</v>
      </c>
      <c r="AC190" s="55" t="str">
        <f>IF($J190=AC$3,IF(AC$3&gt;$I190,"-",ROUNDUP(Ld_cal($B190, $C190, $D190, $G190,$E190, $F190, $H190, AC$3)*1.3*1.3,0)),"-")</f>
        <v>-</v>
      </c>
      <c r="AD190" s="55">
        <f t="shared" ref="AD190" si="184">IF(J190&gt;I190,"依標準圖",MAX(L190:AC190))</f>
        <v>231</v>
      </c>
    </row>
    <row r="191" spans="1:30">
      <c r="A191" s="98"/>
      <c r="B191" s="99"/>
      <c r="C191" s="100"/>
      <c r="D191" s="101"/>
      <c r="E191" s="102"/>
      <c r="F191" s="103"/>
      <c r="G191" s="101"/>
      <c r="H191" s="102"/>
      <c r="I191" s="104"/>
      <c r="J191" s="57">
        <v>14</v>
      </c>
      <c r="K191" s="59" t="s">
        <v>29</v>
      </c>
      <c r="L191" s="55" t="str">
        <f>IF($J191=L$3,IF(L$3&gt;$I190,"-",ROUNDUP(Ld_cal($B190, $C190, $D190, $G190,$E190, $F190, $H190, L$3)*1.3,0)),"-")</f>
        <v>-</v>
      </c>
      <c r="M191" s="55" t="str">
        <f>IF($J191=M$3,IF(M$3&gt;$I190,"-",ROUNDUP(Ld_cal($B190, $C190, $D190, $G190,$E190, $F190, $H190, M$3)*1.3,0)),"-")</f>
        <v>-</v>
      </c>
      <c r="N191" s="55" t="str">
        <f>IF($J191=N$3,IF(N$3&gt;$I190,"-",ROUNDUP(Ld_cal($B190, $C190, $D190, $G190,$E190, $F190, $H190, N$3)*1.3,0)),"-")</f>
        <v>-</v>
      </c>
      <c r="O191" s="55" t="str">
        <f>IF($J191=O$3,IF(O$3&gt;$I190,"-",ROUNDUP(Ld_cal($B190, $C190, $D190, $G190,$E190, $F190, $H190, O$3)*1.3,0)),"-")</f>
        <v>-</v>
      </c>
      <c r="P191" s="55" t="str">
        <f>IF($J191=P$3,IF(P$3&gt;$I190,"-",ROUNDUP(Ld_cal($B190, $C190, $D190, $G190,$E190, $F190, $H190, P$3)*1.3,0)),"-")</f>
        <v>-</v>
      </c>
      <c r="Q191" s="55" t="str">
        <f>IF($J191=Q$3,IF(Q$3&gt;$I190,"-",ROUNDUP(Ld_cal($B190, $C190, $D190, $G190,$E190, $F190, $H190, Q$3)*1.3,0)),"-")</f>
        <v>-</v>
      </c>
      <c r="R191" s="55" t="str">
        <f>IF($J191=R$3,IF(R$3&gt;$I190,"-",ROUNDUP(Ld_cal($B190, $C190, $D190, $G190,$E190, $F190, $H190, R$3)*1.3,0)),"-")</f>
        <v>-</v>
      </c>
      <c r="S191" s="55" t="str">
        <f>IF($J191=S$3,IF(S$3&gt;$I190,"-",ROUNDUP(Ld_cal($B190, $C190, $D190, $G190,$E190, $F190, $H190, S$3)*1.3,0)),"-")</f>
        <v>-</v>
      </c>
      <c r="T191" s="55" t="str">
        <f>IF($J191=T$3,IF(T$3&gt;$I190,"-",ROUNDUP(Ld_cal($B190, $C190, $D190, $G190,$E190, $F190, $H190, T$3)*1.3,0)),"-")</f>
        <v>-</v>
      </c>
      <c r="U191" s="55" t="str">
        <f>IF($J191=U$3,IF(U$3&gt;$I190,"-",ROUNDUP(Ld_cal($B190, $C190, $D190, $G190,$E190, $F190, $H190, U$3)*1.3,0)),"-")</f>
        <v>-</v>
      </c>
      <c r="V191" s="55" t="str">
        <f>IF($J191=V$3,IF(V$3&gt;$I190,"-",ROUNDUP(Ld_cal($B190, $C190, $D190, $G190,$E190, $F190, $H190, V$3)*1.3,0)),"-")</f>
        <v>-</v>
      </c>
      <c r="W191" s="55">
        <f>IF($J191=W$3,IF(W$3&gt;$I190,"-",ROUNDUP(Ld_cal($B190, $C190, $D190, $G190,$E190, $F190, $H190, W$3)*1.3,0)),"-")</f>
        <v>155</v>
      </c>
      <c r="X191" s="55" t="str">
        <f>IF($J191=X$3,IF(X$3&gt;$I190,"-",ROUNDUP(Ld_cal($B190, $C190, $D190, $G190,$E190, $F190, $H190, X$3)*1.3,0)),"-")</f>
        <v>-</v>
      </c>
      <c r="Y191" s="55" t="str">
        <f>IF($J191=Y$3,IF(Y$3&gt;$I190,"-",ROUNDUP(Ld_cal($B190, $C190, $D190, $G190,$E190, $F190, $H190, Y$3)*1.3,0)),"-")</f>
        <v>-</v>
      </c>
      <c r="Z191" s="55" t="str">
        <f>IF($J191=Z$3,IF(Z$3&gt;$I190,"-",ROUNDUP(Ld_cal($B190, $C190, $D190, $G190,$E190, $F190, $H190, Z$3)*1.3,0)),"-")</f>
        <v>-</v>
      </c>
      <c r="AA191" s="55" t="str">
        <f>IF($J191=AA$3,IF(AA$3&gt;$I190,"-",ROUNDUP(Ld_cal($B190, $C190, $D190, $G190,$E190, $F190, $H190, AA$3)*1.3,0)),"-")</f>
        <v>-</v>
      </c>
      <c r="AB191" s="55" t="str">
        <f>IF($J191=AB$3,IF(AB$3&gt;$I190,"-",ROUNDUP(Ld_cal($B190, $C190, $D190, $G190,$E190, $F190, $H190, AB$3)*1.3,0)),"-")</f>
        <v>-</v>
      </c>
      <c r="AC191" s="55" t="str">
        <f>IF($J191=AC$3,IF(AC$3&gt;$I190,"-",ROUNDUP(Ld_cal($B190, $C190, $D190, $G190,$E190, $F190, $H190, AC$3)*1.3,0)),"-")</f>
        <v>-</v>
      </c>
      <c r="AD191" s="55">
        <f t="shared" ref="AD191" si="185">IF(J191&gt;I190,"依標準圖",MAX(L191:AC191))</f>
        <v>155</v>
      </c>
    </row>
    <row r="192" spans="1:30">
      <c r="A192" s="105" t="s">
        <v>141</v>
      </c>
      <c r="B192" s="107">
        <v>120</v>
      </c>
      <c r="C192" s="108">
        <v>7.5</v>
      </c>
      <c r="D192" s="107">
        <v>4200</v>
      </c>
      <c r="E192" s="109">
        <v>16</v>
      </c>
      <c r="F192" s="110">
        <v>7</v>
      </c>
      <c r="G192" s="107">
        <v>350</v>
      </c>
      <c r="H192" s="109">
        <v>32</v>
      </c>
      <c r="I192" s="111">
        <f>ROUNDDOWN(($B192-2*$C192-2*$E192/10-$H192/10)/(($D$1+1)*$H192/10),0)+1</f>
        <v>16</v>
      </c>
      <c r="J192" s="58">
        <v>16</v>
      </c>
      <c r="K192" s="40" t="s">
        <v>30</v>
      </c>
      <c r="L192" s="56" t="str">
        <f>IF($J192=L$3,IF(L$3&gt;$I192,"-",ROUNDUP(Ld_cal($B192, $C192, $D192, $G192,$E192, $F192, $H192, L$3)*1.3*1.3,0)),"-")</f>
        <v>-</v>
      </c>
      <c r="M192" s="56" t="str">
        <f>IF($J192=M$3,IF(M$3&gt;$I192,"-",ROUNDUP(Ld_cal($B192, $C192, $D192, $G192,$E192, $F192, $H192, M$3)*1.3*1.3,0)),"-")</f>
        <v>-</v>
      </c>
      <c r="N192" s="56" t="str">
        <f>IF($J192=N$3,IF(N$3&gt;$I192,"-",ROUNDUP(Ld_cal($B192, $C192, $D192, $G192,$E192, $F192, $H192, N$3)*1.3*1.3,0)),"-")</f>
        <v>-</v>
      </c>
      <c r="O192" s="56" t="str">
        <f>IF($J192=O$3,IF(O$3&gt;$I192,"-",ROUNDUP(Ld_cal($B192, $C192, $D192, $G192,$E192, $F192, $H192, O$3)*1.3*1.3,0)),"-")</f>
        <v>-</v>
      </c>
      <c r="P192" s="56" t="str">
        <f>IF($J192=P$3,IF(P$3&gt;$I192,"-",ROUNDUP(Ld_cal($B192, $C192, $D192, $G192,$E192, $F192, $H192, P$3)*1.3*1.3,0)),"-")</f>
        <v>-</v>
      </c>
      <c r="Q192" s="56" t="str">
        <f>IF($J192=Q$3,IF(Q$3&gt;$I192,"-",ROUNDUP(Ld_cal($B192, $C192, $D192, $G192,$E192, $F192, $H192, Q$3)*1.3*1.3,0)),"-")</f>
        <v>-</v>
      </c>
      <c r="R192" s="56" t="str">
        <f>IF($J192=R$3,IF(R$3&gt;$I192,"-",ROUNDUP(Ld_cal($B192, $C192, $D192, $G192,$E192, $F192, $H192, R$3)*1.3*1.3,0)),"-")</f>
        <v>-</v>
      </c>
      <c r="S192" s="56" t="str">
        <f>IF($J192=S$3,IF(S$3&gt;$I192,"-",ROUNDUP(Ld_cal($B192, $C192, $D192, $G192,$E192, $F192, $H192, S$3)*1.3*1.3,0)),"-")</f>
        <v>-</v>
      </c>
      <c r="T192" s="56" t="str">
        <f>IF($J192=T$3,IF(T$3&gt;$I192,"-",ROUNDUP(Ld_cal($B192, $C192, $D192, $G192,$E192, $F192, $H192, T$3)*1.3*1.3,0)),"-")</f>
        <v>-</v>
      </c>
      <c r="U192" s="56" t="str">
        <f>IF($J192=U$3,IF(U$3&gt;$I192,"-",ROUNDUP(Ld_cal($B192, $C192, $D192, $G192,$E192, $F192, $H192, U$3)*1.3*1.3,0)),"-")</f>
        <v>-</v>
      </c>
      <c r="V192" s="56" t="str">
        <f>IF($J192=V$3,IF(V$3&gt;$I192,"-",ROUNDUP(Ld_cal($B192, $C192, $D192, $G192,$E192, $F192, $H192, V$3)*1.3*1.3,0)),"-")</f>
        <v>-</v>
      </c>
      <c r="W192" s="56" t="str">
        <f>IF($J192=W$3,IF(W$3&gt;$I192,"-",ROUNDUP(Ld_cal($B192, $C192, $D192, $G192,$E192, $F192, $H192, W$3)*1.3*1.3,0)),"-")</f>
        <v>-</v>
      </c>
      <c r="X192" s="56" t="str">
        <f>IF($J192=X$3,IF(X$3&gt;$I192,"-",ROUNDUP(Ld_cal($B192, $C192, $D192, $G192,$E192, $F192, $H192, X$3)*1.3*1.3,0)),"-")</f>
        <v>-</v>
      </c>
      <c r="Y192" s="56">
        <f>IF($J192=Y$3,IF(Y$3&gt;$I192,"-",ROUNDUP(Ld_cal($B192, $C192, $D192, $G192,$E192, $F192, $H192, Y$3)*1.3*1.3,0)),"-")</f>
        <v>231</v>
      </c>
      <c r="Z192" s="56" t="str">
        <f>IF($J192=Z$3,IF(Z$3&gt;$I192,"-",ROUNDUP(Ld_cal($B192, $C192, $D192, $G192,$E192, $F192, $H192, Z$3)*1.3*1.3,0)),"-")</f>
        <v>-</v>
      </c>
      <c r="AA192" s="56" t="str">
        <f>IF($J192=AA$3,IF(AA$3&gt;$I192,"-",ROUNDUP(Ld_cal($B192, $C192, $D192, $G192,$E192, $F192, $H192, AA$3)*1.3*1.3,0)),"-")</f>
        <v>-</v>
      </c>
      <c r="AB192" s="56" t="str">
        <f>IF($J192=AB$3,IF(AB$3&gt;$I192,"-",ROUNDUP(Ld_cal($B192, $C192, $D192, $G192,$E192, $F192, $H192, AB$3)*1.3*1.3,0)),"-")</f>
        <v>-</v>
      </c>
      <c r="AC192" s="56" t="str">
        <f>IF($J192=AC$3,IF(AC$3&gt;$I192,"-",ROUNDUP(Ld_cal($B192, $C192, $D192, $G192,$E192, $F192, $H192, AC$3)*1.3*1.3,0)),"-")</f>
        <v>-</v>
      </c>
      <c r="AD192" s="56">
        <f t="shared" ref="AD192" si="186">IF(J192&gt;I192,"依標準圖",MAX(L192:AC192))</f>
        <v>231</v>
      </c>
    </row>
    <row r="193" spans="1:30">
      <c r="A193" s="106"/>
      <c r="B193" s="107"/>
      <c r="C193" s="108"/>
      <c r="D193" s="107"/>
      <c r="E193" s="109"/>
      <c r="F193" s="110"/>
      <c r="G193" s="107"/>
      <c r="H193" s="109"/>
      <c r="I193" s="111"/>
      <c r="J193" s="58">
        <v>14</v>
      </c>
      <c r="K193" s="40" t="s">
        <v>29</v>
      </c>
      <c r="L193" s="56" t="str">
        <f>IF($J193=L$3,IF(L$3&gt;$I192,"-",ROUNDUP(Ld_cal($B192, $C192, $D192, $G192,$E192, $F192, $H192, L$3)*1.3,0)),"-")</f>
        <v>-</v>
      </c>
      <c r="M193" s="56" t="str">
        <f>IF($J193=M$3,IF(M$3&gt;$I192,"-",ROUNDUP(Ld_cal($B192, $C192, $D192, $G192,$E192, $F192, $H192, M$3)*1.3,0)),"-")</f>
        <v>-</v>
      </c>
      <c r="N193" s="56" t="str">
        <f>IF($J193=N$3,IF(N$3&gt;$I192,"-",ROUNDUP(Ld_cal($B192, $C192, $D192, $G192,$E192, $F192, $H192, N$3)*1.3,0)),"-")</f>
        <v>-</v>
      </c>
      <c r="O193" s="56" t="str">
        <f>IF($J193=O$3,IF(O$3&gt;$I192,"-",ROUNDUP(Ld_cal($B192, $C192, $D192, $G192,$E192, $F192, $H192, O$3)*1.3,0)),"-")</f>
        <v>-</v>
      </c>
      <c r="P193" s="56" t="str">
        <f>IF($J193=P$3,IF(P$3&gt;$I192,"-",ROUNDUP(Ld_cal($B192, $C192, $D192, $G192,$E192, $F192, $H192, P$3)*1.3,0)),"-")</f>
        <v>-</v>
      </c>
      <c r="Q193" s="56" t="str">
        <f>IF($J193=Q$3,IF(Q$3&gt;$I192,"-",ROUNDUP(Ld_cal($B192, $C192, $D192, $G192,$E192, $F192, $H192, Q$3)*1.3,0)),"-")</f>
        <v>-</v>
      </c>
      <c r="R193" s="56" t="str">
        <f>IF($J193=R$3,IF(R$3&gt;$I192,"-",ROUNDUP(Ld_cal($B192, $C192, $D192, $G192,$E192, $F192, $H192, R$3)*1.3,0)),"-")</f>
        <v>-</v>
      </c>
      <c r="S193" s="56" t="str">
        <f>IF($J193=S$3,IF(S$3&gt;$I192,"-",ROUNDUP(Ld_cal($B192, $C192, $D192, $G192,$E192, $F192, $H192, S$3)*1.3,0)),"-")</f>
        <v>-</v>
      </c>
      <c r="T193" s="56" t="str">
        <f>IF($J193=T$3,IF(T$3&gt;$I192,"-",ROUNDUP(Ld_cal($B192, $C192, $D192, $G192,$E192, $F192, $H192, T$3)*1.3,0)),"-")</f>
        <v>-</v>
      </c>
      <c r="U193" s="56" t="str">
        <f>IF($J193=U$3,IF(U$3&gt;$I192,"-",ROUNDUP(Ld_cal($B192, $C192, $D192, $G192,$E192, $F192, $H192, U$3)*1.3,0)),"-")</f>
        <v>-</v>
      </c>
      <c r="V193" s="56" t="str">
        <f>IF($J193=V$3,IF(V$3&gt;$I192,"-",ROUNDUP(Ld_cal($B192, $C192, $D192, $G192,$E192, $F192, $H192, V$3)*1.3,0)),"-")</f>
        <v>-</v>
      </c>
      <c r="W193" s="56">
        <f>IF($J193=W$3,IF(W$3&gt;$I192,"-",ROUNDUP(Ld_cal($B192, $C192, $D192, $G192,$E192, $F192, $H192, W$3)*1.3,0)),"-")</f>
        <v>155</v>
      </c>
      <c r="X193" s="56" t="str">
        <f>IF($J193=X$3,IF(X$3&gt;$I192,"-",ROUNDUP(Ld_cal($B192, $C192, $D192, $G192,$E192, $F192, $H192, X$3)*1.3,0)),"-")</f>
        <v>-</v>
      </c>
      <c r="Y193" s="56" t="str">
        <f>IF($J193=Y$3,IF(Y$3&gt;$I192,"-",ROUNDUP(Ld_cal($B192, $C192, $D192, $G192,$E192, $F192, $H192, Y$3)*1.3,0)),"-")</f>
        <v>-</v>
      </c>
      <c r="Z193" s="56" t="str">
        <f>IF($J193=Z$3,IF(Z$3&gt;$I192,"-",ROUNDUP(Ld_cal($B192, $C192, $D192, $G192,$E192, $F192, $H192, Z$3)*1.3,0)),"-")</f>
        <v>-</v>
      </c>
      <c r="AA193" s="56" t="str">
        <f>IF($J193=AA$3,IF(AA$3&gt;$I192,"-",ROUNDUP(Ld_cal($B192, $C192, $D192, $G192,$E192, $F192, $H192, AA$3)*1.3,0)),"-")</f>
        <v>-</v>
      </c>
      <c r="AB193" s="56" t="str">
        <f>IF($J193=AB$3,IF(AB$3&gt;$I192,"-",ROUNDUP(Ld_cal($B192, $C192, $D192, $G192,$E192, $F192, $H192, AB$3)*1.3,0)),"-")</f>
        <v>-</v>
      </c>
      <c r="AC193" s="56" t="str">
        <f>IF($J193=AC$3,IF(AC$3&gt;$I192,"-",ROUNDUP(Ld_cal($B192, $C192, $D192, $G192,$E192, $F192, $H192, AC$3)*1.3,0)),"-")</f>
        <v>-</v>
      </c>
      <c r="AD193" s="56">
        <f t="shared" ref="AD193" si="187">IF(J193&gt;I192,"依標準圖",MAX(L193:AC193))</f>
        <v>155</v>
      </c>
    </row>
    <row r="194" spans="1:30">
      <c r="A194" s="97" t="s">
        <v>142</v>
      </c>
      <c r="B194" s="99">
        <v>120</v>
      </c>
      <c r="C194" s="100">
        <v>7.5</v>
      </c>
      <c r="D194" s="101">
        <v>4200</v>
      </c>
      <c r="E194" s="102">
        <v>13</v>
      </c>
      <c r="F194" s="103">
        <v>9</v>
      </c>
      <c r="G194" s="101">
        <v>350</v>
      </c>
      <c r="H194" s="102">
        <v>32</v>
      </c>
      <c r="I194" s="104">
        <f>ROUNDDOWN(($B194-2*$C194-2*$E194/10-$H194/10)/(($D$1+1)*$H194/10),0)+1</f>
        <v>16</v>
      </c>
      <c r="J194" s="57">
        <v>16</v>
      </c>
      <c r="K194" s="59" t="s">
        <v>30</v>
      </c>
      <c r="L194" s="55" t="str">
        <f>IF($J194=L$3,IF(L$3&gt;$I194,"-",ROUNDUP(Ld_cal($B194, $C194, $D194, $G194,$E194, $F194, $H194, L$3)*1.3*1.3,0)),"-")</f>
        <v>-</v>
      </c>
      <c r="M194" s="55" t="str">
        <f>IF($J194=M$3,IF(M$3&gt;$I194,"-",ROUNDUP(Ld_cal($B194, $C194, $D194, $G194,$E194, $F194, $H194, M$3)*1.3*1.3,0)),"-")</f>
        <v>-</v>
      </c>
      <c r="N194" s="55" t="str">
        <f>IF($J194=N$3,IF(N$3&gt;$I194,"-",ROUNDUP(Ld_cal($B194, $C194, $D194, $G194,$E194, $F194, $H194, N$3)*1.3*1.3,0)),"-")</f>
        <v>-</v>
      </c>
      <c r="O194" s="55" t="str">
        <f>IF($J194=O$3,IF(O$3&gt;$I194,"-",ROUNDUP(Ld_cal($B194, $C194, $D194, $G194,$E194, $F194, $H194, O$3)*1.3*1.3,0)),"-")</f>
        <v>-</v>
      </c>
      <c r="P194" s="55" t="str">
        <f>IF($J194=P$3,IF(P$3&gt;$I194,"-",ROUNDUP(Ld_cal($B194, $C194, $D194, $G194,$E194, $F194, $H194, P$3)*1.3*1.3,0)),"-")</f>
        <v>-</v>
      </c>
      <c r="Q194" s="55" t="str">
        <f>IF($J194=Q$3,IF(Q$3&gt;$I194,"-",ROUNDUP(Ld_cal($B194, $C194, $D194, $G194,$E194, $F194, $H194, Q$3)*1.3*1.3,0)),"-")</f>
        <v>-</v>
      </c>
      <c r="R194" s="55" t="str">
        <f>IF($J194=R$3,IF(R$3&gt;$I194,"-",ROUNDUP(Ld_cal($B194, $C194, $D194, $G194,$E194, $F194, $H194, R$3)*1.3*1.3,0)),"-")</f>
        <v>-</v>
      </c>
      <c r="S194" s="55" t="str">
        <f>IF($J194=S$3,IF(S$3&gt;$I194,"-",ROUNDUP(Ld_cal($B194, $C194, $D194, $G194,$E194, $F194, $H194, S$3)*1.3*1.3,0)),"-")</f>
        <v>-</v>
      </c>
      <c r="T194" s="55" t="str">
        <f>IF($J194=T$3,IF(T$3&gt;$I194,"-",ROUNDUP(Ld_cal($B194, $C194, $D194, $G194,$E194, $F194, $H194, T$3)*1.3*1.3,0)),"-")</f>
        <v>-</v>
      </c>
      <c r="U194" s="55" t="str">
        <f>IF($J194=U$3,IF(U$3&gt;$I194,"-",ROUNDUP(Ld_cal($B194, $C194, $D194, $G194,$E194, $F194, $H194, U$3)*1.3*1.3,0)),"-")</f>
        <v>-</v>
      </c>
      <c r="V194" s="55" t="str">
        <f>IF($J194=V$3,IF(V$3&gt;$I194,"-",ROUNDUP(Ld_cal($B194, $C194, $D194, $G194,$E194, $F194, $H194, V$3)*1.3*1.3,0)),"-")</f>
        <v>-</v>
      </c>
      <c r="W194" s="55" t="str">
        <f>IF($J194=W$3,IF(W$3&gt;$I194,"-",ROUNDUP(Ld_cal($B194, $C194, $D194, $G194,$E194, $F194, $H194, W$3)*1.3*1.3,0)),"-")</f>
        <v>-</v>
      </c>
      <c r="X194" s="55" t="str">
        <f>IF($J194=X$3,IF(X$3&gt;$I194,"-",ROUNDUP(Ld_cal($B194, $C194, $D194, $G194,$E194, $F194, $H194, X$3)*1.3*1.3,0)),"-")</f>
        <v>-</v>
      </c>
      <c r="Y194" s="55">
        <f>IF($J194=Y$3,IF(Y$3&gt;$I194,"-",ROUNDUP(Ld_cal($B194, $C194, $D194, $G194,$E194, $F194, $H194, Y$3)*1.3*1.3,0)),"-")</f>
        <v>269</v>
      </c>
      <c r="Z194" s="55" t="str">
        <f>IF($J194=Z$3,IF(Z$3&gt;$I194,"-",ROUNDUP(Ld_cal($B194, $C194, $D194, $G194,$E194, $F194, $H194, Z$3)*1.3*1.3,0)),"-")</f>
        <v>-</v>
      </c>
      <c r="AA194" s="55" t="str">
        <f>IF($J194=AA$3,IF(AA$3&gt;$I194,"-",ROUNDUP(Ld_cal($B194, $C194, $D194, $G194,$E194, $F194, $H194, AA$3)*1.3*1.3,0)),"-")</f>
        <v>-</v>
      </c>
      <c r="AB194" s="55" t="str">
        <f>IF($J194=AB$3,IF(AB$3&gt;$I194,"-",ROUNDUP(Ld_cal($B194, $C194, $D194, $G194,$E194, $F194, $H194, AB$3)*1.3*1.3,0)),"-")</f>
        <v>-</v>
      </c>
      <c r="AC194" s="55" t="str">
        <f>IF($J194=AC$3,IF(AC$3&gt;$I194,"-",ROUNDUP(Ld_cal($B194, $C194, $D194, $G194,$E194, $F194, $H194, AC$3)*1.3*1.3,0)),"-")</f>
        <v>-</v>
      </c>
      <c r="AD194" s="55">
        <f t="shared" ref="AD194" si="188">IF(J194&gt;I194,"依標準圖",MAX(L194:AC194))</f>
        <v>269</v>
      </c>
    </row>
    <row r="195" spans="1:30">
      <c r="A195" s="98"/>
      <c r="B195" s="99"/>
      <c r="C195" s="100"/>
      <c r="D195" s="101"/>
      <c r="E195" s="102"/>
      <c r="F195" s="103"/>
      <c r="G195" s="101"/>
      <c r="H195" s="102"/>
      <c r="I195" s="104"/>
      <c r="J195" s="57">
        <v>16</v>
      </c>
      <c r="K195" s="59" t="s">
        <v>29</v>
      </c>
      <c r="L195" s="55" t="str">
        <f>IF($J195=L$3,IF(L$3&gt;$I194,"-",ROUNDUP(Ld_cal($B194, $C194, $D194, $G194,$E194, $F194, $H194, L$3)*1.3,0)),"-")</f>
        <v>-</v>
      </c>
      <c r="M195" s="55" t="str">
        <f>IF($J195=M$3,IF(M$3&gt;$I194,"-",ROUNDUP(Ld_cal($B194, $C194, $D194, $G194,$E194, $F194, $H194, M$3)*1.3,0)),"-")</f>
        <v>-</v>
      </c>
      <c r="N195" s="55" t="str">
        <f>IF($J195=N$3,IF(N$3&gt;$I194,"-",ROUNDUP(Ld_cal($B194, $C194, $D194, $G194,$E194, $F194, $H194, N$3)*1.3,0)),"-")</f>
        <v>-</v>
      </c>
      <c r="O195" s="55" t="str">
        <f>IF($J195=O$3,IF(O$3&gt;$I194,"-",ROUNDUP(Ld_cal($B194, $C194, $D194, $G194,$E194, $F194, $H194, O$3)*1.3,0)),"-")</f>
        <v>-</v>
      </c>
      <c r="P195" s="55" t="str">
        <f>IF($J195=P$3,IF(P$3&gt;$I194,"-",ROUNDUP(Ld_cal($B194, $C194, $D194, $G194,$E194, $F194, $H194, P$3)*1.3,0)),"-")</f>
        <v>-</v>
      </c>
      <c r="Q195" s="55" t="str">
        <f>IF($J195=Q$3,IF(Q$3&gt;$I194,"-",ROUNDUP(Ld_cal($B194, $C194, $D194, $G194,$E194, $F194, $H194, Q$3)*1.3,0)),"-")</f>
        <v>-</v>
      </c>
      <c r="R195" s="55" t="str">
        <f>IF($J195=R$3,IF(R$3&gt;$I194,"-",ROUNDUP(Ld_cal($B194, $C194, $D194, $G194,$E194, $F194, $H194, R$3)*1.3,0)),"-")</f>
        <v>-</v>
      </c>
      <c r="S195" s="55" t="str">
        <f>IF($J195=S$3,IF(S$3&gt;$I194,"-",ROUNDUP(Ld_cal($B194, $C194, $D194, $G194,$E194, $F194, $H194, S$3)*1.3,0)),"-")</f>
        <v>-</v>
      </c>
      <c r="T195" s="55" t="str">
        <f>IF($J195=T$3,IF(T$3&gt;$I194,"-",ROUNDUP(Ld_cal($B194, $C194, $D194, $G194,$E194, $F194, $H194, T$3)*1.3,0)),"-")</f>
        <v>-</v>
      </c>
      <c r="U195" s="55" t="str">
        <f>IF($J195=U$3,IF(U$3&gt;$I194,"-",ROUNDUP(Ld_cal($B194, $C194, $D194, $G194,$E194, $F194, $H194, U$3)*1.3,0)),"-")</f>
        <v>-</v>
      </c>
      <c r="V195" s="55" t="str">
        <f>IF($J195=V$3,IF(V$3&gt;$I194,"-",ROUNDUP(Ld_cal($B194, $C194, $D194, $G194,$E194, $F194, $H194, V$3)*1.3,0)),"-")</f>
        <v>-</v>
      </c>
      <c r="W195" s="55" t="str">
        <f>IF($J195=W$3,IF(W$3&gt;$I194,"-",ROUNDUP(Ld_cal($B194, $C194, $D194, $G194,$E194, $F194, $H194, W$3)*1.3,0)),"-")</f>
        <v>-</v>
      </c>
      <c r="X195" s="55" t="str">
        <f>IF($J195=X$3,IF(X$3&gt;$I194,"-",ROUNDUP(Ld_cal($B194, $C194, $D194, $G194,$E194, $F194, $H194, X$3)*1.3,0)),"-")</f>
        <v>-</v>
      </c>
      <c r="Y195" s="55">
        <f>IF($J195=Y$3,IF(Y$3&gt;$I194,"-",ROUNDUP(Ld_cal($B194, $C194, $D194, $G194,$E194, $F194, $H194, Y$3)*1.3,0)),"-")</f>
        <v>207</v>
      </c>
      <c r="Z195" s="55" t="str">
        <f>IF($J195=Z$3,IF(Z$3&gt;$I194,"-",ROUNDUP(Ld_cal($B194, $C194, $D194, $G194,$E194, $F194, $H194, Z$3)*1.3,0)),"-")</f>
        <v>-</v>
      </c>
      <c r="AA195" s="55" t="str">
        <f>IF($J195=AA$3,IF(AA$3&gt;$I194,"-",ROUNDUP(Ld_cal($B194, $C194, $D194, $G194,$E194, $F194, $H194, AA$3)*1.3,0)),"-")</f>
        <v>-</v>
      </c>
      <c r="AB195" s="55" t="str">
        <f>IF($J195=AB$3,IF(AB$3&gt;$I194,"-",ROUNDUP(Ld_cal($B194, $C194, $D194, $G194,$E194, $F194, $H194, AB$3)*1.3,0)),"-")</f>
        <v>-</v>
      </c>
      <c r="AC195" s="55" t="str">
        <f>IF($J195=AC$3,IF(AC$3&gt;$I194,"-",ROUNDUP(Ld_cal($B194, $C194, $D194, $G194,$E194, $F194, $H194, AC$3)*1.3,0)),"-")</f>
        <v>-</v>
      </c>
      <c r="AD195" s="55">
        <f t="shared" ref="AD195" si="189">IF(J195&gt;I194,"依標準圖",MAX(L195:AC195))</f>
        <v>207</v>
      </c>
    </row>
    <row r="198" spans="1:30">
      <c r="A198" s="105" t="s">
        <v>143</v>
      </c>
      <c r="B198" s="107">
        <v>120</v>
      </c>
      <c r="C198" s="108">
        <v>7.5</v>
      </c>
      <c r="D198" s="107">
        <v>4200</v>
      </c>
      <c r="E198" s="109">
        <v>16</v>
      </c>
      <c r="F198" s="110">
        <v>25</v>
      </c>
      <c r="G198" s="107">
        <v>350</v>
      </c>
      <c r="H198" s="109">
        <v>32</v>
      </c>
      <c r="I198" s="111">
        <f>ROUNDDOWN(($B198-2*$C198-2*$E198/10-$H198/10)/(($D$1+1)*$H198/10),0)+1</f>
        <v>16</v>
      </c>
      <c r="J198" s="58">
        <v>9</v>
      </c>
      <c r="K198" s="40" t="s">
        <v>30</v>
      </c>
      <c r="L198" s="56" t="str">
        <f>IF($J198=L$3,IF(L$3&gt;$I198,"-",ROUNDUP(Ld_cal($B198, $C198, $D198, $G198,$E198, $F198, $H198, L$3)*1.3*1.3,0)),"-")</f>
        <v>-</v>
      </c>
      <c r="M198" s="56" t="str">
        <f>IF($J198=M$3,IF(M$3&gt;$I198,"-",ROUNDUP(Ld_cal($B198, $C198, $D198, $G198,$E198, $F198, $H198, M$3)*1.3*1.3,0)),"-")</f>
        <v>-</v>
      </c>
      <c r="N198" s="56" t="str">
        <f>IF($J198=N$3,IF(N$3&gt;$I198,"-",ROUNDUP(Ld_cal($B198, $C198, $D198, $G198,$E198, $F198, $H198, N$3)*1.3*1.3,0)),"-")</f>
        <v>-</v>
      </c>
      <c r="O198" s="56" t="str">
        <f>IF($J198=O$3,IF(O$3&gt;$I198,"-",ROUNDUP(Ld_cal($B198, $C198, $D198, $G198,$E198, $F198, $H198, O$3)*1.3*1.3,0)),"-")</f>
        <v>-</v>
      </c>
      <c r="P198" s="56" t="str">
        <f>IF($J198=P$3,IF(P$3&gt;$I198,"-",ROUNDUP(Ld_cal($B198, $C198, $D198, $G198,$E198, $F198, $H198, P$3)*1.3*1.3,0)),"-")</f>
        <v>-</v>
      </c>
      <c r="Q198" s="56" t="str">
        <f>IF($J198=Q$3,IF(Q$3&gt;$I198,"-",ROUNDUP(Ld_cal($B198, $C198, $D198, $G198,$E198, $F198, $H198, Q$3)*1.3*1.3,0)),"-")</f>
        <v>-</v>
      </c>
      <c r="R198" s="56">
        <f>IF($J198=R$3,IF(R$3&gt;$I198,"-",ROUNDUP(Ld_cal($B198, $C198, $D198, $G198,$E198, $F198, $H198, R$3)*1.3*1.3,0)),"-")</f>
        <v>159</v>
      </c>
      <c r="S198" s="56" t="str">
        <f>IF($J198=S$3,IF(S$3&gt;$I198,"-",ROUNDUP(Ld_cal($B198, $C198, $D198, $G198,$E198, $F198, $H198, S$3)*1.3*1.3,0)),"-")</f>
        <v>-</v>
      </c>
      <c r="T198" s="56" t="str">
        <f>IF($J198=T$3,IF(T$3&gt;$I198,"-",ROUNDUP(Ld_cal($B198, $C198, $D198, $G198,$E198, $F198, $H198, T$3)*1.3*1.3,0)),"-")</f>
        <v>-</v>
      </c>
      <c r="U198" s="56" t="str">
        <f>IF($J198=U$3,IF(U$3&gt;$I198,"-",ROUNDUP(Ld_cal($B198, $C198, $D198, $G198,$E198, $F198, $H198, U$3)*1.3*1.3,0)),"-")</f>
        <v>-</v>
      </c>
      <c r="V198" s="56" t="str">
        <f>IF($J198=V$3,IF(V$3&gt;$I198,"-",ROUNDUP(Ld_cal($B198, $C198, $D198, $G198,$E198, $F198, $H198, V$3)*1.3*1.3,0)),"-")</f>
        <v>-</v>
      </c>
      <c r="W198" s="56" t="str">
        <f>IF($J198=W$3,IF(W$3&gt;$I198,"-",ROUNDUP(Ld_cal($B198, $C198, $D198, $G198,$E198, $F198, $H198, W$3)*1.3*1.3,0)),"-")</f>
        <v>-</v>
      </c>
      <c r="X198" s="56" t="str">
        <f>IF($J198=X$3,IF(X$3&gt;$I198,"-",ROUNDUP(Ld_cal($B198, $C198, $D198, $G198,$E198, $F198, $H198, X$3)*1.3*1.3,0)),"-")</f>
        <v>-</v>
      </c>
      <c r="Y198" s="56" t="str">
        <f>IF($J198=Y$3,IF(Y$3&gt;$I198,"-",ROUNDUP(Ld_cal($B198, $C198, $D198, $G198,$E198, $F198, $H198, Y$3)*1.3*1.3,0)),"-")</f>
        <v>-</v>
      </c>
      <c r="Z198" s="56" t="str">
        <f>IF($J198=Z$3,IF(Z$3&gt;$I198,"-",ROUNDUP(Ld_cal($B198, $C198, $D198, $G198,$E198, $F198, $H198, Z$3)*1.3*1.3,0)),"-")</f>
        <v>-</v>
      </c>
      <c r="AA198" s="56" t="str">
        <f>IF($J198=AA$3,IF(AA$3&gt;$I198,"-",ROUNDUP(Ld_cal($B198, $C198, $D198, $G198,$E198, $F198, $H198, AA$3)*1.3*1.3,0)),"-")</f>
        <v>-</v>
      </c>
      <c r="AB198" s="56" t="str">
        <f>IF($J198=AB$3,IF(AB$3&gt;$I198,"-",ROUNDUP(Ld_cal($B198, $C198, $D198, $G198,$E198, $F198, $H198, AB$3)*1.3*1.3,0)),"-")</f>
        <v>-</v>
      </c>
      <c r="AC198" s="56" t="str">
        <f>IF($J198=AC$3,IF(AC$3&gt;$I198,"-",ROUNDUP(Ld_cal($B198, $C198, $D198, $G198,$E198, $F198, $H198, AC$3)*1.3*1.3,0)),"-")</f>
        <v>-</v>
      </c>
      <c r="AD198" s="56">
        <f t="shared" ref="AD198" si="190">IF(J198&gt;I198,"依標準圖",MAX(L198:AC198))</f>
        <v>159</v>
      </c>
    </row>
    <row r="199" spans="1:30">
      <c r="A199" s="106"/>
      <c r="B199" s="107"/>
      <c r="C199" s="108"/>
      <c r="D199" s="107"/>
      <c r="E199" s="109"/>
      <c r="F199" s="110"/>
      <c r="G199" s="107"/>
      <c r="H199" s="109"/>
      <c r="I199" s="111"/>
      <c r="J199" s="58">
        <v>5</v>
      </c>
      <c r="K199" s="40" t="s">
        <v>29</v>
      </c>
      <c r="L199" s="56" t="str">
        <f>IF($J199=L$3,IF(L$3&gt;$I198,"-",ROUNDUP(Ld_cal($B198, $C198, $D198, $G198,$E198, $F198, $H198, L$3)*1.3,0)),"-")</f>
        <v>-</v>
      </c>
      <c r="M199" s="56" t="str">
        <f>IF($J199=M$3,IF(M$3&gt;$I198,"-",ROUNDUP(Ld_cal($B198, $C198, $D198, $G198,$E198, $F198, $H198, M$3)*1.3,0)),"-")</f>
        <v>-</v>
      </c>
      <c r="N199" s="56">
        <f>IF($J199=N$3,IF(N$3&gt;$I198,"-",ROUNDUP(Ld_cal($B198, $C198, $D198, $G198,$E198, $F198, $H198, N$3)*1.3,0)),"-")</f>
        <v>105</v>
      </c>
      <c r="O199" s="56" t="str">
        <f>IF($J199=O$3,IF(O$3&gt;$I198,"-",ROUNDUP(Ld_cal($B198, $C198, $D198, $G198,$E198, $F198, $H198, O$3)*1.3,0)),"-")</f>
        <v>-</v>
      </c>
      <c r="P199" s="56" t="str">
        <f>IF($J199=P$3,IF(P$3&gt;$I198,"-",ROUNDUP(Ld_cal($B198, $C198, $D198, $G198,$E198, $F198, $H198, P$3)*1.3,0)),"-")</f>
        <v>-</v>
      </c>
      <c r="Q199" s="56" t="str">
        <f>IF($J199=Q$3,IF(Q$3&gt;$I198,"-",ROUNDUP(Ld_cal($B198, $C198, $D198, $G198,$E198, $F198, $H198, Q$3)*1.3,0)),"-")</f>
        <v>-</v>
      </c>
      <c r="R199" s="56" t="str">
        <f>IF($J199=R$3,IF(R$3&gt;$I198,"-",ROUNDUP(Ld_cal($B198, $C198, $D198, $G198,$E198, $F198, $H198, R$3)*1.3,0)),"-")</f>
        <v>-</v>
      </c>
      <c r="S199" s="56" t="str">
        <f>IF($J199=S$3,IF(S$3&gt;$I198,"-",ROUNDUP(Ld_cal($B198, $C198, $D198, $G198,$E198, $F198, $H198, S$3)*1.3,0)),"-")</f>
        <v>-</v>
      </c>
      <c r="T199" s="56" t="str">
        <f>IF($J199=T$3,IF(T$3&gt;$I198,"-",ROUNDUP(Ld_cal($B198, $C198, $D198, $G198,$E198, $F198, $H198, T$3)*1.3,0)),"-")</f>
        <v>-</v>
      </c>
      <c r="U199" s="56" t="str">
        <f>IF($J199=U$3,IF(U$3&gt;$I198,"-",ROUNDUP(Ld_cal($B198, $C198, $D198, $G198,$E198, $F198, $H198, U$3)*1.3,0)),"-")</f>
        <v>-</v>
      </c>
      <c r="V199" s="56" t="str">
        <f>IF($J199=V$3,IF(V$3&gt;$I198,"-",ROUNDUP(Ld_cal($B198, $C198, $D198, $G198,$E198, $F198, $H198, V$3)*1.3,0)),"-")</f>
        <v>-</v>
      </c>
      <c r="W199" s="56" t="str">
        <f>IF($J199=W$3,IF(W$3&gt;$I198,"-",ROUNDUP(Ld_cal($B198, $C198, $D198, $G198,$E198, $F198, $H198, W$3)*1.3,0)),"-")</f>
        <v>-</v>
      </c>
      <c r="X199" s="56" t="str">
        <f>IF($J199=X$3,IF(X$3&gt;$I198,"-",ROUNDUP(Ld_cal($B198, $C198, $D198, $G198,$E198, $F198, $H198, X$3)*1.3,0)),"-")</f>
        <v>-</v>
      </c>
      <c r="Y199" s="56" t="str">
        <f>IF($J199=Y$3,IF(Y$3&gt;$I198,"-",ROUNDUP(Ld_cal($B198, $C198, $D198, $G198,$E198, $F198, $H198, Y$3)*1.3,0)),"-")</f>
        <v>-</v>
      </c>
      <c r="Z199" s="56" t="str">
        <f>IF($J199=Z$3,IF(Z$3&gt;$I198,"-",ROUNDUP(Ld_cal($B198, $C198, $D198, $G198,$E198, $F198, $H198, Z$3)*1.3,0)),"-")</f>
        <v>-</v>
      </c>
      <c r="AA199" s="56" t="str">
        <f>IF($J199=AA$3,IF(AA$3&gt;$I198,"-",ROUNDUP(Ld_cal($B198, $C198, $D198, $G198,$E198, $F198, $H198, AA$3)*1.3,0)),"-")</f>
        <v>-</v>
      </c>
      <c r="AB199" s="56" t="str">
        <f>IF($J199=AB$3,IF(AB$3&gt;$I198,"-",ROUNDUP(Ld_cal($B198, $C198, $D198, $G198,$E198, $F198, $H198, AB$3)*1.3,0)),"-")</f>
        <v>-</v>
      </c>
      <c r="AC199" s="56" t="str">
        <f>IF($J199=AC$3,IF(AC$3&gt;$I198,"-",ROUNDUP(Ld_cal($B198, $C198, $D198, $G198,$E198, $F198, $H198, AC$3)*1.3,0)),"-")</f>
        <v>-</v>
      </c>
      <c r="AD199" s="56">
        <f t="shared" ref="AD199" si="191">IF(J199&gt;I198,"依標準圖",MAX(L199:AC199))</f>
        <v>105</v>
      </c>
    </row>
    <row r="200" spans="1:30">
      <c r="A200" s="97" t="s">
        <v>144</v>
      </c>
      <c r="B200" s="99">
        <v>120</v>
      </c>
      <c r="C200" s="100">
        <v>7.5</v>
      </c>
      <c r="D200" s="101">
        <v>4200</v>
      </c>
      <c r="E200" s="102">
        <v>16</v>
      </c>
      <c r="F200" s="103">
        <v>25</v>
      </c>
      <c r="G200" s="101">
        <v>350</v>
      </c>
      <c r="H200" s="102">
        <v>32</v>
      </c>
      <c r="I200" s="104">
        <f>ROUNDDOWN(($B200-2*$C200-2*$E200/10-$H200/10)/(($D$1+1)*$H200/10),0)+1</f>
        <v>16</v>
      </c>
      <c r="J200" s="57">
        <v>10</v>
      </c>
      <c r="K200" s="59" t="s">
        <v>30</v>
      </c>
      <c r="L200" s="55" t="str">
        <f>IF($J200=L$3,IF(L$3&gt;$I200,"-",ROUNDUP(Ld_cal($B200, $C200, $D200, $G200,$E200, $F200, $H200, L$3)*1.3*1.3,0)),"-")</f>
        <v>-</v>
      </c>
      <c r="M200" s="55" t="str">
        <f>IF($J200=M$3,IF(M$3&gt;$I200,"-",ROUNDUP(Ld_cal($B200, $C200, $D200, $G200,$E200, $F200, $H200, M$3)*1.3*1.3,0)),"-")</f>
        <v>-</v>
      </c>
      <c r="N200" s="55" t="str">
        <f>IF($J200=N$3,IF(N$3&gt;$I200,"-",ROUNDUP(Ld_cal($B200, $C200, $D200, $G200,$E200, $F200, $H200, N$3)*1.3*1.3,0)),"-")</f>
        <v>-</v>
      </c>
      <c r="O200" s="55" t="str">
        <f>IF($J200=O$3,IF(O$3&gt;$I200,"-",ROUNDUP(Ld_cal($B200, $C200, $D200, $G200,$E200, $F200, $H200, O$3)*1.3*1.3,0)),"-")</f>
        <v>-</v>
      </c>
      <c r="P200" s="55" t="str">
        <f>IF($J200=P$3,IF(P$3&gt;$I200,"-",ROUNDUP(Ld_cal($B200, $C200, $D200, $G200,$E200, $F200, $H200, P$3)*1.3*1.3,0)),"-")</f>
        <v>-</v>
      </c>
      <c r="Q200" s="55" t="str">
        <f>IF($J200=Q$3,IF(Q$3&gt;$I200,"-",ROUNDUP(Ld_cal($B200, $C200, $D200, $G200,$E200, $F200, $H200, Q$3)*1.3*1.3,0)),"-")</f>
        <v>-</v>
      </c>
      <c r="R200" s="55" t="str">
        <f>IF($J200=R$3,IF(R$3&gt;$I200,"-",ROUNDUP(Ld_cal($B200, $C200, $D200, $G200,$E200, $F200, $H200, R$3)*1.3*1.3,0)),"-")</f>
        <v>-</v>
      </c>
      <c r="S200" s="55">
        <f>IF($J200=S$3,IF(S$3&gt;$I200,"-",ROUNDUP(Ld_cal($B200, $C200, $D200, $G200,$E200, $F200, $H200, S$3)*1.3*1.3,0)),"-")</f>
        <v>178</v>
      </c>
      <c r="T200" s="55" t="str">
        <f>IF($J200=T$3,IF(T$3&gt;$I200,"-",ROUNDUP(Ld_cal($B200, $C200, $D200, $G200,$E200, $F200, $H200, T$3)*1.3*1.3,0)),"-")</f>
        <v>-</v>
      </c>
      <c r="U200" s="55" t="str">
        <f>IF($J200=U$3,IF(U$3&gt;$I200,"-",ROUNDUP(Ld_cal($B200, $C200, $D200, $G200,$E200, $F200, $H200, U$3)*1.3*1.3,0)),"-")</f>
        <v>-</v>
      </c>
      <c r="V200" s="55" t="str">
        <f>IF($J200=V$3,IF(V$3&gt;$I200,"-",ROUNDUP(Ld_cal($B200, $C200, $D200, $G200,$E200, $F200, $H200, V$3)*1.3*1.3,0)),"-")</f>
        <v>-</v>
      </c>
      <c r="W200" s="55" t="str">
        <f>IF($J200=W$3,IF(W$3&gt;$I200,"-",ROUNDUP(Ld_cal($B200, $C200, $D200, $G200,$E200, $F200, $H200, W$3)*1.3*1.3,0)),"-")</f>
        <v>-</v>
      </c>
      <c r="X200" s="55" t="str">
        <f>IF($J200=X$3,IF(X$3&gt;$I200,"-",ROUNDUP(Ld_cal($B200, $C200, $D200, $G200,$E200, $F200, $H200, X$3)*1.3*1.3,0)),"-")</f>
        <v>-</v>
      </c>
      <c r="Y200" s="55" t="str">
        <f>IF($J200=Y$3,IF(Y$3&gt;$I200,"-",ROUNDUP(Ld_cal($B200, $C200, $D200, $G200,$E200, $F200, $H200, Y$3)*1.3*1.3,0)),"-")</f>
        <v>-</v>
      </c>
      <c r="Z200" s="55" t="str">
        <f>IF($J200=Z$3,IF(Z$3&gt;$I200,"-",ROUNDUP(Ld_cal($B200, $C200, $D200, $G200,$E200, $F200, $H200, Z$3)*1.3*1.3,0)),"-")</f>
        <v>-</v>
      </c>
      <c r="AA200" s="55" t="str">
        <f>IF($J200=AA$3,IF(AA$3&gt;$I200,"-",ROUNDUP(Ld_cal($B200, $C200, $D200, $G200,$E200, $F200, $H200, AA$3)*1.3*1.3,0)),"-")</f>
        <v>-</v>
      </c>
      <c r="AB200" s="55" t="str">
        <f>IF($J200=AB$3,IF(AB$3&gt;$I200,"-",ROUNDUP(Ld_cal($B200, $C200, $D200, $G200,$E200, $F200, $H200, AB$3)*1.3*1.3,0)),"-")</f>
        <v>-</v>
      </c>
      <c r="AC200" s="55" t="str">
        <f>IF($J200=AC$3,IF(AC$3&gt;$I200,"-",ROUNDUP(Ld_cal($B200, $C200, $D200, $G200,$E200, $F200, $H200, AC$3)*1.3*1.3,0)),"-")</f>
        <v>-</v>
      </c>
      <c r="AD200" s="55">
        <f t="shared" ref="AD200" si="192">IF(J200&gt;I200,"依標準圖",MAX(L200:AC200))</f>
        <v>178</v>
      </c>
    </row>
    <row r="201" spans="1:30">
      <c r="A201" s="98"/>
      <c r="B201" s="99"/>
      <c r="C201" s="100"/>
      <c r="D201" s="101"/>
      <c r="E201" s="102"/>
      <c r="F201" s="103"/>
      <c r="G201" s="101"/>
      <c r="H201" s="102"/>
      <c r="I201" s="104"/>
      <c r="J201" s="57">
        <v>5</v>
      </c>
      <c r="K201" s="59" t="s">
        <v>29</v>
      </c>
      <c r="L201" s="55" t="str">
        <f>IF($J201=L$3,IF(L$3&gt;$I200,"-",ROUNDUP(Ld_cal($B200, $C200, $D200, $G200,$E200, $F200, $H200, L$3)*1.3,0)),"-")</f>
        <v>-</v>
      </c>
      <c r="M201" s="55" t="str">
        <f>IF($J201=M$3,IF(M$3&gt;$I200,"-",ROUNDUP(Ld_cal($B200, $C200, $D200, $G200,$E200, $F200, $H200, M$3)*1.3,0)),"-")</f>
        <v>-</v>
      </c>
      <c r="N201" s="55">
        <f>IF($J201=N$3,IF(N$3&gt;$I200,"-",ROUNDUP(Ld_cal($B200, $C200, $D200, $G200,$E200, $F200, $H200, N$3)*1.3,0)),"-")</f>
        <v>105</v>
      </c>
      <c r="O201" s="55" t="str">
        <f>IF($J201=O$3,IF(O$3&gt;$I200,"-",ROUNDUP(Ld_cal($B200, $C200, $D200, $G200,$E200, $F200, $H200, O$3)*1.3,0)),"-")</f>
        <v>-</v>
      </c>
      <c r="P201" s="55" t="str">
        <f>IF($J201=P$3,IF(P$3&gt;$I200,"-",ROUNDUP(Ld_cal($B200, $C200, $D200, $G200,$E200, $F200, $H200, P$3)*1.3,0)),"-")</f>
        <v>-</v>
      </c>
      <c r="Q201" s="55" t="str">
        <f>IF($J201=Q$3,IF(Q$3&gt;$I200,"-",ROUNDUP(Ld_cal($B200, $C200, $D200, $G200,$E200, $F200, $H200, Q$3)*1.3,0)),"-")</f>
        <v>-</v>
      </c>
      <c r="R201" s="55" t="str">
        <f>IF($J201=R$3,IF(R$3&gt;$I200,"-",ROUNDUP(Ld_cal($B200, $C200, $D200, $G200,$E200, $F200, $H200, R$3)*1.3,0)),"-")</f>
        <v>-</v>
      </c>
      <c r="S201" s="55" t="str">
        <f>IF($J201=S$3,IF(S$3&gt;$I200,"-",ROUNDUP(Ld_cal($B200, $C200, $D200, $G200,$E200, $F200, $H200, S$3)*1.3,0)),"-")</f>
        <v>-</v>
      </c>
      <c r="T201" s="55" t="str">
        <f>IF($J201=T$3,IF(T$3&gt;$I200,"-",ROUNDUP(Ld_cal($B200, $C200, $D200, $G200,$E200, $F200, $H200, T$3)*1.3,0)),"-")</f>
        <v>-</v>
      </c>
      <c r="U201" s="55" t="str">
        <f>IF($J201=U$3,IF(U$3&gt;$I200,"-",ROUNDUP(Ld_cal($B200, $C200, $D200, $G200,$E200, $F200, $H200, U$3)*1.3,0)),"-")</f>
        <v>-</v>
      </c>
      <c r="V201" s="55" t="str">
        <f>IF($J201=V$3,IF(V$3&gt;$I200,"-",ROUNDUP(Ld_cal($B200, $C200, $D200, $G200,$E200, $F200, $H200, V$3)*1.3,0)),"-")</f>
        <v>-</v>
      </c>
      <c r="W201" s="55" t="str">
        <f>IF($J201=W$3,IF(W$3&gt;$I200,"-",ROUNDUP(Ld_cal($B200, $C200, $D200, $G200,$E200, $F200, $H200, W$3)*1.3,0)),"-")</f>
        <v>-</v>
      </c>
      <c r="X201" s="55" t="str">
        <f>IF($J201=X$3,IF(X$3&gt;$I200,"-",ROUNDUP(Ld_cal($B200, $C200, $D200, $G200,$E200, $F200, $H200, X$3)*1.3,0)),"-")</f>
        <v>-</v>
      </c>
      <c r="Y201" s="55" t="str">
        <f>IF($J201=Y$3,IF(Y$3&gt;$I200,"-",ROUNDUP(Ld_cal($B200, $C200, $D200, $G200,$E200, $F200, $H200, Y$3)*1.3,0)),"-")</f>
        <v>-</v>
      </c>
      <c r="Z201" s="55" t="str">
        <f>IF($J201=Z$3,IF(Z$3&gt;$I200,"-",ROUNDUP(Ld_cal($B200, $C200, $D200, $G200,$E200, $F200, $H200, Z$3)*1.3,0)),"-")</f>
        <v>-</v>
      </c>
      <c r="AA201" s="55" t="str">
        <f>IF($J201=AA$3,IF(AA$3&gt;$I200,"-",ROUNDUP(Ld_cal($B200, $C200, $D200, $G200,$E200, $F200, $H200, AA$3)*1.3,0)),"-")</f>
        <v>-</v>
      </c>
      <c r="AB201" s="55" t="str">
        <f>IF($J201=AB$3,IF(AB$3&gt;$I200,"-",ROUNDUP(Ld_cal($B200, $C200, $D200, $G200,$E200, $F200, $H200, AB$3)*1.3,0)),"-")</f>
        <v>-</v>
      </c>
      <c r="AC201" s="55" t="str">
        <f>IF($J201=AC$3,IF(AC$3&gt;$I200,"-",ROUNDUP(Ld_cal($B200, $C200, $D200, $G200,$E200, $F200, $H200, AC$3)*1.3,0)),"-")</f>
        <v>-</v>
      </c>
      <c r="AD201" s="55">
        <f t="shared" ref="AD201" si="193">IF(J201&gt;I200,"依標準圖",MAX(L201:AC201))</f>
        <v>105</v>
      </c>
    </row>
    <row r="202" spans="1:30">
      <c r="A202" s="105" t="s">
        <v>145</v>
      </c>
      <c r="B202" s="107">
        <v>120</v>
      </c>
      <c r="C202" s="108">
        <v>7.5</v>
      </c>
      <c r="D202" s="107">
        <v>4200</v>
      </c>
      <c r="E202" s="109">
        <v>16</v>
      </c>
      <c r="F202" s="110">
        <v>25</v>
      </c>
      <c r="G202" s="107">
        <v>350</v>
      </c>
      <c r="H202" s="109">
        <v>32</v>
      </c>
      <c r="I202" s="111">
        <f>ROUNDDOWN(($B202-2*$C202-2*$E202/10-$H202/10)/(($D$1+1)*$H202/10),0)+1</f>
        <v>16</v>
      </c>
      <c r="J202" s="62">
        <v>15</v>
      </c>
      <c r="K202" s="40" t="s">
        <v>30</v>
      </c>
      <c r="L202" s="63" t="str">
        <f>IF($J202=L$3,IF(L$3&gt;$I202,"-",ROUNDUP(Ld_cal($B202, $C202, $D202, $G202,$E202, $F202, $H202, L$3)*1.3*1.3,0)),"-")</f>
        <v>-</v>
      </c>
      <c r="M202" s="63" t="str">
        <f>IF($J202=M$3,IF(M$3&gt;$I202,"-",ROUNDUP(Ld_cal($B202, $C202, $D202, $G202,$E202, $F202, $H202, M$3)*1.3*1.3,0)),"-")</f>
        <v>-</v>
      </c>
      <c r="N202" s="63" t="str">
        <f>IF($J202=N$3,IF(N$3&gt;$I202,"-",ROUNDUP(Ld_cal($B202, $C202, $D202, $G202,$E202, $F202, $H202, N$3)*1.3*1.3,0)),"-")</f>
        <v>-</v>
      </c>
      <c r="O202" s="63" t="str">
        <f>IF($J202=O$3,IF(O$3&gt;$I202,"-",ROUNDUP(Ld_cal($B202, $C202, $D202, $G202,$E202, $F202, $H202, O$3)*1.3*1.3,0)),"-")</f>
        <v>-</v>
      </c>
      <c r="P202" s="63" t="str">
        <f>IF($J202=P$3,IF(P$3&gt;$I202,"-",ROUNDUP(Ld_cal($B202, $C202, $D202, $G202,$E202, $F202, $H202, P$3)*1.3*1.3,0)),"-")</f>
        <v>-</v>
      </c>
      <c r="Q202" s="63" t="str">
        <f>IF($J202=Q$3,IF(Q$3&gt;$I202,"-",ROUNDUP(Ld_cal($B202, $C202, $D202, $G202,$E202, $F202, $H202, Q$3)*1.3*1.3,0)),"-")</f>
        <v>-</v>
      </c>
      <c r="R202" s="63" t="str">
        <f>IF($J202=R$3,IF(R$3&gt;$I202,"-",ROUNDUP(Ld_cal($B202, $C202, $D202, $G202,$E202, $F202, $H202, R$3)*1.3*1.3,0)),"-")</f>
        <v>-</v>
      </c>
      <c r="S202" s="63" t="str">
        <f>IF($J202=S$3,IF(S$3&gt;$I202,"-",ROUNDUP(Ld_cal($B202, $C202, $D202, $G202,$E202, $F202, $H202, S$3)*1.3*1.3,0)),"-")</f>
        <v>-</v>
      </c>
      <c r="T202" s="63" t="str">
        <f>IF($J202=T$3,IF(T$3&gt;$I202,"-",ROUNDUP(Ld_cal($B202, $C202, $D202, $G202,$E202, $F202, $H202, T$3)*1.3*1.3,0)),"-")</f>
        <v>-</v>
      </c>
      <c r="U202" s="63" t="str">
        <f>IF($J202=U$3,IF(U$3&gt;$I202,"-",ROUNDUP(Ld_cal($B202, $C202, $D202, $G202,$E202, $F202, $H202, U$3)*1.3*1.3,0)),"-")</f>
        <v>-</v>
      </c>
      <c r="V202" s="63" t="str">
        <f>IF($J202=V$3,IF(V$3&gt;$I202,"-",ROUNDUP(Ld_cal($B202, $C202, $D202, $G202,$E202, $F202, $H202, V$3)*1.3*1.3,0)),"-")</f>
        <v>-</v>
      </c>
      <c r="W202" s="63" t="str">
        <f>IF($J202=W$3,IF(W$3&gt;$I202,"-",ROUNDUP(Ld_cal($B202, $C202, $D202, $G202,$E202, $F202, $H202, W$3)*1.3*1.3,0)),"-")</f>
        <v>-</v>
      </c>
      <c r="X202" s="63">
        <f>IF($J202=X$3,IF(X$3&gt;$I202,"-",ROUNDUP(Ld_cal($B202, $C202, $D202, $G202,$E202, $F202, $H202, X$3)*1.3*1.3,0)),"-")</f>
        <v>276</v>
      </c>
      <c r="Y202" s="63" t="str">
        <f>IF($J202=Y$3,IF(Y$3&gt;$I202,"-",ROUNDUP(Ld_cal($B202, $C202, $D202, $G202,$E202, $F202, $H202, Y$3)*1.3*1.3,0)),"-")</f>
        <v>-</v>
      </c>
      <c r="Z202" s="63" t="str">
        <f>IF($J202=Z$3,IF(Z$3&gt;$I202,"-",ROUNDUP(Ld_cal($B202, $C202, $D202, $G202,$E202, $F202, $H202, Z$3)*1.3*1.3,0)),"-")</f>
        <v>-</v>
      </c>
      <c r="AA202" s="63" t="str">
        <f>IF($J202=AA$3,IF(AA$3&gt;$I202,"-",ROUNDUP(Ld_cal($B202, $C202, $D202, $G202,$E202, $F202, $H202, AA$3)*1.3*1.3,0)),"-")</f>
        <v>-</v>
      </c>
      <c r="AB202" s="63" t="str">
        <f>IF($J202=AB$3,IF(AB$3&gt;$I202,"-",ROUNDUP(Ld_cal($B202, $C202, $D202, $G202,$E202, $F202, $H202, AB$3)*1.3*1.3,0)),"-")</f>
        <v>-</v>
      </c>
      <c r="AC202" s="63" t="str">
        <f>IF($J202=AC$3,IF(AC$3&gt;$I202,"-",ROUNDUP(Ld_cal($B202, $C202, $D202, $G202,$E202, $F202, $H202, AC$3)*1.3*1.3,0)),"-")</f>
        <v>-</v>
      </c>
      <c r="AD202" s="63">
        <f t="shared" ref="AD202" si="194">IF(J202&gt;I202,"依標準圖",MAX(L202:AC202))</f>
        <v>276</v>
      </c>
    </row>
    <row r="203" spans="1:30">
      <c r="A203" s="106"/>
      <c r="B203" s="107"/>
      <c r="C203" s="108"/>
      <c r="D203" s="107"/>
      <c r="E203" s="109"/>
      <c r="F203" s="110"/>
      <c r="G203" s="107"/>
      <c r="H203" s="109"/>
      <c r="I203" s="111"/>
      <c r="J203" s="62">
        <v>6</v>
      </c>
      <c r="K203" s="40" t="s">
        <v>29</v>
      </c>
      <c r="L203" s="63" t="str">
        <f>IF($J203=L$3,IF(L$3&gt;$I202,"-",ROUNDUP(Ld_cal($B202, $C202, $D202, $G202,$E202, $F202, $H202, L$3)*1.3,0)),"-")</f>
        <v>-</v>
      </c>
      <c r="M203" s="63" t="str">
        <f>IF($J203=M$3,IF(M$3&gt;$I202,"-",ROUNDUP(Ld_cal($B202, $C202, $D202, $G202,$E202, $F202, $H202, M$3)*1.3,0)),"-")</f>
        <v>-</v>
      </c>
      <c r="N203" s="63" t="str">
        <f>IF($J203=N$3,IF(N$3&gt;$I202,"-",ROUNDUP(Ld_cal($B202, $C202, $D202, $G202,$E202, $F202, $H202, N$3)*1.3,0)),"-")</f>
        <v>-</v>
      </c>
      <c r="O203" s="63">
        <f>IF($J203=O$3,IF(O$3&gt;$I202,"-",ROUNDUP(Ld_cal($B202, $C202, $D202, $G202,$E202, $F202, $H202, O$3)*1.3,0)),"-")</f>
        <v>105</v>
      </c>
      <c r="P203" s="63" t="str">
        <f>IF($J203=P$3,IF(P$3&gt;$I202,"-",ROUNDUP(Ld_cal($B202, $C202, $D202, $G202,$E202, $F202, $H202, P$3)*1.3,0)),"-")</f>
        <v>-</v>
      </c>
      <c r="Q203" s="63" t="str">
        <f>IF($J203=Q$3,IF(Q$3&gt;$I202,"-",ROUNDUP(Ld_cal($B202, $C202, $D202, $G202,$E202, $F202, $H202, Q$3)*1.3,0)),"-")</f>
        <v>-</v>
      </c>
      <c r="R203" s="63" t="str">
        <f>IF($J203=R$3,IF(R$3&gt;$I202,"-",ROUNDUP(Ld_cal($B202, $C202, $D202, $G202,$E202, $F202, $H202, R$3)*1.3,0)),"-")</f>
        <v>-</v>
      </c>
      <c r="S203" s="63" t="str">
        <f>IF($J203=S$3,IF(S$3&gt;$I202,"-",ROUNDUP(Ld_cal($B202, $C202, $D202, $G202,$E202, $F202, $H202, S$3)*1.3,0)),"-")</f>
        <v>-</v>
      </c>
      <c r="T203" s="63" t="str">
        <f>IF($J203=T$3,IF(T$3&gt;$I202,"-",ROUNDUP(Ld_cal($B202, $C202, $D202, $G202,$E202, $F202, $H202, T$3)*1.3,0)),"-")</f>
        <v>-</v>
      </c>
      <c r="U203" s="63" t="str">
        <f>IF($J203=U$3,IF(U$3&gt;$I202,"-",ROUNDUP(Ld_cal($B202, $C202, $D202, $G202,$E202, $F202, $H202, U$3)*1.3,0)),"-")</f>
        <v>-</v>
      </c>
      <c r="V203" s="63" t="str">
        <f>IF($J203=V$3,IF(V$3&gt;$I202,"-",ROUNDUP(Ld_cal($B202, $C202, $D202, $G202,$E202, $F202, $H202, V$3)*1.3,0)),"-")</f>
        <v>-</v>
      </c>
      <c r="W203" s="63" t="str">
        <f>IF($J203=W$3,IF(W$3&gt;$I202,"-",ROUNDUP(Ld_cal($B202, $C202, $D202, $G202,$E202, $F202, $H202, W$3)*1.3,0)),"-")</f>
        <v>-</v>
      </c>
      <c r="X203" s="63" t="str">
        <f>IF($J203=X$3,IF(X$3&gt;$I202,"-",ROUNDUP(Ld_cal($B202, $C202, $D202, $G202,$E202, $F202, $H202, X$3)*1.3,0)),"-")</f>
        <v>-</v>
      </c>
      <c r="Y203" s="63" t="str">
        <f>IF($J203=Y$3,IF(Y$3&gt;$I202,"-",ROUNDUP(Ld_cal($B202, $C202, $D202, $G202,$E202, $F202, $H202, Y$3)*1.3,0)),"-")</f>
        <v>-</v>
      </c>
      <c r="Z203" s="63" t="str">
        <f>IF($J203=Z$3,IF(Z$3&gt;$I202,"-",ROUNDUP(Ld_cal($B202, $C202, $D202, $G202,$E202, $F202, $H202, Z$3)*1.3,0)),"-")</f>
        <v>-</v>
      </c>
      <c r="AA203" s="63" t="str">
        <f>IF($J203=AA$3,IF(AA$3&gt;$I202,"-",ROUNDUP(Ld_cal($B202, $C202, $D202, $G202,$E202, $F202, $H202, AA$3)*1.3,0)),"-")</f>
        <v>-</v>
      </c>
      <c r="AB203" s="63" t="str">
        <f>IF($J203=AB$3,IF(AB$3&gt;$I202,"-",ROUNDUP(Ld_cal($B202, $C202, $D202, $G202,$E202, $F202, $H202, AB$3)*1.3,0)),"-")</f>
        <v>-</v>
      </c>
      <c r="AC203" s="63" t="str">
        <f>IF($J203=AC$3,IF(AC$3&gt;$I202,"-",ROUNDUP(Ld_cal($B202, $C202, $D202, $G202,$E202, $F202, $H202, AC$3)*1.3,0)),"-")</f>
        <v>-</v>
      </c>
      <c r="AD203" s="63">
        <f t="shared" ref="AD203" si="195">IF(J203&gt;I202,"依標準圖",MAX(L203:AC203))</f>
        <v>105</v>
      </c>
    </row>
    <row r="204" spans="1:30">
      <c r="A204" s="97" t="s">
        <v>146</v>
      </c>
      <c r="B204" s="99">
        <v>120</v>
      </c>
      <c r="C204" s="100">
        <v>7.5</v>
      </c>
      <c r="D204" s="101">
        <v>4200</v>
      </c>
      <c r="E204" s="102">
        <v>16</v>
      </c>
      <c r="F204" s="103">
        <v>6</v>
      </c>
      <c r="G204" s="101">
        <v>350</v>
      </c>
      <c r="H204" s="102">
        <v>32</v>
      </c>
      <c r="I204" s="104">
        <f>ROUNDDOWN(($B204-2*$C204-2*$E204/10-$H204/10)/(($D$1+1)*$H204/10),0)+1</f>
        <v>16</v>
      </c>
      <c r="J204" s="60">
        <v>9</v>
      </c>
      <c r="K204" s="64" t="s">
        <v>30</v>
      </c>
      <c r="L204" s="61" t="str">
        <f>IF($J204=L$3,IF(L$3&gt;$I204,"-",ROUNDUP(Ld_cal($B204, $C204, $D204, $G204,$E204, $F204, $H204, L$3)*1.3*1.3,0)),"-")</f>
        <v>-</v>
      </c>
      <c r="M204" s="61" t="str">
        <f>IF($J204=M$3,IF(M$3&gt;$I204,"-",ROUNDUP(Ld_cal($B204, $C204, $D204, $G204,$E204, $F204, $H204, M$3)*1.3*1.3,0)),"-")</f>
        <v>-</v>
      </c>
      <c r="N204" s="61" t="str">
        <f>IF($J204=N$3,IF(N$3&gt;$I204,"-",ROUNDUP(Ld_cal($B204, $C204, $D204, $G204,$E204, $F204, $H204, N$3)*1.3*1.3,0)),"-")</f>
        <v>-</v>
      </c>
      <c r="O204" s="61" t="str">
        <f>IF($J204=O$3,IF(O$3&gt;$I204,"-",ROUNDUP(Ld_cal($B204, $C204, $D204, $G204,$E204, $F204, $H204, O$3)*1.3*1.3,0)),"-")</f>
        <v>-</v>
      </c>
      <c r="P204" s="61" t="str">
        <f>IF($J204=P$3,IF(P$3&gt;$I204,"-",ROUNDUP(Ld_cal($B204, $C204, $D204, $G204,$E204, $F204, $H204, P$3)*1.3*1.3,0)),"-")</f>
        <v>-</v>
      </c>
      <c r="Q204" s="61" t="str">
        <f>IF($J204=Q$3,IF(Q$3&gt;$I204,"-",ROUNDUP(Ld_cal($B204, $C204, $D204, $G204,$E204, $F204, $H204, Q$3)*1.3*1.3,0)),"-")</f>
        <v>-</v>
      </c>
      <c r="R204" s="61">
        <f>IF($J204=R$3,IF(R$3&gt;$I204,"-",ROUNDUP(Ld_cal($B204, $C204, $D204, $G204,$E204, $F204, $H204, R$3)*1.3*1.3,0)),"-")</f>
        <v>136</v>
      </c>
      <c r="S204" s="61" t="str">
        <f>IF($J204=S$3,IF(S$3&gt;$I204,"-",ROUNDUP(Ld_cal($B204, $C204, $D204, $G204,$E204, $F204, $H204, S$3)*1.3*1.3,0)),"-")</f>
        <v>-</v>
      </c>
      <c r="T204" s="61" t="str">
        <f>IF($J204=T$3,IF(T$3&gt;$I204,"-",ROUNDUP(Ld_cal($B204, $C204, $D204, $G204,$E204, $F204, $H204, T$3)*1.3*1.3,0)),"-")</f>
        <v>-</v>
      </c>
      <c r="U204" s="61" t="str">
        <f>IF($J204=U$3,IF(U$3&gt;$I204,"-",ROUNDUP(Ld_cal($B204, $C204, $D204, $G204,$E204, $F204, $H204, U$3)*1.3*1.3,0)),"-")</f>
        <v>-</v>
      </c>
      <c r="V204" s="61" t="str">
        <f>IF($J204=V$3,IF(V$3&gt;$I204,"-",ROUNDUP(Ld_cal($B204, $C204, $D204, $G204,$E204, $F204, $H204, V$3)*1.3*1.3,0)),"-")</f>
        <v>-</v>
      </c>
      <c r="W204" s="61" t="str">
        <f>IF($J204=W$3,IF(W$3&gt;$I204,"-",ROUNDUP(Ld_cal($B204, $C204, $D204, $G204,$E204, $F204, $H204, W$3)*1.3*1.3,0)),"-")</f>
        <v>-</v>
      </c>
      <c r="X204" s="61" t="str">
        <f>IF($J204=X$3,IF(X$3&gt;$I204,"-",ROUNDUP(Ld_cal($B204, $C204, $D204, $G204,$E204, $F204, $H204, X$3)*1.3*1.3,0)),"-")</f>
        <v>-</v>
      </c>
      <c r="Y204" s="61" t="str">
        <f>IF($J204=Y$3,IF(Y$3&gt;$I204,"-",ROUNDUP(Ld_cal($B204, $C204, $D204, $G204,$E204, $F204, $H204, Y$3)*1.3*1.3,0)),"-")</f>
        <v>-</v>
      </c>
      <c r="Z204" s="61" t="str">
        <f>IF($J204=Z$3,IF(Z$3&gt;$I204,"-",ROUNDUP(Ld_cal($B204, $C204, $D204, $G204,$E204, $F204, $H204, Z$3)*1.3*1.3,0)),"-")</f>
        <v>-</v>
      </c>
      <c r="AA204" s="61" t="str">
        <f>IF($J204=AA$3,IF(AA$3&gt;$I204,"-",ROUNDUP(Ld_cal($B204, $C204, $D204, $G204,$E204, $F204, $H204, AA$3)*1.3*1.3,0)),"-")</f>
        <v>-</v>
      </c>
      <c r="AB204" s="61" t="str">
        <f>IF($J204=AB$3,IF(AB$3&gt;$I204,"-",ROUNDUP(Ld_cal($B204, $C204, $D204, $G204,$E204, $F204, $H204, AB$3)*1.3*1.3,0)),"-")</f>
        <v>-</v>
      </c>
      <c r="AC204" s="61" t="str">
        <f>IF($J204=AC$3,IF(AC$3&gt;$I204,"-",ROUNDUP(Ld_cal($B204, $C204, $D204, $G204,$E204, $F204, $H204, AC$3)*1.3*1.3,0)),"-")</f>
        <v>-</v>
      </c>
      <c r="AD204" s="61">
        <f t="shared" ref="AD204" si="196">IF(J204&gt;I204,"依標準圖",MAX(L204:AC204))</f>
        <v>136</v>
      </c>
    </row>
    <row r="205" spans="1:30">
      <c r="A205" s="98"/>
      <c r="B205" s="99"/>
      <c r="C205" s="100"/>
      <c r="D205" s="101"/>
      <c r="E205" s="102"/>
      <c r="F205" s="103"/>
      <c r="G205" s="101"/>
      <c r="H205" s="102"/>
      <c r="I205" s="104"/>
      <c r="J205" s="60">
        <v>11</v>
      </c>
      <c r="K205" s="64" t="s">
        <v>29</v>
      </c>
      <c r="L205" s="61" t="str">
        <f>IF($J205=L$3,IF(L$3&gt;$I204,"-",ROUNDUP(Ld_cal($B204, $C204, $D204, $G204,$E204, $F204, $H204, L$3)*1.3,0)),"-")</f>
        <v>-</v>
      </c>
      <c r="M205" s="61" t="str">
        <f>IF($J205=M$3,IF(M$3&gt;$I204,"-",ROUNDUP(Ld_cal($B204, $C204, $D204, $G204,$E204, $F204, $H204, M$3)*1.3,0)),"-")</f>
        <v>-</v>
      </c>
      <c r="N205" s="61" t="str">
        <f>IF($J205=N$3,IF(N$3&gt;$I204,"-",ROUNDUP(Ld_cal($B204, $C204, $D204, $G204,$E204, $F204, $H204, N$3)*1.3,0)),"-")</f>
        <v>-</v>
      </c>
      <c r="O205" s="61" t="str">
        <f>IF($J205=O$3,IF(O$3&gt;$I204,"-",ROUNDUP(Ld_cal($B204, $C204, $D204, $G204,$E204, $F204, $H204, O$3)*1.3,0)),"-")</f>
        <v>-</v>
      </c>
      <c r="P205" s="61" t="str">
        <f>IF($J205=P$3,IF(P$3&gt;$I204,"-",ROUNDUP(Ld_cal($B204, $C204, $D204, $G204,$E204, $F204, $H204, P$3)*1.3,0)),"-")</f>
        <v>-</v>
      </c>
      <c r="Q205" s="61" t="str">
        <f>IF($J205=Q$3,IF(Q$3&gt;$I204,"-",ROUNDUP(Ld_cal($B204, $C204, $D204, $G204,$E204, $F204, $H204, Q$3)*1.3,0)),"-")</f>
        <v>-</v>
      </c>
      <c r="R205" s="61" t="str">
        <f>IF($J205=R$3,IF(R$3&gt;$I204,"-",ROUNDUP(Ld_cal($B204, $C204, $D204, $G204,$E204, $F204, $H204, R$3)*1.3,0)),"-")</f>
        <v>-</v>
      </c>
      <c r="S205" s="61" t="str">
        <f>IF($J205=S$3,IF(S$3&gt;$I204,"-",ROUNDUP(Ld_cal($B204, $C204, $D204, $G204,$E204, $F204, $H204, S$3)*1.3,0)),"-")</f>
        <v>-</v>
      </c>
      <c r="T205" s="61">
        <f>IF($J205=T$3,IF(T$3&gt;$I204,"-",ROUNDUP(Ld_cal($B204, $C204, $D204, $G204,$E204, $F204, $H204, T$3)*1.3,0)),"-")</f>
        <v>114</v>
      </c>
      <c r="U205" s="61" t="str">
        <f>IF($J205=U$3,IF(U$3&gt;$I204,"-",ROUNDUP(Ld_cal($B204, $C204, $D204, $G204,$E204, $F204, $H204, U$3)*1.3,0)),"-")</f>
        <v>-</v>
      </c>
      <c r="V205" s="61" t="str">
        <f>IF($J205=V$3,IF(V$3&gt;$I204,"-",ROUNDUP(Ld_cal($B204, $C204, $D204, $G204,$E204, $F204, $H204, V$3)*1.3,0)),"-")</f>
        <v>-</v>
      </c>
      <c r="W205" s="61" t="str">
        <f>IF($J205=W$3,IF(W$3&gt;$I204,"-",ROUNDUP(Ld_cal($B204, $C204, $D204, $G204,$E204, $F204, $H204, W$3)*1.3,0)),"-")</f>
        <v>-</v>
      </c>
      <c r="X205" s="61" t="str">
        <f>IF($J205=X$3,IF(X$3&gt;$I204,"-",ROUNDUP(Ld_cal($B204, $C204, $D204, $G204,$E204, $F204, $H204, X$3)*1.3,0)),"-")</f>
        <v>-</v>
      </c>
      <c r="Y205" s="61" t="str">
        <f>IF($J205=Y$3,IF(Y$3&gt;$I204,"-",ROUNDUP(Ld_cal($B204, $C204, $D204, $G204,$E204, $F204, $H204, Y$3)*1.3,0)),"-")</f>
        <v>-</v>
      </c>
      <c r="Z205" s="61" t="str">
        <f>IF($J205=Z$3,IF(Z$3&gt;$I204,"-",ROUNDUP(Ld_cal($B204, $C204, $D204, $G204,$E204, $F204, $H204, Z$3)*1.3,0)),"-")</f>
        <v>-</v>
      </c>
      <c r="AA205" s="61" t="str">
        <f>IF($J205=AA$3,IF(AA$3&gt;$I204,"-",ROUNDUP(Ld_cal($B204, $C204, $D204, $G204,$E204, $F204, $H204, AA$3)*1.3,0)),"-")</f>
        <v>-</v>
      </c>
      <c r="AB205" s="61" t="str">
        <f>IF($J205=AB$3,IF(AB$3&gt;$I204,"-",ROUNDUP(Ld_cal($B204, $C204, $D204, $G204,$E204, $F204, $H204, AB$3)*1.3,0)),"-")</f>
        <v>-</v>
      </c>
      <c r="AC205" s="61" t="str">
        <f>IF($J205=AC$3,IF(AC$3&gt;$I204,"-",ROUNDUP(Ld_cal($B204, $C204, $D204, $G204,$E204, $F204, $H204, AC$3)*1.3,0)),"-")</f>
        <v>-</v>
      </c>
      <c r="AD205" s="61">
        <f t="shared" ref="AD205" si="197">IF(J205&gt;I204,"依標準圖",MAX(L205:AC205))</f>
        <v>114</v>
      </c>
    </row>
    <row r="206" spans="1:30">
      <c r="A206" s="105" t="s">
        <v>147</v>
      </c>
      <c r="B206" s="107">
        <v>120</v>
      </c>
      <c r="C206" s="108">
        <v>7.5</v>
      </c>
      <c r="D206" s="107">
        <v>4200</v>
      </c>
      <c r="E206" s="109">
        <v>16</v>
      </c>
      <c r="F206" s="110">
        <v>10</v>
      </c>
      <c r="G206" s="107">
        <v>350</v>
      </c>
      <c r="H206" s="109">
        <v>32</v>
      </c>
      <c r="I206" s="111">
        <f>ROUNDDOWN(($B206-2*$C206-2*$E206/10-$H206/10)/(($D$1+1)*$H206/10),0)+1</f>
        <v>16</v>
      </c>
      <c r="J206" s="62">
        <v>7</v>
      </c>
      <c r="K206" s="40" t="s">
        <v>30</v>
      </c>
      <c r="L206" s="63" t="str">
        <f>IF($J206=L$3,IF(L$3&gt;$I206,"-",ROUNDUP(Ld_cal($B206, $C206, $D206, $G206,$E206, $F206, $H206, L$3)*1.3*1.3,0)),"-")</f>
        <v>-</v>
      </c>
      <c r="M206" s="63" t="str">
        <f>IF($J206=M$3,IF(M$3&gt;$I206,"-",ROUNDUP(Ld_cal($B206, $C206, $D206, $G206,$E206, $F206, $H206, M$3)*1.3*1.3,0)),"-")</f>
        <v>-</v>
      </c>
      <c r="N206" s="63" t="str">
        <f>IF($J206=N$3,IF(N$3&gt;$I206,"-",ROUNDUP(Ld_cal($B206, $C206, $D206, $G206,$E206, $F206, $H206, N$3)*1.3*1.3,0)),"-")</f>
        <v>-</v>
      </c>
      <c r="O206" s="63" t="str">
        <f>IF($J206=O$3,IF(O$3&gt;$I206,"-",ROUNDUP(Ld_cal($B206, $C206, $D206, $G206,$E206, $F206, $H206, O$3)*1.3*1.3,0)),"-")</f>
        <v>-</v>
      </c>
      <c r="P206" s="63">
        <f>IF($J206=P$3,IF(P$3&gt;$I206,"-",ROUNDUP(Ld_cal($B206, $C206, $D206, $G206,$E206, $F206, $H206, P$3)*1.3*1.3,0)),"-")</f>
        <v>136</v>
      </c>
      <c r="Q206" s="63" t="str">
        <f>IF($J206=Q$3,IF(Q$3&gt;$I206,"-",ROUNDUP(Ld_cal($B206, $C206, $D206, $G206,$E206, $F206, $H206, Q$3)*1.3*1.3,0)),"-")</f>
        <v>-</v>
      </c>
      <c r="R206" s="63" t="str">
        <f>IF($J206=R$3,IF(R$3&gt;$I206,"-",ROUNDUP(Ld_cal($B206, $C206, $D206, $G206,$E206, $F206, $H206, R$3)*1.3*1.3,0)),"-")</f>
        <v>-</v>
      </c>
      <c r="S206" s="63" t="str">
        <f>IF($J206=S$3,IF(S$3&gt;$I206,"-",ROUNDUP(Ld_cal($B206, $C206, $D206, $G206,$E206, $F206, $H206, S$3)*1.3*1.3,0)),"-")</f>
        <v>-</v>
      </c>
      <c r="T206" s="63" t="str">
        <f>IF($J206=T$3,IF(T$3&gt;$I206,"-",ROUNDUP(Ld_cal($B206, $C206, $D206, $G206,$E206, $F206, $H206, T$3)*1.3*1.3,0)),"-")</f>
        <v>-</v>
      </c>
      <c r="U206" s="63" t="str">
        <f>IF($J206=U$3,IF(U$3&gt;$I206,"-",ROUNDUP(Ld_cal($B206, $C206, $D206, $G206,$E206, $F206, $H206, U$3)*1.3*1.3,0)),"-")</f>
        <v>-</v>
      </c>
      <c r="V206" s="63" t="str">
        <f>IF($J206=V$3,IF(V$3&gt;$I206,"-",ROUNDUP(Ld_cal($B206, $C206, $D206, $G206,$E206, $F206, $H206, V$3)*1.3*1.3,0)),"-")</f>
        <v>-</v>
      </c>
      <c r="W206" s="63" t="str">
        <f>IF($J206=W$3,IF(W$3&gt;$I206,"-",ROUNDUP(Ld_cal($B206, $C206, $D206, $G206,$E206, $F206, $H206, W$3)*1.3*1.3,0)),"-")</f>
        <v>-</v>
      </c>
      <c r="X206" s="63" t="str">
        <f>IF($J206=X$3,IF(X$3&gt;$I206,"-",ROUNDUP(Ld_cal($B206, $C206, $D206, $G206,$E206, $F206, $H206, X$3)*1.3*1.3,0)),"-")</f>
        <v>-</v>
      </c>
      <c r="Y206" s="63" t="str">
        <f>IF($J206=Y$3,IF(Y$3&gt;$I206,"-",ROUNDUP(Ld_cal($B206, $C206, $D206, $G206,$E206, $F206, $H206, Y$3)*1.3*1.3,0)),"-")</f>
        <v>-</v>
      </c>
      <c r="Z206" s="63" t="str">
        <f>IF($J206=Z$3,IF(Z$3&gt;$I206,"-",ROUNDUP(Ld_cal($B206, $C206, $D206, $G206,$E206, $F206, $H206, Z$3)*1.3*1.3,0)),"-")</f>
        <v>-</v>
      </c>
      <c r="AA206" s="63" t="str">
        <f>IF($J206=AA$3,IF(AA$3&gt;$I206,"-",ROUNDUP(Ld_cal($B206, $C206, $D206, $G206,$E206, $F206, $H206, AA$3)*1.3*1.3,0)),"-")</f>
        <v>-</v>
      </c>
      <c r="AB206" s="63" t="str">
        <f>IF($J206=AB$3,IF(AB$3&gt;$I206,"-",ROUNDUP(Ld_cal($B206, $C206, $D206, $G206,$E206, $F206, $H206, AB$3)*1.3*1.3,0)),"-")</f>
        <v>-</v>
      </c>
      <c r="AC206" s="63" t="str">
        <f>IF($J206=AC$3,IF(AC$3&gt;$I206,"-",ROUNDUP(Ld_cal($B206, $C206, $D206, $G206,$E206, $F206, $H206, AC$3)*1.3*1.3,0)),"-")</f>
        <v>-</v>
      </c>
      <c r="AD206" s="63">
        <f t="shared" ref="AD206" si="198">IF(J206&gt;I206,"依標準圖",MAX(L206:AC206))</f>
        <v>136</v>
      </c>
    </row>
    <row r="207" spans="1:30">
      <c r="A207" s="106"/>
      <c r="B207" s="107"/>
      <c r="C207" s="108"/>
      <c r="D207" s="107"/>
      <c r="E207" s="109"/>
      <c r="F207" s="110"/>
      <c r="G207" s="107"/>
      <c r="H207" s="109"/>
      <c r="I207" s="111"/>
      <c r="J207" s="62">
        <v>14</v>
      </c>
      <c r="K207" s="40" t="s">
        <v>29</v>
      </c>
      <c r="L207" s="63" t="str">
        <f>IF($J207=L$3,IF(L$3&gt;$I206,"-",ROUNDUP(Ld_cal($B206, $C206, $D206, $G206,$E206, $F206, $H206, L$3)*1.3,0)),"-")</f>
        <v>-</v>
      </c>
      <c r="M207" s="63" t="str">
        <f>IF($J207=M$3,IF(M$3&gt;$I206,"-",ROUNDUP(Ld_cal($B206, $C206, $D206, $G206,$E206, $F206, $H206, M$3)*1.3,0)),"-")</f>
        <v>-</v>
      </c>
      <c r="N207" s="63" t="str">
        <f>IF($J207=N$3,IF(N$3&gt;$I206,"-",ROUNDUP(Ld_cal($B206, $C206, $D206, $G206,$E206, $F206, $H206, N$3)*1.3,0)),"-")</f>
        <v>-</v>
      </c>
      <c r="O207" s="63" t="str">
        <f>IF($J207=O$3,IF(O$3&gt;$I206,"-",ROUNDUP(Ld_cal($B206, $C206, $D206, $G206,$E206, $F206, $H206, O$3)*1.3,0)),"-")</f>
        <v>-</v>
      </c>
      <c r="P207" s="63" t="str">
        <f>IF($J207=P$3,IF(P$3&gt;$I206,"-",ROUNDUP(Ld_cal($B206, $C206, $D206, $G206,$E206, $F206, $H206, P$3)*1.3,0)),"-")</f>
        <v>-</v>
      </c>
      <c r="Q207" s="63" t="str">
        <f>IF($J207=Q$3,IF(Q$3&gt;$I206,"-",ROUNDUP(Ld_cal($B206, $C206, $D206, $G206,$E206, $F206, $H206, Q$3)*1.3,0)),"-")</f>
        <v>-</v>
      </c>
      <c r="R207" s="63" t="str">
        <f>IF($J207=R$3,IF(R$3&gt;$I206,"-",ROUNDUP(Ld_cal($B206, $C206, $D206, $G206,$E206, $F206, $H206, R$3)*1.3,0)),"-")</f>
        <v>-</v>
      </c>
      <c r="S207" s="63" t="str">
        <f>IF($J207=S$3,IF(S$3&gt;$I206,"-",ROUNDUP(Ld_cal($B206, $C206, $D206, $G206,$E206, $F206, $H206, S$3)*1.3,0)),"-")</f>
        <v>-</v>
      </c>
      <c r="T207" s="63" t="str">
        <f>IF($J207=T$3,IF(T$3&gt;$I206,"-",ROUNDUP(Ld_cal($B206, $C206, $D206, $G206,$E206, $F206, $H206, T$3)*1.3,0)),"-")</f>
        <v>-</v>
      </c>
      <c r="U207" s="63" t="str">
        <f>IF($J207=U$3,IF(U$3&gt;$I206,"-",ROUNDUP(Ld_cal($B206, $C206, $D206, $G206,$E206, $F206, $H206, U$3)*1.3,0)),"-")</f>
        <v>-</v>
      </c>
      <c r="V207" s="63" t="str">
        <f>IF($J207=V$3,IF(V$3&gt;$I206,"-",ROUNDUP(Ld_cal($B206, $C206, $D206, $G206,$E206, $F206, $H206, V$3)*1.3,0)),"-")</f>
        <v>-</v>
      </c>
      <c r="W207" s="63">
        <f>IF($J207=W$3,IF(W$3&gt;$I206,"-",ROUNDUP(Ld_cal($B206, $C206, $D206, $G206,$E206, $F206, $H206, W$3)*1.3,0)),"-")</f>
        <v>170</v>
      </c>
      <c r="X207" s="63" t="str">
        <f>IF($J207=X$3,IF(X$3&gt;$I206,"-",ROUNDUP(Ld_cal($B206, $C206, $D206, $G206,$E206, $F206, $H206, X$3)*1.3,0)),"-")</f>
        <v>-</v>
      </c>
      <c r="Y207" s="63" t="str">
        <f>IF($J207=Y$3,IF(Y$3&gt;$I206,"-",ROUNDUP(Ld_cal($B206, $C206, $D206, $G206,$E206, $F206, $H206, Y$3)*1.3,0)),"-")</f>
        <v>-</v>
      </c>
      <c r="Z207" s="63" t="str">
        <f>IF($J207=Z$3,IF(Z$3&gt;$I206,"-",ROUNDUP(Ld_cal($B206, $C206, $D206, $G206,$E206, $F206, $H206, Z$3)*1.3,0)),"-")</f>
        <v>-</v>
      </c>
      <c r="AA207" s="63" t="str">
        <f>IF($J207=AA$3,IF(AA$3&gt;$I206,"-",ROUNDUP(Ld_cal($B206, $C206, $D206, $G206,$E206, $F206, $H206, AA$3)*1.3,0)),"-")</f>
        <v>-</v>
      </c>
      <c r="AB207" s="63" t="str">
        <f>IF($J207=AB$3,IF(AB$3&gt;$I206,"-",ROUNDUP(Ld_cal($B206, $C206, $D206, $G206,$E206, $F206, $H206, AB$3)*1.3,0)),"-")</f>
        <v>-</v>
      </c>
      <c r="AC207" s="63" t="str">
        <f>IF($J207=AC$3,IF(AC$3&gt;$I206,"-",ROUNDUP(Ld_cal($B206, $C206, $D206, $G206,$E206, $F206, $H206, AC$3)*1.3,0)),"-")</f>
        <v>-</v>
      </c>
      <c r="AD207" s="63">
        <f t="shared" ref="AD207" si="199">IF(J207&gt;I206,"依標準圖",MAX(L207:AC207))</f>
        <v>170</v>
      </c>
    </row>
    <row r="208" spans="1:30">
      <c r="A208" s="97" t="s">
        <v>148</v>
      </c>
      <c r="B208" s="99">
        <v>120</v>
      </c>
      <c r="C208" s="100">
        <v>7.5</v>
      </c>
      <c r="D208" s="101">
        <v>4200</v>
      </c>
      <c r="E208" s="102">
        <v>16</v>
      </c>
      <c r="F208" s="103">
        <v>7</v>
      </c>
      <c r="G208" s="101">
        <v>350</v>
      </c>
      <c r="H208" s="102">
        <v>32</v>
      </c>
      <c r="I208" s="104">
        <f>ROUNDDOWN(($B208-2*$C208-2*$E208/10-$H208/10)/(($D$1+1)*$H208/10),0)+1</f>
        <v>16</v>
      </c>
      <c r="J208" s="60">
        <v>16</v>
      </c>
      <c r="K208" s="64" t="s">
        <v>30</v>
      </c>
      <c r="L208" s="61" t="str">
        <f>IF($J208=L$3,IF(L$3&gt;$I208,"-",ROUNDUP(Ld_cal($B208, $C208, $D208, $G208,$E208, $F208, $H208, L$3)*1.3*1.3,0)),"-")</f>
        <v>-</v>
      </c>
      <c r="M208" s="61" t="str">
        <f>IF($J208=M$3,IF(M$3&gt;$I208,"-",ROUNDUP(Ld_cal($B208, $C208, $D208, $G208,$E208, $F208, $H208, M$3)*1.3*1.3,0)),"-")</f>
        <v>-</v>
      </c>
      <c r="N208" s="61" t="str">
        <f>IF($J208=N$3,IF(N$3&gt;$I208,"-",ROUNDUP(Ld_cal($B208, $C208, $D208, $G208,$E208, $F208, $H208, N$3)*1.3*1.3,0)),"-")</f>
        <v>-</v>
      </c>
      <c r="O208" s="61" t="str">
        <f>IF($J208=O$3,IF(O$3&gt;$I208,"-",ROUNDUP(Ld_cal($B208, $C208, $D208, $G208,$E208, $F208, $H208, O$3)*1.3*1.3,0)),"-")</f>
        <v>-</v>
      </c>
      <c r="P208" s="61" t="str">
        <f>IF($J208=P$3,IF(P$3&gt;$I208,"-",ROUNDUP(Ld_cal($B208, $C208, $D208, $G208,$E208, $F208, $H208, P$3)*1.3*1.3,0)),"-")</f>
        <v>-</v>
      </c>
      <c r="Q208" s="61" t="str">
        <f>IF($J208=Q$3,IF(Q$3&gt;$I208,"-",ROUNDUP(Ld_cal($B208, $C208, $D208, $G208,$E208, $F208, $H208, Q$3)*1.3*1.3,0)),"-")</f>
        <v>-</v>
      </c>
      <c r="R208" s="61" t="str">
        <f>IF($J208=R$3,IF(R$3&gt;$I208,"-",ROUNDUP(Ld_cal($B208, $C208, $D208, $G208,$E208, $F208, $H208, R$3)*1.3*1.3,0)),"-")</f>
        <v>-</v>
      </c>
      <c r="S208" s="61" t="str">
        <f>IF($J208=S$3,IF(S$3&gt;$I208,"-",ROUNDUP(Ld_cal($B208, $C208, $D208, $G208,$E208, $F208, $H208, S$3)*1.3*1.3,0)),"-")</f>
        <v>-</v>
      </c>
      <c r="T208" s="61" t="str">
        <f>IF($J208=T$3,IF(T$3&gt;$I208,"-",ROUNDUP(Ld_cal($B208, $C208, $D208, $G208,$E208, $F208, $H208, T$3)*1.3*1.3,0)),"-")</f>
        <v>-</v>
      </c>
      <c r="U208" s="61" t="str">
        <f>IF($J208=U$3,IF(U$3&gt;$I208,"-",ROUNDUP(Ld_cal($B208, $C208, $D208, $G208,$E208, $F208, $H208, U$3)*1.3*1.3,0)),"-")</f>
        <v>-</v>
      </c>
      <c r="V208" s="61" t="str">
        <f>IF($J208=V$3,IF(V$3&gt;$I208,"-",ROUNDUP(Ld_cal($B208, $C208, $D208, $G208,$E208, $F208, $H208, V$3)*1.3*1.3,0)),"-")</f>
        <v>-</v>
      </c>
      <c r="W208" s="61" t="str">
        <f>IF($J208=W$3,IF(W$3&gt;$I208,"-",ROUNDUP(Ld_cal($B208, $C208, $D208, $G208,$E208, $F208, $H208, W$3)*1.3*1.3,0)),"-")</f>
        <v>-</v>
      </c>
      <c r="X208" s="61" t="str">
        <f>IF($J208=X$3,IF(X$3&gt;$I208,"-",ROUNDUP(Ld_cal($B208, $C208, $D208, $G208,$E208, $F208, $H208, X$3)*1.3*1.3,0)),"-")</f>
        <v>-</v>
      </c>
      <c r="Y208" s="61">
        <f>IF($J208=Y$3,IF(Y$3&gt;$I208,"-",ROUNDUP(Ld_cal($B208, $C208, $D208, $G208,$E208, $F208, $H208, Y$3)*1.3*1.3,0)),"-")</f>
        <v>231</v>
      </c>
      <c r="Z208" s="61" t="str">
        <f>IF($J208=Z$3,IF(Z$3&gt;$I208,"-",ROUNDUP(Ld_cal($B208, $C208, $D208, $G208,$E208, $F208, $H208, Z$3)*1.3*1.3,0)),"-")</f>
        <v>-</v>
      </c>
      <c r="AA208" s="61" t="str">
        <f>IF($J208=AA$3,IF(AA$3&gt;$I208,"-",ROUNDUP(Ld_cal($B208, $C208, $D208, $G208,$E208, $F208, $H208, AA$3)*1.3*1.3,0)),"-")</f>
        <v>-</v>
      </c>
      <c r="AB208" s="61" t="str">
        <f>IF($J208=AB$3,IF(AB$3&gt;$I208,"-",ROUNDUP(Ld_cal($B208, $C208, $D208, $G208,$E208, $F208, $H208, AB$3)*1.3*1.3,0)),"-")</f>
        <v>-</v>
      </c>
      <c r="AC208" s="61" t="str">
        <f>IF($J208=AC$3,IF(AC$3&gt;$I208,"-",ROUNDUP(Ld_cal($B208, $C208, $D208, $G208,$E208, $F208, $H208, AC$3)*1.3*1.3,0)),"-")</f>
        <v>-</v>
      </c>
      <c r="AD208" s="61">
        <f t="shared" ref="AD208" si="200">IF(J208&gt;I208,"依標準圖",MAX(L208:AC208))</f>
        <v>231</v>
      </c>
    </row>
    <row r="209" spans="1:30">
      <c r="A209" s="98"/>
      <c r="B209" s="99"/>
      <c r="C209" s="100"/>
      <c r="D209" s="101"/>
      <c r="E209" s="102"/>
      <c r="F209" s="103"/>
      <c r="G209" s="101"/>
      <c r="H209" s="102"/>
      <c r="I209" s="104"/>
      <c r="J209" s="60">
        <v>14</v>
      </c>
      <c r="K209" s="64" t="s">
        <v>29</v>
      </c>
      <c r="L209" s="61" t="str">
        <f>IF($J209=L$3,IF(L$3&gt;$I208,"-",ROUNDUP(Ld_cal($B208, $C208, $D208, $G208,$E208, $F208, $H208, L$3)*1.3,0)),"-")</f>
        <v>-</v>
      </c>
      <c r="M209" s="61" t="str">
        <f>IF($J209=M$3,IF(M$3&gt;$I208,"-",ROUNDUP(Ld_cal($B208, $C208, $D208, $G208,$E208, $F208, $H208, M$3)*1.3,0)),"-")</f>
        <v>-</v>
      </c>
      <c r="N209" s="61" t="str">
        <f>IF($J209=N$3,IF(N$3&gt;$I208,"-",ROUNDUP(Ld_cal($B208, $C208, $D208, $G208,$E208, $F208, $H208, N$3)*1.3,0)),"-")</f>
        <v>-</v>
      </c>
      <c r="O209" s="61" t="str">
        <f>IF($J209=O$3,IF(O$3&gt;$I208,"-",ROUNDUP(Ld_cal($B208, $C208, $D208, $G208,$E208, $F208, $H208, O$3)*1.3,0)),"-")</f>
        <v>-</v>
      </c>
      <c r="P209" s="61" t="str">
        <f>IF($J209=P$3,IF(P$3&gt;$I208,"-",ROUNDUP(Ld_cal($B208, $C208, $D208, $G208,$E208, $F208, $H208, P$3)*1.3,0)),"-")</f>
        <v>-</v>
      </c>
      <c r="Q209" s="61" t="str">
        <f>IF($J209=Q$3,IF(Q$3&gt;$I208,"-",ROUNDUP(Ld_cal($B208, $C208, $D208, $G208,$E208, $F208, $H208, Q$3)*1.3,0)),"-")</f>
        <v>-</v>
      </c>
      <c r="R209" s="61" t="str">
        <f>IF($J209=R$3,IF(R$3&gt;$I208,"-",ROUNDUP(Ld_cal($B208, $C208, $D208, $G208,$E208, $F208, $H208, R$3)*1.3,0)),"-")</f>
        <v>-</v>
      </c>
      <c r="S209" s="61" t="str">
        <f>IF($J209=S$3,IF(S$3&gt;$I208,"-",ROUNDUP(Ld_cal($B208, $C208, $D208, $G208,$E208, $F208, $H208, S$3)*1.3,0)),"-")</f>
        <v>-</v>
      </c>
      <c r="T209" s="61" t="str">
        <f>IF($J209=T$3,IF(T$3&gt;$I208,"-",ROUNDUP(Ld_cal($B208, $C208, $D208, $G208,$E208, $F208, $H208, T$3)*1.3,0)),"-")</f>
        <v>-</v>
      </c>
      <c r="U209" s="61" t="str">
        <f>IF($J209=U$3,IF(U$3&gt;$I208,"-",ROUNDUP(Ld_cal($B208, $C208, $D208, $G208,$E208, $F208, $H208, U$3)*1.3,0)),"-")</f>
        <v>-</v>
      </c>
      <c r="V209" s="61" t="str">
        <f>IF($J209=V$3,IF(V$3&gt;$I208,"-",ROUNDUP(Ld_cal($B208, $C208, $D208, $G208,$E208, $F208, $H208, V$3)*1.3,0)),"-")</f>
        <v>-</v>
      </c>
      <c r="W209" s="61">
        <f>IF($J209=W$3,IF(W$3&gt;$I208,"-",ROUNDUP(Ld_cal($B208, $C208, $D208, $G208,$E208, $F208, $H208, W$3)*1.3,0)),"-")</f>
        <v>155</v>
      </c>
      <c r="X209" s="61" t="str">
        <f>IF($J209=X$3,IF(X$3&gt;$I208,"-",ROUNDUP(Ld_cal($B208, $C208, $D208, $G208,$E208, $F208, $H208, X$3)*1.3,0)),"-")</f>
        <v>-</v>
      </c>
      <c r="Y209" s="61" t="str">
        <f>IF($J209=Y$3,IF(Y$3&gt;$I208,"-",ROUNDUP(Ld_cal($B208, $C208, $D208, $G208,$E208, $F208, $H208, Y$3)*1.3,0)),"-")</f>
        <v>-</v>
      </c>
      <c r="Z209" s="61" t="str">
        <f>IF($J209=Z$3,IF(Z$3&gt;$I208,"-",ROUNDUP(Ld_cal($B208, $C208, $D208, $G208,$E208, $F208, $H208, Z$3)*1.3,0)),"-")</f>
        <v>-</v>
      </c>
      <c r="AA209" s="61" t="str">
        <f>IF($J209=AA$3,IF(AA$3&gt;$I208,"-",ROUNDUP(Ld_cal($B208, $C208, $D208, $G208,$E208, $F208, $H208, AA$3)*1.3,0)),"-")</f>
        <v>-</v>
      </c>
      <c r="AB209" s="61" t="str">
        <f>IF($J209=AB$3,IF(AB$3&gt;$I208,"-",ROUNDUP(Ld_cal($B208, $C208, $D208, $G208,$E208, $F208, $H208, AB$3)*1.3,0)),"-")</f>
        <v>-</v>
      </c>
      <c r="AC209" s="61" t="str">
        <f>IF($J209=AC$3,IF(AC$3&gt;$I208,"-",ROUNDUP(Ld_cal($B208, $C208, $D208, $G208,$E208, $F208, $H208, AC$3)*1.3,0)),"-")</f>
        <v>-</v>
      </c>
      <c r="AD209" s="61">
        <f t="shared" ref="AD209" si="201">IF(J209&gt;I208,"依標準圖",MAX(L209:AC209))</f>
        <v>155</v>
      </c>
    </row>
    <row r="210" spans="1:30">
      <c r="A210" s="105" t="s">
        <v>149</v>
      </c>
      <c r="B210" s="107">
        <v>120</v>
      </c>
      <c r="C210" s="108">
        <v>7.5</v>
      </c>
      <c r="D210" s="107">
        <v>4200</v>
      </c>
      <c r="E210" s="109">
        <v>16</v>
      </c>
      <c r="F210" s="110">
        <v>25</v>
      </c>
      <c r="G210" s="107">
        <v>350</v>
      </c>
      <c r="H210" s="109">
        <v>32</v>
      </c>
      <c r="I210" s="111">
        <f>ROUNDDOWN(($B210-2*$C210-2*$E210/10-$H210/10)/(($D$1+1)*$H210/10),0)+1</f>
        <v>16</v>
      </c>
      <c r="J210" s="62">
        <v>8</v>
      </c>
      <c r="K210" s="40" t="s">
        <v>30</v>
      </c>
      <c r="L210" s="63" t="str">
        <f>IF($J210=L$3,IF(L$3&gt;$I210,"-",ROUNDUP(Ld_cal($B210, $C210, $D210, $G210,$E210, $F210, $H210, L$3)*1.3*1.3,0)),"-")</f>
        <v>-</v>
      </c>
      <c r="M210" s="63" t="str">
        <f>IF($J210=M$3,IF(M$3&gt;$I210,"-",ROUNDUP(Ld_cal($B210, $C210, $D210, $G210,$E210, $F210, $H210, M$3)*1.3*1.3,0)),"-")</f>
        <v>-</v>
      </c>
      <c r="N210" s="63" t="str">
        <f>IF($J210=N$3,IF(N$3&gt;$I210,"-",ROUNDUP(Ld_cal($B210, $C210, $D210, $G210,$E210, $F210, $H210, N$3)*1.3*1.3,0)),"-")</f>
        <v>-</v>
      </c>
      <c r="O210" s="63" t="str">
        <f>IF($J210=O$3,IF(O$3&gt;$I210,"-",ROUNDUP(Ld_cal($B210, $C210, $D210, $G210,$E210, $F210, $H210, O$3)*1.3*1.3,0)),"-")</f>
        <v>-</v>
      </c>
      <c r="P210" s="63" t="str">
        <f>IF($J210=P$3,IF(P$3&gt;$I210,"-",ROUNDUP(Ld_cal($B210, $C210, $D210, $G210,$E210, $F210, $H210, P$3)*1.3*1.3,0)),"-")</f>
        <v>-</v>
      </c>
      <c r="Q210" s="63">
        <f>IF($J210=Q$3,IF(Q$3&gt;$I210,"-",ROUNDUP(Ld_cal($B210, $C210, $D210, $G210,$E210, $F210, $H210, Q$3)*1.3*1.3,0)),"-")</f>
        <v>139</v>
      </c>
      <c r="R210" s="63" t="str">
        <f>IF($J210=R$3,IF(R$3&gt;$I210,"-",ROUNDUP(Ld_cal($B210, $C210, $D210, $G210,$E210, $F210, $H210, R$3)*1.3*1.3,0)),"-")</f>
        <v>-</v>
      </c>
      <c r="S210" s="63" t="str">
        <f>IF($J210=S$3,IF(S$3&gt;$I210,"-",ROUNDUP(Ld_cal($B210, $C210, $D210, $G210,$E210, $F210, $H210, S$3)*1.3*1.3,0)),"-")</f>
        <v>-</v>
      </c>
      <c r="T210" s="63" t="str">
        <f>IF($J210=T$3,IF(T$3&gt;$I210,"-",ROUNDUP(Ld_cal($B210, $C210, $D210, $G210,$E210, $F210, $H210, T$3)*1.3*1.3,0)),"-")</f>
        <v>-</v>
      </c>
      <c r="U210" s="63" t="str">
        <f>IF($J210=U$3,IF(U$3&gt;$I210,"-",ROUNDUP(Ld_cal($B210, $C210, $D210, $G210,$E210, $F210, $H210, U$3)*1.3*1.3,0)),"-")</f>
        <v>-</v>
      </c>
      <c r="V210" s="63" t="str">
        <f>IF($J210=V$3,IF(V$3&gt;$I210,"-",ROUNDUP(Ld_cal($B210, $C210, $D210, $G210,$E210, $F210, $H210, V$3)*1.3*1.3,0)),"-")</f>
        <v>-</v>
      </c>
      <c r="W210" s="63" t="str">
        <f>IF($J210=W$3,IF(W$3&gt;$I210,"-",ROUNDUP(Ld_cal($B210, $C210, $D210, $G210,$E210, $F210, $H210, W$3)*1.3*1.3,0)),"-")</f>
        <v>-</v>
      </c>
      <c r="X210" s="63" t="str">
        <f>IF($J210=X$3,IF(X$3&gt;$I210,"-",ROUNDUP(Ld_cal($B210, $C210, $D210, $G210,$E210, $F210, $H210, X$3)*1.3*1.3,0)),"-")</f>
        <v>-</v>
      </c>
      <c r="Y210" s="63" t="str">
        <f>IF($J210=Y$3,IF(Y$3&gt;$I210,"-",ROUNDUP(Ld_cal($B210, $C210, $D210, $G210,$E210, $F210, $H210, Y$3)*1.3*1.3,0)),"-")</f>
        <v>-</v>
      </c>
      <c r="Z210" s="63" t="str">
        <f>IF($J210=Z$3,IF(Z$3&gt;$I210,"-",ROUNDUP(Ld_cal($B210, $C210, $D210, $G210,$E210, $F210, $H210, Z$3)*1.3*1.3,0)),"-")</f>
        <v>-</v>
      </c>
      <c r="AA210" s="63" t="str">
        <f>IF($J210=AA$3,IF(AA$3&gt;$I210,"-",ROUNDUP(Ld_cal($B210, $C210, $D210, $G210,$E210, $F210, $H210, AA$3)*1.3*1.3,0)),"-")</f>
        <v>-</v>
      </c>
      <c r="AB210" s="63" t="str">
        <f>IF($J210=AB$3,IF(AB$3&gt;$I210,"-",ROUNDUP(Ld_cal($B210, $C210, $D210, $G210,$E210, $F210, $H210, AB$3)*1.3*1.3,0)),"-")</f>
        <v>-</v>
      </c>
      <c r="AC210" s="63" t="str">
        <f>IF($J210=AC$3,IF(AC$3&gt;$I210,"-",ROUNDUP(Ld_cal($B210, $C210, $D210, $G210,$E210, $F210, $H210, AC$3)*1.3*1.3,0)),"-")</f>
        <v>-</v>
      </c>
      <c r="AD210" s="63">
        <f t="shared" ref="AD210" si="202">IF(J210&gt;I210,"依標準圖",MAX(L210:AC210))</f>
        <v>139</v>
      </c>
    </row>
    <row r="211" spans="1:30">
      <c r="A211" s="106"/>
      <c r="B211" s="107"/>
      <c r="C211" s="108"/>
      <c r="D211" s="107"/>
      <c r="E211" s="109"/>
      <c r="F211" s="110"/>
      <c r="G211" s="107"/>
      <c r="H211" s="109"/>
      <c r="I211" s="111"/>
      <c r="J211" s="62">
        <v>5</v>
      </c>
      <c r="K211" s="40" t="s">
        <v>29</v>
      </c>
      <c r="L211" s="63" t="str">
        <f>IF($J211=L$3,IF(L$3&gt;$I210,"-",ROUNDUP(Ld_cal($B210, $C210, $D210, $G210,$E210, $F210, $H210, L$3)*1.3,0)),"-")</f>
        <v>-</v>
      </c>
      <c r="M211" s="63" t="str">
        <f>IF($J211=M$3,IF(M$3&gt;$I210,"-",ROUNDUP(Ld_cal($B210, $C210, $D210, $G210,$E210, $F210, $H210, M$3)*1.3,0)),"-")</f>
        <v>-</v>
      </c>
      <c r="N211" s="63">
        <f>IF($J211=N$3,IF(N$3&gt;$I210,"-",ROUNDUP(Ld_cal($B210, $C210, $D210, $G210,$E210, $F210, $H210, N$3)*1.3,0)),"-")</f>
        <v>105</v>
      </c>
      <c r="O211" s="63" t="str">
        <f>IF($J211=O$3,IF(O$3&gt;$I210,"-",ROUNDUP(Ld_cal($B210, $C210, $D210, $G210,$E210, $F210, $H210, O$3)*1.3,0)),"-")</f>
        <v>-</v>
      </c>
      <c r="P211" s="63" t="str">
        <f>IF($J211=P$3,IF(P$3&gt;$I210,"-",ROUNDUP(Ld_cal($B210, $C210, $D210, $G210,$E210, $F210, $H210, P$3)*1.3,0)),"-")</f>
        <v>-</v>
      </c>
      <c r="Q211" s="63" t="str">
        <f>IF($J211=Q$3,IF(Q$3&gt;$I210,"-",ROUNDUP(Ld_cal($B210, $C210, $D210, $G210,$E210, $F210, $H210, Q$3)*1.3,0)),"-")</f>
        <v>-</v>
      </c>
      <c r="R211" s="63" t="str">
        <f>IF($J211=R$3,IF(R$3&gt;$I210,"-",ROUNDUP(Ld_cal($B210, $C210, $D210, $G210,$E210, $F210, $H210, R$3)*1.3,0)),"-")</f>
        <v>-</v>
      </c>
      <c r="S211" s="63" t="str">
        <f>IF($J211=S$3,IF(S$3&gt;$I210,"-",ROUNDUP(Ld_cal($B210, $C210, $D210, $G210,$E210, $F210, $H210, S$3)*1.3,0)),"-")</f>
        <v>-</v>
      </c>
      <c r="T211" s="63" t="str">
        <f>IF($J211=T$3,IF(T$3&gt;$I210,"-",ROUNDUP(Ld_cal($B210, $C210, $D210, $G210,$E210, $F210, $H210, T$3)*1.3,0)),"-")</f>
        <v>-</v>
      </c>
      <c r="U211" s="63" t="str">
        <f>IF($J211=U$3,IF(U$3&gt;$I210,"-",ROUNDUP(Ld_cal($B210, $C210, $D210, $G210,$E210, $F210, $H210, U$3)*1.3,0)),"-")</f>
        <v>-</v>
      </c>
      <c r="V211" s="63" t="str">
        <f>IF($J211=V$3,IF(V$3&gt;$I210,"-",ROUNDUP(Ld_cal($B210, $C210, $D210, $G210,$E210, $F210, $H210, V$3)*1.3,0)),"-")</f>
        <v>-</v>
      </c>
      <c r="W211" s="63" t="str">
        <f>IF($J211=W$3,IF(W$3&gt;$I210,"-",ROUNDUP(Ld_cal($B210, $C210, $D210, $G210,$E210, $F210, $H210, W$3)*1.3,0)),"-")</f>
        <v>-</v>
      </c>
      <c r="X211" s="63" t="str">
        <f>IF($J211=X$3,IF(X$3&gt;$I210,"-",ROUNDUP(Ld_cal($B210, $C210, $D210, $G210,$E210, $F210, $H210, X$3)*1.3,0)),"-")</f>
        <v>-</v>
      </c>
      <c r="Y211" s="63" t="str">
        <f>IF($J211=Y$3,IF(Y$3&gt;$I210,"-",ROUNDUP(Ld_cal($B210, $C210, $D210, $G210,$E210, $F210, $H210, Y$3)*1.3,0)),"-")</f>
        <v>-</v>
      </c>
      <c r="Z211" s="63" t="str">
        <f>IF($J211=Z$3,IF(Z$3&gt;$I210,"-",ROUNDUP(Ld_cal($B210, $C210, $D210, $G210,$E210, $F210, $H210, Z$3)*1.3,0)),"-")</f>
        <v>-</v>
      </c>
      <c r="AA211" s="63" t="str">
        <f>IF($J211=AA$3,IF(AA$3&gt;$I210,"-",ROUNDUP(Ld_cal($B210, $C210, $D210, $G210,$E210, $F210, $H210, AA$3)*1.3,0)),"-")</f>
        <v>-</v>
      </c>
      <c r="AB211" s="63" t="str">
        <f>IF($J211=AB$3,IF(AB$3&gt;$I210,"-",ROUNDUP(Ld_cal($B210, $C210, $D210, $G210,$E210, $F210, $H210, AB$3)*1.3,0)),"-")</f>
        <v>-</v>
      </c>
      <c r="AC211" s="63" t="str">
        <f>IF($J211=AC$3,IF(AC$3&gt;$I210,"-",ROUNDUP(Ld_cal($B210, $C210, $D210, $G210,$E210, $F210, $H210, AC$3)*1.3,0)),"-")</f>
        <v>-</v>
      </c>
      <c r="AD211" s="63">
        <f t="shared" ref="AD211" si="203">IF(J211&gt;I210,"依標準圖",MAX(L211:AC211))</f>
        <v>105</v>
      </c>
    </row>
    <row r="212" spans="1:30">
      <c r="A212" s="97" t="s">
        <v>150</v>
      </c>
      <c r="B212" s="99">
        <v>120</v>
      </c>
      <c r="C212" s="100">
        <v>7.5</v>
      </c>
      <c r="D212" s="101">
        <v>4200</v>
      </c>
      <c r="E212" s="102">
        <v>16</v>
      </c>
      <c r="F212" s="103">
        <v>20</v>
      </c>
      <c r="G212" s="101">
        <v>350</v>
      </c>
      <c r="H212" s="102">
        <v>32</v>
      </c>
      <c r="I212" s="104">
        <f>ROUNDDOWN(($B212-2*$C212-2*$E212/10-$H212/10)/(($D$1+1)*$H212/10),0)+1</f>
        <v>16</v>
      </c>
      <c r="J212" s="60">
        <v>14</v>
      </c>
      <c r="K212" s="64" t="s">
        <v>30</v>
      </c>
      <c r="L212" s="61" t="str">
        <f>IF($J212=L$3,IF(L$3&gt;$I212,"-",ROUNDUP(Ld_cal($B212, $C212, $D212, $G212,$E212, $F212, $H212, L$3)*1.3*1.3,0)),"-")</f>
        <v>-</v>
      </c>
      <c r="M212" s="61" t="str">
        <f>IF($J212=M$3,IF(M$3&gt;$I212,"-",ROUNDUP(Ld_cal($B212, $C212, $D212, $G212,$E212, $F212, $H212, M$3)*1.3*1.3,0)),"-")</f>
        <v>-</v>
      </c>
      <c r="N212" s="61" t="str">
        <f>IF($J212=N$3,IF(N$3&gt;$I212,"-",ROUNDUP(Ld_cal($B212, $C212, $D212, $G212,$E212, $F212, $H212, N$3)*1.3*1.3,0)),"-")</f>
        <v>-</v>
      </c>
      <c r="O212" s="61" t="str">
        <f>IF($J212=O$3,IF(O$3&gt;$I212,"-",ROUNDUP(Ld_cal($B212, $C212, $D212, $G212,$E212, $F212, $H212, O$3)*1.3*1.3,0)),"-")</f>
        <v>-</v>
      </c>
      <c r="P212" s="61" t="str">
        <f>IF($J212=P$3,IF(P$3&gt;$I212,"-",ROUNDUP(Ld_cal($B212, $C212, $D212, $G212,$E212, $F212, $H212, P$3)*1.3*1.3,0)),"-")</f>
        <v>-</v>
      </c>
      <c r="Q212" s="61" t="str">
        <f>IF($J212=Q$3,IF(Q$3&gt;$I212,"-",ROUNDUP(Ld_cal($B212, $C212, $D212, $G212,$E212, $F212, $H212, Q$3)*1.3*1.3,0)),"-")</f>
        <v>-</v>
      </c>
      <c r="R212" s="61" t="str">
        <f>IF($J212=R$3,IF(R$3&gt;$I212,"-",ROUNDUP(Ld_cal($B212, $C212, $D212, $G212,$E212, $F212, $H212, R$3)*1.3*1.3,0)),"-")</f>
        <v>-</v>
      </c>
      <c r="S212" s="61" t="str">
        <f>IF($J212=S$3,IF(S$3&gt;$I212,"-",ROUNDUP(Ld_cal($B212, $C212, $D212, $G212,$E212, $F212, $H212, S$3)*1.3*1.3,0)),"-")</f>
        <v>-</v>
      </c>
      <c r="T212" s="61" t="str">
        <f>IF($J212=T$3,IF(T$3&gt;$I212,"-",ROUNDUP(Ld_cal($B212, $C212, $D212, $G212,$E212, $F212, $H212, T$3)*1.3*1.3,0)),"-")</f>
        <v>-</v>
      </c>
      <c r="U212" s="61" t="str">
        <f>IF($J212=U$3,IF(U$3&gt;$I212,"-",ROUNDUP(Ld_cal($B212, $C212, $D212, $G212,$E212, $F212, $H212, U$3)*1.3*1.3,0)),"-")</f>
        <v>-</v>
      </c>
      <c r="V212" s="61" t="str">
        <f>IF($J212=V$3,IF(V$3&gt;$I212,"-",ROUNDUP(Ld_cal($B212, $C212, $D212, $G212,$E212, $F212, $H212, V$3)*1.3*1.3,0)),"-")</f>
        <v>-</v>
      </c>
      <c r="W212" s="61">
        <f>IF($J212=W$3,IF(W$3&gt;$I212,"-",ROUNDUP(Ld_cal($B212, $C212, $D212, $G212,$E212, $F212, $H212, W$3)*1.3*1.3,0)),"-")</f>
        <v>250</v>
      </c>
      <c r="X212" s="61" t="str">
        <f>IF($J212=X$3,IF(X$3&gt;$I212,"-",ROUNDUP(Ld_cal($B212, $C212, $D212, $G212,$E212, $F212, $H212, X$3)*1.3*1.3,0)),"-")</f>
        <v>-</v>
      </c>
      <c r="Y212" s="61" t="str">
        <f>IF($J212=Y$3,IF(Y$3&gt;$I212,"-",ROUNDUP(Ld_cal($B212, $C212, $D212, $G212,$E212, $F212, $H212, Y$3)*1.3*1.3,0)),"-")</f>
        <v>-</v>
      </c>
      <c r="Z212" s="61" t="str">
        <f>IF($J212=Z$3,IF(Z$3&gt;$I212,"-",ROUNDUP(Ld_cal($B212, $C212, $D212, $G212,$E212, $F212, $H212, Z$3)*1.3*1.3,0)),"-")</f>
        <v>-</v>
      </c>
      <c r="AA212" s="61" t="str">
        <f>IF($J212=AA$3,IF(AA$3&gt;$I212,"-",ROUNDUP(Ld_cal($B212, $C212, $D212, $G212,$E212, $F212, $H212, AA$3)*1.3*1.3,0)),"-")</f>
        <v>-</v>
      </c>
      <c r="AB212" s="61" t="str">
        <f>IF($J212=AB$3,IF(AB$3&gt;$I212,"-",ROUNDUP(Ld_cal($B212, $C212, $D212, $G212,$E212, $F212, $H212, AB$3)*1.3*1.3,0)),"-")</f>
        <v>-</v>
      </c>
      <c r="AC212" s="61" t="str">
        <f>IF($J212=AC$3,IF(AC$3&gt;$I212,"-",ROUNDUP(Ld_cal($B212, $C212, $D212, $G212,$E212, $F212, $H212, AC$3)*1.3*1.3,0)),"-")</f>
        <v>-</v>
      </c>
      <c r="AD212" s="61">
        <f t="shared" ref="AD212" si="204">IF(J212&gt;I212,"依標準圖",MAX(L212:AC212))</f>
        <v>250</v>
      </c>
    </row>
    <row r="213" spans="1:30">
      <c r="A213" s="98"/>
      <c r="B213" s="99"/>
      <c r="C213" s="100"/>
      <c r="D213" s="101"/>
      <c r="E213" s="102"/>
      <c r="F213" s="103"/>
      <c r="G213" s="101"/>
      <c r="H213" s="102"/>
      <c r="I213" s="104"/>
      <c r="J213" s="60">
        <v>5</v>
      </c>
      <c r="K213" s="64" t="s">
        <v>29</v>
      </c>
      <c r="L213" s="61" t="str">
        <f>IF($J213=L$3,IF(L$3&gt;$I212,"-",ROUNDUP(Ld_cal($B212, $C212, $D212, $G212,$E212, $F212, $H212, L$3)*1.3,0)),"-")</f>
        <v>-</v>
      </c>
      <c r="M213" s="61" t="str">
        <f>IF($J213=M$3,IF(M$3&gt;$I212,"-",ROUNDUP(Ld_cal($B212, $C212, $D212, $G212,$E212, $F212, $H212, M$3)*1.3,0)),"-")</f>
        <v>-</v>
      </c>
      <c r="N213" s="61">
        <f>IF($J213=N$3,IF(N$3&gt;$I212,"-",ROUNDUP(Ld_cal($B212, $C212, $D212, $G212,$E212, $F212, $H212, N$3)*1.3,0)),"-")</f>
        <v>105</v>
      </c>
      <c r="O213" s="61" t="str">
        <f>IF($J213=O$3,IF(O$3&gt;$I212,"-",ROUNDUP(Ld_cal($B212, $C212, $D212, $G212,$E212, $F212, $H212, O$3)*1.3,0)),"-")</f>
        <v>-</v>
      </c>
      <c r="P213" s="61" t="str">
        <f>IF($J213=P$3,IF(P$3&gt;$I212,"-",ROUNDUP(Ld_cal($B212, $C212, $D212, $G212,$E212, $F212, $H212, P$3)*1.3,0)),"-")</f>
        <v>-</v>
      </c>
      <c r="Q213" s="61" t="str">
        <f>IF($J213=Q$3,IF(Q$3&gt;$I212,"-",ROUNDUP(Ld_cal($B212, $C212, $D212, $G212,$E212, $F212, $H212, Q$3)*1.3,0)),"-")</f>
        <v>-</v>
      </c>
      <c r="R213" s="61" t="str">
        <f>IF($J213=R$3,IF(R$3&gt;$I212,"-",ROUNDUP(Ld_cal($B212, $C212, $D212, $G212,$E212, $F212, $H212, R$3)*1.3,0)),"-")</f>
        <v>-</v>
      </c>
      <c r="S213" s="61" t="str">
        <f>IF($J213=S$3,IF(S$3&gt;$I212,"-",ROUNDUP(Ld_cal($B212, $C212, $D212, $G212,$E212, $F212, $H212, S$3)*1.3,0)),"-")</f>
        <v>-</v>
      </c>
      <c r="T213" s="61" t="str">
        <f>IF($J213=T$3,IF(T$3&gt;$I212,"-",ROUNDUP(Ld_cal($B212, $C212, $D212, $G212,$E212, $F212, $H212, T$3)*1.3,0)),"-")</f>
        <v>-</v>
      </c>
      <c r="U213" s="61" t="str">
        <f>IF($J213=U$3,IF(U$3&gt;$I212,"-",ROUNDUP(Ld_cal($B212, $C212, $D212, $G212,$E212, $F212, $H212, U$3)*1.3,0)),"-")</f>
        <v>-</v>
      </c>
      <c r="V213" s="61" t="str">
        <f>IF($J213=V$3,IF(V$3&gt;$I212,"-",ROUNDUP(Ld_cal($B212, $C212, $D212, $G212,$E212, $F212, $H212, V$3)*1.3,0)),"-")</f>
        <v>-</v>
      </c>
      <c r="W213" s="61" t="str">
        <f>IF($J213=W$3,IF(W$3&gt;$I212,"-",ROUNDUP(Ld_cal($B212, $C212, $D212, $G212,$E212, $F212, $H212, W$3)*1.3,0)),"-")</f>
        <v>-</v>
      </c>
      <c r="X213" s="61" t="str">
        <f>IF($J213=X$3,IF(X$3&gt;$I212,"-",ROUNDUP(Ld_cal($B212, $C212, $D212, $G212,$E212, $F212, $H212, X$3)*1.3,0)),"-")</f>
        <v>-</v>
      </c>
      <c r="Y213" s="61" t="str">
        <f>IF($J213=Y$3,IF(Y$3&gt;$I212,"-",ROUNDUP(Ld_cal($B212, $C212, $D212, $G212,$E212, $F212, $H212, Y$3)*1.3,0)),"-")</f>
        <v>-</v>
      </c>
      <c r="Z213" s="61" t="str">
        <f>IF($J213=Z$3,IF(Z$3&gt;$I212,"-",ROUNDUP(Ld_cal($B212, $C212, $D212, $G212,$E212, $F212, $H212, Z$3)*1.3,0)),"-")</f>
        <v>-</v>
      </c>
      <c r="AA213" s="61" t="str">
        <f>IF($J213=AA$3,IF(AA$3&gt;$I212,"-",ROUNDUP(Ld_cal($B212, $C212, $D212, $G212,$E212, $F212, $H212, AA$3)*1.3,0)),"-")</f>
        <v>-</v>
      </c>
      <c r="AB213" s="61" t="str">
        <f>IF($J213=AB$3,IF(AB$3&gt;$I212,"-",ROUNDUP(Ld_cal($B212, $C212, $D212, $G212,$E212, $F212, $H212, AB$3)*1.3,0)),"-")</f>
        <v>-</v>
      </c>
      <c r="AC213" s="61" t="str">
        <f>IF($J213=AC$3,IF(AC$3&gt;$I212,"-",ROUNDUP(Ld_cal($B212, $C212, $D212, $G212,$E212, $F212, $H212, AC$3)*1.3,0)),"-")</f>
        <v>-</v>
      </c>
      <c r="AD213" s="61">
        <f t="shared" ref="AD213" si="205">IF(J213&gt;I212,"依標準圖",MAX(L213:AC213))</f>
        <v>105</v>
      </c>
    </row>
    <row r="214" spans="1:30">
      <c r="A214" s="105" t="s">
        <v>151</v>
      </c>
      <c r="B214" s="107">
        <v>120</v>
      </c>
      <c r="C214" s="108">
        <v>7.5</v>
      </c>
      <c r="D214" s="107">
        <v>4200</v>
      </c>
      <c r="E214" s="109">
        <v>16</v>
      </c>
      <c r="F214" s="110">
        <v>18</v>
      </c>
      <c r="G214" s="107">
        <v>350</v>
      </c>
      <c r="H214" s="109">
        <v>32</v>
      </c>
      <c r="I214" s="111">
        <f>ROUNDDOWN(($B214-2*$C214-2*$E214/10-$H214/10)/(($D$1+1)*$H214/10),0)+1</f>
        <v>16</v>
      </c>
      <c r="J214" s="62">
        <v>15</v>
      </c>
      <c r="K214" s="40" t="s">
        <v>30</v>
      </c>
      <c r="L214" s="63" t="str">
        <f>IF($J214=L$3,IF(L$3&gt;$I214,"-",ROUNDUP(Ld_cal($B214, $C214, $D214, $G214,$E214, $F214, $H214, L$3)*1.3*1.3,0)),"-")</f>
        <v>-</v>
      </c>
      <c r="M214" s="63" t="str">
        <f>IF($J214=M$3,IF(M$3&gt;$I214,"-",ROUNDUP(Ld_cal($B214, $C214, $D214, $G214,$E214, $F214, $H214, M$3)*1.3*1.3,0)),"-")</f>
        <v>-</v>
      </c>
      <c r="N214" s="63" t="str">
        <f>IF($J214=N$3,IF(N$3&gt;$I214,"-",ROUNDUP(Ld_cal($B214, $C214, $D214, $G214,$E214, $F214, $H214, N$3)*1.3*1.3,0)),"-")</f>
        <v>-</v>
      </c>
      <c r="O214" s="63" t="str">
        <f>IF($J214=O$3,IF(O$3&gt;$I214,"-",ROUNDUP(Ld_cal($B214, $C214, $D214, $G214,$E214, $F214, $H214, O$3)*1.3*1.3,0)),"-")</f>
        <v>-</v>
      </c>
      <c r="P214" s="63" t="str">
        <f>IF($J214=P$3,IF(P$3&gt;$I214,"-",ROUNDUP(Ld_cal($B214, $C214, $D214, $G214,$E214, $F214, $H214, P$3)*1.3*1.3,0)),"-")</f>
        <v>-</v>
      </c>
      <c r="Q214" s="63" t="str">
        <f>IF($J214=Q$3,IF(Q$3&gt;$I214,"-",ROUNDUP(Ld_cal($B214, $C214, $D214, $G214,$E214, $F214, $H214, Q$3)*1.3*1.3,0)),"-")</f>
        <v>-</v>
      </c>
      <c r="R214" s="63" t="str">
        <f>IF($J214=R$3,IF(R$3&gt;$I214,"-",ROUNDUP(Ld_cal($B214, $C214, $D214, $G214,$E214, $F214, $H214, R$3)*1.3*1.3,0)),"-")</f>
        <v>-</v>
      </c>
      <c r="S214" s="63" t="str">
        <f>IF($J214=S$3,IF(S$3&gt;$I214,"-",ROUNDUP(Ld_cal($B214, $C214, $D214, $G214,$E214, $F214, $H214, S$3)*1.3*1.3,0)),"-")</f>
        <v>-</v>
      </c>
      <c r="T214" s="63" t="str">
        <f>IF($J214=T$3,IF(T$3&gt;$I214,"-",ROUNDUP(Ld_cal($B214, $C214, $D214, $G214,$E214, $F214, $H214, T$3)*1.3*1.3,0)),"-")</f>
        <v>-</v>
      </c>
      <c r="U214" s="63" t="str">
        <f>IF($J214=U$3,IF(U$3&gt;$I214,"-",ROUNDUP(Ld_cal($B214, $C214, $D214, $G214,$E214, $F214, $H214, U$3)*1.3*1.3,0)),"-")</f>
        <v>-</v>
      </c>
      <c r="V214" s="63" t="str">
        <f>IF($J214=V$3,IF(V$3&gt;$I214,"-",ROUNDUP(Ld_cal($B214, $C214, $D214, $G214,$E214, $F214, $H214, V$3)*1.3*1.3,0)),"-")</f>
        <v>-</v>
      </c>
      <c r="W214" s="63" t="str">
        <f>IF($J214=W$3,IF(W$3&gt;$I214,"-",ROUNDUP(Ld_cal($B214, $C214, $D214, $G214,$E214, $F214, $H214, W$3)*1.3*1.3,0)),"-")</f>
        <v>-</v>
      </c>
      <c r="X214" s="63">
        <f>IF($J214=X$3,IF(X$3&gt;$I214,"-",ROUNDUP(Ld_cal($B214, $C214, $D214, $G214,$E214, $F214, $H214, X$3)*1.3*1.3,0)),"-")</f>
        <v>265</v>
      </c>
      <c r="Y214" s="63" t="str">
        <f>IF($J214=Y$3,IF(Y$3&gt;$I214,"-",ROUNDUP(Ld_cal($B214, $C214, $D214, $G214,$E214, $F214, $H214, Y$3)*1.3*1.3,0)),"-")</f>
        <v>-</v>
      </c>
      <c r="Z214" s="63" t="str">
        <f>IF($J214=Z$3,IF(Z$3&gt;$I214,"-",ROUNDUP(Ld_cal($B214, $C214, $D214, $G214,$E214, $F214, $H214, Z$3)*1.3*1.3,0)),"-")</f>
        <v>-</v>
      </c>
      <c r="AA214" s="63" t="str">
        <f>IF($J214=AA$3,IF(AA$3&gt;$I214,"-",ROUNDUP(Ld_cal($B214, $C214, $D214, $G214,$E214, $F214, $H214, AA$3)*1.3*1.3,0)),"-")</f>
        <v>-</v>
      </c>
      <c r="AB214" s="63" t="str">
        <f>IF($J214=AB$3,IF(AB$3&gt;$I214,"-",ROUNDUP(Ld_cal($B214, $C214, $D214, $G214,$E214, $F214, $H214, AB$3)*1.3*1.3,0)),"-")</f>
        <v>-</v>
      </c>
      <c r="AC214" s="63" t="str">
        <f>IF($J214=AC$3,IF(AC$3&gt;$I214,"-",ROUNDUP(Ld_cal($B214, $C214, $D214, $G214,$E214, $F214, $H214, AC$3)*1.3*1.3,0)),"-")</f>
        <v>-</v>
      </c>
      <c r="AD214" s="63">
        <f t="shared" ref="AD214" si="206">IF(J214&gt;I214,"依標準圖",MAX(L214:AC214))</f>
        <v>265</v>
      </c>
    </row>
    <row r="215" spans="1:30">
      <c r="A215" s="106"/>
      <c r="B215" s="107"/>
      <c r="C215" s="108"/>
      <c r="D215" s="107"/>
      <c r="E215" s="109"/>
      <c r="F215" s="110"/>
      <c r="G215" s="107"/>
      <c r="H215" s="109"/>
      <c r="I215" s="111"/>
      <c r="J215" s="62">
        <v>9</v>
      </c>
      <c r="K215" s="40" t="s">
        <v>29</v>
      </c>
      <c r="L215" s="63" t="str">
        <f>IF($J215=L$3,IF(L$3&gt;$I214,"-",ROUNDUP(Ld_cal($B214, $C214, $D214, $G214,$E214, $F214, $H214, L$3)*1.3,0)),"-")</f>
        <v>-</v>
      </c>
      <c r="M215" s="63" t="str">
        <f>IF($J215=M$3,IF(M$3&gt;$I214,"-",ROUNDUP(Ld_cal($B214, $C214, $D214, $G214,$E214, $F214, $H214, M$3)*1.3,0)),"-")</f>
        <v>-</v>
      </c>
      <c r="N215" s="63" t="str">
        <f>IF($J215=N$3,IF(N$3&gt;$I214,"-",ROUNDUP(Ld_cal($B214, $C214, $D214, $G214,$E214, $F214, $H214, N$3)*1.3,0)),"-")</f>
        <v>-</v>
      </c>
      <c r="O215" s="63" t="str">
        <f>IF($J215=O$3,IF(O$3&gt;$I214,"-",ROUNDUP(Ld_cal($B214, $C214, $D214, $G214,$E214, $F214, $H214, O$3)*1.3,0)),"-")</f>
        <v>-</v>
      </c>
      <c r="P215" s="63" t="str">
        <f>IF($J215=P$3,IF(P$3&gt;$I214,"-",ROUNDUP(Ld_cal($B214, $C214, $D214, $G214,$E214, $F214, $H214, P$3)*1.3,0)),"-")</f>
        <v>-</v>
      </c>
      <c r="Q215" s="63" t="str">
        <f>IF($J215=Q$3,IF(Q$3&gt;$I214,"-",ROUNDUP(Ld_cal($B214, $C214, $D214, $G214,$E214, $F214, $H214, Q$3)*1.3,0)),"-")</f>
        <v>-</v>
      </c>
      <c r="R215" s="63">
        <f>IF($J215=R$3,IF(R$3&gt;$I214,"-",ROUNDUP(Ld_cal($B214, $C214, $D214, $G214,$E214, $F214, $H214, R$3)*1.3,0)),"-")</f>
        <v>117</v>
      </c>
      <c r="S215" s="63" t="str">
        <f>IF($J215=S$3,IF(S$3&gt;$I214,"-",ROUNDUP(Ld_cal($B214, $C214, $D214, $G214,$E214, $F214, $H214, S$3)*1.3,0)),"-")</f>
        <v>-</v>
      </c>
      <c r="T215" s="63" t="str">
        <f>IF($J215=T$3,IF(T$3&gt;$I214,"-",ROUNDUP(Ld_cal($B214, $C214, $D214, $G214,$E214, $F214, $H214, T$3)*1.3,0)),"-")</f>
        <v>-</v>
      </c>
      <c r="U215" s="63" t="str">
        <f>IF($J215=U$3,IF(U$3&gt;$I214,"-",ROUNDUP(Ld_cal($B214, $C214, $D214, $G214,$E214, $F214, $H214, U$3)*1.3,0)),"-")</f>
        <v>-</v>
      </c>
      <c r="V215" s="63" t="str">
        <f>IF($J215=V$3,IF(V$3&gt;$I214,"-",ROUNDUP(Ld_cal($B214, $C214, $D214, $G214,$E214, $F214, $H214, V$3)*1.3,0)),"-")</f>
        <v>-</v>
      </c>
      <c r="W215" s="63" t="str">
        <f>IF($J215=W$3,IF(W$3&gt;$I214,"-",ROUNDUP(Ld_cal($B214, $C214, $D214, $G214,$E214, $F214, $H214, W$3)*1.3,0)),"-")</f>
        <v>-</v>
      </c>
      <c r="X215" s="63" t="str">
        <f>IF($J215=X$3,IF(X$3&gt;$I214,"-",ROUNDUP(Ld_cal($B214, $C214, $D214, $G214,$E214, $F214, $H214, X$3)*1.3,0)),"-")</f>
        <v>-</v>
      </c>
      <c r="Y215" s="63" t="str">
        <f>IF($J215=Y$3,IF(Y$3&gt;$I214,"-",ROUNDUP(Ld_cal($B214, $C214, $D214, $G214,$E214, $F214, $H214, Y$3)*1.3,0)),"-")</f>
        <v>-</v>
      </c>
      <c r="Z215" s="63" t="str">
        <f>IF($J215=Z$3,IF(Z$3&gt;$I214,"-",ROUNDUP(Ld_cal($B214, $C214, $D214, $G214,$E214, $F214, $H214, Z$3)*1.3,0)),"-")</f>
        <v>-</v>
      </c>
      <c r="AA215" s="63" t="str">
        <f>IF($J215=AA$3,IF(AA$3&gt;$I214,"-",ROUNDUP(Ld_cal($B214, $C214, $D214, $G214,$E214, $F214, $H214, AA$3)*1.3,0)),"-")</f>
        <v>-</v>
      </c>
      <c r="AB215" s="63" t="str">
        <f>IF($J215=AB$3,IF(AB$3&gt;$I214,"-",ROUNDUP(Ld_cal($B214, $C214, $D214, $G214,$E214, $F214, $H214, AB$3)*1.3,0)),"-")</f>
        <v>-</v>
      </c>
      <c r="AC215" s="63" t="str">
        <f>IF($J215=AC$3,IF(AC$3&gt;$I214,"-",ROUNDUP(Ld_cal($B214, $C214, $D214, $G214,$E214, $F214, $H214, AC$3)*1.3,0)),"-")</f>
        <v>-</v>
      </c>
      <c r="AD215" s="63">
        <f t="shared" ref="AD215" si="207">IF(J215&gt;I214,"依標準圖",MAX(L215:AC215))</f>
        <v>117</v>
      </c>
    </row>
    <row r="216" spans="1:30">
      <c r="A216" s="97" t="s">
        <v>152</v>
      </c>
      <c r="B216" s="99">
        <v>120</v>
      </c>
      <c r="C216" s="100">
        <v>7.5</v>
      </c>
      <c r="D216" s="101">
        <v>4200</v>
      </c>
      <c r="E216" s="102">
        <v>16</v>
      </c>
      <c r="F216" s="103">
        <v>9</v>
      </c>
      <c r="G216" s="101">
        <v>350</v>
      </c>
      <c r="H216" s="102">
        <v>32</v>
      </c>
      <c r="I216" s="104">
        <f>ROUNDDOWN(($B216-2*$C216-2*$E216/10-$H216/10)/(($D$1+1)*$H216/10),0)+1</f>
        <v>16</v>
      </c>
      <c r="J216" s="60">
        <v>10</v>
      </c>
      <c r="K216" s="64" t="s">
        <v>30</v>
      </c>
      <c r="L216" s="61" t="str">
        <f>IF($J216=L$3,IF(L$3&gt;$I216,"-",ROUNDUP(Ld_cal($B216, $C216, $D216, $G216,$E216, $F216, $H216, L$3)*1.3*1.3,0)),"-")</f>
        <v>-</v>
      </c>
      <c r="M216" s="61" t="str">
        <f>IF($J216=M$3,IF(M$3&gt;$I216,"-",ROUNDUP(Ld_cal($B216, $C216, $D216, $G216,$E216, $F216, $H216, M$3)*1.3*1.3,0)),"-")</f>
        <v>-</v>
      </c>
      <c r="N216" s="61" t="str">
        <f>IF($J216=N$3,IF(N$3&gt;$I216,"-",ROUNDUP(Ld_cal($B216, $C216, $D216, $G216,$E216, $F216, $H216, N$3)*1.3*1.3,0)),"-")</f>
        <v>-</v>
      </c>
      <c r="O216" s="61" t="str">
        <f>IF($J216=O$3,IF(O$3&gt;$I216,"-",ROUNDUP(Ld_cal($B216, $C216, $D216, $G216,$E216, $F216, $H216, O$3)*1.3*1.3,0)),"-")</f>
        <v>-</v>
      </c>
      <c r="P216" s="61" t="str">
        <f>IF($J216=P$3,IF(P$3&gt;$I216,"-",ROUNDUP(Ld_cal($B216, $C216, $D216, $G216,$E216, $F216, $H216, P$3)*1.3*1.3,0)),"-")</f>
        <v>-</v>
      </c>
      <c r="Q216" s="61" t="str">
        <f>IF($J216=Q$3,IF(Q$3&gt;$I216,"-",ROUNDUP(Ld_cal($B216, $C216, $D216, $G216,$E216, $F216, $H216, Q$3)*1.3*1.3,0)),"-")</f>
        <v>-</v>
      </c>
      <c r="R216" s="61" t="str">
        <f>IF($J216=R$3,IF(R$3&gt;$I216,"-",ROUNDUP(Ld_cal($B216, $C216, $D216, $G216,$E216, $F216, $H216, R$3)*1.3*1.3,0)),"-")</f>
        <v>-</v>
      </c>
      <c r="S216" s="61">
        <f>IF($J216=S$3,IF(S$3&gt;$I216,"-",ROUNDUP(Ld_cal($B216, $C216, $D216, $G216,$E216, $F216, $H216, S$3)*1.3*1.3,0)),"-")</f>
        <v>150</v>
      </c>
      <c r="T216" s="61" t="str">
        <f>IF($J216=T$3,IF(T$3&gt;$I216,"-",ROUNDUP(Ld_cal($B216, $C216, $D216, $G216,$E216, $F216, $H216, T$3)*1.3*1.3,0)),"-")</f>
        <v>-</v>
      </c>
      <c r="U216" s="61" t="str">
        <f>IF($J216=U$3,IF(U$3&gt;$I216,"-",ROUNDUP(Ld_cal($B216, $C216, $D216, $G216,$E216, $F216, $H216, U$3)*1.3*1.3,0)),"-")</f>
        <v>-</v>
      </c>
      <c r="V216" s="61" t="str">
        <f>IF($J216=V$3,IF(V$3&gt;$I216,"-",ROUNDUP(Ld_cal($B216, $C216, $D216, $G216,$E216, $F216, $H216, V$3)*1.3*1.3,0)),"-")</f>
        <v>-</v>
      </c>
      <c r="W216" s="61" t="str">
        <f>IF($J216=W$3,IF(W$3&gt;$I216,"-",ROUNDUP(Ld_cal($B216, $C216, $D216, $G216,$E216, $F216, $H216, W$3)*1.3*1.3,0)),"-")</f>
        <v>-</v>
      </c>
      <c r="X216" s="61" t="str">
        <f>IF($J216=X$3,IF(X$3&gt;$I216,"-",ROUNDUP(Ld_cal($B216, $C216, $D216, $G216,$E216, $F216, $H216, X$3)*1.3*1.3,0)),"-")</f>
        <v>-</v>
      </c>
      <c r="Y216" s="61" t="str">
        <f>IF($J216=Y$3,IF(Y$3&gt;$I216,"-",ROUNDUP(Ld_cal($B216, $C216, $D216, $G216,$E216, $F216, $H216, Y$3)*1.3*1.3,0)),"-")</f>
        <v>-</v>
      </c>
      <c r="Z216" s="61" t="str">
        <f>IF($J216=Z$3,IF(Z$3&gt;$I216,"-",ROUNDUP(Ld_cal($B216, $C216, $D216, $G216,$E216, $F216, $H216, Z$3)*1.3*1.3,0)),"-")</f>
        <v>-</v>
      </c>
      <c r="AA216" s="61" t="str">
        <f>IF($J216=AA$3,IF(AA$3&gt;$I216,"-",ROUNDUP(Ld_cal($B216, $C216, $D216, $G216,$E216, $F216, $H216, AA$3)*1.3*1.3,0)),"-")</f>
        <v>-</v>
      </c>
      <c r="AB216" s="61" t="str">
        <f>IF($J216=AB$3,IF(AB$3&gt;$I216,"-",ROUNDUP(Ld_cal($B216, $C216, $D216, $G216,$E216, $F216, $H216, AB$3)*1.3*1.3,0)),"-")</f>
        <v>-</v>
      </c>
      <c r="AC216" s="61" t="str">
        <f>IF($J216=AC$3,IF(AC$3&gt;$I216,"-",ROUNDUP(Ld_cal($B216, $C216, $D216, $G216,$E216, $F216, $H216, AC$3)*1.3*1.3,0)),"-")</f>
        <v>-</v>
      </c>
      <c r="AD216" s="61">
        <f t="shared" ref="AD216" si="208">IF(J216&gt;I216,"依標準圖",MAX(L216:AC216))</f>
        <v>150</v>
      </c>
    </row>
    <row r="217" spans="1:30">
      <c r="A217" s="98"/>
      <c r="B217" s="99"/>
      <c r="C217" s="100"/>
      <c r="D217" s="101"/>
      <c r="E217" s="102"/>
      <c r="F217" s="103"/>
      <c r="G217" s="101"/>
      <c r="H217" s="102"/>
      <c r="I217" s="104"/>
      <c r="J217" s="60">
        <v>11</v>
      </c>
      <c r="K217" s="64" t="s">
        <v>29</v>
      </c>
      <c r="L217" s="61" t="str">
        <f>IF($J217=L$3,IF(L$3&gt;$I216,"-",ROUNDUP(Ld_cal($B216, $C216, $D216, $G216,$E216, $F216, $H216, L$3)*1.3,0)),"-")</f>
        <v>-</v>
      </c>
      <c r="M217" s="61" t="str">
        <f>IF($J217=M$3,IF(M$3&gt;$I216,"-",ROUNDUP(Ld_cal($B216, $C216, $D216, $G216,$E216, $F216, $H216, M$3)*1.3,0)),"-")</f>
        <v>-</v>
      </c>
      <c r="N217" s="61" t="str">
        <f>IF($J217=N$3,IF(N$3&gt;$I216,"-",ROUNDUP(Ld_cal($B216, $C216, $D216, $G216,$E216, $F216, $H216, N$3)*1.3,0)),"-")</f>
        <v>-</v>
      </c>
      <c r="O217" s="61" t="str">
        <f>IF($J217=O$3,IF(O$3&gt;$I216,"-",ROUNDUP(Ld_cal($B216, $C216, $D216, $G216,$E216, $F216, $H216, O$3)*1.3,0)),"-")</f>
        <v>-</v>
      </c>
      <c r="P217" s="61" t="str">
        <f>IF($J217=P$3,IF(P$3&gt;$I216,"-",ROUNDUP(Ld_cal($B216, $C216, $D216, $G216,$E216, $F216, $H216, P$3)*1.3,0)),"-")</f>
        <v>-</v>
      </c>
      <c r="Q217" s="61" t="str">
        <f>IF($J217=Q$3,IF(Q$3&gt;$I216,"-",ROUNDUP(Ld_cal($B216, $C216, $D216, $G216,$E216, $F216, $H216, Q$3)*1.3,0)),"-")</f>
        <v>-</v>
      </c>
      <c r="R217" s="61" t="str">
        <f>IF($J217=R$3,IF(R$3&gt;$I216,"-",ROUNDUP(Ld_cal($B216, $C216, $D216, $G216,$E216, $F216, $H216, R$3)*1.3,0)),"-")</f>
        <v>-</v>
      </c>
      <c r="S217" s="61" t="str">
        <f>IF($J217=S$3,IF(S$3&gt;$I216,"-",ROUNDUP(Ld_cal($B216, $C216, $D216, $G216,$E216, $F216, $H216, S$3)*1.3,0)),"-")</f>
        <v>-</v>
      </c>
      <c r="T217" s="61">
        <f>IF($J217=T$3,IF(T$3&gt;$I216,"-",ROUNDUP(Ld_cal($B216, $C216, $D216, $G216,$E216, $F216, $H216, T$3)*1.3,0)),"-")</f>
        <v>128</v>
      </c>
      <c r="U217" s="61" t="str">
        <f>IF($J217=U$3,IF(U$3&gt;$I216,"-",ROUNDUP(Ld_cal($B216, $C216, $D216, $G216,$E216, $F216, $H216, U$3)*1.3,0)),"-")</f>
        <v>-</v>
      </c>
      <c r="V217" s="61" t="str">
        <f>IF($J217=V$3,IF(V$3&gt;$I216,"-",ROUNDUP(Ld_cal($B216, $C216, $D216, $G216,$E216, $F216, $H216, V$3)*1.3,0)),"-")</f>
        <v>-</v>
      </c>
      <c r="W217" s="61" t="str">
        <f>IF($J217=W$3,IF(W$3&gt;$I216,"-",ROUNDUP(Ld_cal($B216, $C216, $D216, $G216,$E216, $F216, $H216, W$3)*1.3,0)),"-")</f>
        <v>-</v>
      </c>
      <c r="X217" s="61" t="str">
        <f>IF($J217=X$3,IF(X$3&gt;$I216,"-",ROUNDUP(Ld_cal($B216, $C216, $D216, $G216,$E216, $F216, $H216, X$3)*1.3,0)),"-")</f>
        <v>-</v>
      </c>
      <c r="Y217" s="61" t="str">
        <f>IF($J217=Y$3,IF(Y$3&gt;$I216,"-",ROUNDUP(Ld_cal($B216, $C216, $D216, $G216,$E216, $F216, $H216, Y$3)*1.3,0)),"-")</f>
        <v>-</v>
      </c>
      <c r="Z217" s="61" t="str">
        <f>IF($J217=Z$3,IF(Z$3&gt;$I216,"-",ROUNDUP(Ld_cal($B216, $C216, $D216, $G216,$E216, $F216, $H216, Z$3)*1.3,0)),"-")</f>
        <v>-</v>
      </c>
      <c r="AA217" s="61" t="str">
        <f>IF($J217=AA$3,IF(AA$3&gt;$I216,"-",ROUNDUP(Ld_cal($B216, $C216, $D216, $G216,$E216, $F216, $H216, AA$3)*1.3,0)),"-")</f>
        <v>-</v>
      </c>
      <c r="AB217" s="61" t="str">
        <f>IF($J217=AB$3,IF(AB$3&gt;$I216,"-",ROUNDUP(Ld_cal($B216, $C216, $D216, $G216,$E216, $F216, $H216, AB$3)*1.3,0)),"-")</f>
        <v>-</v>
      </c>
      <c r="AC217" s="61" t="str">
        <f>IF($J217=AC$3,IF(AC$3&gt;$I216,"-",ROUNDUP(Ld_cal($B216, $C216, $D216, $G216,$E216, $F216, $H216, AC$3)*1.3,0)),"-")</f>
        <v>-</v>
      </c>
      <c r="AD217" s="61">
        <f t="shared" ref="AD217" si="209">IF(J217&gt;I216,"依標準圖",MAX(L217:AC217))</f>
        <v>128</v>
      </c>
    </row>
    <row r="218" spans="1:30">
      <c r="A218" s="105" t="s">
        <v>153</v>
      </c>
      <c r="B218" s="107">
        <v>150</v>
      </c>
      <c r="C218" s="108">
        <v>7.5</v>
      </c>
      <c r="D218" s="107">
        <v>4200</v>
      </c>
      <c r="E218" s="109">
        <v>16</v>
      </c>
      <c r="F218" s="110">
        <v>7</v>
      </c>
      <c r="G218" s="107">
        <v>350</v>
      </c>
      <c r="H218" s="109">
        <v>32</v>
      </c>
      <c r="I218" s="111">
        <f>ROUNDDOWN(($B218-2*$C218-2*$E218/10-$H218/10)/(($D$1+1)*$H218/10),0)+1</f>
        <v>21</v>
      </c>
      <c r="J218" s="62">
        <v>9</v>
      </c>
      <c r="K218" s="40" t="s">
        <v>30</v>
      </c>
      <c r="L218" s="63" t="str">
        <f>IF($J218=L$3,IF(L$3&gt;$I218,"-",ROUNDUP(Ld_cal($B218, $C218, $D218, $G218,$E218, $F218, $H218, L$3)*1.3*1.3,0)),"-")</f>
        <v>-</v>
      </c>
      <c r="M218" s="63" t="str">
        <f>IF($J218=M$3,IF(M$3&gt;$I218,"-",ROUNDUP(Ld_cal($B218, $C218, $D218, $G218,$E218, $F218, $H218, M$3)*1.3*1.3,0)),"-")</f>
        <v>-</v>
      </c>
      <c r="N218" s="63" t="str">
        <f>IF($J218=N$3,IF(N$3&gt;$I218,"-",ROUNDUP(Ld_cal($B218, $C218, $D218, $G218,$E218, $F218, $H218, N$3)*1.3*1.3,0)),"-")</f>
        <v>-</v>
      </c>
      <c r="O218" s="63" t="str">
        <f>IF($J218=O$3,IF(O$3&gt;$I218,"-",ROUNDUP(Ld_cal($B218, $C218, $D218, $G218,$E218, $F218, $H218, O$3)*1.3*1.3,0)),"-")</f>
        <v>-</v>
      </c>
      <c r="P218" s="63" t="str">
        <f>IF($J218=P$3,IF(P$3&gt;$I218,"-",ROUNDUP(Ld_cal($B218, $C218, $D218, $G218,$E218, $F218, $H218, P$3)*1.3*1.3,0)),"-")</f>
        <v>-</v>
      </c>
      <c r="Q218" s="63" t="str">
        <f>IF($J218=Q$3,IF(Q$3&gt;$I218,"-",ROUNDUP(Ld_cal($B218, $C218, $D218, $G218,$E218, $F218, $H218, Q$3)*1.3*1.3,0)),"-")</f>
        <v>-</v>
      </c>
      <c r="R218" s="63">
        <f>IF($J218=R$3,IF(R$3&gt;$I218,"-",ROUNDUP(Ld_cal($B218, $C218, $D218, $G218,$E218, $F218, $H218, R$3)*1.3*1.3,0)),"-")</f>
        <v>136</v>
      </c>
      <c r="S218" s="63" t="str">
        <f>IF($J218=S$3,IF(S$3&gt;$I218,"-",ROUNDUP(Ld_cal($B218, $C218, $D218, $G218,$E218, $F218, $H218, S$3)*1.3*1.3,0)),"-")</f>
        <v>-</v>
      </c>
      <c r="T218" s="63" t="str">
        <f>IF($J218=T$3,IF(T$3&gt;$I218,"-",ROUNDUP(Ld_cal($B218, $C218, $D218, $G218,$E218, $F218, $H218, T$3)*1.3*1.3,0)),"-")</f>
        <v>-</v>
      </c>
      <c r="U218" s="63" t="str">
        <f>IF($J218=U$3,IF(U$3&gt;$I218,"-",ROUNDUP(Ld_cal($B218, $C218, $D218, $G218,$E218, $F218, $H218, U$3)*1.3*1.3,0)),"-")</f>
        <v>-</v>
      </c>
      <c r="V218" s="63" t="str">
        <f>IF($J218=V$3,IF(V$3&gt;$I218,"-",ROUNDUP(Ld_cal($B218, $C218, $D218, $G218,$E218, $F218, $H218, V$3)*1.3*1.3,0)),"-")</f>
        <v>-</v>
      </c>
      <c r="W218" s="63" t="str">
        <f>IF($J218=W$3,IF(W$3&gt;$I218,"-",ROUNDUP(Ld_cal($B218, $C218, $D218, $G218,$E218, $F218, $H218, W$3)*1.3*1.3,0)),"-")</f>
        <v>-</v>
      </c>
      <c r="X218" s="63" t="str">
        <f>IF($J218=X$3,IF(X$3&gt;$I218,"-",ROUNDUP(Ld_cal($B218, $C218, $D218, $G218,$E218, $F218, $H218, X$3)*1.3*1.3,0)),"-")</f>
        <v>-</v>
      </c>
      <c r="Y218" s="63" t="str">
        <f>IF($J218=Y$3,IF(Y$3&gt;$I218,"-",ROUNDUP(Ld_cal($B218, $C218, $D218, $G218,$E218, $F218, $H218, Y$3)*1.3*1.3,0)),"-")</f>
        <v>-</v>
      </c>
      <c r="Z218" s="63" t="str">
        <f>IF($J218=Z$3,IF(Z$3&gt;$I218,"-",ROUNDUP(Ld_cal($B218, $C218, $D218, $G218,$E218, $F218, $H218, Z$3)*1.3*1.3,0)),"-")</f>
        <v>-</v>
      </c>
      <c r="AA218" s="63" t="str">
        <f>IF($J218=AA$3,IF(AA$3&gt;$I218,"-",ROUNDUP(Ld_cal($B218, $C218, $D218, $G218,$E218, $F218, $H218, AA$3)*1.3*1.3,0)),"-")</f>
        <v>-</v>
      </c>
      <c r="AB218" s="63" t="str">
        <f>IF($J218=AB$3,IF(AB$3&gt;$I218,"-",ROUNDUP(Ld_cal($B218, $C218, $D218, $G218,$E218, $F218, $H218, AB$3)*1.3*1.3,0)),"-")</f>
        <v>-</v>
      </c>
      <c r="AC218" s="63" t="str">
        <f>IF($J218=AC$3,IF(AC$3&gt;$I218,"-",ROUNDUP(Ld_cal($B218, $C218, $D218, $G218,$E218, $F218, $H218, AC$3)*1.3*1.3,0)),"-")</f>
        <v>-</v>
      </c>
      <c r="AD218" s="63">
        <f t="shared" ref="AD218" si="210">IF(J218&gt;I218,"依標準圖",MAX(L218:AC218))</f>
        <v>136</v>
      </c>
    </row>
    <row r="219" spans="1:30">
      <c r="A219" s="106"/>
      <c r="B219" s="107"/>
      <c r="C219" s="108"/>
      <c r="D219" s="107"/>
      <c r="E219" s="109"/>
      <c r="F219" s="110"/>
      <c r="G219" s="107"/>
      <c r="H219" s="109"/>
      <c r="I219" s="111"/>
      <c r="J219" s="62">
        <v>17</v>
      </c>
      <c r="K219" s="40" t="s">
        <v>29</v>
      </c>
      <c r="L219" s="63" t="str">
        <f>IF($J219=L$3,IF(L$3&gt;$I218,"-",ROUNDUP(Ld_cal($B218, $C218, $D218, $G218,$E218, $F218, $H218, L$3)*1.3,0)),"-")</f>
        <v>-</v>
      </c>
      <c r="M219" s="63" t="str">
        <f>IF($J219=M$3,IF(M$3&gt;$I218,"-",ROUNDUP(Ld_cal($B218, $C218, $D218, $G218,$E218, $F218, $H218, M$3)*1.3,0)),"-")</f>
        <v>-</v>
      </c>
      <c r="N219" s="63" t="str">
        <f>IF($J219=N$3,IF(N$3&gt;$I218,"-",ROUNDUP(Ld_cal($B218, $C218, $D218, $G218,$E218, $F218, $H218, N$3)*1.3,0)),"-")</f>
        <v>-</v>
      </c>
      <c r="O219" s="63" t="str">
        <f>IF($J219=O$3,IF(O$3&gt;$I218,"-",ROUNDUP(Ld_cal($B218, $C218, $D218, $G218,$E218, $F218, $H218, O$3)*1.3,0)),"-")</f>
        <v>-</v>
      </c>
      <c r="P219" s="63" t="str">
        <f>IF($J219=P$3,IF(P$3&gt;$I218,"-",ROUNDUP(Ld_cal($B218, $C218, $D218, $G218,$E218, $F218, $H218, P$3)*1.3,0)),"-")</f>
        <v>-</v>
      </c>
      <c r="Q219" s="63" t="str">
        <f>IF($J219=Q$3,IF(Q$3&gt;$I218,"-",ROUNDUP(Ld_cal($B218, $C218, $D218, $G218,$E218, $F218, $H218, Q$3)*1.3,0)),"-")</f>
        <v>-</v>
      </c>
      <c r="R219" s="63" t="str">
        <f>IF($J219=R$3,IF(R$3&gt;$I218,"-",ROUNDUP(Ld_cal($B218, $C218, $D218, $G218,$E218, $F218, $H218, R$3)*1.3,0)),"-")</f>
        <v>-</v>
      </c>
      <c r="S219" s="63" t="str">
        <f>IF($J219=S$3,IF(S$3&gt;$I218,"-",ROUNDUP(Ld_cal($B218, $C218, $D218, $G218,$E218, $F218, $H218, S$3)*1.3,0)),"-")</f>
        <v>-</v>
      </c>
      <c r="T219" s="63" t="str">
        <f>IF($J219=T$3,IF(T$3&gt;$I218,"-",ROUNDUP(Ld_cal($B218, $C218, $D218, $G218,$E218, $F218, $H218, T$3)*1.3,0)),"-")</f>
        <v>-</v>
      </c>
      <c r="U219" s="63" t="str">
        <f>IF($J219=U$3,IF(U$3&gt;$I218,"-",ROUNDUP(Ld_cal($B218, $C218, $D218, $G218,$E218, $F218, $H218, U$3)*1.3,0)),"-")</f>
        <v>-</v>
      </c>
      <c r="V219" s="63" t="str">
        <f>IF($J219=V$3,IF(V$3&gt;$I218,"-",ROUNDUP(Ld_cal($B218, $C218, $D218, $G218,$E218, $F218, $H218, V$3)*1.3,0)),"-")</f>
        <v>-</v>
      </c>
      <c r="W219" s="63" t="str">
        <f>IF($J219=W$3,IF(W$3&gt;$I218,"-",ROUNDUP(Ld_cal($B218, $C218, $D218, $G218,$E218, $F218, $H218, W$3)*1.3,0)),"-")</f>
        <v>-</v>
      </c>
      <c r="X219" s="63" t="str">
        <f>IF($J219=X$3,IF(X$3&gt;$I218,"-",ROUNDUP(Ld_cal($B218, $C218, $D218, $G218,$E218, $F218, $H218, X$3)*1.3,0)),"-")</f>
        <v>-</v>
      </c>
      <c r="Y219" s="63" t="str">
        <f>IF($J219=Y$3,IF(Y$3&gt;$I218,"-",ROUNDUP(Ld_cal($B218, $C218, $D218, $G218,$E218, $F218, $H218, Y$3)*1.3,0)),"-")</f>
        <v>-</v>
      </c>
      <c r="Z219" s="63">
        <f>IF($J219=Z$3,IF(Z$3&gt;$I218,"-",ROUNDUP(Ld_cal($B218, $C218, $D218, $G218,$E218, $F218, $H218, Z$3)*1.3,0)),"-")</f>
        <v>156</v>
      </c>
      <c r="AA219" s="63" t="str">
        <f>IF($J219=AA$3,IF(AA$3&gt;$I218,"-",ROUNDUP(Ld_cal($B218, $C218, $D218, $G218,$E218, $F218, $H218, AA$3)*1.3,0)),"-")</f>
        <v>-</v>
      </c>
      <c r="AB219" s="63" t="str">
        <f>IF($J219=AB$3,IF(AB$3&gt;$I218,"-",ROUNDUP(Ld_cal($B218, $C218, $D218, $G218,$E218, $F218, $H218, AB$3)*1.3,0)),"-")</f>
        <v>-</v>
      </c>
      <c r="AC219" s="63" t="str">
        <f>IF($J219=AC$3,IF(AC$3&gt;$I218,"-",ROUNDUP(Ld_cal($B218, $C218, $D218, $G218,$E218, $F218, $H218, AC$3)*1.3,0)),"-")</f>
        <v>-</v>
      </c>
      <c r="AD219" s="63">
        <f t="shared" ref="AD219" si="211">IF(J219&gt;I218,"依標準圖",MAX(L219:AC219))</f>
        <v>156</v>
      </c>
    </row>
    <row r="220" spans="1:30">
      <c r="A220" s="97" t="s">
        <v>154</v>
      </c>
      <c r="B220" s="99">
        <v>150</v>
      </c>
      <c r="C220" s="100">
        <v>7.5</v>
      </c>
      <c r="D220" s="101">
        <v>4200</v>
      </c>
      <c r="E220" s="102">
        <v>16</v>
      </c>
      <c r="F220" s="103">
        <v>7</v>
      </c>
      <c r="G220" s="101">
        <v>350</v>
      </c>
      <c r="H220" s="102">
        <v>32</v>
      </c>
      <c r="I220" s="104">
        <f>ROUNDDOWN(($B220-2*$C220-2*$E220/10-$H220/10)/(($D$1+1)*$H220/10),0)+1</f>
        <v>21</v>
      </c>
      <c r="J220" s="60">
        <v>19</v>
      </c>
      <c r="K220" s="64" t="s">
        <v>30</v>
      </c>
      <c r="L220" s="61" t="str">
        <f>IF($J220=L$3,IF(L$3&gt;$I220,"-",ROUNDUP(Ld_cal($B220, $C220, $D220, $G220,$E220, $F220, $H220, L$3)*1.3*1.3,0)),"-")</f>
        <v>-</v>
      </c>
      <c r="M220" s="61" t="str">
        <f>IF($J220=M$3,IF(M$3&gt;$I220,"-",ROUNDUP(Ld_cal($B220, $C220, $D220, $G220,$E220, $F220, $H220, M$3)*1.3*1.3,0)),"-")</f>
        <v>-</v>
      </c>
      <c r="N220" s="61" t="str">
        <f>IF($J220=N$3,IF(N$3&gt;$I220,"-",ROUNDUP(Ld_cal($B220, $C220, $D220, $G220,$E220, $F220, $H220, N$3)*1.3*1.3,0)),"-")</f>
        <v>-</v>
      </c>
      <c r="O220" s="61" t="str">
        <f>IF($J220=O$3,IF(O$3&gt;$I220,"-",ROUNDUP(Ld_cal($B220, $C220, $D220, $G220,$E220, $F220, $H220, O$3)*1.3*1.3,0)),"-")</f>
        <v>-</v>
      </c>
      <c r="P220" s="61" t="str">
        <f>IF($J220=P$3,IF(P$3&gt;$I220,"-",ROUNDUP(Ld_cal($B220, $C220, $D220, $G220,$E220, $F220, $H220, P$3)*1.3*1.3,0)),"-")</f>
        <v>-</v>
      </c>
      <c r="Q220" s="61" t="str">
        <f>IF($J220=Q$3,IF(Q$3&gt;$I220,"-",ROUNDUP(Ld_cal($B220, $C220, $D220, $G220,$E220, $F220, $H220, Q$3)*1.3*1.3,0)),"-")</f>
        <v>-</v>
      </c>
      <c r="R220" s="61" t="str">
        <f>IF($J220=R$3,IF(R$3&gt;$I220,"-",ROUNDUP(Ld_cal($B220, $C220, $D220, $G220,$E220, $F220, $H220, R$3)*1.3*1.3,0)),"-")</f>
        <v>-</v>
      </c>
      <c r="S220" s="61" t="str">
        <f>IF($J220=S$3,IF(S$3&gt;$I220,"-",ROUNDUP(Ld_cal($B220, $C220, $D220, $G220,$E220, $F220, $H220, S$3)*1.3*1.3,0)),"-")</f>
        <v>-</v>
      </c>
      <c r="T220" s="61" t="str">
        <f>IF($J220=T$3,IF(T$3&gt;$I220,"-",ROUNDUP(Ld_cal($B220, $C220, $D220, $G220,$E220, $F220, $H220, T$3)*1.3*1.3,0)),"-")</f>
        <v>-</v>
      </c>
      <c r="U220" s="61" t="str">
        <f>IF($J220=U$3,IF(U$3&gt;$I220,"-",ROUNDUP(Ld_cal($B220, $C220, $D220, $G220,$E220, $F220, $H220, U$3)*1.3*1.3,0)),"-")</f>
        <v>-</v>
      </c>
      <c r="V220" s="61" t="str">
        <f>IF($J220=V$3,IF(V$3&gt;$I220,"-",ROUNDUP(Ld_cal($B220, $C220, $D220, $G220,$E220, $F220, $H220, V$3)*1.3*1.3,0)),"-")</f>
        <v>-</v>
      </c>
      <c r="W220" s="61" t="str">
        <f>IF($J220=W$3,IF(W$3&gt;$I220,"-",ROUNDUP(Ld_cal($B220, $C220, $D220, $G220,$E220, $F220, $H220, W$3)*1.3*1.3,0)),"-")</f>
        <v>-</v>
      </c>
      <c r="X220" s="61" t="str">
        <f>IF($J220=X$3,IF(X$3&gt;$I220,"-",ROUNDUP(Ld_cal($B220, $C220, $D220, $G220,$E220, $F220, $H220, X$3)*1.3*1.3,0)),"-")</f>
        <v>-</v>
      </c>
      <c r="Y220" s="61" t="str">
        <f>IF($J220=Y$3,IF(Y$3&gt;$I220,"-",ROUNDUP(Ld_cal($B220, $C220, $D220, $G220,$E220, $F220, $H220, Y$3)*1.3*1.3,0)),"-")</f>
        <v>-</v>
      </c>
      <c r="Z220" s="61" t="str">
        <f>IF($J220=Z$3,IF(Z$3&gt;$I220,"-",ROUNDUP(Ld_cal($B220, $C220, $D220, $G220,$E220, $F220, $H220, Z$3)*1.3*1.3,0)),"-")</f>
        <v>-</v>
      </c>
      <c r="AA220" s="61" t="str">
        <f>IF($J220=AA$3,IF(AA$3&gt;$I220,"-",ROUNDUP(Ld_cal($B220, $C220, $D220, $G220,$E220, $F220, $H220, AA$3)*1.3*1.3,0)),"-")</f>
        <v>-</v>
      </c>
      <c r="AB220" s="61">
        <f>IF($J220=AB$3,IF(AB$3&gt;$I220,"-",ROUNDUP(Ld_cal($B220, $C220, $D220, $G220,$E220, $F220, $H220, AB$3)*1.3*1.3,0)),"-")</f>
        <v>228</v>
      </c>
      <c r="AC220" s="61" t="str">
        <f>IF($J220=AC$3,IF(AC$3&gt;$I220,"-",ROUNDUP(Ld_cal($B220, $C220, $D220, $G220,$E220, $F220, $H220, AC$3)*1.3*1.3,0)),"-")</f>
        <v>-</v>
      </c>
      <c r="AD220" s="61">
        <f t="shared" ref="AD220" si="212">IF(J220&gt;I220,"依標準圖",MAX(L220:AC220))</f>
        <v>228</v>
      </c>
    </row>
    <row r="221" spans="1:30">
      <c r="A221" s="98"/>
      <c r="B221" s="99"/>
      <c r="C221" s="100"/>
      <c r="D221" s="101"/>
      <c r="E221" s="102"/>
      <c r="F221" s="103"/>
      <c r="G221" s="101"/>
      <c r="H221" s="102"/>
      <c r="I221" s="104"/>
      <c r="J221" s="60">
        <v>18</v>
      </c>
      <c r="K221" s="64" t="s">
        <v>29</v>
      </c>
      <c r="L221" s="61" t="str">
        <f>IF($J221=L$3,IF(L$3&gt;$I220,"-",ROUNDUP(Ld_cal($B220, $C220, $D220, $G220,$E220, $F220, $H220, L$3)*1.3,0)),"-")</f>
        <v>-</v>
      </c>
      <c r="M221" s="61" t="str">
        <f>IF($J221=M$3,IF(M$3&gt;$I220,"-",ROUNDUP(Ld_cal($B220, $C220, $D220, $G220,$E220, $F220, $H220, M$3)*1.3,0)),"-")</f>
        <v>-</v>
      </c>
      <c r="N221" s="61" t="str">
        <f>IF($J221=N$3,IF(N$3&gt;$I220,"-",ROUNDUP(Ld_cal($B220, $C220, $D220, $G220,$E220, $F220, $H220, N$3)*1.3,0)),"-")</f>
        <v>-</v>
      </c>
      <c r="O221" s="61" t="str">
        <f>IF($J221=O$3,IF(O$3&gt;$I220,"-",ROUNDUP(Ld_cal($B220, $C220, $D220, $G220,$E220, $F220, $H220, O$3)*1.3,0)),"-")</f>
        <v>-</v>
      </c>
      <c r="P221" s="61" t="str">
        <f>IF($J221=P$3,IF(P$3&gt;$I220,"-",ROUNDUP(Ld_cal($B220, $C220, $D220, $G220,$E220, $F220, $H220, P$3)*1.3,0)),"-")</f>
        <v>-</v>
      </c>
      <c r="Q221" s="61" t="str">
        <f>IF($J221=Q$3,IF(Q$3&gt;$I220,"-",ROUNDUP(Ld_cal($B220, $C220, $D220, $G220,$E220, $F220, $H220, Q$3)*1.3,0)),"-")</f>
        <v>-</v>
      </c>
      <c r="R221" s="61" t="str">
        <f>IF($J221=R$3,IF(R$3&gt;$I220,"-",ROUNDUP(Ld_cal($B220, $C220, $D220, $G220,$E220, $F220, $H220, R$3)*1.3,0)),"-")</f>
        <v>-</v>
      </c>
      <c r="S221" s="61" t="str">
        <f>IF($J221=S$3,IF(S$3&gt;$I220,"-",ROUNDUP(Ld_cal($B220, $C220, $D220, $G220,$E220, $F220, $H220, S$3)*1.3,0)),"-")</f>
        <v>-</v>
      </c>
      <c r="T221" s="61" t="str">
        <f>IF($J221=T$3,IF(T$3&gt;$I220,"-",ROUNDUP(Ld_cal($B220, $C220, $D220, $G220,$E220, $F220, $H220, T$3)*1.3,0)),"-")</f>
        <v>-</v>
      </c>
      <c r="U221" s="61" t="str">
        <f>IF($J221=U$3,IF(U$3&gt;$I220,"-",ROUNDUP(Ld_cal($B220, $C220, $D220, $G220,$E220, $F220, $H220, U$3)*1.3,0)),"-")</f>
        <v>-</v>
      </c>
      <c r="V221" s="61" t="str">
        <f>IF($J221=V$3,IF(V$3&gt;$I220,"-",ROUNDUP(Ld_cal($B220, $C220, $D220, $G220,$E220, $F220, $H220, V$3)*1.3,0)),"-")</f>
        <v>-</v>
      </c>
      <c r="W221" s="61" t="str">
        <f>IF($J221=W$3,IF(W$3&gt;$I220,"-",ROUNDUP(Ld_cal($B220, $C220, $D220, $G220,$E220, $F220, $H220, W$3)*1.3,0)),"-")</f>
        <v>-</v>
      </c>
      <c r="X221" s="61" t="str">
        <f>IF($J221=X$3,IF(X$3&gt;$I220,"-",ROUNDUP(Ld_cal($B220, $C220, $D220, $G220,$E220, $F220, $H220, X$3)*1.3,0)),"-")</f>
        <v>-</v>
      </c>
      <c r="Y221" s="61" t="str">
        <f>IF($J221=Y$3,IF(Y$3&gt;$I220,"-",ROUNDUP(Ld_cal($B220, $C220, $D220, $G220,$E220, $F220, $H220, Y$3)*1.3,0)),"-")</f>
        <v>-</v>
      </c>
      <c r="Z221" s="61" t="str">
        <f>IF($J221=Z$3,IF(Z$3&gt;$I220,"-",ROUNDUP(Ld_cal($B220, $C220, $D220, $G220,$E220, $F220, $H220, Z$3)*1.3,0)),"-")</f>
        <v>-</v>
      </c>
      <c r="AA221" s="61">
        <f>IF($J221=AA$3,IF(AA$3&gt;$I220,"-",ROUNDUP(Ld_cal($B220, $C220, $D220, $G220,$E220, $F220, $H220, AA$3)*1.3,0)),"-")</f>
        <v>166</v>
      </c>
      <c r="AB221" s="61" t="str">
        <f>IF($J221=AB$3,IF(AB$3&gt;$I220,"-",ROUNDUP(Ld_cal($B220, $C220, $D220, $G220,$E220, $F220, $H220, AB$3)*1.3,0)),"-")</f>
        <v>-</v>
      </c>
      <c r="AC221" s="61" t="str">
        <f>IF($J221=AC$3,IF(AC$3&gt;$I220,"-",ROUNDUP(Ld_cal($B220, $C220, $D220, $G220,$E220, $F220, $H220, AC$3)*1.3,0)),"-")</f>
        <v>-</v>
      </c>
      <c r="AD221" s="61">
        <f t="shared" ref="AD221" si="213">IF(J221&gt;I220,"依標準圖",MAX(L221:AC221))</f>
        <v>166</v>
      </c>
    </row>
    <row r="222" spans="1:30">
      <c r="A222" s="105" t="s">
        <v>155</v>
      </c>
      <c r="B222" s="107">
        <v>120</v>
      </c>
      <c r="C222" s="108">
        <v>7.5</v>
      </c>
      <c r="D222" s="107">
        <v>4200</v>
      </c>
      <c r="E222" s="109">
        <v>16</v>
      </c>
      <c r="F222" s="110">
        <v>25</v>
      </c>
      <c r="G222" s="107">
        <v>350</v>
      </c>
      <c r="H222" s="109">
        <v>32</v>
      </c>
      <c r="I222" s="111">
        <f>ROUNDDOWN(($B222-2*$C222-2*$E222/10-$H222/10)/(($D$1+1)*$H222/10),0)+1</f>
        <v>16</v>
      </c>
      <c r="J222" s="62">
        <v>8</v>
      </c>
      <c r="K222" s="40" t="s">
        <v>30</v>
      </c>
      <c r="L222" s="63" t="str">
        <f>IF($J222=L$3,IF(L$3&gt;$I222,"-",ROUNDUP(Ld_cal($B222, $C222, $D222, $G222,$E222, $F222, $H222, L$3)*1.3*1.3,0)),"-")</f>
        <v>-</v>
      </c>
      <c r="M222" s="63" t="str">
        <f>IF($J222=M$3,IF(M$3&gt;$I222,"-",ROUNDUP(Ld_cal($B222, $C222, $D222, $G222,$E222, $F222, $H222, M$3)*1.3*1.3,0)),"-")</f>
        <v>-</v>
      </c>
      <c r="N222" s="63" t="str">
        <f>IF($J222=N$3,IF(N$3&gt;$I222,"-",ROUNDUP(Ld_cal($B222, $C222, $D222, $G222,$E222, $F222, $H222, N$3)*1.3*1.3,0)),"-")</f>
        <v>-</v>
      </c>
      <c r="O222" s="63" t="str">
        <f>IF($J222=O$3,IF(O$3&gt;$I222,"-",ROUNDUP(Ld_cal($B222, $C222, $D222, $G222,$E222, $F222, $H222, O$3)*1.3*1.3,0)),"-")</f>
        <v>-</v>
      </c>
      <c r="P222" s="63" t="str">
        <f>IF($J222=P$3,IF(P$3&gt;$I222,"-",ROUNDUP(Ld_cal($B222, $C222, $D222, $G222,$E222, $F222, $H222, P$3)*1.3*1.3,0)),"-")</f>
        <v>-</v>
      </c>
      <c r="Q222" s="63">
        <f>IF($J222=Q$3,IF(Q$3&gt;$I222,"-",ROUNDUP(Ld_cal($B222, $C222, $D222, $G222,$E222, $F222, $H222, Q$3)*1.3*1.3,0)),"-")</f>
        <v>139</v>
      </c>
      <c r="R222" s="63" t="str">
        <f>IF($J222=R$3,IF(R$3&gt;$I222,"-",ROUNDUP(Ld_cal($B222, $C222, $D222, $G222,$E222, $F222, $H222, R$3)*1.3*1.3,0)),"-")</f>
        <v>-</v>
      </c>
      <c r="S222" s="63" t="str">
        <f>IF($J222=S$3,IF(S$3&gt;$I222,"-",ROUNDUP(Ld_cal($B222, $C222, $D222, $G222,$E222, $F222, $H222, S$3)*1.3*1.3,0)),"-")</f>
        <v>-</v>
      </c>
      <c r="T222" s="63" t="str">
        <f>IF($J222=T$3,IF(T$3&gt;$I222,"-",ROUNDUP(Ld_cal($B222, $C222, $D222, $G222,$E222, $F222, $H222, T$3)*1.3*1.3,0)),"-")</f>
        <v>-</v>
      </c>
      <c r="U222" s="63" t="str">
        <f>IF($J222=U$3,IF(U$3&gt;$I222,"-",ROUNDUP(Ld_cal($B222, $C222, $D222, $G222,$E222, $F222, $H222, U$3)*1.3*1.3,0)),"-")</f>
        <v>-</v>
      </c>
      <c r="V222" s="63" t="str">
        <f>IF($J222=V$3,IF(V$3&gt;$I222,"-",ROUNDUP(Ld_cal($B222, $C222, $D222, $G222,$E222, $F222, $H222, V$3)*1.3*1.3,0)),"-")</f>
        <v>-</v>
      </c>
      <c r="W222" s="63" t="str">
        <f>IF($J222=W$3,IF(W$3&gt;$I222,"-",ROUNDUP(Ld_cal($B222, $C222, $D222, $G222,$E222, $F222, $H222, W$3)*1.3*1.3,0)),"-")</f>
        <v>-</v>
      </c>
      <c r="X222" s="63" t="str">
        <f>IF($J222=X$3,IF(X$3&gt;$I222,"-",ROUNDUP(Ld_cal($B222, $C222, $D222, $G222,$E222, $F222, $H222, X$3)*1.3*1.3,0)),"-")</f>
        <v>-</v>
      </c>
      <c r="Y222" s="63" t="str">
        <f>IF($J222=Y$3,IF(Y$3&gt;$I222,"-",ROUNDUP(Ld_cal($B222, $C222, $D222, $G222,$E222, $F222, $H222, Y$3)*1.3*1.3,0)),"-")</f>
        <v>-</v>
      </c>
      <c r="Z222" s="63" t="str">
        <f>IF($J222=Z$3,IF(Z$3&gt;$I222,"-",ROUNDUP(Ld_cal($B222, $C222, $D222, $G222,$E222, $F222, $H222, Z$3)*1.3*1.3,0)),"-")</f>
        <v>-</v>
      </c>
      <c r="AA222" s="63" t="str">
        <f>IF($J222=AA$3,IF(AA$3&gt;$I222,"-",ROUNDUP(Ld_cal($B222, $C222, $D222, $G222,$E222, $F222, $H222, AA$3)*1.3*1.3,0)),"-")</f>
        <v>-</v>
      </c>
      <c r="AB222" s="63" t="str">
        <f>IF($J222=AB$3,IF(AB$3&gt;$I222,"-",ROUNDUP(Ld_cal($B222, $C222, $D222, $G222,$E222, $F222, $H222, AB$3)*1.3*1.3,0)),"-")</f>
        <v>-</v>
      </c>
      <c r="AC222" s="63" t="str">
        <f>IF($J222=AC$3,IF(AC$3&gt;$I222,"-",ROUNDUP(Ld_cal($B222, $C222, $D222, $G222,$E222, $F222, $H222, AC$3)*1.3*1.3,0)),"-")</f>
        <v>-</v>
      </c>
      <c r="AD222" s="63">
        <f t="shared" ref="AD222" si="214">IF(J222&gt;I222,"依標準圖",MAX(L222:AC222))</f>
        <v>139</v>
      </c>
    </row>
    <row r="223" spans="1:30">
      <c r="A223" s="106"/>
      <c r="B223" s="107"/>
      <c r="C223" s="108"/>
      <c r="D223" s="107"/>
      <c r="E223" s="109"/>
      <c r="F223" s="110"/>
      <c r="G223" s="107"/>
      <c r="H223" s="109"/>
      <c r="I223" s="111"/>
      <c r="J223" s="62">
        <v>5</v>
      </c>
      <c r="K223" s="40" t="s">
        <v>29</v>
      </c>
      <c r="L223" s="63" t="str">
        <f>IF($J223=L$3,IF(L$3&gt;$I222,"-",ROUNDUP(Ld_cal($B222, $C222, $D222, $G222,$E222, $F222, $H222, L$3)*1.3,0)),"-")</f>
        <v>-</v>
      </c>
      <c r="M223" s="63" t="str">
        <f>IF($J223=M$3,IF(M$3&gt;$I222,"-",ROUNDUP(Ld_cal($B222, $C222, $D222, $G222,$E222, $F222, $H222, M$3)*1.3,0)),"-")</f>
        <v>-</v>
      </c>
      <c r="N223" s="63">
        <f>IF($J223=N$3,IF(N$3&gt;$I222,"-",ROUNDUP(Ld_cal($B222, $C222, $D222, $G222,$E222, $F222, $H222, N$3)*1.3,0)),"-")</f>
        <v>105</v>
      </c>
      <c r="O223" s="63" t="str">
        <f>IF($J223=O$3,IF(O$3&gt;$I222,"-",ROUNDUP(Ld_cal($B222, $C222, $D222, $G222,$E222, $F222, $H222, O$3)*1.3,0)),"-")</f>
        <v>-</v>
      </c>
      <c r="P223" s="63" t="str">
        <f>IF($J223=P$3,IF(P$3&gt;$I222,"-",ROUNDUP(Ld_cal($B222, $C222, $D222, $G222,$E222, $F222, $H222, P$3)*1.3,0)),"-")</f>
        <v>-</v>
      </c>
      <c r="Q223" s="63" t="str">
        <f>IF($J223=Q$3,IF(Q$3&gt;$I222,"-",ROUNDUP(Ld_cal($B222, $C222, $D222, $G222,$E222, $F222, $H222, Q$3)*1.3,0)),"-")</f>
        <v>-</v>
      </c>
      <c r="R223" s="63" t="str">
        <f>IF($J223=R$3,IF(R$3&gt;$I222,"-",ROUNDUP(Ld_cal($B222, $C222, $D222, $G222,$E222, $F222, $H222, R$3)*1.3,0)),"-")</f>
        <v>-</v>
      </c>
      <c r="S223" s="63" t="str">
        <f>IF($J223=S$3,IF(S$3&gt;$I222,"-",ROUNDUP(Ld_cal($B222, $C222, $D222, $G222,$E222, $F222, $H222, S$3)*1.3,0)),"-")</f>
        <v>-</v>
      </c>
      <c r="T223" s="63" t="str">
        <f>IF($J223=T$3,IF(T$3&gt;$I222,"-",ROUNDUP(Ld_cal($B222, $C222, $D222, $G222,$E222, $F222, $H222, T$3)*1.3,0)),"-")</f>
        <v>-</v>
      </c>
      <c r="U223" s="63" t="str">
        <f>IF($J223=U$3,IF(U$3&gt;$I222,"-",ROUNDUP(Ld_cal($B222, $C222, $D222, $G222,$E222, $F222, $H222, U$3)*1.3,0)),"-")</f>
        <v>-</v>
      </c>
      <c r="V223" s="63" t="str">
        <f>IF($J223=V$3,IF(V$3&gt;$I222,"-",ROUNDUP(Ld_cal($B222, $C222, $D222, $G222,$E222, $F222, $H222, V$3)*1.3,0)),"-")</f>
        <v>-</v>
      </c>
      <c r="W223" s="63" t="str">
        <f>IF($J223=W$3,IF(W$3&gt;$I222,"-",ROUNDUP(Ld_cal($B222, $C222, $D222, $G222,$E222, $F222, $H222, W$3)*1.3,0)),"-")</f>
        <v>-</v>
      </c>
      <c r="X223" s="63" t="str">
        <f>IF($J223=X$3,IF(X$3&gt;$I222,"-",ROUNDUP(Ld_cal($B222, $C222, $D222, $G222,$E222, $F222, $H222, X$3)*1.3,0)),"-")</f>
        <v>-</v>
      </c>
      <c r="Y223" s="63" t="str">
        <f>IF($J223=Y$3,IF(Y$3&gt;$I222,"-",ROUNDUP(Ld_cal($B222, $C222, $D222, $G222,$E222, $F222, $H222, Y$3)*1.3,0)),"-")</f>
        <v>-</v>
      </c>
      <c r="Z223" s="63" t="str">
        <f>IF($J223=Z$3,IF(Z$3&gt;$I222,"-",ROUNDUP(Ld_cal($B222, $C222, $D222, $G222,$E222, $F222, $H222, Z$3)*1.3,0)),"-")</f>
        <v>-</v>
      </c>
      <c r="AA223" s="63" t="str">
        <f>IF($J223=AA$3,IF(AA$3&gt;$I222,"-",ROUNDUP(Ld_cal($B222, $C222, $D222, $G222,$E222, $F222, $H222, AA$3)*1.3,0)),"-")</f>
        <v>-</v>
      </c>
      <c r="AB223" s="63" t="str">
        <f>IF($J223=AB$3,IF(AB$3&gt;$I222,"-",ROUNDUP(Ld_cal($B222, $C222, $D222, $G222,$E222, $F222, $H222, AB$3)*1.3,0)),"-")</f>
        <v>-</v>
      </c>
      <c r="AC223" s="63" t="str">
        <f>IF($J223=AC$3,IF(AC$3&gt;$I222,"-",ROUNDUP(Ld_cal($B222, $C222, $D222, $G222,$E222, $F222, $H222, AC$3)*1.3,0)),"-")</f>
        <v>-</v>
      </c>
      <c r="AD223" s="63">
        <f t="shared" ref="AD223" si="215">IF(J223&gt;I222,"依標準圖",MAX(L223:AC223))</f>
        <v>105</v>
      </c>
    </row>
    <row r="224" spans="1:30">
      <c r="A224" s="97" t="s">
        <v>156</v>
      </c>
      <c r="B224" s="99">
        <v>120</v>
      </c>
      <c r="C224" s="100">
        <v>7.5</v>
      </c>
      <c r="D224" s="101">
        <v>4200</v>
      </c>
      <c r="E224" s="102">
        <v>16</v>
      </c>
      <c r="F224" s="103">
        <v>20</v>
      </c>
      <c r="G224" s="101">
        <v>350</v>
      </c>
      <c r="H224" s="102">
        <v>32</v>
      </c>
      <c r="I224" s="104">
        <f>ROUNDDOWN(($B224-2*$C224-2*$E224/10-$H224/10)/(($D$1+1)*$H224/10),0)+1</f>
        <v>16</v>
      </c>
      <c r="J224" s="60">
        <v>14</v>
      </c>
      <c r="K224" s="64" t="s">
        <v>30</v>
      </c>
      <c r="L224" s="61" t="str">
        <f>IF($J224=L$3,IF(L$3&gt;$I224,"-",ROUNDUP(Ld_cal($B224, $C224, $D224, $G224,$E224, $F224, $H224, L$3)*1.3*1.3,0)),"-")</f>
        <v>-</v>
      </c>
      <c r="M224" s="61" t="str">
        <f>IF($J224=M$3,IF(M$3&gt;$I224,"-",ROUNDUP(Ld_cal($B224, $C224, $D224, $G224,$E224, $F224, $H224, M$3)*1.3*1.3,0)),"-")</f>
        <v>-</v>
      </c>
      <c r="N224" s="61" t="str">
        <f>IF($J224=N$3,IF(N$3&gt;$I224,"-",ROUNDUP(Ld_cal($B224, $C224, $D224, $G224,$E224, $F224, $H224, N$3)*1.3*1.3,0)),"-")</f>
        <v>-</v>
      </c>
      <c r="O224" s="61" t="str">
        <f>IF($J224=O$3,IF(O$3&gt;$I224,"-",ROUNDUP(Ld_cal($B224, $C224, $D224, $G224,$E224, $F224, $H224, O$3)*1.3*1.3,0)),"-")</f>
        <v>-</v>
      </c>
      <c r="P224" s="61" t="str">
        <f>IF($J224=P$3,IF(P$3&gt;$I224,"-",ROUNDUP(Ld_cal($B224, $C224, $D224, $G224,$E224, $F224, $H224, P$3)*1.3*1.3,0)),"-")</f>
        <v>-</v>
      </c>
      <c r="Q224" s="61" t="str">
        <f>IF($J224=Q$3,IF(Q$3&gt;$I224,"-",ROUNDUP(Ld_cal($B224, $C224, $D224, $G224,$E224, $F224, $H224, Q$3)*1.3*1.3,0)),"-")</f>
        <v>-</v>
      </c>
      <c r="R224" s="61" t="str">
        <f>IF($J224=R$3,IF(R$3&gt;$I224,"-",ROUNDUP(Ld_cal($B224, $C224, $D224, $G224,$E224, $F224, $H224, R$3)*1.3*1.3,0)),"-")</f>
        <v>-</v>
      </c>
      <c r="S224" s="61" t="str">
        <f>IF($J224=S$3,IF(S$3&gt;$I224,"-",ROUNDUP(Ld_cal($B224, $C224, $D224, $G224,$E224, $F224, $H224, S$3)*1.3*1.3,0)),"-")</f>
        <v>-</v>
      </c>
      <c r="T224" s="61" t="str">
        <f>IF($J224=T$3,IF(T$3&gt;$I224,"-",ROUNDUP(Ld_cal($B224, $C224, $D224, $G224,$E224, $F224, $H224, T$3)*1.3*1.3,0)),"-")</f>
        <v>-</v>
      </c>
      <c r="U224" s="61" t="str">
        <f>IF($J224=U$3,IF(U$3&gt;$I224,"-",ROUNDUP(Ld_cal($B224, $C224, $D224, $G224,$E224, $F224, $H224, U$3)*1.3*1.3,0)),"-")</f>
        <v>-</v>
      </c>
      <c r="V224" s="61" t="str">
        <f>IF($J224=V$3,IF(V$3&gt;$I224,"-",ROUNDUP(Ld_cal($B224, $C224, $D224, $G224,$E224, $F224, $H224, V$3)*1.3*1.3,0)),"-")</f>
        <v>-</v>
      </c>
      <c r="W224" s="61">
        <f>IF($J224=W$3,IF(W$3&gt;$I224,"-",ROUNDUP(Ld_cal($B224, $C224, $D224, $G224,$E224, $F224, $H224, W$3)*1.3*1.3,0)),"-")</f>
        <v>250</v>
      </c>
      <c r="X224" s="61" t="str">
        <f>IF($J224=X$3,IF(X$3&gt;$I224,"-",ROUNDUP(Ld_cal($B224, $C224, $D224, $G224,$E224, $F224, $H224, X$3)*1.3*1.3,0)),"-")</f>
        <v>-</v>
      </c>
      <c r="Y224" s="61" t="str">
        <f>IF($J224=Y$3,IF(Y$3&gt;$I224,"-",ROUNDUP(Ld_cal($B224, $C224, $D224, $G224,$E224, $F224, $H224, Y$3)*1.3*1.3,0)),"-")</f>
        <v>-</v>
      </c>
      <c r="Z224" s="61" t="str">
        <f>IF($J224=Z$3,IF(Z$3&gt;$I224,"-",ROUNDUP(Ld_cal($B224, $C224, $D224, $G224,$E224, $F224, $H224, Z$3)*1.3*1.3,0)),"-")</f>
        <v>-</v>
      </c>
      <c r="AA224" s="61" t="str">
        <f>IF($J224=AA$3,IF(AA$3&gt;$I224,"-",ROUNDUP(Ld_cal($B224, $C224, $D224, $G224,$E224, $F224, $H224, AA$3)*1.3*1.3,0)),"-")</f>
        <v>-</v>
      </c>
      <c r="AB224" s="61" t="str">
        <f>IF($J224=AB$3,IF(AB$3&gt;$I224,"-",ROUNDUP(Ld_cal($B224, $C224, $D224, $G224,$E224, $F224, $H224, AB$3)*1.3*1.3,0)),"-")</f>
        <v>-</v>
      </c>
      <c r="AC224" s="61" t="str">
        <f>IF($J224=AC$3,IF(AC$3&gt;$I224,"-",ROUNDUP(Ld_cal($B224, $C224, $D224, $G224,$E224, $F224, $H224, AC$3)*1.3*1.3,0)),"-")</f>
        <v>-</v>
      </c>
      <c r="AD224" s="61">
        <f t="shared" ref="AD224" si="216">IF(J224&gt;I224,"依標準圖",MAX(L224:AC224))</f>
        <v>250</v>
      </c>
    </row>
    <row r="225" spans="1:30">
      <c r="A225" s="98"/>
      <c r="B225" s="99"/>
      <c r="C225" s="100"/>
      <c r="D225" s="101"/>
      <c r="E225" s="102"/>
      <c r="F225" s="103"/>
      <c r="G225" s="101"/>
      <c r="H225" s="102"/>
      <c r="I225" s="104"/>
      <c r="J225" s="60">
        <v>5</v>
      </c>
      <c r="K225" s="64" t="s">
        <v>29</v>
      </c>
      <c r="L225" s="61" t="str">
        <f>IF($J225=L$3,IF(L$3&gt;$I224,"-",ROUNDUP(Ld_cal($B224, $C224, $D224, $G224,$E224, $F224, $H224, L$3)*1.3,0)),"-")</f>
        <v>-</v>
      </c>
      <c r="M225" s="61" t="str">
        <f>IF($J225=M$3,IF(M$3&gt;$I224,"-",ROUNDUP(Ld_cal($B224, $C224, $D224, $G224,$E224, $F224, $H224, M$3)*1.3,0)),"-")</f>
        <v>-</v>
      </c>
      <c r="N225" s="61">
        <f>IF($J225=N$3,IF(N$3&gt;$I224,"-",ROUNDUP(Ld_cal($B224, $C224, $D224, $G224,$E224, $F224, $H224, N$3)*1.3,0)),"-")</f>
        <v>105</v>
      </c>
      <c r="O225" s="61" t="str">
        <f>IF($J225=O$3,IF(O$3&gt;$I224,"-",ROUNDUP(Ld_cal($B224, $C224, $D224, $G224,$E224, $F224, $H224, O$3)*1.3,0)),"-")</f>
        <v>-</v>
      </c>
      <c r="P225" s="61" t="str">
        <f>IF($J225=P$3,IF(P$3&gt;$I224,"-",ROUNDUP(Ld_cal($B224, $C224, $D224, $G224,$E224, $F224, $H224, P$3)*1.3,0)),"-")</f>
        <v>-</v>
      </c>
      <c r="Q225" s="61" t="str">
        <f>IF($J225=Q$3,IF(Q$3&gt;$I224,"-",ROUNDUP(Ld_cal($B224, $C224, $D224, $G224,$E224, $F224, $H224, Q$3)*1.3,0)),"-")</f>
        <v>-</v>
      </c>
      <c r="R225" s="61" t="str">
        <f>IF($J225=R$3,IF(R$3&gt;$I224,"-",ROUNDUP(Ld_cal($B224, $C224, $D224, $G224,$E224, $F224, $H224, R$3)*1.3,0)),"-")</f>
        <v>-</v>
      </c>
      <c r="S225" s="61" t="str">
        <f>IF($J225=S$3,IF(S$3&gt;$I224,"-",ROUNDUP(Ld_cal($B224, $C224, $D224, $G224,$E224, $F224, $H224, S$3)*1.3,0)),"-")</f>
        <v>-</v>
      </c>
      <c r="T225" s="61" t="str">
        <f>IF($J225=T$3,IF(T$3&gt;$I224,"-",ROUNDUP(Ld_cal($B224, $C224, $D224, $G224,$E224, $F224, $H224, T$3)*1.3,0)),"-")</f>
        <v>-</v>
      </c>
      <c r="U225" s="61" t="str">
        <f>IF($J225=U$3,IF(U$3&gt;$I224,"-",ROUNDUP(Ld_cal($B224, $C224, $D224, $G224,$E224, $F224, $H224, U$3)*1.3,0)),"-")</f>
        <v>-</v>
      </c>
      <c r="V225" s="61" t="str">
        <f>IF($J225=V$3,IF(V$3&gt;$I224,"-",ROUNDUP(Ld_cal($B224, $C224, $D224, $G224,$E224, $F224, $H224, V$3)*1.3,0)),"-")</f>
        <v>-</v>
      </c>
      <c r="W225" s="61" t="str">
        <f>IF($J225=W$3,IF(W$3&gt;$I224,"-",ROUNDUP(Ld_cal($B224, $C224, $D224, $G224,$E224, $F224, $H224, W$3)*1.3,0)),"-")</f>
        <v>-</v>
      </c>
      <c r="X225" s="61" t="str">
        <f>IF($J225=X$3,IF(X$3&gt;$I224,"-",ROUNDUP(Ld_cal($B224, $C224, $D224, $G224,$E224, $F224, $H224, X$3)*1.3,0)),"-")</f>
        <v>-</v>
      </c>
      <c r="Y225" s="61" t="str">
        <f>IF($J225=Y$3,IF(Y$3&gt;$I224,"-",ROUNDUP(Ld_cal($B224, $C224, $D224, $G224,$E224, $F224, $H224, Y$3)*1.3,0)),"-")</f>
        <v>-</v>
      </c>
      <c r="Z225" s="61" t="str">
        <f>IF($J225=Z$3,IF(Z$3&gt;$I224,"-",ROUNDUP(Ld_cal($B224, $C224, $D224, $G224,$E224, $F224, $H224, Z$3)*1.3,0)),"-")</f>
        <v>-</v>
      </c>
      <c r="AA225" s="61" t="str">
        <f>IF($J225=AA$3,IF(AA$3&gt;$I224,"-",ROUNDUP(Ld_cal($B224, $C224, $D224, $G224,$E224, $F224, $H224, AA$3)*1.3,0)),"-")</f>
        <v>-</v>
      </c>
      <c r="AB225" s="61" t="str">
        <f>IF($J225=AB$3,IF(AB$3&gt;$I224,"-",ROUNDUP(Ld_cal($B224, $C224, $D224, $G224,$E224, $F224, $H224, AB$3)*1.3,0)),"-")</f>
        <v>-</v>
      </c>
      <c r="AC225" s="61" t="str">
        <f>IF($J225=AC$3,IF(AC$3&gt;$I224,"-",ROUNDUP(Ld_cal($B224, $C224, $D224, $G224,$E224, $F224, $H224, AC$3)*1.3,0)),"-")</f>
        <v>-</v>
      </c>
      <c r="AD225" s="61">
        <f t="shared" ref="AD225" si="217">IF(J225&gt;I224,"依標準圖",MAX(L225:AC225))</f>
        <v>105</v>
      </c>
    </row>
    <row r="226" spans="1:30">
      <c r="A226" s="105" t="s">
        <v>157</v>
      </c>
      <c r="B226" s="107">
        <v>120</v>
      </c>
      <c r="C226" s="108">
        <v>7.5</v>
      </c>
      <c r="D226" s="107">
        <v>4200</v>
      </c>
      <c r="E226" s="109">
        <v>16</v>
      </c>
      <c r="F226" s="110">
        <v>20</v>
      </c>
      <c r="G226" s="107">
        <v>350</v>
      </c>
      <c r="H226" s="109">
        <v>32</v>
      </c>
      <c r="I226" s="111">
        <f>ROUNDDOWN(($B226-2*$C226-2*$E226/10-$H226/10)/(($D$1+1)*$H226/10),0)+1</f>
        <v>16</v>
      </c>
      <c r="J226" s="62">
        <v>15</v>
      </c>
      <c r="K226" s="40" t="s">
        <v>30</v>
      </c>
      <c r="L226" s="63" t="str">
        <f>IF($J226=L$3,IF(L$3&gt;$I226,"-",ROUNDUP(Ld_cal($B226, $C226, $D226, $G226,$E226, $F226, $H226, L$3)*1.3*1.3,0)),"-")</f>
        <v>-</v>
      </c>
      <c r="M226" s="63" t="str">
        <f>IF($J226=M$3,IF(M$3&gt;$I226,"-",ROUNDUP(Ld_cal($B226, $C226, $D226, $G226,$E226, $F226, $H226, M$3)*1.3*1.3,0)),"-")</f>
        <v>-</v>
      </c>
      <c r="N226" s="63" t="str">
        <f>IF($J226=N$3,IF(N$3&gt;$I226,"-",ROUNDUP(Ld_cal($B226, $C226, $D226, $G226,$E226, $F226, $H226, N$3)*1.3*1.3,0)),"-")</f>
        <v>-</v>
      </c>
      <c r="O226" s="63" t="str">
        <f>IF($J226=O$3,IF(O$3&gt;$I226,"-",ROUNDUP(Ld_cal($B226, $C226, $D226, $G226,$E226, $F226, $H226, O$3)*1.3*1.3,0)),"-")</f>
        <v>-</v>
      </c>
      <c r="P226" s="63" t="str">
        <f>IF($J226=P$3,IF(P$3&gt;$I226,"-",ROUNDUP(Ld_cal($B226, $C226, $D226, $G226,$E226, $F226, $H226, P$3)*1.3*1.3,0)),"-")</f>
        <v>-</v>
      </c>
      <c r="Q226" s="63" t="str">
        <f>IF($J226=Q$3,IF(Q$3&gt;$I226,"-",ROUNDUP(Ld_cal($B226, $C226, $D226, $G226,$E226, $F226, $H226, Q$3)*1.3*1.3,0)),"-")</f>
        <v>-</v>
      </c>
      <c r="R226" s="63" t="str">
        <f>IF($J226=R$3,IF(R$3&gt;$I226,"-",ROUNDUP(Ld_cal($B226, $C226, $D226, $G226,$E226, $F226, $H226, R$3)*1.3*1.3,0)),"-")</f>
        <v>-</v>
      </c>
      <c r="S226" s="63" t="str">
        <f>IF($J226=S$3,IF(S$3&gt;$I226,"-",ROUNDUP(Ld_cal($B226, $C226, $D226, $G226,$E226, $F226, $H226, S$3)*1.3*1.3,0)),"-")</f>
        <v>-</v>
      </c>
      <c r="T226" s="63" t="str">
        <f>IF($J226=T$3,IF(T$3&gt;$I226,"-",ROUNDUP(Ld_cal($B226, $C226, $D226, $G226,$E226, $F226, $H226, T$3)*1.3*1.3,0)),"-")</f>
        <v>-</v>
      </c>
      <c r="U226" s="63" t="str">
        <f>IF($J226=U$3,IF(U$3&gt;$I226,"-",ROUNDUP(Ld_cal($B226, $C226, $D226, $G226,$E226, $F226, $H226, U$3)*1.3*1.3,0)),"-")</f>
        <v>-</v>
      </c>
      <c r="V226" s="63" t="str">
        <f>IF($J226=V$3,IF(V$3&gt;$I226,"-",ROUNDUP(Ld_cal($B226, $C226, $D226, $G226,$E226, $F226, $H226, V$3)*1.3*1.3,0)),"-")</f>
        <v>-</v>
      </c>
      <c r="W226" s="63" t="str">
        <f>IF($J226=W$3,IF(W$3&gt;$I226,"-",ROUNDUP(Ld_cal($B226, $C226, $D226, $G226,$E226, $F226, $H226, W$3)*1.3*1.3,0)),"-")</f>
        <v>-</v>
      </c>
      <c r="X226" s="63">
        <f>IF($J226=X$3,IF(X$3&gt;$I226,"-",ROUNDUP(Ld_cal($B226, $C226, $D226, $G226,$E226, $F226, $H226, X$3)*1.3*1.3,0)),"-")</f>
        <v>269</v>
      </c>
      <c r="Y226" s="63" t="str">
        <f>IF($J226=Y$3,IF(Y$3&gt;$I226,"-",ROUNDUP(Ld_cal($B226, $C226, $D226, $G226,$E226, $F226, $H226, Y$3)*1.3*1.3,0)),"-")</f>
        <v>-</v>
      </c>
      <c r="Z226" s="63" t="str">
        <f>IF($J226=Z$3,IF(Z$3&gt;$I226,"-",ROUNDUP(Ld_cal($B226, $C226, $D226, $G226,$E226, $F226, $H226, Z$3)*1.3*1.3,0)),"-")</f>
        <v>-</v>
      </c>
      <c r="AA226" s="63" t="str">
        <f>IF($J226=AA$3,IF(AA$3&gt;$I226,"-",ROUNDUP(Ld_cal($B226, $C226, $D226, $G226,$E226, $F226, $H226, AA$3)*1.3*1.3,0)),"-")</f>
        <v>-</v>
      </c>
      <c r="AB226" s="63" t="str">
        <f>IF($J226=AB$3,IF(AB$3&gt;$I226,"-",ROUNDUP(Ld_cal($B226, $C226, $D226, $G226,$E226, $F226, $H226, AB$3)*1.3*1.3,0)),"-")</f>
        <v>-</v>
      </c>
      <c r="AC226" s="63" t="str">
        <f>IF($J226=AC$3,IF(AC$3&gt;$I226,"-",ROUNDUP(Ld_cal($B226, $C226, $D226, $G226,$E226, $F226, $H226, AC$3)*1.3*1.3,0)),"-")</f>
        <v>-</v>
      </c>
      <c r="AD226" s="63">
        <f t="shared" ref="AD226" si="218">IF(J226&gt;I226,"依標準圖",MAX(L226:AC226))</f>
        <v>269</v>
      </c>
    </row>
    <row r="227" spans="1:30">
      <c r="A227" s="106"/>
      <c r="B227" s="107"/>
      <c r="C227" s="108"/>
      <c r="D227" s="107"/>
      <c r="E227" s="109"/>
      <c r="F227" s="110"/>
      <c r="G227" s="107"/>
      <c r="H227" s="109"/>
      <c r="I227" s="111"/>
      <c r="J227" s="62">
        <v>8</v>
      </c>
      <c r="K227" s="40" t="s">
        <v>29</v>
      </c>
      <c r="L227" s="63" t="str">
        <f>IF($J227=L$3,IF(L$3&gt;$I226,"-",ROUNDUP(Ld_cal($B226, $C226, $D226, $G226,$E226, $F226, $H226, L$3)*1.3,0)),"-")</f>
        <v>-</v>
      </c>
      <c r="M227" s="63" t="str">
        <f>IF($J227=M$3,IF(M$3&gt;$I226,"-",ROUNDUP(Ld_cal($B226, $C226, $D226, $G226,$E226, $F226, $H226, M$3)*1.3,0)),"-")</f>
        <v>-</v>
      </c>
      <c r="N227" s="63" t="str">
        <f>IF($J227=N$3,IF(N$3&gt;$I226,"-",ROUNDUP(Ld_cal($B226, $C226, $D226, $G226,$E226, $F226, $H226, N$3)*1.3,0)),"-")</f>
        <v>-</v>
      </c>
      <c r="O227" s="63" t="str">
        <f>IF($J227=O$3,IF(O$3&gt;$I226,"-",ROUNDUP(Ld_cal($B226, $C226, $D226, $G226,$E226, $F226, $H226, O$3)*1.3,0)),"-")</f>
        <v>-</v>
      </c>
      <c r="P227" s="63" t="str">
        <f>IF($J227=P$3,IF(P$3&gt;$I226,"-",ROUNDUP(Ld_cal($B226, $C226, $D226, $G226,$E226, $F226, $H226, P$3)*1.3,0)),"-")</f>
        <v>-</v>
      </c>
      <c r="Q227" s="63">
        <f>IF($J227=Q$3,IF(Q$3&gt;$I226,"-",ROUNDUP(Ld_cal($B226, $C226, $D226, $G226,$E226, $F226, $H226, Q$3)*1.3,0)),"-")</f>
        <v>105</v>
      </c>
      <c r="R227" s="63" t="str">
        <f>IF($J227=R$3,IF(R$3&gt;$I226,"-",ROUNDUP(Ld_cal($B226, $C226, $D226, $G226,$E226, $F226, $H226, R$3)*1.3,0)),"-")</f>
        <v>-</v>
      </c>
      <c r="S227" s="63" t="str">
        <f>IF($J227=S$3,IF(S$3&gt;$I226,"-",ROUNDUP(Ld_cal($B226, $C226, $D226, $G226,$E226, $F226, $H226, S$3)*1.3,0)),"-")</f>
        <v>-</v>
      </c>
      <c r="T227" s="63" t="str">
        <f>IF($J227=T$3,IF(T$3&gt;$I226,"-",ROUNDUP(Ld_cal($B226, $C226, $D226, $G226,$E226, $F226, $H226, T$3)*1.3,0)),"-")</f>
        <v>-</v>
      </c>
      <c r="U227" s="63" t="str">
        <f>IF($J227=U$3,IF(U$3&gt;$I226,"-",ROUNDUP(Ld_cal($B226, $C226, $D226, $G226,$E226, $F226, $H226, U$3)*1.3,0)),"-")</f>
        <v>-</v>
      </c>
      <c r="V227" s="63" t="str">
        <f>IF($J227=V$3,IF(V$3&gt;$I226,"-",ROUNDUP(Ld_cal($B226, $C226, $D226, $G226,$E226, $F226, $H226, V$3)*1.3,0)),"-")</f>
        <v>-</v>
      </c>
      <c r="W227" s="63" t="str">
        <f>IF($J227=W$3,IF(W$3&gt;$I226,"-",ROUNDUP(Ld_cal($B226, $C226, $D226, $G226,$E226, $F226, $H226, W$3)*1.3,0)),"-")</f>
        <v>-</v>
      </c>
      <c r="X227" s="63" t="str">
        <f>IF($J227=X$3,IF(X$3&gt;$I226,"-",ROUNDUP(Ld_cal($B226, $C226, $D226, $G226,$E226, $F226, $H226, X$3)*1.3,0)),"-")</f>
        <v>-</v>
      </c>
      <c r="Y227" s="63" t="str">
        <f>IF($J227=Y$3,IF(Y$3&gt;$I226,"-",ROUNDUP(Ld_cal($B226, $C226, $D226, $G226,$E226, $F226, $H226, Y$3)*1.3,0)),"-")</f>
        <v>-</v>
      </c>
      <c r="Z227" s="63" t="str">
        <f>IF($J227=Z$3,IF(Z$3&gt;$I226,"-",ROUNDUP(Ld_cal($B226, $C226, $D226, $G226,$E226, $F226, $H226, Z$3)*1.3,0)),"-")</f>
        <v>-</v>
      </c>
      <c r="AA227" s="63" t="str">
        <f>IF($J227=AA$3,IF(AA$3&gt;$I226,"-",ROUNDUP(Ld_cal($B226, $C226, $D226, $G226,$E226, $F226, $H226, AA$3)*1.3,0)),"-")</f>
        <v>-</v>
      </c>
      <c r="AB227" s="63" t="str">
        <f>IF($J227=AB$3,IF(AB$3&gt;$I226,"-",ROUNDUP(Ld_cal($B226, $C226, $D226, $G226,$E226, $F226, $H226, AB$3)*1.3,0)),"-")</f>
        <v>-</v>
      </c>
      <c r="AC227" s="63" t="str">
        <f>IF($J227=AC$3,IF(AC$3&gt;$I226,"-",ROUNDUP(Ld_cal($B226, $C226, $D226, $G226,$E226, $F226, $H226, AC$3)*1.3,0)),"-")</f>
        <v>-</v>
      </c>
      <c r="AD227" s="63">
        <f t="shared" ref="AD227" si="219">IF(J227&gt;I226,"依標準圖",MAX(L227:AC227))</f>
        <v>105</v>
      </c>
    </row>
    <row r="228" spans="1:30">
      <c r="A228" s="97" t="s">
        <v>158</v>
      </c>
      <c r="B228" s="99">
        <v>120</v>
      </c>
      <c r="C228" s="100">
        <v>7.5</v>
      </c>
      <c r="D228" s="101">
        <v>4200</v>
      </c>
      <c r="E228" s="102">
        <v>16</v>
      </c>
      <c r="F228" s="103">
        <v>7</v>
      </c>
      <c r="G228" s="101">
        <v>350</v>
      </c>
      <c r="H228" s="102">
        <v>32</v>
      </c>
      <c r="I228" s="104">
        <f>ROUNDDOWN(($B228-2*$C228-2*$E228/10-$H228/10)/(($D$1+1)*$H228/10),0)+1</f>
        <v>16</v>
      </c>
      <c r="J228" s="60">
        <v>11</v>
      </c>
      <c r="K228" s="64" t="s">
        <v>30</v>
      </c>
      <c r="L228" s="61" t="str">
        <f>IF($J228=L$3,IF(L$3&gt;$I228,"-",ROUNDUP(Ld_cal($B228, $C228, $D228, $G228,$E228, $F228, $H228, L$3)*1.3*1.3,0)),"-")</f>
        <v>-</v>
      </c>
      <c r="M228" s="61" t="str">
        <f>IF($J228=M$3,IF(M$3&gt;$I228,"-",ROUNDUP(Ld_cal($B228, $C228, $D228, $G228,$E228, $F228, $H228, M$3)*1.3*1.3,0)),"-")</f>
        <v>-</v>
      </c>
      <c r="N228" s="61" t="str">
        <f>IF($J228=N$3,IF(N$3&gt;$I228,"-",ROUNDUP(Ld_cal($B228, $C228, $D228, $G228,$E228, $F228, $H228, N$3)*1.3*1.3,0)),"-")</f>
        <v>-</v>
      </c>
      <c r="O228" s="61" t="str">
        <f>IF($J228=O$3,IF(O$3&gt;$I228,"-",ROUNDUP(Ld_cal($B228, $C228, $D228, $G228,$E228, $F228, $H228, O$3)*1.3*1.3,0)),"-")</f>
        <v>-</v>
      </c>
      <c r="P228" s="61" t="str">
        <f>IF($J228=P$3,IF(P$3&gt;$I228,"-",ROUNDUP(Ld_cal($B228, $C228, $D228, $G228,$E228, $F228, $H228, P$3)*1.3*1.3,0)),"-")</f>
        <v>-</v>
      </c>
      <c r="Q228" s="61" t="str">
        <f>IF($J228=Q$3,IF(Q$3&gt;$I228,"-",ROUNDUP(Ld_cal($B228, $C228, $D228, $G228,$E228, $F228, $H228, Q$3)*1.3*1.3,0)),"-")</f>
        <v>-</v>
      </c>
      <c r="R228" s="61" t="str">
        <f>IF($J228=R$3,IF(R$3&gt;$I228,"-",ROUNDUP(Ld_cal($B228, $C228, $D228, $G228,$E228, $F228, $H228, R$3)*1.3*1.3,0)),"-")</f>
        <v>-</v>
      </c>
      <c r="S228" s="61" t="str">
        <f>IF($J228=S$3,IF(S$3&gt;$I228,"-",ROUNDUP(Ld_cal($B228, $C228, $D228, $G228,$E228, $F228, $H228, S$3)*1.3*1.3,0)),"-")</f>
        <v>-</v>
      </c>
      <c r="T228" s="61">
        <f>IF($J228=T$3,IF(T$3&gt;$I228,"-",ROUNDUP(Ld_cal($B228, $C228, $D228, $G228,$E228, $F228, $H228, T$3)*1.3*1.3,0)),"-")</f>
        <v>155</v>
      </c>
      <c r="U228" s="61" t="str">
        <f>IF($J228=U$3,IF(U$3&gt;$I228,"-",ROUNDUP(Ld_cal($B228, $C228, $D228, $G228,$E228, $F228, $H228, U$3)*1.3*1.3,0)),"-")</f>
        <v>-</v>
      </c>
      <c r="V228" s="61" t="str">
        <f>IF($J228=V$3,IF(V$3&gt;$I228,"-",ROUNDUP(Ld_cal($B228, $C228, $D228, $G228,$E228, $F228, $H228, V$3)*1.3*1.3,0)),"-")</f>
        <v>-</v>
      </c>
      <c r="W228" s="61" t="str">
        <f>IF($J228=W$3,IF(W$3&gt;$I228,"-",ROUNDUP(Ld_cal($B228, $C228, $D228, $G228,$E228, $F228, $H228, W$3)*1.3*1.3,0)),"-")</f>
        <v>-</v>
      </c>
      <c r="X228" s="61" t="str">
        <f>IF($J228=X$3,IF(X$3&gt;$I228,"-",ROUNDUP(Ld_cal($B228, $C228, $D228, $G228,$E228, $F228, $H228, X$3)*1.3*1.3,0)),"-")</f>
        <v>-</v>
      </c>
      <c r="Y228" s="61" t="str">
        <f>IF($J228=Y$3,IF(Y$3&gt;$I228,"-",ROUNDUP(Ld_cal($B228, $C228, $D228, $G228,$E228, $F228, $H228, Y$3)*1.3*1.3,0)),"-")</f>
        <v>-</v>
      </c>
      <c r="Z228" s="61" t="str">
        <f>IF($J228=Z$3,IF(Z$3&gt;$I228,"-",ROUNDUP(Ld_cal($B228, $C228, $D228, $G228,$E228, $F228, $H228, Z$3)*1.3*1.3,0)),"-")</f>
        <v>-</v>
      </c>
      <c r="AA228" s="61" t="str">
        <f>IF($J228=AA$3,IF(AA$3&gt;$I228,"-",ROUNDUP(Ld_cal($B228, $C228, $D228, $G228,$E228, $F228, $H228, AA$3)*1.3*1.3,0)),"-")</f>
        <v>-</v>
      </c>
      <c r="AB228" s="61" t="str">
        <f>IF($J228=AB$3,IF(AB$3&gt;$I228,"-",ROUNDUP(Ld_cal($B228, $C228, $D228, $G228,$E228, $F228, $H228, AB$3)*1.3*1.3,0)),"-")</f>
        <v>-</v>
      </c>
      <c r="AC228" s="61" t="str">
        <f>IF($J228=AC$3,IF(AC$3&gt;$I228,"-",ROUNDUP(Ld_cal($B228, $C228, $D228, $G228,$E228, $F228, $H228, AC$3)*1.3*1.3,0)),"-")</f>
        <v>-</v>
      </c>
      <c r="AD228" s="61">
        <f t="shared" ref="AD228" si="220">IF(J228&gt;I228,"依標準圖",MAX(L228:AC228))</f>
        <v>155</v>
      </c>
    </row>
    <row r="229" spans="1:30">
      <c r="A229" s="98"/>
      <c r="B229" s="99"/>
      <c r="C229" s="100"/>
      <c r="D229" s="101"/>
      <c r="E229" s="102"/>
      <c r="F229" s="103"/>
      <c r="G229" s="101"/>
      <c r="H229" s="102"/>
      <c r="I229" s="104"/>
      <c r="J229" s="60">
        <v>15</v>
      </c>
      <c r="K229" s="64" t="s">
        <v>29</v>
      </c>
      <c r="L229" s="61" t="str">
        <f>IF($J229=L$3,IF(L$3&gt;$I228,"-",ROUNDUP(Ld_cal($B228, $C228, $D228, $G228,$E228, $F228, $H228, L$3)*1.3,0)),"-")</f>
        <v>-</v>
      </c>
      <c r="M229" s="61" t="str">
        <f>IF($J229=M$3,IF(M$3&gt;$I228,"-",ROUNDUP(Ld_cal($B228, $C228, $D228, $G228,$E228, $F228, $H228, M$3)*1.3,0)),"-")</f>
        <v>-</v>
      </c>
      <c r="N229" s="61" t="str">
        <f>IF($J229=N$3,IF(N$3&gt;$I228,"-",ROUNDUP(Ld_cal($B228, $C228, $D228, $G228,$E228, $F228, $H228, N$3)*1.3,0)),"-")</f>
        <v>-</v>
      </c>
      <c r="O229" s="61" t="str">
        <f>IF($J229=O$3,IF(O$3&gt;$I228,"-",ROUNDUP(Ld_cal($B228, $C228, $D228, $G228,$E228, $F228, $H228, O$3)*1.3,0)),"-")</f>
        <v>-</v>
      </c>
      <c r="P229" s="61" t="str">
        <f>IF($J229=P$3,IF(P$3&gt;$I228,"-",ROUNDUP(Ld_cal($B228, $C228, $D228, $G228,$E228, $F228, $H228, P$3)*1.3,0)),"-")</f>
        <v>-</v>
      </c>
      <c r="Q229" s="61" t="str">
        <f>IF($J229=Q$3,IF(Q$3&gt;$I228,"-",ROUNDUP(Ld_cal($B228, $C228, $D228, $G228,$E228, $F228, $H228, Q$3)*1.3,0)),"-")</f>
        <v>-</v>
      </c>
      <c r="R229" s="61" t="str">
        <f>IF($J229=R$3,IF(R$3&gt;$I228,"-",ROUNDUP(Ld_cal($B228, $C228, $D228, $G228,$E228, $F228, $H228, R$3)*1.3,0)),"-")</f>
        <v>-</v>
      </c>
      <c r="S229" s="61" t="str">
        <f>IF($J229=S$3,IF(S$3&gt;$I228,"-",ROUNDUP(Ld_cal($B228, $C228, $D228, $G228,$E228, $F228, $H228, S$3)*1.3,0)),"-")</f>
        <v>-</v>
      </c>
      <c r="T229" s="61" t="str">
        <f>IF($J229=T$3,IF(T$3&gt;$I228,"-",ROUNDUP(Ld_cal($B228, $C228, $D228, $G228,$E228, $F228, $H228, T$3)*1.3,0)),"-")</f>
        <v>-</v>
      </c>
      <c r="U229" s="61" t="str">
        <f>IF($J229=U$3,IF(U$3&gt;$I228,"-",ROUNDUP(Ld_cal($B228, $C228, $D228, $G228,$E228, $F228, $H228, U$3)*1.3,0)),"-")</f>
        <v>-</v>
      </c>
      <c r="V229" s="61" t="str">
        <f>IF($J229=V$3,IF(V$3&gt;$I228,"-",ROUNDUP(Ld_cal($B228, $C228, $D228, $G228,$E228, $F228, $H228, V$3)*1.3,0)),"-")</f>
        <v>-</v>
      </c>
      <c r="W229" s="61" t="str">
        <f>IF($J229=W$3,IF(W$3&gt;$I228,"-",ROUNDUP(Ld_cal($B228, $C228, $D228, $G228,$E228, $F228, $H228, W$3)*1.3,0)),"-")</f>
        <v>-</v>
      </c>
      <c r="X229" s="61">
        <f>IF($J229=X$3,IF(X$3&gt;$I228,"-",ROUNDUP(Ld_cal($B228, $C228, $D228, $G228,$E228, $F228, $H228, X$3)*1.3,0)),"-")</f>
        <v>166</v>
      </c>
      <c r="Y229" s="61" t="str">
        <f>IF($J229=Y$3,IF(Y$3&gt;$I228,"-",ROUNDUP(Ld_cal($B228, $C228, $D228, $G228,$E228, $F228, $H228, Y$3)*1.3,0)),"-")</f>
        <v>-</v>
      </c>
      <c r="Z229" s="61" t="str">
        <f>IF($J229=Z$3,IF(Z$3&gt;$I228,"-",ROUNDUP(Ld_cal($B228, $C228, $D228, $G228,$E228, $F228, $H228, Z$3)*1.3,0)),"-")</f>
        <v>-</v>
      </c>
      <c r="AA229" s="61" t="str">
        <f>IF($J229=AA$3,IF(AA$3&gt;$I228,"-",ROUNDUP(Ld_cal($B228, $C228, $D228, $G228,$E228, $F228, $H228, AA$3)*1.3,0)),"-")</f>
        <v>-</v>
      </c>
      <c r="AB229" s="61" t="str">
        <f>IF($J229=AB$3,IF(AB$3&gt;$I228,"-",ROUNDUP(Ld_cal($B228, $C228, $D228, $G228,$E228, $F228, $H228, AB$3)*1.3,0)),"-")</f>
        <v>-</v>
      </c>
      <c r="AC229" s="61" t="str">
        <f>IF($J229=AC$3,IF(AC$3&gt;$I228,"-",ROUNDUP(Ld_cal($B228, $C228, $D228, $G228,$E228, $F228, $H228, AC$3)*1.3,0)),"-")</f>
        <v>-</v>
      </c>
      <c r="AD229" s="61">
        <f t="shared" ref="AD229" si="221">IF(J229&gt;I228,"依標準圖",MAX(L229:AC229))</f>
        <v>166</v>
      </c>
    </row>
    <row r="230" spans="1:30">
      <c r="A230" s="105" t="s">
        <v>159</v>
      </c>
      <c r="B230" s="107">
        <v>150</v>
      </c>
      <c r="C230" s="108">
        <v>7.5</v>
      </c>
      <c r="D230" s="107">
        <v>4200</v>
      </c>
      <c r="E230" s="109">
        <v>16</v>
      </c>
      <c r="F230" s="110">
        <v>7</v>
      </c>
      <c r="G230" s="107">
        <v>350</v>
      </c>
      <c r="H230" s="109">
        <v>32</v>
      </c>
      <c r="I230" s="111">
        <f>ROUNDDOWN(($B230-2*$C230-2*$E230/10-$H230/10)/(($D$1+1)*$H230/10),0)+1</f>
        <v>21</v>
      </c>
      <c r="J230" s="62">
        <v>11</v>
      </c>
      <c r="K230" s="40" t="s">
        <v>30</v>
      </c>
      <c r="L230" s="63" t="str">
        <f>IF($J230=L$3,IF(L$3&gt;$I230,"-",ROUNDUP(Ld_cal($B230, $C230, $D230, $G230,$E230, $F230, $H230, L$3)*1.3*1.3,0)),"-")</f>
        <v>-</v>
      </c>
      <c r="M230" s="63" t="str">
        <f>IF($J230=M$3,IF(M$3&gt;$I230,"-",ROUNDUP(Ld_cal($B230, $C230, $D230, $G230,$E230, $F230, $H230, M$3)*1.3*1.3,0)),"-")</f>
        <v>-</v>
      </c>
      <c r="N230" s="63" t="str">
        <f>IF($J230=N$3,IF(N$3&gt;$I230,"-",ROUNDUP(Ld_cal($B230, $C230, $D230, $G230,$E230, $F230, $H230, N$3)*1.3*1.3,0)),"-")</f>
        <v>-</v>
      </c>
      <c r="O230" s="63" t="str">
        <f>IF($J230=O$3,IF(O$3&gt;$I230,"-",ROUNDUP(Ld_cal($B230, $C230, $D230, $G230,$E230, $F230, $H230, O$3)*1.3*1.3,0)),"-")</f>
        <v>-</v>
      </c>
      <c r="P230" s="63" t="str">
        <f>IF($J230=P$3,IF(P$3&gt;$I230,"-",ROUNDUP(Ld_cal($B230, $C230, $D230, $G230,$E230, $F230, $H230, P$3)*1.3*1.3,0)),"-")</f>
        <v>-</v>
      </c>
      <c r="Q230" s="63" t="str">
        <f>IF($J230=Q$3,IF(Q$3&gt;$I230,"-",ROUNDUP(Ld_cal($B230, $C230, $D230, $G230,$E230, $F230, $H230, Q$3)*1.3*1.3,0)),"-")</f>
        <v>-</v>
      </c>
      <c r="R230" s="63" t="str">
        <f>IF($J230=R$3,IF(R$3&gt;$I230,"-",ROUNDUP(Ld_cal($B230, $C230, $D230, $G230,$E230, $F230, $H230, R$3)*1.3*1.3,0)),"-")</f>
        <v>-</v>
      </c>
      <c r="S230" s="63" t="str">
        <f>IF($J230=S$3,IF(S$3&gt;$I230,"-",ROUNDUP(Ld_cal($B230, $C230, $D230, $G230,$E230, $F230, $H230, S$3)*1.3*1.3,0)),"-")</f>
        <v>-</v>
      </c>
      <c r="T230" s="63">
        <f>IF($J230=T$3,IF(T$3&gt;$I230,"-",ROUNDUP(Ld_cal($B230, $C230, $D230, $G230,$E230, $F230, $H230, T$3)*1.3*1.3,0)),"-")</f>
        <v>136</v>
      </c>
      <c r="U230" s="63" t="str">
        <f>IF($J230=U$3,IF(U$3&gt;$I230,"-",ROUNDUP(Ld_cal($B230, $C230, $D230, $G230,$E230, $F230, $H230, U$3)*1.3*1.3,0)),"-")</f>
        <v>-</v>
      </c>
      <c r="V230" s="63" t="str">
        <f>IF($J230=V$3,IF(V$3&gt;$I230,"-",ROUNDUP(Ld_cal($B230, $C230, $D230, $G230,$E230, $F230, $H230, V$3)*1.3*1.3,0)),"-")</f>
        <v>-</v>
      </c>
      <c r="W230" s="63" t="str">
        <f>IF($J230=W$3,IF(W$3&gt;$I230,"-",ROUNDUP(Ld_cal($B230, $C230, $D230, $G230,$E230, $F230, $H230, W$3)*1.3*1.3,0)),"-")</f>
        <v>-</v>
      </c>
      <c r="X230" s="63" t="str">
        <f>IF($J230=X$3,IF(X$3&gt;$I230,"-",ROUNDUP(Ld_cal($B230, $C230, $D230, $G230,$E230, $F230, $H230, X$3)*1.3*1.3,0)),"-")</f>
        <v>-</v>
      </c>
      <c r="Y230" s="63" t="str">
        <f>IF($J230=Y$3,IF(Y$3&gt;$I230,"-",ROUNDUP(Ld_cal($B230, $C230, $D230, $G230,$E230, $F230, $H230, Y$3)*1.3*1.3,0)),"-")</f>
        <v>-</v>
      </c>
      <c r="Z230" s="63" t="str">
        <f>IF($J230=Z$3,IF(Z$3&gt;$I230,"-",ROUNDUP(Ld_cal($B230, $C230, $D230, $G230,$E230, $F230, $H230, Z$3)*1.3*1.3,0)),"-")</f>
        <v>-</v>
      </c>
      <c r="AA230" s="63" t="str">
        <f>IF($J230=AA$3,IF(AA$3&gt;$I230,"-",ROUNDUP(Ld_cal($B230, $C230, $D230, $G230,$E230, $F230, $H230, AA$3)*1.3*1.3,0)),"-")</f>
        <v>-</v>
      </c>
      <c r="AB230" s="63" t="str">
        <f>IF($J230=AB$3,IF(AB$3&gt;$I230,"-",ROUNDUP(Ld_cal($B230, $C230, $D230, $G230,$E230, $F230, $H230, AB$3)*1.3*1.3,0)),"-")</f>
        <v>-</v>
      </c>
      <c r="AC230" s="63" t="str">
        <f>IF($J230=AC$3,IF(AC$3&gt;$I230,"-",ROUNDUP(Ld_cal($B230, $C230, $D230, $G230,$E230, $F230, $H230, AC$3)*1.3*1.3,0)),"-")</f>
        <v>-</v>
      </c>
      <c r="AD230" s="63">
        <f t="shared" ref="AD230" si="222">IF(J230&gt;I230,"依標準圖",MAX(L230:AC230))</f>
        <v>136</v>
      </c>
    </row>
    <row r="231" spans="1:30">
      <c r="A231" s="106"/>
      <c r="B231" s="107"/>
      <c r="C231" s="108"/>
      <c r="D231" s="107"/>
      <c r="E231" s="109"/>
      <c r="F231" s="110"/>
      <c r="G231" s="107"/>
      <c r="H231" s="109"/>
      <c r="I231" s="111"/>
      <c r="J231" s="62">
        <v>17</v>
      </c>
      <c r="K231" s="40" t="s">
        <v>29</v>
      </c>
      <c r="L231" s="63" t="str">
        <f>IF($J231=L$3,IF(L$3&gt;$I230,"-",ROUNDUP(Ld_cal($B230, $C230, $D230, $G230,$E230, $F230, $H230, L$3)*1.3,0)),"-")</f>
        <v>-</v>
      </c>
      <c r="M231" s="63" t="str">
        <f>IF($J231=M$3,IF(M$3&gt;$I230,"-",ROUNDUP(Ld_cal($B230, $C230, $D230, $G230,$E230, $F230, $H230, M$3)*1.3,0)),"-")</f>
        <v>-</v>
      </c>
      <c r="N231" s="63" t="str">
        <f>IF($J231=N$3,IF(N$3&gt;$I230,"-",ROUNDUP(Ld_cal($B230, $C230, $D230, $G230,$E230, $F230, $H230, N$3)*1.3,0)),"-")</f>
        <v>-</v>
      </c>
      <c r="O231" s="63" t="str">
        <f>IF($J231=O$3,IF(O$3&gt;$I230,"-",ROUNDUP(Ld_cal($B230, $C230, $D230, $G230,$E230, $F230, $H230, O$3)*1.3,0)),"-")</f>
        <v>-</v>
      </c>
      <c r="P231" s="63" t="str">
        <f>IF($J231=P$3,IF(P$3&gt;$I230,"-",ROUNDUP(Ld_cal($B230, $C230, $D230, $G230,$E230, $F230, $H230, P$3)*1.3,0)),"-")</f>
        <v>-</v>
      </c>
      <c r="Q231" s="63" t="str">
        <f>IF($J231=Q$3,IF(Q$3&gt;$I230,"-",ROUNDUP(Ld_cal($B230, $C230, $D230, $G230,$E230, $F230, $H230, Q$3)*1.3,0)),"-")</f>
        <v>-</v>
      </c>
      <c r="R231" s="63" t="str">
        <f>IF($J231=R$3,IF(R$3&gt;$I230,"-",ROUNDUP(Ld_cal($B230, $C230, $D230, $G230,$E230, $F230, $H230, R$3)*1.3,0)),"-")</f>
        <v>-</v>
      </c>
      <c r="S231" s="63" t="str">
        <f>IF($J231=S$3,IF(S$3&gt;$I230,"-",ROUNDUP(Ld_cal($B230, $C230, $D230, $G230,$E230, $F230, $H230, S$3)*1.3,0)),"-")</f>
        <v>-</v>
      </c>
      <c r="T231" s="63" t="str">
        <f>IF($J231=T$3,IF(T$3&gt;$I230,"-",ROUNDUP(Ld_cal($B230, $C230, $D230, $G230,$E230, $F230, $H230, T$3)*1.3,0)),"-")</f>
        <v>-</v>
      </c>
      <c r="U231" s="63" t="str">
        <f>IF($J231=U$3,IF(U$3&gt;$I230,"-",ROUNDUP(Ld_cal($B230, $C230, $D230, $G230,$E230, $F230, $H230, U$3)*1.3,0)),"-")</f>
        <v>-</v>
      </c>
      <c r="V231" s="63" t="str">
        <f>IF($J231=V$3,IF(V$3&gt;$I230,"-",ROUNDUP(Ld_cal($B230, $C230, $D230, $G230,$E230, $F230, $H230, V$3)*1.3,0)),"-")</f>
        <v>-</v>
      </c>
      <c r="W231" s="63" t="str">
        <f>IF($J231=W$3,IF(W$3&gt;$I230,"-",ROUNDUP(Ld_cal($B230, $C230, $D230, $G230,$E230, $F230, $H230, W$3)*1.3,0)),"-")</f>
        <v>-</v>
      </c>
      <c r="X231" s="63" t="str">
        <f>IF($J231=X$3,IF(X$3&gt;$I230,"-",ROUNDUP(Ld_cal($B230, $C230, $D230, $G230,$E230, $F230, $H230, X$3)*1.3,0)),"-")</f>
        <v>-</v>
      </c>
      <c r="Y231" s="63" t="str">
        <f>IF($J231=Y$3,IF(Y$3&gt;$I230,"-",ROUNDUP(Ld_cal($B230, $C230, $D230, $G230,$E230, $F230, $H230, Y$3)*1.3,0)),"-")</f>
        <v>-</v>
      </c>
      <c r="Z231" s="63">
        <f>IF($J231=Z$3,IF(Z$3&gt;$I230,"-",ROUNDUP(Ld_cal($B230, $C230, $D230, $G230,$E230, $F230, $H230, Z$3)*1.3,0)),"-")</f>
        <v>156</v>
      </c>
      <c r="AA231" s="63" t="str">
        <f>IF($J231=AA$3,IF(AA$3&gt;$I230,"-",ROUNDUP(Ld_cal($B230, $C230, $D230, $G230,$E230, $F230, $H230, AA$3)*1.3,0)),"-")</f>
        <v>-</v>
      </c>
      <c r="AB231" s="63" t="str">
        <f>IF($J231=AB$3,IF(AB$3&gt;$I230,"-",ROUNDUP(Ld_cal($B230, $C230, $D230, $G230,$E230, $F230, $H230, AB$3)*1.3,0)),"-")</f>
        <v>-</v>
      </c>
      <c r="AC231" s="63" t="str">
        <f>IF($J231=AC$3,IF(AC$3&gt;$I230,"-",ROUNDUP(Ld_cal($B230, $C230, $D230, $G230,$E230, $F230, $H230, AC$3)*1.3,0)),"-")</f>
        <v>-</v>
      </c>
      <c r="AD231" s="63">
        <f t="shared" ref="AD231" si="223">IF(J231&gt;I230,"依標準圖",MAX(L231:AC231))</f>
        <v>156</v>
      </c>
    </row>
    <row r="232" spans="1:30">
      <c r="A232" s="97" t="s">
        <v>160</v>
      </c>
      <c r="B232" s="99">
        <v>150</v>
      </c>
      <c r="C232" s="100">
        <v>7.5</v>
      </c>
      <c r="D232" s="101">
        <v>4200</v>
      </c>
      <c r="E232" s="102">
        <v>16</v>
      </c>
      <c r="F232" s="103">
        <v>7</v>
      </c>
      <c r="G232" s="101">
        <v>350</v>
      </c>
      <c r="H232" s="102">
        <v>32</v>
      </c>
      <c r="I232" s="104">
        <f>ROUNDDOWN(($B232-2*$C232-2*$E232/10-$H232/10)/(($D$1+1)*$H232/10),0)+1</f>
        <v>21</v>
      </c>
      <c r="J232" s="60">
        <v>19</v>
      </c>
      <c r="K232" s="64" t="s">
        <v>30</v>
      </c>
      <c r="L232" s="61" t="str">
        <f>IF($J232=L$3,IF(L$3&gt;$I232,"-",ROUNDUP(Ld_cal($B232, $C232, $D232, $G232,$E232, $F232, $H232, L$3)*1.3*1.3,0)),"-")</f>
        <v>-</v>
      </c>
      <c r="M232" s="61" t="str">
        <f>IF($J232=M$3,IF(M$3&gt;$I232,"-",ROUNDUP(Ld_cal($B232, $C232, $D232, $G232,$E232, $F232, $H232, M$3)*1.3*1.3,0)),"-")</f>
        <v>-</v>
      </c>
      <c r="N232" s="61" t="str">
        <f>IF($J232=N$3,IF(N$3&gt;$I232,"-",ROUNDUP(Ld_cal($B232, $C232, $D232, $G232,$E232, $F232, $H232, N$3)*1.3*1.3,0)),"-")</f>
        <v>-</v>
      </c>
      <c r="O232" s="61" t="str">
        <f>IF($J232=O$3,IF(O$3&gt;$I232,"-",ROUNDUP(Ld_cal($B232, $C232, $D232, $G232,$E232, $F232, $H232, O$3)*1.3*1.3,0)),"-")</f>
        <v>-</v>
      </c>
      <c r="P232" s="61" t="str">
        <f>IF($J232=P$3,IF(P$3&gt;$I232,"-",ROUNDUP(Ld_cal($B232, $C232, $D232, $G232,$E232, $F232, $H232, P$3)*1.3*1.3,0)),"-")</f>
        <v>-</v>
      </c>
      <c r="Q232" s="61" t="str">
        <f>IF($J232=Q$3,IF(Q$3&gt;$I232,"-",ROUNDUP(Ld_cal($B232, $C232, $D232, $G232,$E232, $F232, $H232, Q$3)*1.3*1.3,0)),"-")</f>
        <v>-</v>
      </c>
      <c r="R232" s="61" t="str">
        <f>IF($J232=R$3,IF(R$3&gt;$I232,"-",ROUNDUP(Ld_cal($B232, $C232, $D232, $G232,$E232, $F232, $H232, R$3)*1.3*1.3,0)),"-")</f>
        <v>-</v>
      </c>
      <c r="S232" s="61" t="str">
        <f>IF($J232=S$3,IF(S$3&gt;$I232,"-",ROUNDUP(Ld_cal($B232, $C232, $D232, $G232,$E232, $F232, $H232, S$3)*1.3*1.3,0)),"-")</f>
        <v>-</v>
      </c>
      <c r="T232" s="61" t="str">
        <f>IF($J232=T$3,IF(T$3&gt;$I232,"-",ROUNDUP(Ld_cal($B232, $C232, $D232, $G232,$E232, $F232, $H232, T$3)*1.3*1.3,0)),"-")</f>
        <v>-</v>
      </c>
      <c r="U232" s="61" t="str">
        <f>IF($J232=U$3,IF(U$3&gt;$I232,"-",ROUNDUP(Ld_cal($B232, $C232, $D232, $G232,$E232, $F232, $H232, U$3)*1.3*1.3,0)),"-")</f>
        <v>-</v>
      </c>
      <c r="V232" s="61" t="str">
        <f>IF($J232=V$3,IF(V$3&gt;$I232,"-",ROUNDUP(Ld_cal($B232, $C232, $D232, $G232,$E232, $F232, $H232, V$3)*1.3*1.3,0)),"-")</f>
        <v>-</v>
      </c>
      <c r="W232" s="61" t="str">
        <f>IF($J232=W$3,IF(W$3&gt;$I232,"-",ROUNDUP(Ld_cal($B232, $C232, $D232, $G232,$E232, $F232, $H232, W$3)*1.3*1.3,0)),"-")</f>
        <v>-</v>
      </c>
      <c r="X232" s="61" t="str">
        <f>IF($J232=X$3,IF(X$3&gt;$I232,"-",ROUNDUP(Ld_cal($B232, $C232, $D232, $G232,$E232, $F232, $H232, X$3)*1.3*1.3,0)),"-")</f>
        <v>-</v>
      </c>
      <c r="Y232" s="61" t="str">
        <f>IF($J232=Y$3,IF(Y$3&gt;$I232,"-",ROUNDUP(Ld_cal($B232, $C232, $D232, $G232,$E232, $F232, $H232, Y$3)*1.3*1.3,0)),"-")</f>
        <v>-</v>
      </c>
      <c r="Z232" s="61" t="str">
        <f>IF($J232=Z$3,IF(Z$3&gt;$I232,"-",ROUNDUP(Ld_cal($B232, $C232, $D232, $G232,$E232, $F232, $H232, Z$3)*1.3*1.3,0)),"-")</f>
        <v>-</v>
      </c>
      <c r="AA232" s="61" t="str">
        <f>IF($J232=AA$3,IF(AA$3&gt;$I232,"-",ROUNDUP(Ld_cal($B232, $C232, $D232, $G232,$E232, $F232, $H232, AA$3)*1.3*1.3,0)),"-")</f>
        <v>-</v>
      </c>
      <c r="AB232" s="61">
        <f>IF($J232=AB$3,IF(AB$3&gt;$I232,"-",ROUNDUP(Ld_cal($B232, $C232, $D232, $G232,$E232, $F232, $H232, AB$3)*1.3*1.3,0)),"-")</f>
        <v>228</v>
      </c>
      <c r="AC232" s="61" t="str">
        <f>IF($J232=AC$3,IF(AC$3&gt;$I232,"-",ROUNDUP(Ld_cal($B232, $C232, $D232, $G232,$E232, $F232, $H232, AC$3)*1.3*1.3,0)),"-")</f>
        <v>-</v>
      </c>
      <c r="AD232" s="61">
        <f t="shared" ref="AD232" si="224">IF(J232&gt;I232,"依標準圖",MAX(L232:AC232))</f>
        <v>228</v>
      </c>
    </row>
    <row r="233" spans="1:30">
      <c r="A233" s="98"/>
      <c r="B233" s="99"/>
      <c r="C233" s="100"/>
      <c r="D233" s="101"/>
      <c r="E233" s="102"/>
      <c r="F233" s="103"/>
      <c r="G233" s="101"/>
      <c r="H233" s="102"/>
      <c r="I233" s="104"/>
      <c r="J233" s="60">
        <v>17</v>
      </c>
      <c r="K233" s="64" t="s">
        <v>29</v>
      </c>
      <c r="L233" s="61" t="str">
        <f>IF($J233=L$3,IF(L$3&gt;$I232,"-",ROUNDUP(Ld_cal($B232, $C232, $D232, $G232,$E232, $F232, $H232, L$3)*1.3,0)),"-")</f>
        <v>-</v>
      </c>
      <c r="M233" s="61" t="str">
        <f>IF($J233=M$3,IF(M$3&gt;$I232,"-",ROUNDUP(Ld_cal($B232, $C232, $D232, $G232,$E232, $F232, $H232, M$3)*1.3,0)),"-")</f>
        <v>-</v>
      </c>
      <c r="N233" s="61" t="str">
        <f>IF($J233=N$3,IF(N$3&gt;$I232,"-",ROUNDUP(Ld_cal($B232, $C232, $D232, $G232,$E232, $F232, $H232, N$3)*1.3,0)),"-")</f>
        <v>-</v>
      </c>
      <c r="O233" s="61" t="str">
        <f>IF($J233=O$3,IF(O$3&gt;$I232,"-",ROUNDUP(Ld_cal($B232, $C232, $D232, $G232,$E232, $F232, $H232, O$3)*1.3,0)),"-")</f>
        <v>-</v>
      </c>
      <c r="P233" s="61" t="str">
        <f>IF($J233=P$3,IF(P$3&gt;$I232,"-",ROUNDUP(Ld_cal($B232, $C232, $D232, $G232,$E232, $F232, $H232, P$3)*1.3,0)),"-")</f>
        <v>-</v>
      </c>
      <c r="Q233" s="61" t="str">
        <f>IF($J233=Q$3,IF(Q$3&gt;$I232,"-",ROUNDUP(Ld_cal($B232, $C232, $D232, $G232,$E232, $F232, $H232, Q$3)*1.3,0)),"-")</f>
        <v>-</v>
      </c>
      <c r="R233" s="61" t="str">
        <f>IF($J233=R$3,IF(R$3&gt;$I232,"-",ROUNDUP(Ld_cal($B232, $C232, $D232, $G232,$E232, $F232, $H232, R$3)*1.3,0)),"-")</f>
        <v>-</v>
      </c>
      <c r="S233" s="61" t="str">
        <f>IF($J233=S$3,IF(S$3&gt;$I232,"-",ROUNDUP(Ld_cal($B232, $C232, $D232, $G232,$E232, $F232, $H232, S$3)*1.3,0)),"-")</f>
        <v>-</v>
      </c>
      <c r="T233" s="61" t="str">
        <f>IF($J233=T$3,IF(T$3&gt;$I232,"-",ROUNDUP(Ld_cal($B232, $C232, $D232, $G232,$E232, $F232, $H232, T$3)*1.3,0)),"-")</f>
        <v>-</v>
      </c>
      <c r="U233" s="61" t="str">
        <f>IF($J233=U$3,IF(U$3&gt;$I232,"-",ROUNDUP(Ld_cal($B232, $C232, $D232, $G232,$E232, $F232, $H232, U$3)*1.3,0)),"-")</f>
        <v>-</v>
      </c>
      <c r="V233" s="61" t="str">
        <f>IF($J233=V$3,IF(V$3&gt;$I232,"-",ROUNDUP(Ld_cal($B232, $C232, $D232, $G232,$E232, $F232, $H232, V$3)*1.3,0)),"-")</f>
        <v>-</v>
      </c>
      <c r="W233" s="61" t="str">
        <f>IF($J233=W$3,IF(W$3&gt;$I232,"-",ROUNDUP(Ld_cal($B232, $C232, $D232, $G232,$E232, $F232, $H232, W$3)*1.3,0)),"-")</f>
        <v>-</v>
      </c>
      <c r="X233" s="61" t="str">
        <f>IF($J233=X$3,IF(X$3&gt;$I232,"-",ROUNDUP(Ld_cal($B232, $C232, $D232, $G232,$E232, $F232, $H232, X$3)*1.3,0)),"-")</f>
        <v>-</v>
      </c>
      <c r="Y233" s="61" t="str">
        <f>IF($J233=Y$3,IF(Y$3&gt;$I232,"-",ROUNDUP(Ld_cal($B232, $C232, $D232, $G232,$E232, $F232, $H232, Y$3)*1.3,0)),"-")</f>
        <v>-</v>
      </c>
      <c r="Z233" s="61">
        <f>IF($J233=Z$3,IF(Z$3&gt;$I232,"-",ROUNDUP(Ld_cal($B232, $C232, $D232, $G232,$E232, $F232, $H232, Z$3)*1.3,0)),"-")</f>
        <v>156</v>
      </c>
      <c r="AA233" s="61" t="str">
        <f>IF($J233=AA$3,IF(AA$3&gt;$I232,"-",ROUNDUP(Ld_cal($B232, $C232, $D232, $G232,$E232, $F232, $H232, AA$3)*1.3,0)),"-")</f>
        <v>-</v>
      </c>
      <c r="AB233" s="61" t="str">
        <f>IF($J233=AB$3,IF(AB$3&gt;$I232,"-",ROUNDUP(Ld_cal($B232, $C232, $D232, $G232,$E232, $F232, $H232, AB$3)*1.3,0)),"-")</f>
        <v>-</v>
      </c>
      <c r="AC233" s="61" t="str">
        <f>IF($J233=AC$3,IF(AC$3&gt;$I232,"-",ROUNDUP(Ld_cal($B232, $C232, $D232, $G232,$E232, $F232, $H232, AC$3)*1.3,0)),"-")</f>
        <v>-</v>
      </c>
      <c r="AD233" s="61">
        <f t="shared" ref="AD233" si="225">IF(J233&gt;I232,"依標準圖",MAX(L233:AC233))</f>
        <v>156</v>
      </c>
    </row>
    <row r="234" spans="1:30">
      <c r="A234" s="105" t="s">
        <v>161</v>
      </c>
      <c r="B234" s="107">
        <v>120</v>
      </c>
      <c r="C234" s="108">
        <v>7.5</v>
      </c>
      <c r="D234" s="107">
        <v>4200</v>
      </c>
      <c r="E234" s="109">
        <v>16</v>
      </c>
      <c r="F234" s="110">
        <v>25</v>
      </c>
      <c r="G234" s="107">
        <v>350</v>
      </c>
      <c r="H234" s="109">
        <v>32</v>
      </c>
      <c r="I234" s="111">
        <f>ROUNDDOWN(($B234-2*$C234-2*$E234/10-$H234/10)/(($D$1+1)*$H234/10),0)+1</f>
        <v>16</v>
      </c>
      <c r="J234" s="62">
        <v>8</v>
      </c>
      <c r="K234" s="40" t="s">
        <v>30</v>
      </c>
      <c r="L234" s="63" t="str">
        <f>IF($J234=L$3,IF(L$3&gt;$I234,"-",ROUNDUP(Ld_cal($B234, $C234, $D234, $G234,$E234, $F234, $H234, L$3)*1.3*1.3,0)),"-")</f>
        <v>-</v>
      </c>
      <c r="M234" s="63" t="str">
        <f>IF($J234=M$3,IF(M$3&gt;$I234,"-",ROUNDUP(Ld_cal($B234, $C234, $D234, $G234,$E234, $F234, $H234, M$3)*1.3*1.3,0)),"-")</f>
        <v>-</v>
      </c>
      <c r="N234" s="63" t="str">
        <f>IF($J234=N$3,IF(N$3&gt;$I234,"-",ROUNDUP(Ld_cal($B234, $C234, $D234, $G234,$E234, $F234, $H234, N$3)*1.3*1.3,0)),"-")</f>
        <v>-</v>
      </c>
      <c r="O234" s="63" t="str">
        <f>IF($J234=O$3,IF(O$3&gt;$I234,"-",ROUNDUP(Ld_cal($B234, $C234, $D234, $G234,$E234, $F234, $H234, O$3)*1.3*1.3,0)),"-")</f>
        <v>-</v>
      </c>
      <c r="P234" s="63" t="str">
        <f>IF($J234=P$3,IF(P$3&gt;$I234,"-",ROUNDUP(Ld_cal($B234, $C234, $D234, $G234,$E234, $F234, $H234, P$3)*1.3*1.3,0)),"-")</f>
        <v>-</v>
      </c>
      <c r="Q234" s="63">
        <f>IF($J234=Q$3,IF(Q$3&gt;$I234,"-",ROUNDUP(Ld_cal($B234, $C234, $D234, $G234,$E234, $F234, $H234, Q$3)*1.3*1.3,0)),"-")</f>
        <v>139</v>
      </c>
      <c r="R234" s="63" t="str">
        <f>IF($J234=R$3,IF(R$3&gt;$I234,"-",ROUNDUP(Ld_cal($B234, $C234, $D234, $G234,$E234, $F234, $H234, R$3)*1.3*1.3,0)),"-")</f>
        <v>-</v>
      </c>
      <c r="S234" s="63" t="str">
        <f>IF($J234=S$3,IF(S$3&gt;$I234,"-",ROUNDUP(Ld_cal($B234, $C234, $D234, $G234,$E234, $F234, $H234, S$3)*1.3*1.3,0)),"-")</f>
        <v>-</v>
      </c>
      <c r="T234" s="63" t="str">
        <f>IF($J234=T$3,IF(T$3&gt;$I234,"-",ROUNDUP(Ld_cal($B234, $C234, $D234, $G234,$E234, $F234, $H234, T$3)*1.3*1.3,0)),"-")</f>
        <v>-</v>
      </c>
      <c r="U234" s="63" t="str">
        <f>IF($J234=U$3,IF(U$3&gt;$I234,"-",ROUNDUP(Ld_cal($B234, $C234, $D234, $G234,$E234, $F234, $H234, U$3)*1.3*1.3,0)),"-")</f>
        <v>-</v>
      </c>
      <c r="V234" s="63" t="str">
        <f>IF($J234=V$3,IF(V$3&gt;$I234,"-",ROUNDUP(Ld_cal($B234, $C234, $D234, $G234,$E234, $F234, $H234, V$3)*1.3*1.3,0)),"-")</f>
        <v>-</v>
      </c>
      <c r="W234" s="63" t="str">
        <f>IF($J234=W$3,IF(W$3&gt;$I234,"-",ROUNDUP(Ld_cal($B234, $C234, $D234, $G234,$E234, $F234, $H234, W$3)*1.3*1.3,0)),"-")</f>
        <v>-</v>
      </c>
      <c r="X234" s="63" t="str">
        <f>IF($J234=X$3,IF(X$3&gt;$I234,"-",ROUNDUP(Ld_cal($B234, $C234, $D234, $G234,$E234, $F234, $H234, X$3)*1.3*1.3,0)),"-")</f>
        <v>-</v>
      </c>
      <c r="Y234" s="63" t="str">
        <f>IF($J234=Y$3,IF(Y$3&gt;$I234,"-",ROUNDUP(Ld_cal($B234, $C234, $D234, $G234,$E234, $F234, $H234, Y$3)*1.3*1.3,0)),"-")</f>
        <v>-</v>
      </c>
      <c r="Z234" s="63" t="str">
        <f>IF($J234=Z$3,IF(Z$3&gt;$I234,"-",ROUNDUP(Ld_cal($B234, $C234, $D234, $G234,$E234, $F234, $H234, Z$3)*1.3*1.3,0)),"-")</f>
        <v>-</v>
      </c>
      <c r="AA234" s="63" t="str">
        <f>IF($J234=AA$3,IF(AA$3&gt;$I234,"-",ROUNDUP(Ld_cal($B234, $C234, $D234, $G234,$E234, $F234, $H234, AA$3)*1.3*1.3,0)),"-")</f>
        <v>-</v>
      </c>
      <c r="AB234" s="63" t="str">
        <f>IF($J234=AB$3,IF(AB$3&gt;$I234,"-",ROUNDUP(Ld_cal($B234, $C234, $D234, $G234,$E234, $F234, $H234, AB$3)*1.3*1.3,0)),"-")</f>
        <v>-</v>
      </c>
      <c r="AC234" s="63" t="str">
        <f>IF($J234=AC$3,IF(AC$3&gt;$I234,"-",ROUNDUP(Ld_cal($B234, $C234, $D234, $G234,$E234, $F234, $H234, AC$3)*1.3*1.3,0)),"-")</f>
        <v>-</v>
      </c>
      <c r="AD234" s="63">
        <f t="shared" ref="AD234" si="226">IF(J234&gt;I234,"依標準圖",MAX(L234:AC234))</f>
        <v>139</v>
      </c>
    </row>
    <row r="235" spans="1:30">
      <c r="A235" s="106"/>
      <c r="B235" s="107"/>
      <c r="C235" s="108"/>
      <c r="D235" s="107"/>
      <c r="E235" s="109"/>
      <c r="F235" s="110"/>
      <c r="G235" s="107"/>
      <c r="H235" s="109"/>
      <c r="I235" s="111"/>
      <c r="J235" s="62">
        <v>5</v>
      </c>
      <c r="K235" s="40" t="s">
        <v>29</v>
      </c>
      <c r="L235" s="63" t="str">
        <f>IF($J235=L$3,IF(L$3&gt;$I234,"-",ROUNDUP(Ld_cal($B234, $C234, $D234, $G234,$E234, $F234, $H234, L$3)*1.3,0)),"-")</f>
        <v>-</v>
      </c>
      <c r="M235" s="63" t="str">
        <f>IF($J235=M$3,IF(M$3&gt;$I234,"-",ROUNDUP(Ld_cal($B234, $C234, $D234, $G234,$E234, $F234, $H234, M$3)*1.3,0)),"-")</f>
        <v>-</v>
      </c>
      <c r="N235" s="63">
        <f>IF($J235=N$3,IF(N$3&gt;$I234,"-",ROUNDUP(Ld_cal($B234, $C234, $D234, $G234,$E234, $F234, $H234, N$3)*1.3,0)),"-")</f>
        <v>105</v>
      </c>
      <c r="O235" s="63" t="str">
        <f>IF($J235=O$3,IF(O$3&gt;$I234,"-",ROUNDUP(Ld_cal($B234, $C234, $D234, $G234,$E234, $F234, $H234, O$3)*1.3,0)),"-")</f>
        <v>-</v>
      </c>
      <c r="P235" s="63" t="str">
        <f>IF($J235=P$3,IF(P$3&gt;$I234,"-",ROUNDUP(Ld_cal($B234, $C234, $D234, $G234,$E234, $F234, $H234, P$3)*1.3,0)),"-")</f>
        <v>-</v>
      </c>
      <c r="Q235" s="63" t="str">
        <f>IF($J235=Q$3,IF(Q$3&gt;$I234,"-",ROUNDUP(Ld_cal($B234, $C234, $D234, $G234,$E234, $F234, $H234, Q$3)*1.3,0)),"-")</f>
        <v>-</v>
      </c>
      <c r="R235" s="63" t="str">
        <f>IF($J235=R$3,IF(R$3&gt;$I234,"-",ROUNDUP(Ld_cal($B234, $C234, $D234, $G234,$E234, $F234, $H234, R$3)*1.3,0)),"-")</f>
        <v>-</v>
      </c>
      <c r="S235" s="63" t="str">
        <f>IF($J235=S$3,IF(S$3&gt;$I234,"-",ROUNDUP(Ld_cal($B234, $C234, $D234, $G234,$E234, $F234, $H234, S$3)*1.3,0)),"-")</f>
        <v>-</v>
      </c>
      <c r="T235" s="63" t="str">
        <f>IF($J235=T$3,IF(T$3&gt;$I234,"-",ROUNDUP(Ld_cal($B234, $C234, $D234, $G234,$E234, $F234, $H234, T$3)*1.3,0)),"-")</f>
        <v>-</v>
      </c>
      <c r="U235" s="63" t="str">
        <f>IF($J235=U$3,IF(U$3&gt;$I234,"-",ROUNDUP(Ld_cal($B234, $C234, $D234, $G234,$E234, $F234, $H234, U$3)*1.3,0)),"-")</f>
        <v>-</v>
      </c>
      <c r="V235" s="63" t="str">
        <f>IF($J235=V$3,IF(V$3&gt;$I234,"-",ROUNDUP(Ld_cal($B234, $C234, $D234, $G234,$E234, $F234, $H234, V$3)*1.3,0)),"-")</f>
        <v>-</v>
      </c>
      <c r="W235" s="63" t="str">
        <f>IF($J235=W$3,IF(W$3&gt;$I234,"-",ROUNDUP(Ld_cal($B234, $C234, $D234, $G234,$E234, $F234, $H234, W$3)*1.3,0)),"-")</f>
        <v>-</v>
      </c>
      <c r="X235" s="63" t="str">
        <f>IF($J235=X$3,IF(X$3&gt;$I234,"-",ROUNDUP(Ld_cal($B234, $C234, $D234, $G234,$E234, $F234, $H234, X$3)*1.3,0)),"-")</f>
        <v>-</v>
      </c>
      <c r="Y235" s="63" t="str">
        <f>IF($J235=Y$3,IF(Y$3&gt;$I234,"-",ROUNDUP(Ld_cal($B234, $C234, $D234, $G234,$E234, $F234, $H234, Y$3)*1.3,0)),"-")</f>
        <v>-</v>
      </c>
      <c r="Z235" s="63" t="str">
        <f>IF($J235=Z$3,IF(Z$3&gt;$I234,"-",ROUNDUP(Ld_cal($B234, $C234, $D234, $G234,$E234, $F234, $H234, Z$3)*1.3,0)),"-")</f>
        <v>-</v>
      </c>
      <c r="AA235" s="63" t="str">
        <f>IF($J235=AA$3,IF(AA$3&gt;$I234,"-",ROUNDUP(Ld_cal($B234, $C234, $D234, $G234,$E234, $F234, $H234, AA$3)*1.3,0)),"-")</f>
        <v>-</v>
      </c>
      <c r="AB235" s="63" t="str">
        <f>IF($J235=AB$3,IF(AB$3&gt;$I234,"-",ROUNDUP(Ld_cal($B234, $C234, $D234, $G234,$E234, $F234, $H234, AB$3)*1.3,0)),"-")</f>
        <v>-</v>
      </c>
      <c r="AC235" s="63" t="str">
        <f>IF($J235=AC$3,IF(AC$3&gt;$I234,"-",ROUNDUP(Ld_cal($B234, $C234, $D234, $G234,$E234, $F234, $H234, AC$3)*1.3,0)),"-")</f>
        <v>-</v>
      </c>
      <c r="AD235" s="63">
        <f t="shared" ref="AD235" si="227">IF(J235&gt;I234,"依標準圖",MAX(L235:AC235))</f>
        <v>105</v>
      </c>
    </row>
    <row r="236" spans="1:30">
      <c r="A236" s="97" t="s">
        <v>162</v>
      </c>
      <c r="B236" s="99">
        <v>120</v>
      </c>
      <c r="C236" s="100">
        <v>7.5</v>
      </c>
      <c r="D236" s="101">
        <v>4200</v>
      </c>
      <c r="E236" s="102">
        <v>16</v>
      </c>
      <c r="F236" s="103">
        <v>20</v>
      </c>
      <c r="G236" s="101">
        <v>350</v>
      </c>
      <c r="H236" s="102">
        <v>32</v>
      </c>
      <c r="I236" s="104">
        <f>ROUNDDOWN(($B236-2*$C236-2*$E236/10-$H236/10)/(($D$1+1)*$H236/10),0)+1</f>
        <v>16</v>
      </c>
      <c r="J236" s="60">
        <v>15</v>
      </c>
      <c r="K236" s="64" t="s">
        <v>30</v>
      </c>
      <c r="L236" s="61" t="str">
        <f>IF($J236=L$3,IF(L$3&gt;$I236,"-",ROUNDUP(Ld_cal($B236, $C236, $D236, $G236,$E236, $F236, $H236, L$3)*1.3*1.3,0)),"-")</f>
        <v>-</v>
      </c>
      <c r="M236" s="61" t="str">
        <f>IF($J236=M$3,IF(M$3&gt;$I236,"-",ROUNDUP(Ld_cal($B236, $C236, $D236, $G236,$E236, $F236, $H236, M$3)*1.3*1.3,0)),"-")</f>
        <v>-</v>
      </c>
      <c r="N236" s="61" t="str">
        <f>IF($J236=N$3,IF(N$3&gt;$I236,"-",ROUNDUP(Ld_cal($B236, $C236, $D236, $G236,$E236, $F236, $H236, N$3)*1.3*1.3,0)),"-")</f>
        <v>-</v>
      </c>
      <c r="O236" s="61" t="str">
        <f>IF($J236=O$3,IF(O$3&gt;$I236,"-",ROUNDUP(Ld_cal($B236, $C236, $D236, $G236,$E236, $F236, $H236, O$3)*1.3*1.3,0)),"-")</f>
        <v>-</v>
      </c>
      <c r="P236" s="61" t="str">
        <f>IF($J236=P$3,IF(P$3&gt;$I236,"-",ROUNDUP(Ld_cal($B236, $C236, $D236, $G236,$E236, $F236, $H236, P$3)*1.3*1.3,0)),"-")</f>
        <v>-</v>
      </c>
      <c r="Q236" s="61" t="str">
        <f>IF($J236=Q$3,IF(Q$3&gt;$I236,"-",ROUNDUP(Ld_cal($B236, $C236, $D236, $G236,$E236, $F236, $H236, Q$3)*1.3*1.3,0)),"-")</f>
        <v>-</v>
      </c>
      <c r="R236" s="61" t="str">
        <f>IF($J236=R$3,IF(R$3&gt;$I236,"-",ROUNDUP(Ld_cal($B236, $C236, $D236, $G236,$E236, $F236, $H236, R$3)*1.3*1.3,0)),"-")</f>
        <v>-</v>
      </c>
      <c r="S236" s="61" t="str">
        <f>IF($J236=S$3,IF(S$3&gt;$I236,"-",ROUNDUP(Ld_cal($B236, $C236, $D236, $G236,$E236, $F236, $H236, S$3)*1.3*1.3,0)),"-")</f>
        <v>-</v>
      </c>
      <c r="T236" s="61" t="str">
        <f>IF($J236=T$3,IF(T$3&gt;$I236,"-",ROUNDUP(Ld_cal($B236, $C236, $D236, $G236,$E236, $F236, $H236, T$3)*1.3*1.3,0)),"-")</f>
        <v>-</v>
      </c>
      <c r="U236" s="61" t="str">
        <f>IF($J236=U$3,IF(U$3&gt;$I236,"-",ROUNDUP(Ld_cal($B236, $C236, $D236, $G236,$E236, $F236, $H236, U$3)*1.3*1.3,0)),"-")</f>
        <v>-</v>
      </c>
      <c r="V236" s="61" t="str">
        <f>IF($J236=V$3,IF(V$3&gt;$I236,"-",ROUNDUP(Ld_cal($B236, $C236, $D236, $G236,$E236, $F236, $H236, V$3)*1.3*1.3,0)),"-")</f>
        <v>-</v>
      </c>
      <c r="W236" s="61" t="str">
        <f>IF($J236=W$3,IF(W$3&gt;$I236,"-",ROUNDUP(Ld_cal($B236, $C236, $D236, $G236,$E236, $F236, $H236, W$3)*1.3*1.3,0)),"-")</f>
        <v>-</v>
      </c>
      <c r="X236" s="61">
        <f>IF($J236=X$3,IF(X$3&gt;$I236,"-",ROUNDUP(Ld_cal($B236, $C236, $D236, $G236,$E236, $F236, $H236, X$3)*1.3*1.3,0)),"-")</f>
        <v>269</v>
      </c>
      <c r="Y236" s="61" t="str">
        <f>IF($J236=Y$3,IF(Y$3&gt;$I236,"-",ROUNDUP(Ld_cal($B236, $C236, $D236, $G236,$E236, $F236, $H236, Y$3)*1.3*1.3,0)),"-")</f>
        <v>-</v>
      </c>
      <c r="Z236" s="61" t="str">
        <f>IF($J236=Z$3,IF(Z$3&gt;$I236,"-",ROUNDUP(Ld_cal($B236, $C236, $D236, $G236,$E236, $F236, $H236, Z$3)*1.3*1.3,0)),"-")</f>
        <v>-</v>
      </c>
      <c r="AA236" s="61" t="str">
        <f>IF($J236=AA$3,IF(AA$3&gt;$I236,"-",ROUNDUP(Ld_cal($B236, $C236, $D236, $G236,$E236, $F236, $H236, AA$3)*1.3*1.3,0)),"-")</f>
        <v>-</v>
      </c>
      <c r="AB236" s="61" t="str">
        <f>IF($J236=AB$3,IF(AB$3&gt;$I236,"-",ROUNDUP(Ld_cal($B236, $C236, $D236, $G236,$E236, $F236, $H236, AB$3)*1.3*1.3,0)),"-")</f>
        <v>-</v>
      </c>
      <c r="AC236" s="61" t="str">
        <f>IF($J236=AC$3,IF(AC$3&gt;$I236,"-",ROUNDUP(Ld_cal($B236, $C236, $D236, $G236,$E236, $F236, $H236, AC$3)*1.3*1.3,0)),"-")</f>
        <v>-</v>
      </c>
      <c r="AD236" s="61">
        <f t="shared" ref="AD236" si="228">IF(J236&gt;I236,"依標準圖",MAX(L236:AC236))</f>
        <v>269</v>
      </c>
    </row>
    <row r="237" spans="1:30">
      <c r="A237" s="98"/>
      <c r="B237" s="99"/>
      <c r="C237" s="100"/>
      <c r="D237" s="101"/>
      <c r="E237" s="102"/>
      <c r="F237" s="103"/>
      <c r="G237" s="101"/>
      <c r="H237" s="102"/>
      <c r="I237" s="104"/>
      <c r="J237" s="60">
        <v>5</v>
      </c>
      <c r="K237" s="64" t="s">
        <v>29</v>
      </c>
      <c r="L237" s="61" t="str">
        <f>IF($J237=L$3,IF(L$3&gt;$I236,"-",ROUNDUP(Ld_cal($B236, $C236, $D236, $G236,$E236, $F236, $H236, L$3)*1.3,0)),"-")</f>
        <v>-</v>
      </c>
      <c r="M237" s="61" t="str">
        <f>IF($J237=M$3,IF(M$3&gt;$I236,"-",ROUNDUP(Ld_cal($B236, $C236, $D236, $G236,$E236, $F236, $H236, M$3)*1.3,0)),"-")</f>
        <v>-</v>
      </c>
      <c r="N237" s="61">
        <f>IF($J237=N$3,IF(N$3&gt;$I236,"-",ROUNDUP(Ld_cal($B236, $C236, $D236, $G236,$E236, $F236, $H236, N$3)*1.3,0)),"-")</f>
        <v>105</v>
      </c>
      <c r="O237" s="61" t="str">
        <f>IF($J237=O$3,IF(O$3&gt;$I236,"-",ROUNDUP(Ld_cal($B236, $C236, $D236, $G236,$E236, $F236, $H236, O$3)*1.3,0)),"-")</f>
        <v>-</v>
      </c>
      <c r="P237" s="61" t="str">
        <f>IF($J237=P$3,IF(P$3&gt;$I236,"-",ROUNDUP(Ld_cal($B236, $C236, $D236, $G236,$E236, $F236, $H236, P$3)*1.3,0)),"-")</f>
        <v>-</v>
      </c>
      <c r="Q237" s="61" t="str">
        <f>IF($J237=Q$3,IF(Q$3&gt;$I236,"-",ROUNDUP(Ld_cal($B236, $C236, $D236, $G236,$E236, $F236, $H236, Q$3)*1.3,0)),"-")</f>
        <v>-</v>
      </c>
      <c r="R237" s="61" t="str">
        <f>IF($J237=R$3,IF(R$3&gt;$I236,"-",ROUNDUP(Ld_cal($B236, $C236, $D236, $G236,$E236, $F236, $H236, R$3)*1.3,0)),"-")</f>
        <v>-</v>
      </c>
      <c r="S237" s="61" t="str">
        <f>IF($J237=S$3,IF(S$3&gt;$I236,"-",ROUNDUP(Ld_cal($B236, $C236, $D236, $G236,$E236, $F236, $H236, S$3)*1.3,0)),"-")</f>
        <v>-</v>
      </c>
      <c r="T237" s="61" t="str">
        <f>IF($J237=T$3,IF(T$3&gt;$I236,"-",ROUNDUP(Ld_cal($B236, $C236, $D236, $G236,$E236, $F236, $H236, T$3)*1.3,0)),"-")</f>
        <v>-</v>
      </c>
      <c r="U237" s="61" t="str">
        <f>IF($J237=U$3,IF(U$3&gt;$I236,"-",ROUNDUP(Ld_cal($B236, $C236, $D236, $G236,$E236, $F236, $H236, U$3)*1.3,0)),"-")</f>
        <v>-</v>
      </c>
      <c r="V237" s="61" t="str">
        <f>IF($J237=V$3,IF(V$3&gt;$I236,"-",ROUNDUP(Ld_cal($B236, $C236, $D236, $G236,$E236, $F236, $H236, V$3)*1.3,0)),"-")</f>
        <v>-</v>
      </c>
      <c r="W237" s="61" t="str">
        <f>IF($J237=W$3,IF(W$3&gt;$I236,"-",ROUNDUP(Ld_cal($B236, $C236, $D236, $G236,$E236, $F236, $H236, W$3)*1.3,0)),"-")</f>
        <v>-</v>
      </c>
      <c r="X237" s="61" t="str">
        <f>IF($J237=X$3,IF(X$3&gt;$I236,"-",ROUNDUP(Ld_cal($B236, $C236, $D236, $G236,$E236, $F236, $H236, X$3)*1.3,0)),"-")</f>
        <v>-</v>
      </c>
      <c r="Y237" s="61" t="str">
        <f>IF($J237=Y$3,IF(Y$3&gt;$I236,"-",ROUNDUP(Ld_cal($B236, $C236, $D236, $G236,$E236, $F236, $H236, Y$3)*1.3,0)),"-")</f>
        <v>-</v>
      </c>
      <c r="Z237" s="61" t="str">
        <f>IF($J237=Z$3,IF(Z$3&gt;$I236,"-",ROUNDUP(Ld_cal($B236, $C236, $D236, $G236,$E236, $F236, $H236, Z$3)*1.3,0)),"-")</f>
        <v>-</v>
      </c>
      <c r="AA237" s="61" t="str">
        <f>IF($J237=AA$3,IF(AA$3&gt;$I236,"-",ROUNDUP(Ld_cal($B236, $C236, $D236, $G236,$E236, $F236, $H236, AA$3)*1.3,0)),"-")</f>
        <v>-</v>
      </c>
      <c r="AB237" s="61" t="str">
        <f>IF($J237=AB$3,IF(AB$3&gt;$I236,"-",ROUNDUP(Ld_cal($B236, $C236, $D236, $G236,$E236, $F236, $H236, AB$3)*1.3,0)),"-")</f>
        <v>-</v>
      </c>
      <c r="AC237" s="61" t="str">
        <f>IF($J237=AC$3,IF(AC$3&gt;$I236,"-",ROUNDUP(Ld_cal($B236, $C236, $D236, $G236,$E236, $F236, $H236, AC$3)*1.3,0)),"-")</f>
        <v>-</v>
      </c>
      <c r="AD237" s="61">
        <f t="shared" ref="AD237" si="229">IF(J237&gt;I236,"依標準圖",MAX(L237:AC237))</f>
        <v>105</v>
      </c>
    </row>
    <row r="238" spans="1:30">
      <c r="A238" s="105" t="s">
        <v>163</v>
      </c>
      <c r="B238" s="107">
        <v>120</v>
      </c>
      <c r="C238" s="108">
        <v>7.5</v>
      </c>
      <c r="D238" s="107">
        <v>4200</v>
      </c>
      <c r="E238" s="109">
        <v>16</v>
      </c>
      <c r="F238" s="110">
        <v>20</v>
      </c>
      <c r="G238" s="107">
        <v>350</v>
      </c>
      <c r="H238" s="109">
        <v>32</v>
      </c>
      <c r="I238" s="111">
        <f>ROUNDDOWN(($B238-2*$C238-2*$E238/10-$H238/10)/(($D$1+1)*$H238/10),0)+1</f>
        <v>16</v>
      </c>
      <c r="J238" s="62">
        <v>15</v>
      </c>
      <c r="K238" s="40" t="s">
        <v>30</v>
      </c>
      <c r="L238" s="63" t="str">
        <f>IF($J238=L$3,IF(L$3&gt;$I238,"-",ROUNDUP(Ld_cal($B238, $C238, $D238, $G238,$E238, $F238, $H238, L$3)*1.3*1.3,0)),"-")</f>
        <v>-</v>
      </c>
      <c r="M238" s="63" t="str">
        <f>IF($J238=M$3,IF(M$3&gt;$I238,"-",ROUNDUP(Ld_cal($B238, $C238, $D238, $G238,$E238, $F238, $H238, M$3)*1.3*1.3,0)),"-")</f>
        <v>-</v>
      </c>
      <c r="N238" s="63" t="str">
        <f>IF($J238=N$3,IF(N$3&gt;$I238,"-",ROUNDUP(Ld_cal($B238, $C238, $D238, $G238,$E238, $F238, $H238, N$3)*1.3*1.3,0)),"-")</f>
        <v>-</v>
      </c>
      <c r="O238" s="63" t="str">
        <f>IF($J238=O$3,IF(O$3&gt;$I238,"-",ROUNDUP(Ld_cal($B238, $C238, $D238, $G238,$E238, $F238, $H238, O$3)*1.3*1.3,0)),"-")</f>
        <v>-</v>
      </c>
      <c r="P238" s="63" t="str">
        <f>IF($J238=P$3,IF(P$3&gt;$I238,"-",ROUNDUP(Ld_cal($B238, $C238, $D238, $G238,$E238, $F238, $H238, P$3)*1.3*1.3,0)),"-")</f>
        <v>-</v>
      </c>
      <c r="Q238" s="63" t="str">
        <f>IF($J238=Q$3,IF(Q$3&gt;$I238,"-",ROUNDUP(Ld_cal($B238, $C238, $D238, $G238,$E238, $F238, $H238, Q$3)*1.3*1.3,0)),"-")</f>
        <v>-</v>
      </c>
      <c r="R238" s="63" t="str">
        <f>IF($J238=R$3,IF(R$3&gt;$I238,"-",ROUNDUP(Ld_cal($B238, $C238, $D238, $G238,$E238, $F238, $H238, R$3)*1.3*1.3,0)),"-")</f>
        <v>-</v>
      </c>
      <c r="S238" s="63" t="str">
        <f>IF($J238=S$3,IF(S$3&gt;$I238,"-",ROUNDUP(Ld_cal($B238, $C238, $D238, $G238,$E238, $F238, $H238, S$3)*1.3*1.3,0)),"-")</f>
        <v>-</v>
      </c>
      <c r="T238" s="63" t="str">
        <f>IF($J238=T$3,IF(T$3&gt;$I238,"-",ROUNDUP(Ld_cal($B238, $C238, $D238, $G238,$E238, $F238, $H238, T$3)*1.3*1.3,0)),"-")</f>
        <v>-</v>
      </c>
      <c r="U238" s="63" t="str">
        <f>IF($J238=U$3,IF(U$3&gt;$I238,"-",ROUNDUP(Ld_cal($B238, $C238, $D238, $G238,$E238, $F238, $H238, U$3)*1.3*1.3,0)),"-")</f>
        <v>-</v>
      </c>
      <c r="V238" s="63" t="str">
        <f>IF($J238=V$3,IF(V$3&gt;$I238,"-",ROUNDUP(Ld_cal($B238, $C238, $D238, $G238,$E238, $F238, $H238, V$3)*1.3*1.3,0)),"-")</f>
        <v>-</v>
      </c>
      <c r="W238" s="63" t="str">
        <f>IF($J238=W$3,IF(W$3&gt;$I238,"-",ROUNDUP(Ld_cal($B238, $C238, $D238, $G238,$E238, $F238, $H238, W$3)*1.3*1.3,0)),"-")</f>
        <v>-</v>
      </c>
      <c r="X238" s="63">
        <f>IF($J238=X$3,IF(X$3&gt;$I238,"-",ROUNDUP(Ld_cal($B238, $C238, $D238, $G238,$E238, $F238, $H238, X$3)*1.3*1.3,0)),"-")</f>
        <v>269</v>
      </c>
      <c r="Y238" s="63" t="str">
        <f>IF($J238=Y$3,IF(Y$3&gt;$I238,"-",ROUNDUP(Ld_cal($B238, $C238, $D238, $G238,$E238, $F238, $H238, Y$3)*1.3*1.3,0)),"-")</f>
        <v>-</v>
      </c>
      <c r="Z238" s="63" t="str">
        <f>IF($J238=Z$3,IF(Z$3&gt;$I238,"-",ROUNDUP(Ld_cal($B238, $C238, $D238, $G238,$E238, $F238, $H238, Z$3)*1.3*1.3,0)),"-")</f>
        <v>-</v>
      </c>
      <c r="AA238" s="63" t="str">
        <f>IF($J238=AA$3,IF(AA$3&gt;$I238,"-",ROUNDUP(Ld_cal($B238, $C238, $D238, $G238,$E238, $F238, $H238, AA$3)*1.3*1.3,0)),"-")</f>
        <v>-</v>
      </c>
      <c r="AB238" s="63" t="str">
        <f>IF($J238=AB$3,IF(AB$3&gt;$I238,"-",ROUNDUP(Ld_cal($B238, $C238, $D238, $G238,$E238, $F238, $H238, AB$3)*1.3*1.3,0)),"-")</f>
        <v>-</v>
      </c>
      <c r="AC238" s="63" t="str">
        <f>IF($J238=AC$3,IF(AC$3&gt;$I238,"-",ROUNDUP(Ld_cal($B238, $C238, $D238, $G238,$E238, $F238, $H238, AC$3)*1.3*1.3,0)),"-")</f>
        <v>-</v>
      </c>
      <c r="AD238" s="63">
        <f t="shared" ref="AD238" si="230">IF(J238&gt;I238,"依標準圖",MAX(L238:AC238))</f>
        <v>269</v>
      </c>
    </row>
    <row r="239" spans="1:30">
      <c r="A239" s="106"/>
      <c r="B239" s="107"/>
      <c r="C239" s="108"/>
      <c r="D239" s="107"/>
      <c r="E239" s="109"/>
      <c r="F239" s="110"/>
      <c r="G239" s="107"/>
      <c r="H239" s="109"/>
      <c r="I239" s="111"/>
      <c r="J239" s="62">
        <v>7</v>
      </c>
      <c r="K239" s="40" t="s">
        <v>29</v>
      </c>
      <c r="L239" s="63" t="str">
        <f>IF($J239=L$3,IF(L$3&gt;$I238,"-",ROUNDUP(Ld_cal($B238, $C238, $D238, $G238,$E238, $F238, $H238, L$3)*1.3,0)),"-")</f>
        <v>-</v>
      </c>
      <c r="M239" s="63" t="str">
        <f>IF($J239=M$3,IF(M$3&gt;$I238,"-",ROUNDUP(Ld_cal($B238, $C238, $D238, $G238,$E238, $F238, $H238, M$3)*1.3,0)),"-")</f>
        <v>-</v>
      </c>
      <c r="N239" s="63" t="str">
        <f>IF($J239=N$3,IF(N$3&gt;$I238,"-",ROUNDUP(Ld_cal($B238, $C238, $D238, $G238,$E238, $F238, $H238, N$3)*1.3,0)),"-")</f>
        <v>-</v>
      </c>
      <c r="O239" s="63" t="str">
        <f>IF($J239=O$3,IF(O$3&gt;$I238,"-",ROUNDUP(Ld_cal($B238, $C238, $D238, $G238,$E238, $F238, $H238, O$3)*1.3,0)),"-")</f>
        <v>-</v>
      </c>
      <c r="P239" s="63">
        <f>IF($J239=P$3,IF(P$3&gt;$I238,"-",ROUNDUP(Ld_cal($B238, $C238, $D238, $G238,$E238, $F238, $H238, P$3)*1.3,0)),"-")</f>
        <v>105</v>
      </c>
      <c r="Q239" s="63" t="str">
        <f>IF($J239=Q$3,IF(Q$3&gt;$I238,"-",ROUNDUP(Ld_cal($B238, $C238, $D238, $G238,$E238, $F238, $H238, Q$3)*1.3,0)),"-")</f>
        <v>-</v>
      </c>
      <c r="R239" s="63" t="str">
        <f>IF($J239=R$3,IF(R$3&gt;$I238,"-",ROUNDUP(Ld_cal($B238, $C238, $D238, $G238,$E238, $F238, $H238, R$3)*1.3,0)),"-")</f>
        <v>-</v>
      </c>
      <c r="S239" s="63" t="str">
        <f>IF($J239=S$3,IF(S$3&gt;$I238,"-",ROUNDUP(Ld_cal($B238, $C238, $D238, $G238,$E238, $F238, $H238, S$3)*1.3,0)),"-")</f>
        <v>-</v>
      </c>
      <c r="T239" s="63" t="str">
        <f>IF($J239=T$3,IF(T$3&gt;$I238,"-",ROUNDUP(Ld_cal($B238, $C238, $D238, $G238,$E238, $F238, $H238, T$3)*1.3,0)),"-")</f>
        <v>-</v>
      </c>
      <c r="U239" s="63" t="str">
        <f>IF($J239=U$3,IF(U$3&gt;$I238,"-",ROUNDUP(Ld_cal($B238, $C238, $D238, $G238,$E238, $F238, $H238, U$3)*1.3,0)),"-")</f>
        <v>-</v>
      </c>
      <c r="V239" s="63" t="str">
        <f>IF($J239=V$3,IF(V$3&gt;$I238,"-",ROUNDUP(Ld_cal($B238, $C238, $D238, $G238,$E238, $F238, $H238, V$3)*1.3,0)),"-")</f>
        <v>-</v>
      </c>
      <c r="W239" s="63" t="str">
        <f>IF($J239=W$3,IF(W$3&gt;$I238,"-",ROUNDUP(Ld_cal($B238, $C238, $D238, $G238,$E238, $F238, $H238, W$3)*1.3,0)),"-")</f>
        <v>-</v>
      </c>
      <c r="X239" s="63" t="str">
        <f>IF($J239=X$3,IF(X$3&gt;$I238,"-",ROUNDUP(Ld_cal($B238, $C238, $D238, $G238,$E238, $F238, $H238, X$3)*1.3,0)),"-")</f>
        <v>-</v>
      </c>
      <c r="Y239" s="63" t="str">
        <f>IF($J239=Y$3,IF(Y$3&gt;$I238,"-",ROUNDUP(Ld_cal($B238, $C238, $D238, $G238,$E238, $F238, $H238, Y$3)*1.3,0)),"-")</f>
        <v>-</v>
      </c>
      <c r="Z239" s="63" t="str">
        <f>IF($J239=Z$3,IF(Z$3&gt;$I238,"-",ROUNDUP(Ld_cal($B238, $C238, $D238, $G238,$E238, $F238, $H238, Z$3)*1.3,0)),"-")</f>
        <v>-</v>
      </c>
      <c r="AA239" s="63" t="str">
        <f>IF($J239=AA$3,IF(AA$3&gt;$I238,"-",ROUNDUP(Ld_cal($B238, $C238, $D238, $G238,$E238, $F238, $H238, AA$3)*1.3,0)),"-")</f>
        <v>-</v>
      </c>
      <c r="AB239" s="63" t="str">
        <f>IF($J239=AB$3,IF(AB$3&gt;$I238,"-",ROUNDUP(Ld_cal($B238, $C238, $D238, $G238,$E238, $F238, $H238, AB$3)*1.3,0)),"-")</f>
        <v>-</v>
      </c>
      <c r="AC239" s="63" t="str">
        <f>IF($J239=AC$3,IF(AC$3&gt;$I238,"-",ROUNDUP(Ld_cal($B238, $C238, $D238, $G238,$E238, $F238, $H238, AC$3)*1.3,0)),"-")</f>
        <v>-</v>
      </c>
      <c r="AD239" s="63">
        <f t="shared" ref="AD239" si="231">IF(J239&gt;I238,"依標準圖",MAX(L239:AC239))</f>
        <v>105</v>
      </c>
    </row>
    <row r="240" spans="1:30">
      <c r="A240" s="97" t="s">
        <v>164</v>
      </c>
      <c r="B240" s="99">
        <v>120</v>
      </c>
      <c r="C240" s="100">
        <v>7.5</v>
      </c>
      <c r="D240" s="101">
        <v>4200</v>
      </c>
      <c r="E240" s="102">
        <v>16</v>
      </c>
      <c r="F240" s="103">
        <v>9</v>
      </c>
      <c r="G240" s="101">
        <v>350</v>
      </c>
      <c r="H240" s="102">
        <v>32</v>
      </c>
      <c r="I240" s="104">
        <f>ROUNDDOWN(($B240-2*$C240-2*$E240/10-$H240/10)/(($D$1+1)*$H240/10),0)+1</f>
        <v>16</v>
      </c>
      <c r="J240" s="60">
        <v>8</v>
      </c>
      <c r="K240" s="64" t="s">
        <v>30</v>
      </c>
      <c r="L240" s="61" t="str">
        <f>IF($J240=L$3,IF(L$3&gt;$I240,"-",ROUNDUP(Ld_cal($B240, $C240, $D240, $G240,$E240, $F240, $H240, L$3)*1.3*1.3,0)),"-")</f>
        <v>-</v>
      </c>
      <c r="M240" s="61" t="str">
        <f>IF($J240=M$3,IF(M$3&gt;$I240,"-",ROUNDUP(Ld_cal($B240, $C240, $D240, $G240,$E240, $F240, $H240, M$3)*1.3*1.3,0)),"-")</f>
        <v>-</v>
      </c>
      <c r="N240" s="61" t="str">
        <f>IF($J240=N$3,IF(N$3&gt;$I240,"-",ROUNDUP(Ld_cal($B240, $C240, $D240, $G240,$E240, $F240, $H240, N$3)*1.3*1.3,0)),"-")</f>
        <v>-</v>
      </c>
      <c r="O240" s="61" t="str">
        <f>IF($J240=O$3,IF(O$3&gt;$I240,"-",ROUNDUP(Ld_cal($B240, $C240, $D240, $G240,$E240, $F240, $H240, O$3)*1.3*1.3,0)),"-")</f>
        <v>-</v>
      </c>
      <c r="P240" s="61" t="str">
        <f>IF($J240=P$3,IF(P$3&gt;$I240,"-",ROUNDUP(Ld_cal($B240, $C240, $D240, $G240,$E240, $F240, $H240, P$3)*1.3*1.3,0)),"-")</f>
        <v>-</v>
      </c>
      <c r="Q240" s="61">
        <f>IF($J240=Q$3,IF(Q$3&gt;$I240,"-",ROUNDUP(Ld_cal($B240, $C240, $D240, $G240,$E240, $F240, $H240, Q$3)*1.3*1.3,0)),"-")</f>
        <v>136</v>
      </c>
      <c r="R240" s="61" t="str">
        <f>IF($J240=R$3,IF(R$3&gt;$I240,"-",ROUNDUP(Ld_cal($B240, $C240, $D240, $G240,$E240, $F240, $H240, R$3)*1.3*1.3,0)),"-")</f>
        <v>-</v>
      </c>
      <c r="S240" s="61" t="str">
        <f>IF($J240=S$3,IF(S$3&gt;$I240,"-",ROUNDUP(Ld_cal($B240, $C240, $D240, $G240,$E240, $F240, $H240, S$3)*1.3*1.3,0)),"-")</f>
        <v>-</v>
      </c>
      <c r="T240" s="61" t="str">
        <f>IF($J240=T$3,IF(T$3&gt;$I240,"-",ROUNDUP(Ld_cal($B240, $C240, $D240, $G240,$E240, $F240, $H240, T$3)*1.3*1.3,0)),"-")</f>
        <v>-</v>
      </c>
      <c r="U240" s="61" t="str">
        <f>IF($J240=U$3,IF(U$3&gt;$I240,"-",ROUNDUP(Ld_cal($B240, $C240, $D240, $G240,$E240, $F240, $H240, U$3)*1.3*1.3,0)),"-")</f>
        <v>-</v>
      </c>
      <c r="V240" s="61" t="str">
        <f>IF($J240=V$3,IF(V$3&gt;$I240,"-",ROUNDUP(Ld_cal($B240, $C240, $D240, $G240,$E240, $F240, $H240, V$3)*1.3*1.3,0)),"-")</f>
        <v>-</v>
      </c>
      <c r="W240" s="61" t="str">
        <f>IF($J240=W$3,IF(W$3&gt;$I240,"-",ROUNDUP(Ld_cal($B240, $C240, $D240, $G240,$E240, $F240, $H240, W$3)*1.3*1.3,0)),"-")</f>
        <v>-</v>
      </c>
      <c r="X240" s="61" t="str">
        <f>IF($J240=X$3,IF(X$3&gt;$I240,"-",ROUNDUP(Ld_cal($B240, $C240, $D240, $G240,$E240, $F240, $H240, X$3)*1.3*1.3,0)),"-")</f>
        <v>-</v>
      </c>
      <c r="Y240" s="61" t="str">
        <f>IF($J240=Y$3,IF(Y$3&gt;$I240,"-",ROUNDUP(Ld_cal($B240, $C240, $D240, $G240,$E240, $F240, $H240, Y$3)*1.3*1.3,0)),"-")</f>
        <v>-</v>
      </c>
      <c r="Z240" s="61" t="str">
        <f>IF($J240=Z$3,IF(Z$3&gt;$I240,"-",ROUNDUP(Ld_cal($B240, $C240, $D240, $G240,$E240, $F240, $H240, Z$3)*1.3*1.3,0)),"-")</f>
        <v>-</v>
      </c>
      <c r="AA240" s="61" t="str">
        <f>IF($J240=AA$3,IF(AA$3&gt;$I240,"-",ROUNDUP(Ld_cal($B240, $C240, $D240, $G240,$E240, $F240, $H240, AA$3)*1.3*1.3,0)),"-")</f>
        <v>-</v>
      </c>
      <c r="AB240" s="61" t="str">
        <f>IF($J240=AB$3,IF(AB$3&gt;$I240,"-",ROUNDUP(Ld_cal($B240, $C240, $D240, $G240,$E240, $F240, $H240, AB$3)*1.3*1.3,0)),"-")</f>
        <v>-</v>
      </c>
      <c r="AC240" s="61" t="str">
        <f>IF($J240=AC$3,IF(AC$3&gt;$I240,"-",ROUNDUP(Ld_cal($B240, $C240, $D240, $G240,$E240, $F240, $H240, AC$3)*1.3*1.3,0)),"-")</f>
        <v>-</v>
      </c>
      <c r="AD240" s="61">
        <f t="shared" ref="AD240" si="232">IF(J240&gt;I240,"依標準圖",MAX(L240:AC240))</f>
        <v>136</v>
      </c>
    </row>
    <row r="241" spans="1:30">
      <c r="A241" s="98"/>
      <c r="B241" s="99"/>
      <c r="C241" s="100"/>
      <c r="D241" s="101"/>
      <c r="E241" s="102"/>
      <c r="F241" s="103"/>
      <c r="G241" s="101"/>
      <c r="H241" s="102"/>
      <c r="I241" s="104"/>
      <c r="J241" s="60">
        <v>14</v>
      </c>
      <c r="K241" s="64" t="s">
        <v>29</v>
      </c>
      <c r="L241" s="61" t="str">
        <f>IF($J241=L$3,IF(L$3&gt;$I240,"-",ROUNDUP(Ld_cal($B240, $C240, $D240, $G240,$E240, $F240, $H240, L$3)*1.3,0)),"-")</f>
        <v>-</v>
      </c>
      <c r="M241" s="61" t="str">
        <f>IF($J241=M$3,IF(M$3&gt;$I240,"-",ROUNDUP(Ld_cal($B240, $C240, $D240, $G240,$E240, $F240, $H240, M$3)*1.3,0)),"-")</f>
        <v>-</v>
      </c>
      <c r="N241" s="61" t="str">
        <f>IF($J241=N$3,IF(N$3&gt;$I240,"-",ROUNDUP(Ld_cal($B240, $C240, $D240, $G240,$E240, $F240, $H240, N$3)*1.3,0)),"-")</f>
        <v>-</v>
      </c>
      <c r="O241" s="61" t="str">
        <f>IF($J241=O$3,IF(O$3&gt;$I240,"-",ROUNDUP(Ld_cal($B240, $C240, $D240, $G240,$E240, $F240, $H240, O$3)*1.3,0)),"-")</f>
        <v>-</v>
      </c>
      <c r="P241" s="61" t="str">
        <f>IF($J241=P$3,IF(P$3&gt;$I240,"-",ROUNDUP(Ld_cal($B240, $C240, $D240, $G240,$E240, $F240, $H240, P$3)*1.3,0)),"-")</f>
        <v>-</v>
      </c>
      <c r="Q241" s="61" t="str">
        <f>IF($J241=Q$3,IF(Q$3&gt;$I240,"-",ROUNDUP(Ld_cal($B240, $C240, $D240, $G240,$E240, $F240, $H240, Q$3)*1.3,0)),"-")</f>
        <v>-</v>
      </c>
      <c r="R241" s="61" t="str">
        <f>IF($J241=R$3,IF(R$3&gt;$I240,"-",ROUNDUP(Ld_cal($B240, $C240, $D240, $G240,$E240, $F240, $H240, R$3)*1.3,0)),"-")</f>
        <v>-</v>
      </c>
      <c r="S241" s="61" t="str">
        <f>IF($J241=S$3,IF(S$3&gt;$I240,"-",ROUNDUP(Ld_cal($B240, $C240, $D240, $G240,$E240, $F240, $H240, S$3)*1.3,0)),"-")</f>
        <v>-</v>
      </c>
      <c r="T241" s="61" t="str">
        <f>IF($J241=T$3,IF(T$3&gt;$I240,"-",ROUNDUP(Ld_cal($B240, $C240, $D240, $G240,$E240, $F240, $H240, T$3)*1.3,0)),"-")</f>
        <v>-</v>
      </c>
      <c r="U241" s="61" t="str">
        <f>IF($J241=U$3,IF(U$3&gt;$I240,"-",ROUNDUP(Ld_cal($B240, $C240, $D240, $G240,$E240, $F240, $H240, U$3)*1.3,0)),"-")</f>
        <v>-</v>
      </c>
      <c r="V241" s="61" t="str">
        <f>IF($J241=V$3,IF(V$3&gt;$I240,"-",ROUNDUP(Ld_cal($B240, $C240, $D240, $G240,$E240, $F240, $H240, V$3)*1.3,0)),"-")</f>
        <v>-</v>
      </c>
      <c r="W241" s="61">
        <f>IF($J241=W$3,IF(W$3&gt;$I240,"-",ROUNDUP(Ld_cal($B240, $C240, $D240, $G240,$E240, $F240, $H240, W$3)*1.3,0)),"-")</f>
        <v>166</v>
      </c>
      <c r="X241" s="61" t="str">
        <f>IF($J241=X$3,IF(X$3&gt;$I240,"-",ROUNDUP(Ld_cal($B240, $C240, $D240, $G240,$E240, $F240, $H240, X$3)*1.3,0)),"-")</f>
        <v>-</v>
      </c>
      <c r="Y241" s="61" t="str">
        <f>IF($J241=Y$3,IF(Y$3&gt;$I240,"-",ROUNDUP(Ld_cal($B240, $C240, $D240, $G240,$E240, $F240, $H240, Y$3)*1.3,0)),"-")</f>
        <v>-</v>
      </c>
      <c r="Z241" s="61" t="str">
        <f>IF($J241=Z$3,IF(Z$3&gt;$I240,"-",ROUNDUP(Ld_cal($B240, $C240, $D240, $G240,$E240, $F240, $H240, Z$3)*1.3,0)),"-")</f>
        <v>-</v>
      </c>
      <c r="AA241" s="61" t="str">
        <f>IF($J241=AA$3,IF(AA$3&gt;$I240,"-",ROUNDUP(Ld_cal($B240, $C240, $D240, $G240,$E240, $F240, $H240, AA$3)*1.3,0)),"-")</f>
        <v>-</v>
      </c>
      <c r="AB241" s="61" t="str">
        <f>IF($J241=AB$3,IF(AB$3&gt;$I240,"-",ROUNDUP(Ld_cal($B240, $C240, $D240, $G240,$E240, $F240, $H240, AB$3)*1.3,0)),"-")</f>
        <v>-</v>
      </c>
      <c r="AC241" s="61" t="str">
        <f>IF($J241=AC$3,IF(AC$3&gt;$I240,"-",ROUNDUP(Ld_cal($B240, $C240, $D240, $G240,$E240, $F240, $H240, AC$3)*1.3,0)),"-")</f>
        <v>-</v>
      </c>
      <c r="AD241" s="61">
        <f t="shared" ref="AD241" si="233">IF(J241&gt;I240,"依標準圖",MAX(L241:AC241))</f>
        <v>166</v>
      </c>
    </row>
    <row r="242" spans="1:30">
      <c r="A242" s="105" t="s">
        <v>165</v>
      </c>
      <c r="B242" s="107">
        <v>150</v>
      </c>
      <c r="C242" s="108">
        <v>7.5</v>
      </c>
      <c r="D242" s="107">
        <v>4200</v>
      </c>
      <c r="E242" s="109">
        <v>16</v>
      </c>
      <c r="F242" s="110">
        <v>7</v>
      </c>
      <c r="G242" s="107">
        <v>350</v>
      </c>
      <c r="H242" s="109">
        <v>32</v>
      </c>
      <c r="I242" s="111">
        <f>ROUNDDOWN(($B242-2*$C242-2*$E242/10-$H242/10)/(($D$1+1)*$H242/10),0)+1</f>
        <v>21</v>
      </c>
      <c r="J242" s="62">
        <v>11</v>
      </c>
      <c r="K242" s="40" t="s">
        <v>30</v>
      </c>
      <c r="L242" s="63" t="str">
        <f>IF($J242=L$3,IF(L$3&gt;$I242,"-",ROUNDUP(Ld_cal($B242, $C242, $D242, $G242,$E242, $F242, $H242, L$3)*1.3*1.3,0)),"-")</f>
        <v>-</v>
      </c>
      <c r="M242" s="63" t="str">
        <f>IF($J242=M$3,IF(M$3&gt;$I242,"-",ROUNDUP(Ld_cal($B242, $C242, $D242, $G242,$E242, $F242, $H242, M$3)*1.3*1.3,0)),"-")</f>
        <v>-</v>
      </c>
      <c r="N242" s="63" t="str">
        <f>IF($J242=N$3,IF(N$3&gt;$I242,"-",ROUNDUP(Ld_cal($B242, $C242, $D242, $G242,$E242, $F242, $H242, N$3)*1.3*1.3,0)),"-")</f>
        <v>-</v>
      </c>
      <c r="O242" s="63" t="str">
        <f>IF($J242=O$3,IF(O$3&gt;$I242,"-",ROUNDUP(Ld_cal($B242, $C242, $D242, $G242,$E242, $F242, $H242, O$3)*1.3*1.3,0)),"-")</f>
        <v>-</v>
      </c>
      <c r="P242" s="63" t="str">
        <f>IF($J242=P$3,IF(P$3&gt;$I242,"-",ROUNDUP(Ld_cal($B242, $C242, $D242, $G242,$E242, $F242, $H242, P$3)*1.3*1.3,0)),"-")</f>
        <v>-</v>
      </c>
      <c r="Q242" s="63" t="str">
        <f>IF($J242=Q$3,IF(Q$3&gt;$I242,"-",ROUNDUP(Ld_cal($B242, $C242, $D242, $G242,$E242, $F242, $H242, Q$3)*1.3*1.3,0)),"-")</f>
        <v>-</v>
      </c>
      <c r="R242" s="63" t="str">
        <f>IF($J242=R$3,IF(R$3&gt;$I242,"-",ROUNDUP(Ld_cal($B242, $C242, $D242, $G242,$E242, $F242, $H242, R$3)*1.3*1.3,0)),"-")</f>
        <v>-</v>
      </c>
      <c r="S242" s="63" t="str">
        <f>IF($J242=S$3,IF(S$3&gt;$I242,"-",ROUNDUP(Ld_cal($B242, $C242, $D242, $G242,$E242, $F242, $H242, S$3)*1.3*1.3,0)),"-")</f>
        <v>-</v>
      </c>
      <c r="T242" s="63">
        <f>IF($J242=T$3,IF(T$3&gt;$I242,"-",ROUNDUP(Ld_cal($B242, $C242, $D242, $G242,$E242, $F242, $H242, T$3)*1.3*1.3,0)),"-")</f>
        <v>136</v>
      </c>
      <c r="U242" s="63" t="str">
        <f>IF($J242=U$3,IF(U$3&gt;$I242,"-",ROUNDUP(Ld_cal($B242, $C242, $D242, $G242,$E242, $F242, $H242, U$3)*1.3*1.3,0)),"-")</f>
        <v>-</v>
      </c>
      <c r="V242" s="63" t="str">
        <f>IF($J242=V$3,IF(V$3&gt;$I242,"-",ROUNDUP(Ld_cal($B242, $C242, $D242, $G242,$E242, $F242, $H242, V$3)*1.3*1.3,0)),"-")</f>
        <v>-</v>
      </c>
      <c r="W242" s="63" t="str">
        <f>IF($J242=W$3,IF(W$3&gt;$I242,"-",ROUNDUP(Ld_cal($B242, $C242, $D242, $G242,$E242, $F242, $H242, W$3)*1.3*1.3,0)),"-")</f>
        <v>-</v>
      </c>
      <c r="X242" s="63" t="str">
        <f>IF($J242=X$3,IF(X$3&gt;$I242,"-",ROUNDUP(Ld_cal($B242, $C242, $D242, $G242,$E242, $F242, $H242, X$3)*1.3*1.3,0)),"-")</f>
        <v>-</v>
      </c>
      <c r="Y242" s="63" t="str">
        <f>IF($J242=Y$3,IF(Y$3&gt;$I242,"-",ROUNDUP(Ld_cal($B242, $C242, $D242, $G242,$E242, $F242, $H242, Y$3)*1.3*1.3,0)),"-")</f>
        <v>-</v>
      </c>
      <c r="Z242" s="63" t="str">
        <f>IF($J242=Z$3,IF(Z$3&gt;$I242,"-",ROUNDUP(Ld_cal($B242, $C242, $D242, $G242,$E242, $F242, $H242, Z$3)*1.3*1.3,0)),"-")</f>
        <v>-</v>
      </c>
      <c r="AA242" s="63" t="str">
        <f>IF($J242=AA$3,IF(AA$3&gt;$I242,"-",ROUNDUP(Ld_cal($B242, $C242, $D242, $G242,$E242, $F242, $H242, AA$3)*1.3*1.3,0)),"-")</f>
        <v>-</v>
      </c>
      <c r="AB242" s="63" t="str">
        <f>IF($J242=AB$3,IF(AB$3&gt;$I242,"-",ROUNDUP(Ld_cal($B242, $C242, $D242, $G242,$E242, $F242, $H242, AB$3)*1.3*1.3,0)),"-")</f>
        <v>-</v>
      </c>
      <c r="AC242" s="63" t="str">
        <f>IF($J242=AC$3,IF(AC$3&gt;$I242,"-",ROUNDUP(Ld_cal($B242, $C242, $D242, $G242,$E242, $F242, $H242, AC$3)*1.3*1.3,0)),"-")</f>
        <v>-</v>
      </c>
      <c r="AD242" s="63">
        <f t="shared" ref="AD242" si="234">IF(J242&gt;I242,"依標準圖",MAX(L242:AC242))</f>
        <v>136</v>
      </c>
    </row>
    <row r="243" spans="1:30">
      <c r="A243" s="106"/>
      <c r="B243" s="107"/>
      <c r="C243" s="108"/>
      <c r="D243" s="107"/>
      <c r="E243" s="109"/>
      <c r="F243" s="110"/>
      <c r="G243" s="107"/>
      <c r="H243" s="109"/>
      <c r="I243" s="111"/>
      <c r="J243" s="62">
        <v>17</v>
      </c>
      <c r="K243" s="40" t="s">
        <v>29</v>
      </c>
      <c r="L243" s="63" t="str">
        <f>IF($J243=L$3,IF(L$3&gt;$I242,"-",ROUNDUP(Ld_cal($B242, $C242, $D242, $G242,$E242, $F242, $H242, L$3)*1.3,0)),"-")</f>
        <v>-</v>
      </c>
      <c r="M243" s="63" t="str">
        <f>IF($J243=M$3,IF(M$3&gt;$I242,"-",ROUNDUP(Ld_cal($B242, $C242, $D242, $G242,$E242, $F242, $H242, M$3)*1.3,0)),"-")</f>
        <v>-</v>
      </c>
      <c r="N243" s="63" t="str">
        <f>IF($J243=N$3,IF(N$3&gt;$I242,"-",ROUNDUP(Ld_cal($B242, $C242, $D242, $G242,$E242, $F242, $H242, N$3)*1.3,0)),"-")</f>
        <v>-</v>
      </c>
      <c r="O243" s="63" t="str">
        <f>IF($J243=O$3,IF(O$3&gt;$I242,"-",ROUNDUP(Ld_cal($B242, $C242, $D242, $G242,$E242, $F242, $H242, O$3)*1.3,0)),"-")</f>
        <v>-</v>
      </c>
      <c r="P243" s="63" t="str">
        <f>IF($J243=P$3,IF(P$3&gt;$I242,"-",ROUNDUP(Ld_cal($B242, $C242, $D242, $G242,$E242, $F242, $H242, P$3)*1.3,0)),"-")</f>
        <v>-</v>
      </c>
      <c r="Q243" s="63" t="str">
        <f>IF($J243=Q$3,IF(Q$3&gt;$I242,"-",ROUNDUP(Ld_cal($B242, $C242, $D242, $G242,$E242, $F242, $H242, Q$3)*1.3,0)),"-")</f>
        <v>-</v>
      </c>
      <c r="R243" s="63" t="str">
        <f>IF($J243=R$3,IF(R$3&gt;$I242,"-",ROUNDUP(Ld_cal($B242, $C242, $D242, $G242,$E242, $F242, $H242, R$3)*1.3,0)),"-")</f>
        <v>-</v>
      </c>
      <c r="S243" s="63" t="str">
        <f>IF($J243=S$3,IF(S$3&gt;$I242,"-",ROUNDUP(Ld_cal($B242, $C242, $D242, $G242,$E242, $F242, $H242, S$3)*1.3,0)),"-")</f>
        <v>-</v>
      </c>
      <c r="T243" s="63" t="str">
        <f>IF($J243=T$3,IF(T$3&gt;$I242,"-",ROUNDUP(Ld_cal($B242, $C242, $D242, $G242,$E242, $F242, $H242, T$3)*1.3,0)),"-")</f>
        <v>-</v>
      </c>
      <c r="U243" s="63" t="str">
        <f>IF($J243=U$3,IF(U$3&gt;$I242,"-",ROUNDUP(Ld_cal($B242, $C242, $D242, $G242,$E242, $F242, $H242, U$3)*1.3,0)),"-")</f>
        <v>-</v>
      </c>
      <c r="V243" s="63" t="str">
        <f>IF($J243=V$3,IF(V$3&gt;$I242,"-",ROUNDUP(Ld_cal($B242, $C242, $D242, $G242,$E242, $F242, $H242, V$3)*1.3,0)),"-")</f>
        <v>-</v>
      </c>
      <c r="W243" s="63" t="str">
        <f>IF($J243=W$3,IF(W$3&gt;$I242,"-",ROUNDUP(Ld_cal($B242, $C242, $D242, $G242,$E242, $F242, $H242, W$3)*1.3,0)),"-")</f>
        <v>-</v>
      </c>
      <c r="X243" s="63" t="str">
        <f>IF($J243=X$3,IF(X$3&gt;$I242,"-",ROUNDUP(Ld_cal($B242, $C242, $D242, $G242,$E242, $F242, $H242, X$3)*1.3,0)),"-")</f>
        <v>-</v>
      </c>
      <c r="Y243" s="63" t="str">
        <f>IF($J243=Y$3,IF(Y$3&gt;$I242,"-",ROUNDUP(Ld_cal($B242, $C242, $D242, $G242,$E242, $F242, $H242, Y$3)*1.3,0)),"-")</f>
        <v>-</v>
      </c>
      <c r="Z243" s="63">
        <f>IF($J243=Z$3,IF(Z$3&gt;$I242,"-",ROUNDUP(Ld_cal($B242, $C242, $D242, $G242,$E242, $F242, $H242, Z$3)*1.3,0)),"-")</f>
        <v>156</v>
      </c>
      <c r="AA243" s="63" t="str">
        <f>IF($J243=AA$3,IF(AA$3&gt;$I242,"-",ROUNDUP(Ld_cal($B242, $C242, $D242, $G242,$E242, $F242, $H242, AA$3)*1.3,0)),"-")</f>
        <v>-</v>
      </c>
      <c r="AB243" s="63" t="str">
        <f>IF($J243=AB$3,IF(AB$3&gt;$I242,"-",ROUNDUP(Ld_cal($B242, $C242, $D242, $G242,$E242, $F242, $H242, AB$3)*1.3,0)),"-")</f>
        <v>-</v>
      </c>
      <c r="AC243" s="63" t="str">
        <f>IF($J243=AC$3,IF(AC$3&gt;$I242,"-",ROUNDUP(Ld_cal($B242, $C242, $D242, $G242,$E242, $F242, $H242, AC$3)*1.3,0)),"-")</f>
        <v>-</v>
      </c>
      <c r="AD243" s="63">
        <f t="shared" ref="AD243" si="235">IF(J243&gt;I242,"依標準圖",MAX(L243:AC243))</f>
        <v>156</v>
      </c>
    </row>
    <row r="244" spans="1:30">
      <c r="A244" s="97" t="s">
        <v>166</v>
      </c>
      <c r="B244" s="99">
        <v>150</v>
      </c>
      <c r="C244" s="100">
        <v>7.5</v>
      </c>
      <c r="D244" s="101">
        <v>4200</v>
      </c>
      <c r="E244" s="102">
        <v>16</v>
      </c>
      <c r="F244" s="103">
        <v>7</v>
      </c>
      <c r="G244" s="101">
        <v>350</v>
      </c>
      <c r="H244" s="102">
        <v>32</v>
      </c>
      <c r="I244" s="104">
        <f>ROUNDDOWN(($B244-2*$C244-2*$E244/10-$H244/10)/(($D$1+1)*$H244/10),0)+1</f>
        <v>21</v>
      </c>
      <c r="J244" s="60">
        <v>19</v>
      </c>
      <c r="K244" s="64" t="s">
        <v>30</v>
      </c>
      <c r="L244" s="61" t="str">
        <f>IF($J244=L$3,IF(L$3&gt;$I244,"-",ROUNDUP(Ld_cal($B244, $C244, $D244, $G244,$E244, $F244, $H244, L$3)*1.3*1.3,0)),"-")</f>
        <v>-</v>
      </c>
      <c r="M244" s="61" t="str">
        <f>IF($J244=M$3,IF(M$3&gt;$I244,"-",ROUNDUP(Ld_cal($B244, $C244, $D244, $G244,$E244, $F244, $H244, M$3)*1.3*1.3,0)),"-")</f>
        <v>-</v>
      </c>
      <c r="N244" s="61" t="str">
        <f>IF($J244=N$3,IF(N$3&gt;$I244,"-",ROUNDUP(Ld_cal($B244, $C244, $D244, $G244,$E244, $F244, $H244, N$3)*1.3*1.3,0)),"-")</f>
        <v>-</v>
      </c>
      <c r="O244" s="61" t="str">
        <f>IF($J244=O$3,IF(O$3&gt;$I244,"-",ROUNDUP(Ld_cal($B244, $C244, $D244, $G244,$E244, $F244, $H244, O$3)*1.3*1.3,0)),"-")</f>
        <v>-</v>
      </c>
      <c r="P244" s="61" t="str">
        <f>IF($J244=P$3,IF(P$3&gt;$I244,"-",ROUNDUP(Ld_cal($B244, $C244, $D244, $G244,$E244, $F244, $H244, P$3)*1.3*1.3,0)),"-")</f>
        <v>-</v>
      </c>
      <c r="Q244" s="61" t="str">
        <f>IF($J244=Q$3,IF(Q$3&gt;$I244,"-",ROUNDUP(Ld_cal($B244, $C244, $D244, $G244,$E244, $F244, $H244, Q$3)*1.3*1.3,0)),"-")</f>
        <v>-</v>
      </c>
      <c r="R244" s="61" t="str">
        <f>IF($J244=R$3,IF(R$3&gt;$I244,"-",ROUNDUP(Ld_cal($B244, $C244, $D244, $G244,$E244, $F244, $H244, R$3)*1.3*1.3,0)),"-")</f>
        <v>-</v>
      </c>
      <c r="S244" s="61" t="str">
        <f>IF($J244=S$3,IF(S$3&gt;$I244,"-",ROUNDUP(Ld_cal($B244, $C244, $D244, $G244,$E244, $F244, $H244, S$3)*1.3*1.3,0)),"-")</f>
        <v>-</v>
      </c>
      <c r="T244" s="61" t="str">
        <f>IF($J244=T$3,IF(T$3&gt;$I244,"-",ROUNDUP(Ld_cal($B244, $C244, $D244, $G244,$E244, $F244, $H244, T$3)*1.3*1.3,0)),"-")</f>
        <v>-</v>
      </c>
      <c r="U244" s="61" t="str">
        <f>IF($J244=U$3,IF(U$3&gt;$I244,"-",ROUNDUP(Ld_cal($B244, $C244, $D244, $G244,$E244, $F244, $H244, U$3)*1.3*1.3,0)),"-")</f>
        <v>-</v>
      </c>
      <c r="V244" s="61" t="str">
        <f>IF($J244=V$3,IF(V$3&gt;$I244,"-",ROUNDUP(Ld_cal($B244, $C244, $D244, $G244,$E244, $F244, $H244, V$3)*1.3*1.3,0)),"-")</f>
        <v>-</v>
      </c>
      <c r="W244" s="61" t="str">
        <f>IF($J244=W$3,IF(W$3&gt;$I244,"-",ROUNDUP(Ld_cal($B244, $C244, $D244, $G244,$E244, $F244, $H244, W$3)*1.3*1.3,0)),"-")</f>
        <v>-</v>
      </c>
      <c r="X244" s="61" t="str">
        <f>IF($J244=X$3,IF(X$3&gt;$I244,"-",ROUNDUP(Ld_cal($B244, $C244, $D244, $G244,$E244, $F244, $H244, X$3)*1.3*1.3,0)),"-")</f>
        <v>-</v>
      </c>
      <c r="Y244" s="61" t="str">
        <f>IF($J244=Y$3,IF(Y$3&gt;$I244,"-",ROUNDUP(Ld_cal($B244, $C244, $D244, $G244,$E244, $F244, $H244, Y$3)*1.3*1.3,0)),"-")</f>
        <v>-</v>
      </c>
      <c r="Z244" s="61" t="str">
        <f>IF($J244=Z$3,IF(Z$3&gt;$I244,"-",ROUNDUP(Ld_cal($B244, $C244, $D244, $G244,$E244, $F244, $H244, Z$3)*1.3*1.3,0)),"-")</f>
        <v>-</v>
      </c>
      <c r="AA244" s="61" t="str">
        <f>IF($J244=AA$3,IF(AA$3&gt;$I244,"-",ROUNDUP(Ld_cal($B244, $C244, $D244, $G244,$E244, $F244, $H244, AA$3)*1.3*1.3,0)),"-")</f>
        <v>-</v>
      </c>
      <c r="AB244" s="61">
        <f>IF($J244=AB$3,IF(AB$3&gt;$I244,"-",ROUNDUP(Ld_cal($B244, $C244, $D244, $G244,$E244, $F244, $H244, AB$3)*1.3*1.3,0)),"-")</f>
        <v>228</v>
      </c>
      <c r="AC244" s="61" t="str">
        <f>IF($J244=AC$3,IF(AC$3&gt;$I244,"-",ROUNDUP(Ld_cal($B244, $C244, $D244, $G244,$E244, $F244, $H244, AC$3)*1.3*1.3,0)),"-")</f>
        <v>-</v>
      </c>
      <c r="AD244" s="61">
        <f t="shared" ref="AD244" si="236">IF(J244&gt;I244,"依標準圖",MAX(L244:AC244))</f>
        <v>228</v>
      </c>
    </row>
    <row r="245" spans="1:30">
      <c r="A245" s="98"/>
      <c r="B245" s="99"/>
      <c r="C245" s="100"/>
      <c r="D245" s="101"/>
      <c r="E245" s="102"/>
      <c r="F245" s="103"/>
      <c r="G245" s="101"/>
      <c r="H245" s="102"/>
      <c r="I245" s="104"/>
      <c r="J245" s="60">
        <v>17</v>
      </c>
      <c r="K245" s="64" t="s">
        <v>29</v>
      </c>
      <c r="L245" s="61" t="str">
        <f>IF($J245=L$3,IF(L$3&gt;$I244,"-",ROUNDUP(Ld_cal($B244, $C244, $D244, $G244,$E244, $F244, $H244, L$3)*1.3,0)),"-")</f>
        <v>-</v>
      </c>
      <c r="M245" s="61" t="str">
        <f>IF($J245=M$3,IF(M$3&gt;$I244,"-",ROUNDUP(Ld_cal($B244, $C244, $D244, $G244,$E244, $F244, $H244, M$3)*1.3,0)),"-")</f>
        <v>-</v>
      </c>
      <c r="N245" s="61" t="str">
        <f>IF($J245=N$3,IF(N$3&gt;$I244,"-",ROUNDUP(Ld_cal($B244, $C244, $D244, $G244,$E244, $F244, $H244, N$3)*1.3,0)),"-")</f>
        <v>-</v>
      </c>
      <c r="O245" s="61" t="str">
        <f>IF($J245=O$3,IF(O$3&gt;$I244,"-",ROUNDUP(Ld_cal($B244, $C244, $D244, $G244,$E244, $F244, $H244, O$3)*1.3,0)),"-")</f>
        <v>-</v>
      </c>
      <c r="P245" s="61" t="str">
        <f>IF($J245=P$3,IF(P$3&gt;$I244,"-",ROUNDUP(Ld_cal($B244, $C244, $D244, $G244,$E244, $F244, $H244, P$3)*1.3,0)),"-")</f>
        <v>-</v>
      </c>
      <c r="Q245" s="61" t="str">
        <f>IF($J245=Q$3,IF(Q$3&gt;$I244,"-",ROUNDUP(Ld_cal($B244, $C244, $D244, $G244,$E244, $F244, $H244, Q$3)*1.3,0)),"-")</f>
        <v>-</v>
      </c>
      <c r="R245" s="61" t="str">
        <f>IF($J245=R$3,IF(R$3&gt;$I244,"-",ROUNDUP(Ld_cal($B244, $C244, $D244, $G244,$E244, $F244, $H244, R$3)*1.3,0)),"-")</f>
        <v>-</v>
      </c>
      <c r="S245" s="61" t="str">
        <f>IF($J245=S$3,IF(S$3&gt;$I244,"-",ROUNDUP(Ld_cal($B244, $C244, $D244, $G244,$E244, $F244, $H244, S$3)*1.3,0)),"-")</f>
        <v>-</v>
      </c>
      <c r="T245" s="61" t="str">
        <f>IF($J245=T$3,IF(T$3&gt;$I244,"-",ROUNDUP(Ld_cal($B244, $C244, $D244, $G244,$E244, $F244, $H244, T$3)*1.3,0)),"-")</f>
        <v>-</v>
      </c>
      <c r="U245" s="61" t="str">
        <f>IF($J245=U$3,IF(U$3&gt;$I244,"-",ROUNDUP(Ld_cal($B244, $C244, $D244, $G244,$E244, $F244, $H244, U$3)*1.3,0)),"-")</f>
        <v>-</v>
      </c>
      <c r="V245" s="61" t="str">
        <f>IF($J245=V$3,IF(V$3&gt;$I244,"-",ROUNDUP(Ld_cal($B244, $C244, $D244, $G244,$E244, $F244, $H244, V$3)*1.3,0)),"-")</f>
        <v>-</v>
      </c>
      <c r="W245" s="61" t="str">
        <f>IF($J245=W$3,IF(W$3&gt;$I244,"-",ROUNDUP(Ld_cal($B244, $C244, $D244, $G244,$E244, $F244, $H244, W$3)*1.3,0)),"-")</f>
        <v>-</v>
      </c>
      <c r="X245" s="61" t="str">
        <f>IF($J245=X$3,IF(X$3&gt;$I244,"-",ROUNDUP(Ld_cal($B244, $C244, $D244, $G244,$E244, $F244, $H244, X$3)*1.3,0)),"-")</f>
        <v>-</v>
      </c>
      <c r="Y245" s="61" t="str">
        <f>IF($J245=Y$3,IF(Y$3&gt;$I244,"-",ROUNDUP(Ld_cal($B244, $C244, $D244, $G244,$E244, $F244, $H244, Y$3)*1.3,0)),"-")</f>
        <v>-</v>
      </c>
      <c r="Z245" s="61">
        <f>IF($J245=Z$3,IF(Z$3&gt;$I244,"-",ROUNDUP(Ld_cal($B244, $C244, $D244, $G244,$E244, $F244, $H244, Z$3)*1.3,0)),"-")</f>
        <v>156</v>
      </c>
      <c r="AA245" s="61" t="str">
        <f>IF($J245=AA$3,IF(AA$3&gt;$I244,"-",ROUNDUP(Ld_cal($B244, $C244, $D244, $G244,$E244, $F244, $H244, AA$3)*1.3,0)),"-")</f>
        <v>-</v>
      </c>
      <c r="AB245" s="61" t="str">
        <f>IF($J245=AB$3,IF(AB$3&gt;$I244,"-",ROUNDUP(Ld_cal($B244, $C244, $D244, $G244,$E244, $F244, $H244, AB$3)*1.3,0)),"-")</f>
        <v>-</v>
      </c>
      <c r="AC245" s="61" t="str">
        <f>IF($J245=AC$3,IF(AC$3&gt;$I244,"-",ROUNDUP(Ld_cal($B244, $C244, $D244, $G244,$E244, $F244, $H244, AC$3)*1.3,0)),"-")</f>
        <v>-</v>
      </c>
      <c r="AD245" s="61">
        <f t="shared" ref="AD245" si="237">IF(J245&gt;I244,"依標準圖",MAX(L245:AC245))</f>
        <v>156</v>
      </c>
    </row>
    <row r="246" spans="1:30">
      <c r="A246" s="105" t="s">
        <v>167</v>
      </c>
      <c r="B246" s="107">
        <v>120</v>
      </c>
      <c r="C246" s="108">
        <v>7.5</v>
      </c>
      <c r="D246" s="107">
        <v>4200</v>
      </c>
      <c r="E246" s="109">
        <v>16</v>
      </c>
      <c r="F246" s="110">
        <v>25</v>
      </c>
      <c r="G246" s="107">
        <v>350</v>
      </c>
      <c r="H246" s="109">
        <v>32</v>
      </c>
      <c r="I246" s="111">
        <f>ROUNDDOWN(($B246-2*$C246-2*$E246/10-$H246/10)/(($D$1+1)*$H246/10),0)+1</f>
        <v>16</v>
      </c>
      <c r="J246" s="62">
        <v>8</v>
      </c>
      <c r="K246" s="40" t="s">
        <v>30</v>
      </c>
      <c r="L246" s="63" t="str">
        <f>IF($J246=L$3,IF(L$3&gt;$I246,"-",ROUNDUP(Ld_cal($B246, $C246, $D246, $G246,$E246, $F246, $H246, L$3)*1.3*1.3,0)),"-")</f>
        <v>-</v>
      </c>
      <c r="M246" s="63" t="str">
        <f>IF($J246=M$3,IF(M$3&gt;$I246,"-",ROUNDUP(Ld_cal($B246, $C246, $D246, $G246,$E246, $F246, $H246, M$3)*1.3*1.3,0)),"-")</f>
        <v>-</v>
      </c>
      <c r="N246" s="63" t="str">
        <f>IF($J246=N$3,IF(N$3&gt;$I246,"-",ROUNDUP(Ld_cal($B246, $C246, $D246, $G246,$E246, $F246, $H246, N$3)*1.3*1.3,0)),"-")</f>
        <v>-</v>
      </c>
      <c r="O246" s="63" t="str">
        <f>IF($J246=O$3,IF(O$3&gt;$I246,"-",ROUNDUP(Ld_cal($B246, $C246, $D246, $G246,$E246, $F246, $H246, O$3)*1.3*1.3,0)),"-")</f>
        <v>-</v>
      </c>
      <c r="P246" s="63" t="str">
        <f>IF($J246=P$3,IF(P$3&gt;$I246,"-",ROUNDUP(Ld_cal($B246, $C246, $D246, $G246,$E246, $F246, $H246, P$3)*1.3*1.3,0)),"-")</f>
        <v>-</v>
      </c>
      <c r="Q246" s="63">
        <f>IF($J246=Q$3,IF(Q$3&gt;$I246,"-",ROUNDUP(Ld_cal($B246, $C246, $D246, $G246,$E246, $F246, $H246, Q$3)*1.3*1.3,0)),"-")</f>
        <v>139</v>
      </c>
      <c r="R246" s="63" t="str">
        <f>IF($J246=R$3,IF(R$3&gt;$I246,"-",ROUNDUP(Ld_cal($B246, $C246, $D246, $G246,$E246, $F246, $H246, R$3)*1.3*1.3,0)),"-")</f>
        <v>-</v>
      </c>
      <c r="S246" s="63" t="str">
        <f>IF($J246=S$3,IF(S$3&gt;$I246,"-",ROUNDUP(Ld_cal($B246, $C246, $D246, $G246,$E246, $F246, $H246, S$3)*1.3*1.3,0)),"-")</f>
        <v>-</v>
      </c>
      <c r="T246" s="63" t="str">
        <f>IF($J246=T$3,IF(T$3&gt;$I246,"-",ROUNDUP(Ld_cal($B246, $C246, $D246, $G246,$E246, $F246, $H246, T$3)*1.3*1.3,0)),"-")</f>
        <v>-</v>
      </c>
      <c r="U246" s="63" t="str">
        <f>IF($J246=U$3,IF(U$3&gt;$I246,"-",ROUNDUP(Ld_cal($B246, $C246, $D246, $G246,$E246, $F246, $H246, U$3)*1.3*1.3,0)),"-")</f>
        <v>-</v>
      </c>
      <c r="V246" s="63" t="str">
        <f>IF($J246=V$3,IF(V$3&gt;$I246,"-",ROUNDUP(Ld_cal($B246, $C246, $D246, $G246,$E246, $F246, $H246, V$3)*1.3*1.3,0)),"-")</f>
        <v>-</v>
      </c>
      <c r="W246" s="63" t="str">
        <f>IF($J246=W$3,IF(W$3&gt;$I246,"-",ROUNDUP(Ld_cal($B246, $C246, $D246, $G246,$E246, $F246, $H246, W$3)*1.3*1.3,0)),"-")</f>
        <v>-</v>
      </c>
      <c r="X246" s="63" t="str">
        <f>IF($J246=X$3,IF(X$3&gt;$I246,"-",ROUNDUP(Ld_cal($B246, $C246, $D246, $G246,$E246, $F246, $H246, X$3)*1.3*1.3,0)),"-")</f>
        <v>-</v>
      </c>
      <c r="Y246" s="63" t="str">
        <f>IF($J246=Y$3,IF(Y$3&gt;$I246,"-",ROUNDUP(Ld_cal($B246, $C246, $D246, $G246,$E246, $F246, $H246, Y$3)*1.3*1.3,0)),"-")</f>
        <v>-</v>
      </c>
      <c r="Z246" s="63" t="str">
        <f>IF($J246=Z$3,IF(Z$3&gt;$I246,"-",ROUNDUP(Ld_cal($B246, $C246, $D246, $G246,$E246, $F246, $H246, Z$3)*1.3*1.3,0)),"-")</f>
        <v>-</v>
      </c>
      <c r="AA246" s="63" t="str">
        <f>IF($J246=AA$3,IF(AA$3&gt;$I246,"-",ROUNDUP(Ld_cal($B246, $C246, $D246, $G246,$E246, $F246, $H246, AA$3)*1.3*1.3,0)),"-")</f>
        <v>-</v>
      </c>
      <c r="AB246" s="63" t="str">
        <f>IF($J246=AB$3,IF(AB$3&gt;$I246,"-",ROUNDUP(Ld_cal($B246, $C246, $D246, $G246,$E246, $F246, $H246, AB$3)*1.3*1.3,0)),"-")</f>
        <v>-</v>
      </c>
      <c r="AC246" s="63" t="str">
        <f>IF($J246=AC$3,IF(AC$3&gt;$I246,"-",ROUNDUP(Ld_cal($B246, $C246, $D246, $G246,$E246, $F246, $H246, AC$3)*1.3*1.3,0)),"-")</f>
        <v>-</v>
      </c>
      <c r="AD246" s="63">
        <f t="shared" ref="AD246" si="238">IF(J246&gt;I246,"依標準圖",MAX(L246:AC246))</f>
        <v>139</v>
      </c>
    </row>
    <row r="247" spans="1:30">
      <c r="A247" s="106"/>
      <c r="B247" s="107"/>
      <c r="C247" s="108"/>
      <c r="D247" s="107"/>
      <c r="E247" s="109"/>
      <c r="F247" s="110"/>
      <c r="G247" s="107"/>
      <c r="H247" s="109"/>
      <c r="I247" s="111"/>
      <c r="J247" s="62">
        <v>5</v>
      </c>
      <c r="K247" s="40" t="s">
        <v>29</v>
      </c>
      <c r="L247" s="63" t="str">
        <f>IF($J247=L$3,IF(L$3&gt;$I246,"-",ROUNDUP(Ld_cal($B246, $C246, $D246, $G246,$E246, $F246, $H246, L$3)*1.3,0)),"-")</f>
        <v>-</v>
      </c>
      <c r="M247" s="63" t="str">
        <f>IF($J247=M$3,IF(M$3&gt;$I246,"-",ROUNDUP(Ld_cal($B246, $C246, $D246, $G246,$E246, $F246, $H246, M$3)*1.3,0)),"-")</f>
        <v>-</v>
      </c>
      <c r="N247" s="63">
        <f>IF($J247=N$3,IF(N$3&gt;$I246,"-",ROUNDUP(Ld_cal($B246, $C246, $D246, $G246,$E246, $F246, $H246, N$3)*1.3,0)),"-")</f>
        <v>105</v>
      </c>
      <c r="O247" s="63" t="str">
        <f>IF($J247=O$3,IF(O$3&gt;$I246,"-",ROUNDUP(Ld_cal($B246, $C246, $D246, $G246,$E246, $F246, $H246, O$3)*1.3,0)),"-")</f>
        <v>-</v>
      </c>
      <c r="P247" s="63" t="str">
        <f>IF($J247=P$3,IF(P$3&gt;$I246,"-",ROUNDUP(Ld_cal($B246, $C246, $D246, $G246,$E246, $F246, $H246, P$3)*1.3,0)),"-")</f>
        <v>-</v>
      </c>
      <c r="Q247" s="63" t="str">
        <f>IF($J247=Q$3,IF(Q$3&gt;$I246,"-",ROUNDUP(Ld_cal($B246, $C246, $D246, $G246,$E246, $F246, $H246, Q$3)*1.3,0)),"-")</f>
        <v>-</v>
      </c>
      <c r="R247" s="63" t="str">
        <f>IF($J247=R$3,IF(R$3&gt;$I246,"-",ROUNDUP(Ld_cal($B246, $C246, $D246, $G246,$E246, $F246, $H246, R$3)*1.3,0)),"-")</f>
        <v>-</v>
      </c>
      <c r="S247" s="63" t="str">
        <f>IF($J247=S$3,IF(S$3&gt;$I246,"-",ROUNDUP(Ld_cal($B246, $C246, $D246, $G246,$E246, $F246, $H246, S$3)*1.3,0)),"-")</f>
        <v>-</v>
      </c>
      <c r="T247" s="63" t="str">
        <f>IF($J247=T$3,IF(T$3&gt;$I246,"-",ROUNDUP(Ld_cal($B246, $C246, $D246, $G246,$E246, $F246, $H246, T$3)*1.3,0)),"-")</f>
        <v>-</v>
      </c>
      <c r="U247" s="63" t="str">
        <f>IF($J247=U$3,IF(U$3&gt;$I246,"-",ROUNDUP(Ld_cal($B246, $C246, $D246, $G246,$E246, $F246, $H246, U$3)*1.3,0)),"-")</f>
        <v>-</v>
      </c>
      <c r="V247" s="63" t="str">
        <f>IF($J247=V$3,IF(V$3&gt;$I246,"-",ROUNDUP(Ld_cal($B246, $C246, $D246, $G246,$E246, $F246, $H246, V$3)*1.3,0)),"-")</f>
        <v>-</v>
      </c>
      <c r="W247" s="63" t="str">
        <f>IF($J247=W$3,IF(W$3&gt;$I246,"-",ROUNDUP(Ld_cal($B246, $C246, $D246, $G246,$E246, $F246, $H246, W$3)*1.3,0)),"-")</f>
        <v>-</v>
      </c>
      <c r="X247" s="63" t="str">
        <f>IF($J247=X$3,IF(X$3&gt;$I246,"-",ROUNDUP(Ld_cal($B246, $C246, $D246, $G246,$E246, $F246, $H246, X$3)*1.3,0)),"-")</f>
        <v>-</v>
      </c>
      <c r="Y247" s="63" t="str">
        <f>IF($J247=Y$3,IF(Y$3&gt;$I246,"-",ROUNDUP(Ld_cal($B246, $C246, $D246, $G246,$E246, $F246, $H246, Y$3)*1.3,0)),"-")</f>
        <v>-</v>
      </c>
      <c r="Z247" s="63" t="str">
        <f>IF($J247=Z$3,IF(Z$3&gt;$I246,"-",ROUNDUP(Ld_cal($B246, $C246, $D246, $G246,$E246, $F246, $H246, Z$3)*1.3,0)),"-")</f>
        <v>-</v>
      </c>
      <c r="AA247" s="63" t="str">
        <f>IF($J247=AA$3,IF(AA$3&gt;$I246,"-",ROUNDUP(Ld_cal($B246, $C246, $D246, $G246,$E246, $F246, $H246, AA$3)*1.3,0)),"-")</f>
        <v>-</v>
      </c>
      <c r="AB247" s="63" t="str">
        <f>IF($J247=AB$3,IF(AB$3&gt;$I246,"-",ROUNDUP(Ld_cal($B246, $C246, $D246, $G246,$E246, $F246, $H246, AB$3)*1.3,0)),"-")</f>
        <v>-</v>
      </c>
      <c r="AC247" s="63" t="str">
        <f>IF($J247=AC$3,IF(AC$3&gt;$I246,"-",ROUNDUP(Ld_cal($B246, $C246, $D246, $G246,$E246, $F246, $H246, AC$3)*1.3,0)),"-")</f>
        <v>-</v>
      </c>
      <c r="AD247" s="63">
        <f t="shared" ref="AD247" si="239">IF(J247&gt;I246,"依標準圖",MAX(L247:AC247))</f>
        <v>105</v>
      </c>
    </row>
    <row r="248" spans="1:30">
      <c r="A248" s="97" t="s">
        <v>168</v>
      </c>
      <c r="B248" s="99">
        <v>120</v>
      </c>
      <c r="C248" s="100">
        <v>7.5</v>
      </c>
      <c r="D248" s="101">
        <v>4200</v>
      </c>
      <c r="E248" s="102">
        <v>16</v>
      </c>
      <c r="F248" s="103">
        <v>20</v>
      </c>
      <c r="G248" s="101">
        <v>350</v>
      </c>
      <c r="H248" s="102">
        <v>32</v>
      </c>
      <c r="I248" s="104">
        <f>ROUNDDOWN(($B248-2*$C248-2*$E248/10-$H248/10)/(($D$1+1)*$H248/10),0)+1</f>
        <v>16</v>
      </c>
      <c r="J248" s="60">
        <v>14</v>
      </c>
      <c r="K248" s="64" t="s">
        <v>30</v>
      </c>
      <c r="L248" s="61" t="str">
        <f>IF($J248=L$3,IF(L$3&gt;$I248,"-",ROUNDUP(Ld_cal($B248, $C248, $D248, $G248,$E248, $F248, $H248, L$3)*1.3*1.3,0)),"-")</f>
        <v>-</v>
      </c>
      <c r="M248" s="61" t="str">
        <f>IF($J248=M$3,IF(M$3&gt;$I248,"-",ROUNDUP(Ld_cal($B248, $C248, $D248, $G248,$E248, $F248, $H248, M$3)*1.3*1.3,0)),"-")</f>
        <v>-</v>
      </c>
      <c r="N248" s="61" t="str">
        <f>IF($J248=N$3,IF(N$3&gt;$I248,"-",ROUNDUP(Ld_cal($B248, $C248, $D248, $G248,$E248, $F248, $H248, N$3)*1.3*1.3,0)),"-")</f>
        <v>-</v>
      </c>
      <c r="O248" s="61" t="str">
        <f>IF($J248=O$3,IF(O$3&gt;$I248,"-",ROUNDUP(Ld_cal($B248, $C248, $D248, $G248,$E248, $F248, $H248, O$3)*1.3*1.3,0)),"-")</f>
        <v>-</v>
      </c>
      <c r="P248" s="61" t="str">
        <f>IF($J248=P$3,IF(P$3&gt;$I248,"-",ROUNDUP(Ld_cal($B248, $C248, $D248, $G248,$E248, $F248, $H248, P$3)*1.3*1.3,0)),"-")</f>
        <v>-</v>
      </c>
      <c r="Q248" s="61" t="str">
        <f>IF($J248=Q$3,IF(Q$3&gt;$I248,"-",ROUNDUP(Ld_cal($B248, $C248, $D248, $G248,$E248, $F248, $H248, Q$3)*1.3*1.3,0)),"-")</f>
        <v>-</v>
      </c>
      <c r="R248" s="61" t="str">
        <f>IF($J248=R$3,IF(R$3&gt;$I248,"-",ROUNDUP(Ld_cal($B248, $C248, $D248, $G248,$E248, $F248, $H248, R$3)*1.3*1.3,0)),"-")</f>
        <v>-</v>
      </c>
      <c r="S248" s="61" t="str">
        <f>IF($J248=S$3,IF(S$3&gt;$I248,"-",ROUNDUP(Ld_cal($B248, $C248, $D248, $G248,$E248, $F248, $H248, S$3)*1.3*1.3,0)),"-")</f>
        <v>-</v>
      </c>
      <c r="T248" s="61" t="str">
        <f>IF($J248=T$3,IF(T$3&gt;$I248,"-",ROUNDUP(Ld_cal($B248, $C248, $D248, $G248,$E248, $F248, $H248, T$3)*1.3*1.3,0)),"-")</f>
        <v>-</v>
      </c>
      <c r="U248" s="61" t="str">
        <f>IF($J248=U$3,IF(U$3&gt;$I248,"-",ROUNDUP(Ld_cal($B248, $C248, $D248, $G248,$E248, $F248, $H248, U$3)*1.3*1.3,0)),"-")</f>
        <v>-</v>
      </c>
      <c r="V248" s="61" t="str">
        <f>IF($J248=V$3,IF(V$3&gt;$I248,"-",ROUNDUP(Ld_cal($B248, $C248, $D248, $G248,$E248, $F248, $H248, V$3)*1.3*1.3,0)),"-")</f>
        <v>-</v>
      </c>
      <c r="W248" s="61">
        <f>IF($J248=W$3,IF(W$3&gt;$I248,"-",ROUNDUP(Ld_cal($B248, $C248, $D248, $G248,$E248, $F248, $H248, W$3)*1.3*1.3,0)),"-")</f>
        <v>250</v>
      </c>
      <c r="X248" s="61" t="str">
        <f>IF($J248=X$3,IF(X$3&gt;$I248,"-",ROUNDUP(Ld_cal($B248, $C248, $D248, $G248,$E248, $F248, $H248, X$3)*1.3*1.3,0)),"-")</f>
        <v>-</v>
      </c>
      <c r="Y248" s="61" t="str">
        <f>IF($J248=Y$3,IF(Y$3&gt;$I248,"-",ROUNDUP(Ld_cal($B248, $C248, $D248, $G248,$E248, $F248, $H248, Y$3)*1.3*1.3,0)),"-")</f>
        <v>-</v>
      </c>
      <c r="Z248" s="61" t="str">
        <f>IF($J248=Z$3,IF(Z$3&gt;$I248,"-",ROUNDUP(Ld_cal($B248, $C248, $D248, $G248,$E248, $F248, $H248, Z$3)*1.3*1.3,0)),"-")</f>
        <v>-</v>
      </c>
      <c r="AA248" s="61" t="str">
        <f>IF($J248=AA$3,IF(AA$3&gt;$I248,"-",ROUNDUP(Ld_cal($B248, $C248, $D248, $G248,$E248, $F248, $H248, AA$3)*1.3*1.3,0)),"-")</f>
        <v>-</v>
      </c>
      <c r="AB248" s="61" t="str">
        <f>IF($J248=AB$3,IF(AB$3&gt;$I248,"-",ROUNDUP(Ld_cal($B248, $C248, $D248, $G248,$E248, $F248, $H248, AB$3)*1.3*1.3,0)),"-")</f>
        <v>-</v>
      </c>
      <c r="AC248" s="61" t="str">
        <f>IF($J248=AC$3,IF(AC$3&gt;$I248,"-",ROUNDUP(Ld_cal($B248, $C248, $D248, $G248,$E248, $F248, $H248, AC$3)*1.3*1.3,0)),"-")</f>
        <v>-</v>
      </c>
      <c r="AD248" s="61">
        <f t="shared" ref="AD248" si="240">IF(J248&gt;I248,"依標準圖",MAX(L248:AC248))</f>
        <v>250</v>
      </c>
    </row>
    <row r="249" spans="1:30">
      <c r="A249" s="98"/>
      <c r="B249" s="99"/>
      <c r="C249" s="100"/>
      <c r="D249" s="101"/>
      <c r="E249" s="102"/>
      <c r="F249" s="103"/>
      <c r="G249" s="101"/>
      <c r="H249" s="102"/>
      <c r="I249" s="104"/>
      <c r="J249" s="60">
        <v>5</v>
      </c>
      <c r="K249" s="64" t="s">
        <v>29</v>
      </c>
      <c r="L249" s="61" t="str">
        <f>IF($J249=L$3,IF(L$3&gt;$I248,"-",ROUNDUP(Ld_cal($B248, $C248, $D248, $G248,$E248, $F248, $H248, L$3)*1.3,0)),"-")</f>
        <v>-</v>
      </c>
      <c r="M249" s="61" t="str">
        <f>IF($J249=M$3,IF(M$3&gt;$I248,"-",ROUNDUP(Ld_cal($B248, $C248, $D248, $G248,$E248, $F248, $H248, M$3)*1.3,0)),"-")</f>
        <v>-</v>
      </c>
      <c r="N249" s="61">
        <f>IF($J249=N$3,IF(N$3&gt;$I248,"-",ROUNDUP(Ld_cal($B248, $C248, $D248, $G248,$E248, $F248, $H248, N$3)*1.3,0)),"-")</f>
        <v>105</v>
      </c>
      <c r="O249" s="61" t="str">
        <f>IF($J249=O$3,IF(O$3&gt;$I248,"-",ROUNDUP(Ld_cal($B248, $C248, $D248, $G248,$E248, $F248, $H248, O$3)*1.3,0)),"-")</f>
        <v>-</v>
      </c>
      <c r="P249" s="61" t="str">
        <f>IF($J249=P$3,IF(P$3&gt;$I248,"-",ROUNDUP(Ld_cal($B248, $C248, $D248, $G248,$E248, $F248, $H248, P$3)*1.3,0)),"-")</f>
        <v>-</v>
      </c>
      <c r="Q249" s="61" t="str">
        <f>IF($J249=Q$3,IF(Q$3&gt;$I248,"-",ROUNDUP(Ld_cal($B248, $C248, $D248, $G248,$E248, $F248, $H248, Q$3)*1.3,0)),"-")</f>
        <v>-</v>
      </c>
      <c r="R249" s="61" t="str">
        <f>IF($J249=R$3,IF(R$3&gt;$I248,"-",ROUNDUP(Ld_cal($B248, $C248, $D248, $G248,$E248, $F248, $H248, R$3)*1.3,0)),"-")</f>
        <v>-</v>
      </c>
      <c r="S249" s="61" t="str">
        <f>IF($J249=S$3,IF(S$3&gt;$I248,"-",ROUNDUP(Ld_cal($B248, $C248, $D248, $G248,$E248, $F248, $H248, S$3)*1.3,0)),"-")</f>
        <v>-</v>
      </c>
      <c r="T249" s="61" t="str">
        <f>IF($J249=T$3,IF(T$3&gt;$I248,"-",ROUNDUP(Ld_cal($B248, $C248, $D248, $G248,$E248, $F248, $H248, T$3)*1.3,0)),"-")</f>
        <v>-</v>
      </c>
      <c r="U249" s="61" t="str">
        <f>IF($J249=U$3,IF(U$3&gt;$I248,"-",ROUNDUP(Ld_cal($B248, $C248, $D248, $G248,$E248, $F248, $H248, U$3)*1.3,0)),"-")</f>
        <v>-</v>
      </c>
      <c r="V249" s="61" t="str">
        <f>IF($J249=V$3,IF(V$3&gt;$I248,"-",ROUNDUP(Ld_cal($B248, $C248, $D248, $G248,$E248, $F248, $H248, V$3)*1.3,0)),"-")</f>
        <v>-</v>
      </c>
      <c r="W249" s="61" t="str">
        <f>IF($J249=W$3,IF(W$3&gt;$I248,"-",ROUNDUP(Ld_cal($B248, $C248, $D248, $G248,$E248, $F248, $H248, W$3)*1.3,0)),"-")</f>
        <v>-</v>
      </c>
      <c r="X249" s="61" t="str">
        <f>IF($J249=X$3,IF(X$3&gt;$I248,"-",ROUNDUP(Ld_cal($B248, $C248, $D248, $G248,$E248, $F248, $H248, X$3)*1.3,0)),"-")</f>
        <v>-</v>
      </c>
      <c r="Y249" s="61" t="str">
        <f>IF($J249=Y$3,IF(Y$3&gt;$I248,"-",ROUNDUP(Ld_cal($B248, $C248, $D248, $G248,$E248, $F248, $H248, Y$3)*1.3,0)),"-")</f>
        <v>-</v>
      </c>
      <c r="Z249" s="61" t="str">
        <f>IF($J249=Z$3,IF(Z$3&gt;$I248,"-",ROUNDUP(Ld_cal($B248, $C248, $D248, $G248,$E248, $F248, $H248, Z$3)*1.3,0)),"-")</f>
        <v>-</v>
      </c>
      <c r="AA249" s="61" t="str">
        <f>IF($J249=AA$3,IF(AA$3&gt;$I248,"-",ROUNDUP(Ld_cal($B248, $C248, $D248, $G248,$E248, $F248, $H248, AA$3)*1.3,0)),"-")</f>
        <v>-</v>
      </c>
      <c r="AB249" s="61" t="str">
        <f>IF($J249=AB$3,IF(AB$3&gt;$I248,"-",ROUNDUP(Ld_cal($B248, $C248, $D248, $G248,$E248, $F248, $H248, AB$3)*1.3,0)),"-")</f>
        <v>-</v>
      </c>
      <c r="AC249" s="61" t="str">
        <f>IF($J249=AC$3,IF(AC$3&gt;$I248,"-",ROUNDUP(Ld_cal($B248, $C248, $D248, $G248,$E248, $F248, $H248, AC$3)*1.3,0)),"-")</f>
        <v>-</v>
      </c>
      <c r="AD249" s="61">
        <f t="shared" ref="AD249" si="241">IF(J249&gt;I248,"依標準圖",MAX(L249:AC249))</f>
        <v>105</v>
      </c>
    </row>
    <row r="250" spans="1:30">
      <c r="A250" s="105" t="s">
        <v>169</v>
      </c>
      <c r="B250" s="107">
        <v>120</v>
      </c>
      <c r="C250" s="108">
        <v>7.5</v>
      </c>
      <c r="D250" s="107">
        <v>4200</v>
      </c>
      <c r="E250" s="109">
        <v>16</v>
      </c>
      <c r="F250" s="110">
        <v>20</v>
      </c>
      <c r="G250" s="107">
        <v>350</v>
      </c>
      <c r="H250" s="109">
        <v>32</v>
      </c>
      <c r="I250" s="111">
        <f>ROUNDDOWN(($B250-2*$C250-2*$E250/10-$H250/10)/(($D$1+1)*$H250/10),0)+1</f>
        <v>16</v>
      </c>
      <c r="J250" s="62">
        <v>15</v>
      </c>
      <c r="K250" s="40" t="s">
        <v>30</v>
      </c>
      <c r="L250" s="63" t="str">
        <f>IF($J250=L$3,IF(L$3&gt;$I250,"-",ROUNDUP(Ld_cal($B250, $C250, $D250, $G250,$E250, $F250, $H250, L$3)*1.3*1.3,0)),"-")</f>
        <v>-</v>
      </c>
      <c r="M250" s="63" t="str">
        <f>IF($J250=M$3,IF(M$3&gt;$I250,"-",ROUNDUP(Ld_cal($B250, $C250, $D250, $G250,$E250, $F250, $H250, M$3)*1.3*1.3,0)),"-")</f>
        <v>-</v>
      </c>
      <c r="N250" s="63" t="str">
        <f>IF($J250=N$3,IF(N$3&gt;$I250,"-",ROUNDUP(Ld_cal($B250, $C250, $D250, $G250,$E250, $F250, $H250, N$3)*1.3*1.3,0)),"-")</f>
        <v>-</v>
      </c>
      <c r="O250" s="63" t="str">
        <f>IF($J250=O$3,IF(O$3&gt;$I250,"-",ROUNDUP(Ld_cal($B250, $C250, $D250, $G250,$E250, $F250, $H250, O$3)*1.3*1.3,0)),"-")</f>
        <v>-</v>
      </c>
      <c r="P250" s="63" t="str">
        <f>IF($J250=P$3,IF(P$3&gt;$I250,"-",ROUNDUP(Ld_cal($B250, $C250, $D250, $G250,$E250, $F250, $H250, P$3)*1.3*1.3,0)),"-")</f>
        <v>-</v>
      </c>
      <c r="Q250" s="63" t="str">
        <f>IF($J250=Q$3,IF(Q$3&gt;$I250,"-",ROUNDUP(Ld_cal($B250, $C250, $D250, $G250,$E250, $F250, $H250, Q$3)*1.3*1.3,0)),"-")</f>
        <v>-</v>
      </c>
      <c r="R250" s="63" t="str">
        <f>IF($J250=R$3,IF(R$3&gt;$I250,"-",ROUNDUP(Ld_cal($B250, $C250, $D250, $G250,$E250, $F250, $H250, R$3)*1.3*1.3,0)),"-")</f>
        <v>-</v>
      </c>
      <c r="S250" s="63" t="str">
        <f>IF($J250=S$3,IF(S$3&gt;$I250,"-",ROUNDUP(Ld_cal($B250, $C250, $D250, $G250,$E250, $F250, $H250, S$3)*1.3*1.3,0)),"-")</f>
        <v>-</v>
      </c>
      <c r="T250" s="63" t="str">
        <f>IF($J250=T$3,IF(T$3&gt;$I250,"-",ROUNDUP(Ld_cal($B250, $C250, $D250, $G250,$E250, $F250, $H250, T$3)*1.3*1.3,0)),"-")</f>
        <v>-</v>
      </c>
      <c r="U250" s="63" t="str">
        <f>IF($J250=U$3,IF(U$3&gt;$I250,"-",ROUNDUP(Ld_cal($B250, $C250, $D250, $G250,$E250, $F250, $H250, U$3)*1.3*1.3,0)),"-")</f>
        <v>-</v>
      </c>
      <c r="V250" s="63" t="str">
        <f>IF($J250=V$3,IF(V$3&gt;$I250,"-",ROUNDUP(Ld_cal($B250, $C250, $D250, $G250,$E250, $F250, $H250, V$3)*1.3*1.3,0)),"-")</f>
        <v>-</v>
      </c>
      <c r="W250" s="63" t="str">
        <f>IF($J250=W$3,IF(W$3&gt;$I250,"-",ROUNDUP(Ld_cal($B250, $C250, $D250, $G250,$E250, $F250, $H250, W$3)*1.3*1.3,0)),"-")</f>
        <v>-</v>
      </c>
      <c r="X250" s="63">
        <f>IF($J250=X$3,IF(X$3&gt;$I250,"-",ROUNDUP(Ld_cal($B250, $C250, $D250, $G250,$E250, $F250, $H250, X$3)*1.3*1.3,0)),"-")</f>
        <v>269</v>
      </c>
      <c r="Y250" s="63" t="str">
        <f>IF($J250=Y$3,IF(Y$3&gt;$I250,"-",ROUNDUP(Ld_cal($B250, $C250, $D250, $G250,$E250, $F250, $H250, Y$3)*1.3*1.3,0)),"-")</f>
        <v>-</v>
      </c>
      <c r="Z250" s="63" t="str">
        <f>IF($J250=Z$3,IF(Z$3&gt;$I250,"-",ROUNDUP(Ld_cal($B250, $C250, $D250, $G250,$E250, $F250, $H250, Z$3)*1.3*1.3,0)),"-")</f>
        <v>-</v>
      </c>
      <c r="AA250" s="63" t="str">
        <f>IF($J250=AA$3,IF(AA$3&gt;$I250,"-",ROUNDUP(Ld_cal($B250, $C250, $D250, $G250,$E250, $F250, $H250, AA$3)*1.3*1.3,0)),"-")</f>
        <v>-</v>
      </c>
      <c r="AB250" s="63" t="str">
        <f>IF($J250=AB$3,IF(AB$3&gt;$I250,"-",ROUNDUP(Ld_cal($B250, $C250, $D250, $G250,$E250, $F250, $H250, AB$3)*1.3*1.3,0)),"-")</f>
        <v>-</v>
      </c>
      <c r="AC250" s="63" t="str">
        <f>IF($J250=AC$3,IF(AC$3&gt;$I250,"-",ROUNDUP(Ld_cal($B250, $C250, $D250, $G250,$E250, $F250, $H250, AC$3)*1.3*1.3,0)),"-")</f>
        <v>-</v>
      </c>
      <c r="AD250" s="63">
        <f t="shared" ref="AD250" si="242">IF(J250&gt;I250,"依標準圖",MAX(L250:AC250))</f>
        <v>269</v>
      </c>
    </row>
    <row r="251" spans="1:30">
      <c r="A251" s="106"/>
      <c r="B251" s="107"/>
      <c r="C251" s="108"/>
      <c r="D251" s="107"/>
      <c r="E251" s="109"/>
      <c r="F251" s="110"/>
      <c r="G251" s="107"/>
      <c r="H251" s="109"/>
      <c r="I251" s="111"/>
      <c r="J251" s="62">
        <v>7</v>
      </c>
      <c r="K251" s="40" t="s">
        <v>29</v>
      </c>
      <c r="L251" s="63" t="str">
        <f>IF($J251=L$3,IF(L$3&gt;$I250,"-",ROUNDUP(Ld_cal($B250, $C250, $D250, $G250,$E250, $F250, $H250, L$3)*1.3,0)),"-")</f>
        <v>-</v>
      </c>
      <c r="M251" s="63" t="str">
        <f>IF($J251=M$3,IF(M$3&gt;$I250,"-",ROUNDUP(Ld_cal($B250, $C250, $D250, $G250,$E250, $F250, $H250, M$3)*1.3,0)),"-")</f>
        <v>-</v>
      </c>
      <c r="N251" s="63" t="str">
        <f>IF($J251=N$3,IF(N$3&gt;$I250,"-",ROUNDUP(Ld_cal($B250, $C250, $D250, $G250,$E250, $F250, $H250, N$3)*1.3,0)),"-")</f>
        <v>-</v>
      </c>
      <c r="O251" s="63" t="str">
        <f>IF($J251=O$3,IF(O$3&gt;$I250,"-",ROUNDUP(Ld_cal($B250, $C250, $D250, $G250,$E250, $F250, $H250, O$3)*1.3,0)),"-")</f>
        <v>-</v>
      </c>
      <c r="P251" s="63">
        <f>IF($J251=P$3,IF(P$3&gt;$I250,"-",ROUNDUP(Ld_cal($B250, $C250, $D250, $G250,$E250, $F250, $H250, P$3)*1.3,0)),"-")</f>
        <v>105</v>
      </c>
      <c r="Q251" s="63" t="str">
        <f>IF($J251=Q$3,IF(Q$3&gt;$I250,"-",ROUNDUP(Ld_cal($B250, $C250, $D250, $G250,$E250, $F250, $H250, Q$3)*1.3,0)),"-")</f>
        <v>-</v>
      </c>
      <c r="R251" s="63" t="str">
        <f>IF($J251=R$3,IF(R$3&gt;$I250,"-",ROUNDUP(Ld_cal($B250, $C250, $D250, $G250,$E250, $F250, $H250, R$3)*1.3,0)),"-")</f>
        <v>-</v>
      </c>
      <c r="S251" s="63" t="str">
        <f>IF($J251=S$3,IF(S$3&gt;$I250,"-",ROUNDUP(Ld_cal($B250, $C250, $D250, $G250,$E250, $F250, $H250, S$3)*1.3,0)),"-")</f>
        <v>-</v>
      </c>
      <c r="T251" s="63" t="str">
        <f>IF($J251=T$3,IF(T$3&gt;$I250,"-",ROUNDUP(Ld_cal($B250, $C250, $D250, $G250,$E250, $F250, $H250, T$3)*1.3,0)),"-")</f>
        <v>-</v>
      </c>
      <c r="U251" s="63" t="str">
        <f>IF($J251=U$3,IF(U$3&gt;$I250,"-",ROUNDUP(Ld_cal($B250, $C250, $D250, $G250,$E250, $F250, $H250, U$3)*1.3,0)),"-")</f>
        <v>-</v>
      </c>
      <c r="V251" s="63" t="str">
        <f>IF($J251=V$3,IF(V$3&gt;$I250,"-",ROUNDUP(Ld_cal($B250, $C250, $D250, $G250,$E250, $F250, $H250, V$3)*1.3,0)),"-")</f>
        <v>-</v>
      </c>
      <c r="W251" s="63" t="str">
        <f>IF($J251=W$3,IF(W$3&gt;$I250,"-",ROUNDUP(Ld_cal($B250, $C250, $D250, $G250,$E250, $F250, $H250, W$3)*1.3,0)),"-")</f>
        <v>-</v>
      </c>
      <c r="X251" s="63" t="str">
        <f>IF($J251=X$3,IF(X$3&gt;$I250,"-",ROUNDUP(Ld_cal($B250, $C250, $D250, $G250,$E250, $F250, $H250, X$3)*1.3,0)),"-")</f>
        <v>-</v>
      </c>
      <c r="Y251" s="63" t="str">
        <f>IF($J251=Y$3,IF(Y$3&gt;$I250,"-",ROUNDUP(Ld_cal($B250, $C250, $D250, $G250,$E250, $F250, $H250, Y$3)*1.3,0)),"-")</f>
        <v>-</v>
      </c>
      <c r="Z251" s="63" t="str">
        <f>IF($J251=Z$3,IF(Z$3&gt;$I250,"-",ROUNDUP(Ld_cal($B250, $C250, $D250, $G250,$E250, $F250, $H250, Z$3)*1.3,0)),"-")</f>
        <v>-</v>
      </c>
      <c r="AA251" s="63" t="str">
        <f>IF($J251=AA$3,IF(AA$3&gt;$I250,"-",ROUNDUP(Ld_cal($B250, $C250, $D250, $G250,$E250, $F250, $H250, AA$3)*1.3,0)),"-")</f>
        <v>-</v>
      </c>
      <c r="AB251" s="63" t="str">
        <f>IF($J251=AB$3,IF(AB$3&gt;$I250,"-",ROUNDUP(Ld_cal($B250, $C250, $D250, $G250,$E250, $F250, $H250, AB$3)*1.3,0)),"-")</f>
        <v>-</v>
      </c>
      <c r="AC251" s="63" t="str">
        <f>IF($J251=AC$3,IF(AC$3&gt;$I250,"-",ROUNDUP(Ld_cal($B250, $C250, $D250, $G250,$E250, $F250, $H250, AC$3)*1.3,0)),"-")</f>
        <v>-</v>
      </c>
      <c r="AD251" s="63">
        <f t="shared" ref="AD251" si="243">IF(J251&gt;I250,"依標準圖",MAX(L251:AC251))</f>
        <v>105</v>
      </c>
    </row>
    <row r="252" spans="1:30">
      <c r="A252" s="97" t="s">
        <v>170</v>
      </c>
      <c r="B252" s="99">
        <v>120</v>
      </c>
      <c r="C252" s="100">
        <v>7.5</v>
      </c>
      <c r="D252" s="101">
        <v>4200</v>
      </c>
      <c r="E252" s="102">
        <v>16</v>
      </c>
      <c r="F252" s="103">
        <v>9</v>
      </c>
      <c r="G252" s="101">
        <v>350</v>
      </c>
      <c r="H252" s="102">
        <v>32</v>
      </c>
      <c r="I252" s="104">
        <f>ROUNDDOWN(($B252-2*$C252-2*$E252/10-$H252/10)/(($D$1+1)*$H252/10),0)+1</f>
        <v>16</v>
      </c>
      <c r="J252" s="60">
        <v>8</v>
      </c>
      <c r="K252" s="64" t="s">
        <v>30</v>
      </c>
      <c r="L252" s="61" t="str">
        <f>IF($J252=L$3,IF(L$3&gt;$I252,"-",ROUNDUP(Ld_cal($B252, $C252, $D252, $G252,$E252, $F252, $H252, L$3)*1.3*1.3,0)),"-")</f>
        <v>-</v>
      </c>
      <c r="M252" s="61" t="str">
        <f>IF($J252=M$3,IF(M$3&gt;$I252,"-",ROUNDUP(Ld_cal($B252, $C252, $D252, $G252,$E252, $F252, $H252, M$3)*1.3*1.3,0)),"-")</f>
        <v>-</v>
      </c>
      <c r="N252" s="61" t="str">
        <f>IF($J252=N$3,IF(N$3&gt;$I252,"-",ROUNDUP(Ld_cal($B252, $C252, $D252, $G252,$E252, $F252, $H252, N$3)*1.3*1.3,0)),"-")</f>
        <v>-</v>
      </c>
      <c r="O252" s="61" t="str">
        <f>IF($J252=O$3,IF(O$3&gt;$I252,"-",ROUNDUP(Ld_cal($B252, $C252, $D252, $G252,$E252, $F252, $H252, O$3)*1.3*1.3,0)),"-")</f>
        <v>-</v>
      </c>
      <c r="P252" s="61" t="str">
        <f>IF($J252=P$3,IF(P$3&gt;$I252,"-",ROUNDUP(Ld_cal($B252, $C252, $D252, $G252,$E252, $F252, $H252, P$3)*1.3*1.3,0)),"-")</f>
        <v>-</v>
      </c>
      <c r="Q252" s="61">
        <f>IF($J252=Q$3,IF(Q$3&gt;$I252,"-",ROUNDUP(Ld_cal($B252, $C252, $D252, $G252,$E252, $F252, $H252, Q$3)*1.3*1.3,0)),"-")</f>
        <v>136</v>
      </c>
      <c r="R252" s="61" t="str">
        <f>IF($J252=R$3,IF(R$3&gt;$I252,"-",ROUNDUP(Ld_cal($B252, $C252, $D252, $G252,$E252, $F252, $H252, R$3)*1.3*1.3,0)),"-")</f>
        <v>-</v>
      </c>
      <c r="S252" s="61" t="str">
        <f>IF($J252=S$3,IF(S$3&gt;$I252,"-",ROUNDUP(Ld_cal($B252, $C252, $D252, $G252,$E252, $F252, $H252, S$3)*1.3*1.3,0)),"-")</f>
        <v>-</v>
      </c>
      <c r="T252" s="61" t="str">
        <f>IF($J252=T$3,IF(T$3&gt;$I252,"-",ROUNDUP(Ld_cal($B252, $C252, $D252, $G252,$E252, $F252, $H252, T$3)*1.3*1.3,0)),"-")</f>
        <v>-</v>
      </c>
      <c r="U252" s="61" t="str">
        <f>IF($J252=U$3,IF(U$3&gt;$I252,"-",ROUNDUP(Ld_cal($B252, $C252, $D252, $G252,$E252, $F252, $H252, U$3)*1.3*1.3,0)),"-")</f>
        <v>-</v>
      </c>
      <c r="V252" s="61" t="str">
        <f>IF($J252=V$3,IF(V$3&gt;$I252,"-",ROUNDUP(Ld_cal($B252, $C252, $D252, $G252,$E252, $F252, $H252, V$3)*1.3*1.3,0)),"-")</f>
        <v>-</v>
      </c>
      <c r="W252" s="61" t="str">
        <f>IF($J252=W$3,IF(W$3&gt;$I252,"-",ROUNDUP(Ld_cal($B252, $C252, $D252, $G252,$E252, $F252, $H252, W$3)*1.3*1.3,0)),"-")</f>
        <v>-</v>
      </c>
      <c r="X252" s="61" t="str">
        <f>IF($J252=X$3,IF(X$3&gt;$I252,"-",ROUNDUP(Ld_cal($B252, $C252, $D252, $G252,$E252, $F252, $H252, X$3)*1.3*1.3,0)),"-")</f>
        <v>-</v>
      </c>
      <c r="Y252" s="61" t="str">
        <f>IF($J252=Y$3,IF(Y$3&gt;$I252,"-",ROUNDUP(Ld_cal($B252, $C252, $D252, $G252,$E252, $F252, $H252, Y$3)*1.3*1.3,0)),"-")</f>
        <v>-</v>
      </c>
      <c r="Z252" s="61" t="str">
        <f>IF($J252=Z$3,IF(Z$3&gt;$I252,"-",ROUNDUP(Ld_cal($B252, $C252, $D252, $G252,$E252, $F252, $H252, Z$3)*1.3*1.3,0)),"-")</f>
        <v>-</v>
      </c>
      <c r="AA252" s="61" t="str">
        <f>IF($J252=AA$3,IF(AA$3&gt;$I252,"-",ROUNDUP(Ld_cal($B252, $C252, $D252, $G252,$E252, $F252, $H252, AA$3)*1.3*1.3,0)),"-")</f>
        <v>-</v>
      </c>
      <c r="AB252" s="61" t="str">
        <f>IF($J252=AB$3,IF(AB$3&gt;$I252,"-",ROUNDUP(Ld_cal($B252, $C252, $D252, $G252,$E252, $F252, $H252, AB$3)*1.3*1.3,0)),"-")</f>
        <v>-</v>
      </c>
      <c r="AC252" s="61" t="str">
        <f>IF($J252=AC$3,IF(AC$3&gt;$I252,"-",ROUNDUP(Ld_cal($B252, $C252, $D252, $G252,$E252, $F252, $H252, AC$3)*1.3*1.3,0)),"-")</f>
        <v>-</v>
      </c>
      <c r="AD252" s="61">
        <f t="shared" ref="AD252" si="244">IF(J252&gt;I252,"依標準圖",MAX(L252:AC252))</f>
        <v>136</v>
      </c>
    </row>
    <row r="253" spans="1:30">
      <c r="A253" s="98"/>
      <c r="B253" s="99"/>
      <c r="C253" s="100"/>
      <c r="D253" s="101"/>
      <c r="E253" s="102"/>
      <c r="F253" s="103"/>
      <c r="G253" s="101"/>
      <c r="H253" s="102"/>
      <c r="I253" s="104"/>
      <c r="J253" s="60">
        <v>14</v>
      </c>
      <c r="K253" s="64" t="s">
        <v>29</v>
      </c>
      <c r="L253" s="61" t="str">
        <f>IF($J253=L$3,IF(L$3&gt;$I252,"-",ROUNDUP(Ld_cal($B252, $C252, $D252, $G252,$E252, $F252, $H252, L$3)*1.3,0)),"-")</f>
        <v>-</v>
      </c>
      <c r="M253" s="61" t="str">
        <f>IF($J253=M$3,IF(M$3&gt;$I252,"-",ROUNDUP(Ld_cal($B252, $C252, $D252, $G252,$E252, $F252, $H252, M$3)*1.3,0)),"-")</f>
        <v>-</v>
      </c>
      <c r="N253" s="61" t="str">
        <f>IF($J253=N$3,IF(N$3&gt;$I252,"-",ROUNDUP(Ld_cal($B252, $C252, $D252, $G252,$E252, $F252, $H252, N$3)*1.3,0)),"-")</f>
        <v>-</v>
      </c>
      <c r="O253" s="61" t="str">
        <f>IF($J253=O$3,IF(O$3&gt;$I252,"-",ROUNDUP(Ld_cal($B252, $C252, $D252, $G252,$E252, $F252, $H252, O$3)*1.3,0)),"-")</f>
        <v>-</v>
      </c>
      <c r="P253" s="61" t="str">
        <f>IF($J253=P$3,IF(P$3&gt;$I252,"-",ROUNDUP(Ld_cal($B252, $C252, $D252, $G252,$E252, $F252, $H252, P$3)*1.3,0)),"-")</f>
        <v>-</v>
      </c>
      <c r="Q253" s="61" t="str">
        <f>IF($J253=Q$3,IF(Q$3&gt;$I252,"-",ROUNDUP(Ld_cal($B252, $C252, $D252, $G252,$E252, $F252, $H252, Q$3)*1.3,0)),"-")</f>
        <v>-</v>
      </c>
      <c r="R253" s="61" t="str">
        <f>IF($J253=R$3,IF(R$3&gt;$I252,"-",ROUNDUP(Ld_cal($B252, $C252, $D252, $G252,$E252, $F252, $H252, R$3)*1.3,0)),"-")</f>
        <v>-</v>
      </c>
      <c r="S253" s="61" t="str">
        <f>IF($J253=S$3,IF(S$3&gt;$I252,"-",ROUNDUP(Ld_cal($B252, $C252, $D252, $G252,$E252, $F252, $H252, S$3)*1.3,0)),"-")</f>
        <v>-</v>
      </c>
      <c r="T253" s="61" t="str">
        <f>IF($J253=T$3,IF(T$3&gt;$I252,"-",ROUNDUP(Ld_cal($B252, $C252, $D252, $G252,$E252, $F252, $H252, T$3)*1.3,0)),"-")</f>
        <v>-</v>
      </c>
      <c r="U253" s="61" t="str">
        <f>IF($J253=U$3,IF(U$3&gt;$I252,"-",ROUNDUP(Ld_cal($B252, $C252, $D252, $G252,$E252, $F252, $H252, U$3)*1.3,0)),"-")</f>
        <v>-</v>
      </c>
      <c r="V253" s="61" t="str">
        <f>IF($J253=V$3,IF(V$3&gt;$I252,"-",ROUNDUP(Ld_cal($B252, $C252, $D252, $G252,$E252, $F252, $H252, V$3)*1.3,0)),"-")</f>
        <v>-</v>
      </c>
      <c r="W253" s="61">
        <f>IF($J253=W$3,IF(W$3&gt;$I252,"-",ROUNDUP(Ld_cal($B252, $C252, $D252, $G252,$E252, $F252, $H252, W$3)*1.3,0)),"-")</f>
        <v>166</v>
      </c>
      <c r="X253" s="61" t="str">
        <f>IF($J253=X$3,IF(X$3&gt;$I252,"-",ROUNDUP(Ld_cal($B252, $C252, $D252, $G252,$E252, $F252, $H252, X$3)*1.3,0)),"-")</f>
        <v>-</v>
      </c>
      <c r="Y253" s="61" t="str">
        <f>IF($J253=Y$3,IF(Y$3&gt;$I252,"-",ROUNDUP(Ld_cal($B252, $C252, $D252, $G252,$E252, $F252, $H252, Y$3)*1.3,0)),"-")</f>
        <v>-</v>
      </c>
      <c r="Z253" s="61" t="str">
        <f>IF($J253=Z$3,IF(Z$3&gt;$I252,"-",ROUNDUP(Ld_cal($B252, $C252, $D252, $G252,$E252, $F252, $H252, Z$3)*1.3,0)),"-")</f>
        <v>-</v>
      </c>
      <c r="AA253" s="61" t="str">
        <f>IF($J253=AA$3,IF(AA$3&gt;$I252,"-",ROUNDUP(Ld_cal($B252, $C252, $D252, $G252,$E252, $F252, $H252, AA$3)*1.3,0)),"-")</f>
        <v>-</v>
      </c>
      <c r="AB253" s="61" t="str">
        <f>IF($J253=AB$3,IF(AB$3&gt;$I252,"-",ROUNDUP(Ld_cal($B252, $C252, $D252, $G252,$E252, $F252, $H252, AB$3)*1.3,0)),"-")</f>
        <v>-</v>
      </c>
      <c r="AC253" s="61" t="str">
        <f>IF($J253=AC$3,IF(AC$3&gt;$I252,"-",ROUNDUP(Ld_cal($B252, $C252, $D252, $G252,$E252, $F252, $H252, AC$3)*1.3,0)),"-")</f>
        <v>-</v>
      </c>
      <c r="AD253" s="61">
        <f t="shared" ref="AD253" si="245">IF(J253&gt;I252,"依標準圖",MAX(L253:AC253))</f>
        <v>166</v>
      </c>
    </row>
    <row r="254" spans="1:30">
      <c r="A254" s="105" t="s">
        <v>171</v>
      </c>
      <c r="B254" s="107">
        <v>150</v>
      </c>
      <c r="C254" s="108">
        <v>7.5</v>
      </c>
      <c r="D254" s="107">
        <v>4200</v>
      </c>
      <c r="E254" s="109">
        <v>16</v>
      </c>
      <c r="F254" s="110">
        <v>7</v>
      </c>
      <c r="G254" s="107">
        <v>350</v>
      </c>
      <c r="H254" s="109">
        <v>32</v>
      </c>
      <c r="I254" s="111">
        <f>ROUNDDOWN(($B254-2*$C254-2*$E254/10-$H254/10)/(($D$1+1)*$H254/10),0)+1</f>
        <v>21</v>
      </c>
      <c r="J254" s="62">
        <v>11</v>
      </c>
      <c r="K254" s="40" t="s">
        <v>30</v>
      </c>
      <c r="L254" s="63" t="str">
        <f>IF($J254=L$3,IF(L$3&gt;$I254,"-",ROUNDUP(Ld_cal($B254, $C254, $D254, $G254,$E254, $F254, $H254, L$3)*1.3*1.3,0)),"-")</f>
        <v>-</v>
      </c>
      <c r="M254" s="63" t="str">
        <f>IF($J254=M$3,IF(M$3&gt;$I254,"-",ROUNDUP(Ld_cal($B254, $C254, $D254, $G254,$E254, $F254, $H254, M$3)*1.3*1.3,0)),"-")</f>
        <v>-</v>
      </c>
      <c r="N254" s="63" t="str">
        <f>IF($J254=N$3,IF(N$3&gt;$I254,"-",ROUNDUP(Ld_cal($B254, $C254, $D254, $G254,$E254, $F254, $H254, N$3)*1.3*1.3,0)),"-")</f>
        <v>-</v>
      </c>
      <c r="O254" s="63" t="str">
        <f>IF($J254=O$3,IF(O$3&gt;$I254,"-",ROUNDUP(Ld_cal($B254, $C254, $D254, $G254,$E254, $F254, $H254, O$3)*1.3*1.3,0)),"-")</f>
        <v>-</v>
      </c>
      <c r="P254" s="63" t="str">
        <f>IF($J254=P$3,IF(P$3&gt;$I254,"-",ROUNDUP(Ld_cal($B254, $C254, $D254, $G254,$E254, $F254, $H254, P$3)*1.3*1.3,0)),"-")</f>
        <v>-</v>
      </c>
      <c r="Q254" s="63" t="str">
        <f>IF($J254=Q$3,IF(Q$3&gt;$I254,"-",ROUNDUP(Ld_cal($B254, $C254, $D254, $G254,$E254, $F254, $H254, Q$3)*1.3*1.3,0)),"-")</f>
        <v>-</v>
      </c>
      <c r="R254" s="63" t="str">
        <f>IF($J254=R$3,IF(R$3&gt;$I254,"-",ROUNDUP(Ld_cal($B254, $C254, $D254, $G254,$E254, $F254, $H254, R$3)*1.3*1.3,0)),"-")</f>
        <v>-</v>
      </c>
      <c r="S254" s="63" t="str">
        <f>IF($J254=S$3,IF(S$3&gt;$I254,"-",ROUNDUP(Ld_cal($B254, $C254, $D254, $G254,$E254, $F254, $H254, S$3)*1.3*1.3,0)),"-")</f>
        <v>-</v>
      </c>
      <c r="T254" s="63">
        <f>IF($J254=T$3,IF(T$3&gt;$I254,"-",ROUNDUP(Ld_cal($B254, $C254, $D254, $G254,$E254, $F254, $H254, T$3)*1.3*1.3,0)),"-")</f>
        <v>136</v>
      </c>
      <c r="U254" s="63" t="str">
        <f>IF($J254=U$3,IF(U$3&gt;$I254,"-",ROUNDUP(Ld_cal($B254, $C254, $D254, $G254,$E254, $F254, $H254, U$3)*1.3*1.3,0)),"-")</f>
        <v>-</v>
      </c>
      <c r="V254" s="63" t="str">
        <f>IF($J254=V$3,IF(V$3&gt;$I254,"-",ROUNDUP(Ld_cal($B254, $C254, $D254, $G254,$E254, $F254, $H254, V$3)*1.3*1.3,0)),"-")</f>
        <v>-</v>
      </c>
      <c r="W254" s="63" t="str">
        <f>IF($J254=W$3,IF(W$3&gt;$I254,"-",ROUNDUP(Ld_cal($B254, $C254, $D254, $G254,$E254, $F254, $H254, W$3)*1.3*1.3,0)),"-")</f>
        <v>-</v>
      </c>
      <c r="X254" s="63" t="str">
        <f>IF($J254=X$3,IF(X$3&gt;$I254,"-",ROUNDUP(Ld_cal($B254, $C254, $D254, $G254,$E254, $F254, $H254, X$3)*1.3*1.3,0)),"-")</f>
        <v>-</v>
      </c>
      <c r="Y254" s="63" t="str">
        <f>IF($J254=Y$3,IF(Y$3&gt;$I254,"-",ROUNDUP(Ld_cal($B254, $C254, $D254, $G254,$E254, $F254, $H254, Y$3)*1.3*1.3,0)),"-")</f>
        <v>-</v>
      </c>
      <c r="Z254" s="63" t="str">
        <f>IF($J254=Z$3,IF(Z$3&gt;$I254,"-",ROUNDUP(Ld_cal($B254, $C254, $D254, $G254,$E254, $F254, $H254, Z$3)*1.3*1.3,0)),"-")</f>
        <v>-</v>
      </c>
      <c r="AA254" s="63" t="str">
        <f>IF($J254=AA$3,IF(AA$3&gt;$I254,"-",ROUNDUP(Ld_cal($B254, $C254, $D254, $G254,$E254, $F254, $H254, AA$3)*1.3*1.3,0)),"-")</f>
        <v>-</v>
      </c>
      <c r="AB254" s="63" t="str">
        <f>IF($J254=AB$3,IF(AB$3&gt;$I254,"-",ROUNDUP(Ld_cal($B254, $C254, $D254, $G254,$E254, $F254, $H254, AB$3)*1.3*1.3,0)),"-")</f>
        <v>-</v>
      </c>
      <c r="AC254" s="63" t="str">
        <f>IF($J254=AC$3,IF(AC$3&gt;$I254,"-",ROUNDUP(Ld_cal($B254, $C254, $D254, $G254,$E254, $F254, $H254, AC$3)*1.3*1.3,0)),"-")</f>
        <v>-</v>
      </c>
      <c r="AD254" s="63">
        <f t="shared" ref="AD254" si="246">IF(J254&gt;I254,"依標準圖",MAX(L254:AC254))</f>
        <v>136</v>
      </c>
    </row>
    <row r="255" spans="1:30">
      <c r="A255" s="106"/>
      <c r="B255" s="107"/>
      <c r="C255" s="108"/>
      <c r="D255" s="107"/>
      <c r="E255" s="109"/>
      <c r="F255" s="110"/>
      <c r="G255" s="107"/>
      <c r="H255" s="109"/>
      <c r="I255" s="111"/>
      <c r="J255" s="62">
        <v>17</v>
      </c>
      <c r="K255" s="40" t="s">
        <v>29</v>
      </c>
      <c r="L255" s="63" t="str">
        <f>IF($J255=L$3,IF(L$3&gt;$I254,"-",ROUNDUP(Ld_cal($B254, $C254, $D254, $G254,$E254, $F254, $H254, L$3)*1.3,0)),"-")</f>
        <v>-</v>
      </c>
      <c r="M255" s="63" t="str">
        <f>IF($J255=M$3,IF(M$3&gt;$I254,"-",ROUNDUP(Ld_cal($B254, $C254, $D254, $G254,$E254, $F254, $H254, M$3)*1.3,0)),"-")</f>
        <v>-</v>
      </c>
      <c r="N255" s="63" t="str">
        <f>IF($J255=N$3,IF(N$3&gt;$I254,"-",ROUNDUP(Ld_cal($B254, $C254, $D254, $G254,$E254, $F254, $H254, N$3)*1.3,0)),"-")</f>
        <v>-</v>
      </c>
      <c r="O255" s="63" t="str">
        <f>IF($J255=O$3,IF(O$3&gt;$I254,"-",ROUNDUP(Ld_cal($B254, $C254, $D254, $G254,$E254, $F254, $H254, O$3)*1.3,0)),"-")</f>
        <v>-</v>
      </c>
      <c r="P255" s="63" t="str">
        <f>IF($J255=P$3,IF(P$3&gt;$I254,"-",ROUNDUP(Ld_cal($B254, $C254, $D254, $G254,$E254, $F254, $H254, P$3)*1.3,0)),"-")</f>
        <v>-</v>
      </c>
      <c r="Q255" s="63" t="str">
        <f>IF($J255=Q$3,IF(Q$3&gt;$I254,"-",ROUNDUP(Ld_cal($B254, $C254, $D254, $G254,$E254, $F254, $H254, Q$3)*1.3,0)),"-")</f>
        <v>-</v>
      </c>
      <c r="R255" s="63" t="str">
        <f>IF($J255=R$3,IF(R$3&gt;$I254,"-",ROUNDUP(Ld_cal($B254, $C254, $D254, $G254,$E254, $F254, $H254, R$3)*1.3,0)),"-")</f>
        <v>-</v>
      </c>
      <c r="S255" s="63" t="str">
        <f>IF($J255=S$3,IF(S$3&gt;$I254,"-",ROUNDUP(Ld_cal($B254, $C254, $D254, $G254,$E254, $F254, $H254, S$3)*1.3,0)),"-")</f>
        <v>-</v>
      </c>
      <c r="T255" s="63" t="str">
        <f>IF($J255=T$3,IF(T$3&gt;$I254,"-",ROUNDUP(Ld_cal($B254, $C254, $D254, $G254,$E254, $F254, $H254, T$3)*1.3,0)),"-")</f>
        <v>-</v>
      </c>
      <c r="U255" s="63" t="str">
        <f>IF($J255=U$3,IF(U$3&gt;$I254,"-",ROUNDUP(Ld_cal($B254, $C254, $D254, $G254,$E254, $F254, $H254, U$3)*1.3,0)),"-")</f>
        <v>-</v>
      </c>
      <c r="V255" s="63" t="str">
        <f>IF($J255=V$3,IF(V$3&gt;$I254,"-",ROUNDUP(Ld_cal($B254, $C254, $D254, $G254,$E254, $F254, $H254, V$3)*1.3,0)),"-")</f>
        <v>-</v>
      </c>
      <c r="W255" s="63" t="str">
        <f>IF($J255=W$3,IF(W$3&gt;$I254,"-",ROUNDUP(Ld_cal($B254, $C254, $D254, $G254,$E254, $F254, $H254, W$3)*1.3,0)),"-")</f>
        <v>-</v>
      </c>
      <c r="X255" s="63" t="str">
        <f>IF($J255=X$3,IF(X$3&gt;$I254,"-",ROUNDUP(Ld_cal($B254, $C254, $D254, $G254,$E254, $F254, $H254, X$3)*1.3,0)),"-")</f>
        <v>-</v>
      </c>
      <c r="Y255" s="63" t="str">
        <f>IF($J255=Y$3,IF(Y$3&gt;$I254,"-",ROUNDUP(Ld_cal($B254, $C254, $D254, $G254,$E254, $F254, $H254, Y$3)*1.3,0)),"-")</f>
        <v>-</v>
      </c>
      <c r="Z255" s="63">
        <f>IF($J255=Z$3,IF(Z$3&gt;$I254,"-",ROUNDUP(Ld_cal($B254, $C254, $D254, $G254,$E254, $F254, $H254, Z$3)*1.3,0)),"-")</f>
        <v>156</v>
      </c>
      <c r="AA255" s="63" t="str">
        <f>IF($J255=AA$3,IF(AA$3&gt;$I254,"-",ROUNDUP(Ld_cal($B254, $C254, $D254, $G254,$E254, $F254, $H254, AA$3)*1.3,0)),"-")</f>
        <v>-</v>
      </c>
      <c r="AB255" s="63" t="str">
        <f>IF($J255=AB$3,IF(AB$3&gt;$I254,"-",ROUNDUP(Ld_cal($B254, $C254, $D254, $G254,$E254, $F254, $H254, AB$3)*1.3,0)),"-")</f>
        <v>-</v>
      </c>
      <c r="AC255" s="63" t="str">
        <f>IF($J255=AC$3,IF(AC$3&gt;$I254,"-",ROUNDUP(Ld_cal($B254, $C254, $D254, $G254,$E254, $F254, $H254, AC$3)*1.3,0)),"-")</f>
        <v>-</v>
      </c>
      <c r="AD255" s="63">
        <f t="shared" ref="AD255" si="247">IF(J255&gt;I254,"依標準圖",MAX(L255:AC255))</f>
        <v>156</v>
      </c>
    </row>
    <row r="256" spans="1:30">
      <c r="A256" s="97" t="s">
        <v>172</v>
      </c>
      <c r="B256" s="99">
        <v>150</v>
      </c>
      <c r="C256" s="100">
        <v>7.5</v>
      </c>
      <c r="D256" s="101">
        <v>4200</v>
      </c>
      <c r="E256" s="102">
        <v>16</v>
      </c>
      <c r="F256" s="103">
        <v>7</v>
      </c>
      <c r="G256" s="101">
        <v>350</v>
      </c>
      <c r="H256" s="102">
        <v>32</v>
      </c>
      <c r="I256" s="104">
        <f>ROUNDDOWN(($B256-2*$C256-2*$E256/10-$H256/10)/(($D$1+1)*$H256/10),0)+1</f>
        <v>21</v>
      </c>
      <c r="J256" s="60">
        <v>19</v>
      </c>
      <c r="K256" s="64" t="s">
        <v>30</v>
      </c>
      <c r="L256" s="61" t="str">
        <f>IF($J256=L$3,IF(L$3&gt;$I256,"-",ROUNDUP(Ld_cal($B256, $C256, $D256, $G256,$E256, $F256, $H256, L$3)*1.3*1.3,0)),"-")</f>
        <v>-</v>
      </c>
      <c r="M256" s="61" t="str">
        <f>IF($J256=M$3,IF(M$3&gt;$I256,"-",ROUNDUP(Ld_cal($B256, $C256, $D256, $G256,$E256, $F256, $H256, M$3)*1.3*1.3,0)),"-")</f>
        <v>-</v>
      </c>
      <c r="N256" s="61" t="str">
        <f>IF($J256=N$3,IF(N$3&gt;$I256,"-",ROUNDUP(Ld_cal($B256, $C256, $D256, $G256,$E256, $F256, $H256, N$3)*1.3*1.3,0)),"-")</f>
        <v>-</v>
      </c>
      <c r="O256" s="61" t="str">
        <f>IF($J256=O$3,IF(O$3&gt;$I256,"-",ROUNDUP(Ld_cal($B256, $C256, $D256, $G256,$E256, $F256, $H256, O$3)*1.3*1.3,0)),"-")</f>
        <v>-</v>
      </c>
      <c r="P256" s="61" t="str">
        <f>IF($J256=P$3,IF(P$3&gt;$I256,"-",ROUNDUP(Ld_cal($B256, $C256, $D256, $G256,$E256, $F256, $H256, P$3)*1.3*1.3,0)),"-")</f>
        <v>-</v>
      </c>
      <c r="Q256" s="61" t="str">
        <f>IF($J256=Q$3,IF(Q$3&gt;$I256,"-",ROUNDUP(Ld_cal($B256, $C256, $D256, $G256,$E256, $F256, $H256, Q$3)*1.3*1.3,0)),"-")</f>
        <v>-</v>
      </c>
      <c r="R256" s="61" t="str">
        <f>IF($J256=R$3,IF(R$3&gt;$I256,"-",ROUNDUP(Ld_cal($B256, $C256, $D256, $G256,$E256, $F256, $H256, R$3)*1.3*1.3,0)),"-")</f>
        <v>-</v>
      </c>
      <c r="S256" s="61" t="str">
        <f>IF($J256=S$3,IF(S$3&gt;$I256,"-",ROUNDUP(Ld_cal($B256, $C256, $D256, $G256,$E256, $F256, $H256, S$3)*1.3*1.3,0)),"-")</f>
        <v>-</v>
      </c>
      <c r="T256" s="61" t="str">
        <f>IF($J256=T$3,IF(T$3&gt;$I256,"-",ROUNDUP(Ld_cal($B256, $C256, $D256, $G256,$E256, $F256, $H256, T$3)*1.3*1.3,0)),"-")</f>
        <v>-</v>
      </c>
      <c r="U256" s="61" t="str">
        <f>IF($J256=U$3,IF(U$3&gt;$I256,"-",ROUNDUP(Ld_cal($B256, $C256, $D256, $G256,$E256, $F256, $H256, U$3)*1.3*1.3,0)),"-")</f>
        <v>-</v>
      </c>
      <c r="V256" s="61" t="str">
        <f>IF($J256=V$3,IF(V$3&gt;$I256,"-",ROUNDUP(Ld_cal($B256, $C256, $D256, $G256,$E256, $F256, $H256, V$3)*1.3*1.3,0)),"-")</f>
        <v>-</v>
      </c>
      <c r="W256" s="61" t="str">
        <f>IF($J256=W$3,IF(W$3&gt;$I256,"-",ROUNDUP(Ld_cal($B256, $C256, $D256, $G256,$E256, $F256, $H256, W$3)*1.3*1.3,0)),"-")</f>
        <v>-</v>
      </c>
      <c r="X256" s="61" t="str">
        <f>IF($J256=X$3,IF(X$3&gt;$I256,"-",ROUNDUP(Ld_cal($B256, $C256, $D256, $G256,$E256, $F256, $H256, X$3)*1.3*1.3,0)),"-")</f>
        <v>-</v>
      </c>
      <c r="Y256" s="61" t="str">
        <f>IF($J256=Y$3,IF(Y$3&gt;$I256,"-",ROUNDUP(Ld_cal($B256, $C256, $D256, $G256,$E256, $F256, $H256, Y$3)*1.3*1.3,0)),"-")</f>
        <v>-</v>
      </c>
      <c r="Z256" s="61" t="str">
        <f>IF($J256=Z$3,IF(Z$3&gt;$I256,"-",ROUNDUP(Ld_cal($B256, $C256, $D256, $G256,$E256, $F256, $H256, Z$3)*1.3*1.3,0)),"-")</f>
        <v>-</v>
      </c>
      <c r="AA256" s="61" t="str">
        <f>IF($J256=AA$3,IF(AA$3&gt;$I256,"-",ROUNDUP(Ld_cal($B256, $C256, $D256, $G256,$E256, $F256, $H256, AA$3)*1.3*1.3,0)),"-")</f>
        <v>-</v>
      </c>
      <c r="AB256" s="61">
        <f>IF($J256=AB$3,IF(AB$3&gt;$I256,"-",ROUNDUP(Ld_cal($B256, $C256, $D256, $G256,$E256, $F256, $H256, AB$3)*1.3*1.3,0)),"-")</f>
        <v>228</v>
      </c>
      <c r="AC256" s="61" t="str">
        <f>IF($J256=AC$3,IF(AC$3&gt;$I256,"-",ROUNDUP(Ld_cal($B256, $C256, $D256, $G256,$E256, $F256, $H256, AC$3)*1.3*1.3,0)),"-")</f>
        <v>-</v>
      </c>
      <c r="AD256" s="61">
        <f t="shared" ref="AD256" si="248">IF(J256&gt;I256,"依標準圖",MAX(L256:AC256))</f>
        <v>228</v>
      </c>
    </row>
    <row r="257" spans="1:30">
      <c r="A257" s="98"/>
      <c r="B257" s="99"/>
      <c r="C257" s="100"/>
      <c r="D257" s="101"/>
      <c r="E257" s="102"/>
      <c r="F257" s="103"/>
      <c r="G257" s="101"/>
      <c r="H257" s="102"/>
      <c r="I257" s="104"/>
      <c r="J257" s="60">
        <v>17</v>
      </c>
      <c r="K257" s="64" t="s">
        <v>29</v>
      </c>
      <c r="L257" s="61" t="str">
        <f>IF($J257=L$3,IF(L$3&gt;$I256,"-",ROUNDUP(Ld_cal($B256, $C256, $D256, $G256,$E256, $F256, $H256, L$3)*1.3,0)),"-")</f>
        <v>-</v>
      </c>
      <c r="M257" s="61" t="str">
        <f>IF($J257=M$3,IF(M$3&gt;$I256,"-",ROUNDUP(Ld_cal($B256, $C256, $D256, $G256,$E256, $F256, $H256, M$3)*1.3,0)),"-")</f>
        <v>-</v>
      </c>
      <c r="N257" s="61" t="str">
        <f>IF($J257=N$3,IF(N$3&gt;$I256,"-",ROUNDUP(Ld_cal($B256, $C256, $D256, $G256,$E256, $F256, $H256, N$3)*1.3,0)),"-")</f>
        <v>-</v>
      </c>
      <c r="O257" s="61" t="str">
        <f>IF($J257=O$3,IF(O$3&gt;$I256,"-",ROUNDUP(Ld_cal($B256, $C256, $D256, $G256,$E256, $F256, $H256, O$3)*1.3,0)),"-")</f>
        <v>-</v>
      </c>
      <c r="P257" s="61" t="str">
        <f>IF($J257=P$3,IF(P$3&gt;$I256,"-",ROUNDUP(Ld_cal($B256, $C256, $D256, $G256,$E256, $F256, $H256, P$3)*1.3,0)),"-")</f>
        <v>-</v>
      </c>
      <c r="Q257" s="61" t="str">
        <f>IF($J257=Q$3,IF(Q$3&gt;$I256,"-",ROUNDUP(Ld_cal($B256, $C256, $D256, $G256,$E256, $F256, $H256, Q$3)*1.3,0)),"-")</f>
        <v>-</v>
      </c>
      <c r="R257" s="61" t="str">
        <f>IF($J257=R$3,IF(R$3&gt;$I256,"-",ROUNDUP(Ld_cal($B256, $C256, $D256, $G256,$E256, $F256, $H256, R$3)*1.3,0)),"-")</f>
        <v>-</v>
      </c>
      <c r="S257" s="61" t="str">
        <f>IF($J257=S$3,IF(S$3&gt;$I256,"-",ROUNDUP(Ld_cal($B256, $C256, $D256, $G256,$E256, $F256, $H256, S$3)*1.3,0)),"-")</f>
        <v>-</v>
      </c>
      <c r="T257" s="61" t="str">
        <f>IF($J257=T$3,IF(T$3&gt;$I256,"-",ROUNDUP(Ld_cal($B256, $C256, $D256, $G256,$E256, $F256, $H256, T$3)*1.3,0)),"-")</f>
        <v>-</v>
      </c>
      <c r="U257" s="61" t="str">
        <f>IF($J257=U$3,IF(U$3&gt;$I256,"-",ROUNDUP(Ld_cal($B256, $C256, $D256, $G256,$E256, $F256, $H256, U$3)*1.3,0)),"-")</f>
        <v>-</v>
      </c>
      <c r="V257" s="61" t="str">
        <f>IF($J257=V$3,IF(V$3&gt;$I256,"-",ROUNDUP(Ld_cal($B256, $C256, $D256, $G256,$E256, $F256, $H256, V$3)*1.3,0)),"-")</f>
        <v>-</v>
      </c>
      <c r="W257" s="61" t="str">
        <f>IF($J257=W$3,IF(W$3&gt;$I256,"-",ROUNDUP(Ld_cal($B256, $C256, $D256, $G256,$E256, $F256, $H256, W$3)*1.3,0)),"-")</f>
        <v>-</v>
      </c>
      <c r="X257" s="61" t="str">
        <f>IF($J257=X$3,IF(X$3&gt;$I256,"-",ROUNDUP(Ld_cal($B256, $C256, $D256, $G256,$E256, $F256, $H256, X$3)*1.3,0)),"-")</f>
        <v>-</v>
      </c>
      <c r="Y257" s="61" t="str">
        <f>IF($J257=Y$3,IF(Y$3&gt;$I256,"-",ROUNDUP(Ld_cal($B256, $C256, $D256, $G256,$E256, $F256, $H256, Y$3)*1.3,0)),"-")</f>
        <v>-</v>
      </c>
      <c r="Z257" s="61">
        <f>IF($J257=Z$3,IF(Z$3&gt;$I256,"-",ROUNDUP(Ld_cal($B256, $C256, $D256, $G256,$E256, $F256, $H256, Z$3)*1.3,0)),"-")</f>
        <v>156</v>
      </c>
      <c r="AA257" s="61" t="str">
        <f>IF($J257=AA$3,IF(AA$3&gt;$I256,"-",ROUNDUP(Ld_cal($B256, $C256, $D256, $G256,$E256, $F256, $H256, AA$3)*1.3,0)),"-")</f>
        <v>-</v>
      </c>
      <c r="AB257" s="61" t="str">
        <f>IF($J257=AB$3,IF(AB$3&gt;$I256,"-",ROUNDUP(Ld_cal($B256, $C256, $D256, $G256,$E256, $F256, $H256, AB$3)*1.3,0)),"-")</f>
        <v>-</v>
      </c>
      <c r="AC257" s="61" t="str">
        <f>IF($J257=AC$3,IF(AC$3&gt;$I256,"-",ROUNDUP(Ld_cal($B256, $C256, $D256, $G256,$E256, $F256, $H256, AC$3)*1.3,0)),"-")</f>
        <v>-</v>
      </c>
      <c r="AD257" s="61">
        <f t="shared" ref="AD257" si="249">IF(J257&gt;I256,"依標準圖",MAX(L257:AC257))</f>
        <v>156</v>
      </c>
    </row>
    <row r="258" spans="1:30">
      <c r="A258" s="105" t="s">
        <v>173</v>
      </c>
      <c r="B258" s="107">
        <v>120</v>
      </c>
      <c r="C258" s="108">
        <v>7.5</v>
      </c>
      <c r="D258" s="107">
        <v>4200</v>
      </c>
      <c r="E258" s="109">
        <v>16</v>
      </c>
      <c r="F258" s="110">
        <v>25</v>
      </c>
      <c r="G258" s="107">
        <v>350</v>
      </c>
      <c r="H258" s="109">
        <v>32</v>
      </c>
      <c r="I258" s="111">
        <f>ROUNDDOWN(($B258-2*$C258-2*$E258/10-$H258/10)/(($D$1+1)*$H258/10),0)+1</f>
        <v>16</v>
      </c>
      <c r="J258" s="62">
        <v>8</v>
      </c>
      <c r="K258" s="40" t="s">
        <v>30</v>
      </c>
      <c r="L258" s="63" t="str">
        <f>IF($J258=L$3,IF(L$3&gt;$I258,"-",ROUNDUP(Ld_cal($B258, $C258, $D258, $G258,$E258, $F258, $H258, L$3)*1.3*1.3,0)),"-")</f>
        <v>-</v>
      </c>
      <c r="M258" s="63" t="str">
        <f>IF($J258=M$3,IF(M$3&gt;$I258,"-",ROUNDUP(Ld_cal($B258, $C258, $D258, $G258,$E258, $F258, $H258, M$3)*1.3*1.3,0)),"-")</f>
        <v>-</v>
      </c>
      <c r="N258" s="63" t="str">
        <f>IF($J258=N$3,IF(N$3&gt;$I258,"-",ROUNDUP(Ld_cal($B258, $C258, $D258, $G258,$E258, $F258, $H258, N$3)*1.3*1.3,0)),"-")</f>
        <v>-</v>
      </c>
      <c r="O258" s="63" t="str">
        <f>IF($J258=O$3,IF(O$3&gt;$I258,"-",ROUNDUP(Ld_cal($B258, $C258, $D258, $G258,$E258, $F258, $H258, O$3)*1.3*1.3,0)),"-")</f>
        <v>-</v>
      </c>
      <c r="P258" s="63" t="str">
        <f>IF($J258=P$3,IF(P$3&gt;$I258,"-",ROUNDUP(Ld_cal($B258, $C258, $D258, $G258,$E258, $F258, $H258, P$3)*1.3*1.3,0)),"-")</f>
        <v>-</v>
      </c>
      <c r="Q258" s="63">
        <f>IF($J258=Q$3,IF(Q$3&gt;$I258,"-",ROUNDUP(Ld_cal($B258, $C258, $D258, $G258,$E258, $F258, $H258, Q$3)*1.3*1.3,0)),"-")</f>
        <v>139</v>
      </c>
      <c r="R258" s="63" t="str">
        <f>IF($J258=R$3,IF(R$3&gt;$I258,"-",ROUNDUP(Ld_cal($B258, $C258, $D258, $G258,$E258, $F258, $H258, R$3)*1.3*1.3,0)),"-")</f>
        <v>-</v>
      </c>
      <c r="S258" s="63" t="str">
        <f>IF($J258=S$3,IF(S$3&gt;$I258,"-",ROUNDUP(Ld_cal($B258, $C258, $D258, $G258,$E258, $F258, $H258, S$3)*1.3*1.3,0)),"-")</f>
        <v>-</v>
      </c>
      <c r="T258" s="63" t="str">
        <f>IF($J258=T$3,IF(T$3&gt;$I258,"-",ROUNDUP(Ld_cal($B258, $C258, $D258, $G258,$E258, $F258, $H258, T$3)*1.3*1.3,0)),"-")</f>
        <v>-</v>
      </c>
      <c r="U258" s="63" t="str">
        <f>IF($J258=U$3,IF(U$3&gt;$I258,"-",ROUNDUP(Ld_cal($B258, $C258, $D258, $G258,$E258, $F258, $H258, U$3)*1.3*1.3,0)),"-")</f>
        <v>-</v>
      </c>
      <c r="V258" s="63" t="str">
        <f>IF($J258=V$3,IF(V$3&gt;$I258,"-",ROUNDUP(Ld_cal($B258, $C258, $D258, $G258,$E258, $F258, $H258, V$3)*1.3*1.3,0)),"-")</f>
        <v>-</v>
      </c>
      <c r="W258" s="63" t="str">
        <f>IF($J258=W$3,IF(W$3&gt;$I258,"-",ROUNDUP(Ld_cal($B258, $C258, $D258, $G258,$E258, $F258, $H258, W$3)*1.3*1.3,0)),"-")</f>
        <v>-</v>
      </c>
      <c r="X258" s="63" t="str">
        <f>IF($J258=X$3,IF(X$3&gt;$I258,"-",ROUNDUP(Ld_cal($B258, $C258, $D258, $G258,$E258, $F258, $H258, X$3)*1.3*1.3,0)),"-")</f>
        <v>-</v>
      </c>
      <c r="Y258" s="63" t="str">
        <f>IF($J258=Y$3,IF(Y$3&gt;$I258,"-",ROUNDUP(Ld_cal($B258, $C258, $D258, $G258,$E258, $F258, $H258, Y$3)*1.3*1.3,0)),"-")</f>
        <v>-</v>
      </c>
      <c r="Z258" s="63" t="str">
        <f>IF($J258=Z$3,IF(Z$3&gt;$I258,"-",ROUNDUP(Ld_cal($B258, $C258, $D258, $G258,$E258, $F258, $H258, Z$3)*1.3*1.3,0)),"-")</f>
        <v>-</v>
      </c>
      <c r="AA258" s="63" t="str">
        <f>IF($J258=AA$3,IF(AA$3&gt;$I258,"-",ROUNDUP(Ld_cal($B258, $C258, $D258, $G258,$E258, $F258, $H258, AA$3)*1.3*1.3,0)),"-")</f>
        <v>-</v>
      </c>
      <c r="AB258" s="63" t="str">
        <f>IF($J258=AB$3,IF(AB$3&gt;$I258,"-",ROUNDUP(Ld_cal($B258, $C258, $D258, $G258,$E258, $F258, $H258, AB$3)*1.3*1.3,0)),"-")</f>
        <v>-</v>
      </c>
      <c r="AC258" s="63" t="str">
        <f>IF($J258=AC$3,IF(AC$3&gt;$I258,"-",ROUNDUP(Ld_cal($B258, $C258, $D258, $G258,$E258, $F258, $H258, AC$3)*1.3*1.3,0)),"-")</f>
        <v>-</v>
      </c>
      <c r="AD258" s="63">
        <f t="shared" ref="AD258" si="250">IF(J258&gt;I258,"依標準圖",MAX(L258:AC258))</f>
        <v>139</v>
      </c>
    </row>
    <row r="259" spans="1:30">
      <c r="A259" s="106"/>
      <c r="B259" s="107"/>
      <c r="C259" s="108"/>
      <c r="D259" s="107"/>
      <c r="E259" s="109"/>
      <c r="F259" s="110"/>
      <c r="G259" s="107"/>
      <c r="H259" s="109"/>
      <c r="I259" s="111"/>
      <c r="J259" s="62">
        <v>5</v>
      </c>
      <c r="K259" s="40" t="s">
        <v>29</v>
      </c>
      <c r="L259" s="63" t="str">
        <f>IF($J259=L$3,IF(L$3&gt;$I258,"-",ROUNDUP(Ld_cal($B258, $C258, $D258, $G258,$E258, $F258, $H258, L$3)*1.3,0)),"-")</f>
        <v>-</v>
      </c>
      <c r="M259" s="63" t="str">
        <f>IF($J259=M$3,IF(M$3&gt;$I258,"-",ROUNDUP(Ld_cal($B258, $C258, $D258, $G258,$E258, $F258, $H258, M$3)*1.3,0)),"-")</f>
        <v>-</v>
      </c>
      <c r="N259" s="63">
        <f>IF($J259=N$3,IF(N$3&gt;$I258,"-",ROUNDUP(Ld_cal($B258, $C258, $D258, $G258,$E258, $F258, $H258, N$3)*1.3,0)),"-")</f>
        <v>105</v>
      </c>
      <c r="O259" s="63" t="str">
        <f>IF($J259=O$3,IF(O$3&gt;$I258,"-",ROUNDUP(Ld_cal($B258, $C258, $D258, $G258,$E258, $F258, $H258, O$3)*1.3,0)),"-")</f>
        <v>-</v>
      </c>
      <c r="P259" s="63" t="str">
        <f>IF($J259=P$3,IF(P$3&gt;$I258,"-",ROUNDUP(Ld_cal($B258, $C258, $D258, $G258,$E258, $F258, $H258, P$3)*1.3,0)),"-")</f>
        <v>-</v>
      </c>
      <c r="Q259" s="63" t="str">
        <f>IF($J259=Q$3,IF(Q$3&gt;$I258,"-",ROUNDUP(Ld_cal($B258, $C258, $D258, $G258,$E258, $F258, $H258, Q$3)*1.3,0)),"-")</f>
        <v>-</v>
      </c>
      <c r="R259" s="63" t="str">
        <f>IF($J259=R$3,IF(R$3&gt;$I258,"-",ROUNDUP(Ld_cal($B258, $C258, $D258, $G258,$E258, $F258, $H258, R$3)*1.3,0)),"-")</f>
        <v>-</v>
      </c>
      <c r="S259" s="63" t="str">
        <f>IF($J259=S$3,IF(S$3&gt;$I258,"-",ROUNDUP(Ld_cal($B258, $C258, $D258, $G258,$E258, $F258, $H258, S$3)*1.3,0)),"-")</f>
        <v>-</v>
      </c>
      <c r="T259" s="63" t="str">
        <f>IF($J259=T$3,IF(T$3&gt;$I258,"-",ROUNDUP(Ld_cal($B258, $C258, $D258, $G258,$E258, $F258, $H258, T$3)*1.3,0)),"-")</f>
        <v>-</v>
      </c>
      <c r="U259" s="63" t="str">
        <f>IF($J259=U$3,IF(U$3&gt;$I258,"-",ROUNDUP(Ld_cal($B258, $C258, $D258, $G258,$E258, $F258, $H258, U$3)*1.3,0)),"-")</f>
        <v>-</v>
      </c>
      <c r="V259" s="63" t="str">
        <f>IF($J259=V$3,IF(V$3&gt;$I258,"-",ROUNDUP(Ld_cal($B258, $C258, $D258, $G258,$E258, $F258, $H258, V$3)*1.3,0)),"-")</f>
        <v>-</v>
      </c>
      <c r="W259" s="63" t="str">
        <f>IF($J259=W$3,IF(W$3&gt;$I258,"-",ROUNDUP(Ld_cal($B258, $C258, $D258, $G258,$E258, $F258, $H258, W$3)*1.3,0)),"-")</f>
        <v>-</v>
      </c>
      <c r="X259" s="63" t="str">
        <f>IF($J259=X$3,IF(X$3&gt;$I258,"-",ROUNDUP(Ld_cal($B258, $C258, $D258, $G258,$E258, $F258, $H258, X$3)*1.3,0)),"-")</f>
        <v>-</v>
      </c>
      <c r="Y259" s="63" t="str">
        <f>IF($J259=Y$3,IF(Y$3&gt;$I258,"-",ROUNDUP(Ld_cal($B258, $C258, $D258, $G258,$E258, $F258, $H258, Y$3)*1.3,0)),"-")</f>
        <v>-</v>
      </c>
      <c r="Z259" s="63" t="str">
        <f>IF($J259=Z$3,IF(Z$3&gt;$I258,"-",ROUNDUP(Ld_cal($B258, $C258, $D258, $G258,$E258, $F258, $H258, Z$3)*1.3,0)),"-")</f>
        <v>-</v>
      </c>
      <c r="AA259" s="63" t="str">
        <f>IF($J259=AA$3,IF(AA$3&gt;$I258,"-",ROUNDUP(Ld_cal($B258, $C258, $D258, $G258,$E258, $F258, $H258, AA$3)*1.3,0)),"-")</f>
        <v>-</v>
      </c>
      <c r="AB259" s="63" t="str">
        <f>IF($J259=AB$3,IF(AB$3&gt;$I258,"-",ROUNDUP(Ld_cal($B258, $C258, $D258, $G258,$E258, $F258, $H258, AB$3)*1.3,0)),"-")</f>
        <v>-</v>
      </c>
      <c r="AC259" s="63" t="str">
        <f>IF($J259=AC$3,IF(AC$3&gt;$I258,"-",ROUNDUP(Ld_cal($B258, $C258, $D258, $G258,$E258, $F258, $H258, AC$3)*1.3,0)),"-")</f>
        <v>-</v>
      </c>
      <c r="AD259" s="63">
        <f t="shared" ref="AD259" si="251">IF(J259&gt;I258,"依標準圖",MAX(L259:AC259))</f>
        <v>105</v>
      </c>
    </row>
    <row r="260" spans="1:30">
      <c r="A260" s="97" t="s">
        <v>174</v>
      </c>
      <c r="B260" s="99">
        <v>120</v>
      </c>
      <c r="C260" s="100">
        <v>7.5</v>
      </c>
      <c r="D260" s="101">
        <v>4200</v>
      </c>
      <c r="E260" s="102">
        <v>16</v>
      </c>
      <c r="F260" s="103">
        <v>20</v>
      </c>
      <c r="G260" s="101">
        <v>350</v>
      </c>
      <c r="H260" s="102">
        <v>32</v>
      </c>
      <c r="I260" s="104">
        <f>ROUNDDOWN(($B260-2*$C260-2*$E260/10-$H260/10)/(($D$1+1)*$H260/10),0)+1</f>
        <v>16</v>
      </c>
      <c r="J260" s="60">
        <v>14</v>
      </c>
      <c r="K260" s="64" t="s">
        <v>30</v>
      </c>
      <c r="L260" s="61" t="str">
        <f>IF($J260=L$3,IF(L$3&gt;$I260,"-",ROUNDUP(Ld_cal($B260, $C260, $D260, $G260,$E260, $F260, $H260, L$3)*1.3*1.3,0)),"-")</f>
        <v>-</v>
      </c>
      <c r="M260" s="61" t="str">
        <f>IF($J260=M$3,IF(M$3&gt;$I260,"-",ROUNDUP(Ld_cal($B260, $C260, $D260, $G260,$E260, $F260, $H260, M$3)*1.3*1.3,0)),"-")</f>
        <v>-</v>
      </c>
      <c r="N260" s="61" t="str">
        <f>IF($J260=N$3,IF(N$3&gt;$I260,"-",ROUNDUP(Ld_cal($B260, $C260, $D260, $G260,$E260, $F260, $H260, N$3)*1.3*1.3,0)),"-")</f>
        <v>-</v>
      </c>
      <c r="O260" s="61" t="str">
        <f>IF($J260=O$3,IF(O$3&gt;$I260,"-",ROUNDUP(Ld_cal($B260, $C260, $D260, $G260,$E260, $F260, $H260, O$3)*1.3*1.3,0)),"-")</f>
        <v>-</v>
      </c>
      <c r="P260" s="61" t="str">
        <f>IF($J260=P$3,IF(P$3&gt;$I260,"-",ROUNDUP(Ld_cal($B260, $C260, $D260, $G260,$E260, $F260, $H260, P$3)*1.3*1.3,0)),"-")</f>
        <v>-</v>
      </c>
      <c r="Q260" s="61" t="str">
        <f>IF($J260=Q$3,IF(Q$3&gt;$I260,"-",ROUNDUP(Ld_cal($B260, $C260, $D260, $G260,$E260, $F260, $H260, Q$3)*1.3*1.3,0)),"-")</f>
        <v>-</v>
      </c>
      <c r="R260" s="61" t="str">
        <f>IF($J260=R$3,IF(R$3&gt;$I260,"-",ROUNDUP(Ld_cal($B260, $C260, $D260, $G260,$E260, $F260, $H260, R$3)*1.3*1.3,0)),"-")</f>
        <v>-</v>
      </c>
      <c r="S260" s="61" t="str">
        <f>IF($J260=S$3,IF(S$3&gt;$I260,"-",ROUNDUP(Ld_cal($B260, $C260, $D260, $G260,$E260, $F260, $H260, S$3)*1.3*1.3,0)),"-")</f>
        <v>-</v>
      </c>
      <c r="T260" s="61" t="str">
        <f>IF($J260=T$3,IF(T$3&gt;$I260,"-",ROUNDUP(Ld_cal($B260, $C260, $D260, $G260,$E260, $F260, $H260, T$3)*1.3*1.3,0)),"-")</f>
        <v>-</v>
      </c>
      <c r="U260" s="61" t="str">
        <f>IF($J260=U$3,IF(U$3&gt;$I260,"-",ROUNDUP(Ld_cal($B260, $C260, $D260, $G260,$E260, $F260, $H260, U$3)*1.3*1.3,0)),"-")</f>
        <v>-</v>
      </c>
      <c r="V260" s="61" t="str">
        <f>IF($J260=V$3,IF(V$3&gt;$I260,"-",ROUNDUP(Ld_cal($B260, $C260, $D260, $G260,$E260, $F260, $H260, V$3)*1.3*1.3,0)),"-")</f>
        <v>-</v>
      </c>
      <c r="W260" s="61">
        <f>IF($J260=W$3,IF(W$3&gt;$I260,"-",ROUNDUP(Ld_cal($B260, $C260, $D260, $G260,$E260, $F260, $H260, W$3)*1.3*1.3,0)),"-")</f>
        <v>250</v>
      </c>
      <c r="X260" s="61" t="str">
        <f>IF($J260=X$3,IF(X$3&gt;$I260,"-",ROUNDUP(Ld_cal($B260, $C260, $D260, $G260,$E260, $F260, $H260, X$3)*1.3*1.3,0)),"-")</f>
        <v>-</v>
      </c>
      <c r="Y260" s="61" t="str">
        <f>IF($J260=Y$3,IF(Y$3&gt;$I260,"-",ROUNDUP(Ld_cal($B260, $C260, $D260, $G260,$E260, $F260, $H260, Y$3)*1.3*1.3,0)),"-")</f>
        <v>-</v>
      </c>
      <c r="Z260" s="61" t="str">
        <f>IF($J260=Z$3,IF(Z$3&gt;$I260,"-",ROUNDUP(Ld_cal($B260, $C260, $D260, $G260,$E260, $F260, $H260, Z$3)*1.3*1.3,0)),"-")</f>
        <v>-</v>
      </c>
      <c r="AA260" s="61" t="str">
        <f>IF($J260=AA$3,IF(AA$3&gt;$I260,"-",ROUNDUP(Ld_cal($B260, $C260, $D260, $G260,$E260, $F260, $H260, AA$3)*1.3*1.3,0)),"-")</f>
        <v>-</v>
      </c>
      <c r="AB260" s="61" t="str">
        <f>IF($J260=AB$3,IF(AB$3&gt;$I260,"-",ROUNDUP(Ld_cal($B260, $C260, $D260, $G260,$E260, $F260, $H260, AB$3)*1.3*1.3,0)),"-")</f>
        <v>-</v>
      </c>
      <c r="AC260" s="61" t="str">
        <f>IF($J260=AC$3,IF(AC$3&gt;$I260,"-",ROUNDUP(Ld_cal($B260, $C260, $D260, $G260,$E260, $F260, $H260, AC$3)*1.3*1.3,0)),"-")</f>
        <v>-</v>
      </c>
      <c r="AD260" s="61">
        <f t="shared" ref="AD260" si="252">IF(J260&gt;I260,"依標準圖",MAX(L260:AC260))</f>
        <v>250</v>
      </c>
    </row>
    <row r="261" spans="1:30">
      <c r="A261" s="98"/>
      <c r="B261" s="99"/>
      <c r="C261" s="100"/>
      <c r="D261" s="101"/>
      <c r="E261" s="102"/>
      <c r="F261" s="103"/>
      <c r="G261" s="101"/>
      <c r="H261" s="102"/>
      <c r="I261" s="104"/>
      <c r="J261" s="60">
        <v>5</v>
      </c>
      <c r="K261" s="64" t="s">
        <v>29</v>
      </c>
      <c r="L261" s="61" t="str">
        <f>IF($J261=L$3,IF(L$3&gt;$I260,"-",ROUNDUP(Ld_cal($B260, $C260, $D260, $G260,$E260, $F260, $H260, L$3)*1.3,0)),"-")</f>
        <v>-</v>
      </c>
      <c r="M261" s="61" t="str">
        <f>IF($J261=M$3,IF(M$3&gt;$I260,"-",ROUNDUP(Ld_cal($B260, $C260, $D260, $G260,$E260, $F260, $H260, M$3)*1.3,0)),"-")</f>
        <v>-</v>
      </c>
      <c r="N261" s="61">
        <f>IF($J261=N$3,IF(N$3&gt;$I260,"-",ROUNDUP(Ld_cal($B260, $C260, $D260, $G260,$E260, $F260, $H260, N$3)*1.3,0)),"-")</f>
        <v>105</v>
      </c>
      <c r="O261" s="61" t="str">
        <f>IF($J261=O$3,IF(O$3&gt;$I260,"-",ROUNDUP(Ld_cal($B260, $C260, $D260, $G260,$E260, $F260, $H260, O$3)*1.3,0)),"-")</f>
        <v>-</v>
      </c>
      <c r="P261" s="61" t="str">
        <f>IF($J261=P$3,IF(P$3&gt;$I260,"-",ROUNDUP(Ld_cal($B260, $C260, $D260, $G260,$E260, $F260, $H260, P$3)*1.3,0)),"-")</f>
        <v>-</v>
      </c>
      <c r="Q261" s="61" t="str">
        <f>IF($J261=Q$3,IF(Q$3&gt;$I260,"-",ROUNDUP(Ld_cal($B260, $C260, $D260, $G260,$E260, $F260, $H260, Q$3)*1.3,0)),"-")</f>
        <v>-</v>
      </c>
      <c r="R261" s="61" t="str">
        <f>IF($J261=R$3,IF(R$3&gt;$I260,"-",ROUNDUP(Ld_cal($B260, $C260, $D260, $G260,$E260, $F260, $H260, R$3)*1.3,0)),"-")</f>
        <v>-</v>
      </c>
      <c r="S261" s="61" t="str">
        <f>IF($J261=S$3,IF(S$3&gt;$I260,"-",ROUNDUP(Ld_cal($B260, $C260, $D260, $G260,$E260, $F260, $H260, S$3)*1.3,0)),"-")</f>
        <v>-</v>
      </c>
      <c r="T261" s="61" t="str">
        <f>IF($J261=T$3,IF(T$3&gt;$I260,"-",ROUNDUP(Ld_cal($B260, $C260, $D260, $G260,$E260, $F260, $H260, T$3)*1.3,0)),"-")</f>
        <v>-</v>
      </c>
      <c r="U261" s="61" t="str">
        <f>IF($J261=U$3,IF(U$3&gt;$I260,"-",ROUNDUP(Ld_cal($B260, $C260, $D260, $G260,$E260, $F260, $H260, U$3)*1.3,0)),"-")</f>
        <v>-</v>
      </c>
      <c r="V261" s="61" t="str">
        <f>IF($J261=V$3,IF(V$3&gt;$I260,"-",ROUNDUP(Ld_cal($B260, $C260, $D260, $G260,$E260, $F260, $H260, V$3)*1.3,0)),"-")</f>
        <v>-</v>
      </c>
      <c r="W261" s="61" t="str">
        <f>IF($J261=W$3,IF(W$3&gt;$I260,"-",ROUNDUP(Ld_cal($B260, $C260, $D260, $G260,$E260, $F260, $H260, W$3)*1.3,0)),"-")</f>
        <v>-</v>
      </c>
      <c r="X261" s="61" t="str">
        <f>IF($J261=X$3,IF(X$3&gt;$I260,"-",ROUNDUP(Ld_cal($B260, $C260, $D260, $G260,$E260, $F260, $H260, X$3)*1.3,0)),"-")</f>
        <v>-</v>
      </c>
      <c r="Y261" s="61" t="str">
        <f>IF($J261=Y$3,IF(Y$3&gt;$I260,"-",ROUNDUP(Ld_cal($B260, $C260, $D260, $G260,$E260, $F260, $H260, Y$3)*1.3,0)),"-")</f>
        <v>-</v>
      </c>
      <c r="Z261" s="61" t="str">
        <f>IF($J261=Z$3,IF(Z$3&gt;$I260,"-",ROUNDUP(Ld_cal($B260, $C260, $D260, $G260,$E260, $F260, $H260, Z$3)*1.3,0)),"-")</f>
        <v>-</v>
      </c>
      <c r="AA261" s="61" t="str">
        <f>IF($J261=AA$3,IF(AA$3&gt;$I260,"-",ROUNDUP(Ld_cal($B260, $C260, $D260, $G260,$E260, $F260, $H260, AA$3)*1.3,0)),"-")</f>
        <v>-</v>
      </c>
      <c r="AB261" s="61" t="str">
        <f>IF($J261=AB$3,IF(AB$3&gt;$I260,"-",ROUNDUP(Ld_cal($B260, $C260, $D260, $G260,$E260, $F260, $H260, AB$3)*1.3,0)),"-")</f>
        <v>-</v>
      </c>
      <c r="AC261" s="61" t="str">
        <f>IF($J261=AC$3,IF(AC$3&gt;$I260,"-",ROUNDUP(Ld_cal($B260, $C260, $D260, $G260,$E260, $F260, $H260, AC$3)*1.3,0)),"-")</f>
        <v>-</v>
      </c>
      <c r="AD261" s="61">
        <f t="shared" ref="AD261" si="253">IF(J261&gt;I260,"依標準圖",MAX(L261:AC261))</f>
        <v>105</v>
      </c>
    </row>
    <row r="262" spans="1:30">
      <c r="A262" s="105" t="s">
        <v>175</v>
      </c>
      <c r="B262" s="107">
        <v>120</v>
      </c>
      <c r="C262" s="108">
        <v>7.5</v>
      </c>
      <c r="D262" s="107">
        <v>4200</v>
      </c>
      <c r="E262" s="109">
        <v>16</v>
      </c>
      <c r="F262" s="110">
        <v>20</v>
      </c>
      <c r="G262" s="107">
        <v>350</v>
      </c>
      <c r="H262" s="109">
        <v>32</v>
      </c>
      <c r="I262" s="111">
        <f>ROUNDDOWN(($B262-2*$C262-2*$E262/10-$H262/10)/(($D$1+1)*$H262/10),0)+1</f>
        <v>16</v>
      </c>
      <c r="J262" s="62">
        <v>15</v>
      </c>
      <c r="K262" s="40" t="s">
        <v>30</v>
      </c>
      <c r="L262" s="63" t="str">
        <f>IF($J262=L$3,IF(L$3&gt;$I262,"-",ROUNDUP(Ld_cal($B262, $C262, $D262, $G262,$E262, $F262, $H262, L$3)*1.3*1.3,0)),"-")</f>
        <v>-</v>
      </c>
      <c r="M262" s="63" t="str">
        <f>IF($J262=M$3,IF(M$3&gt;$I262,"-",ROUNDUP(Ld_cal($B262, $C262, $D262, $G262,$E262, $F262, $H262, M$3)*1.3*1.3,0)),"-")</f>
        <v>-</v>
      </c>
      <c r="N262" s="63" t="str">
        <f>IF($J262=N$3,IF(N$3&gt;$I262,"-",ROUNDUP(Ld_cal($B262, $C262, $D262, $G262,$E262, $F262, $H262, N$3)*1.3*1.3,0)),"-")</f>
        <v>-</v>
      </c>
      <c r="O262" s="63" t="str">
        <f>IF($J262=O$3,IF(O$3&gt;$I262,"-",ROUNDUP(Ld_cal($B262, $C262, $D262, $G262,$E262, $F262, $H262, O$3)*1.3*1.3,0)),"-")</f>
        <v>-</v>
      </c>
      <c r="P262" s="63" t="str">
        <f>IF($J262=P$3,IF(P$3&gt;$I262,"-",ROUNDUP(Ld_cal($B262, $C262, $D262, $G262,$E262, $F262, $H262, P$3)*1.3*1.3,0)),"-")</f>
        <v>-</v>
      </c>
      <c r="Q262" s="63" t="str">
        <f>IF($J262=Q$3,IF(Q$3&gt;$I262,"-",ROUNDUP(Ld_cal($B262, $C262, $D262, $G262,$E262, $F262, $H262, Q$3)*1.3*1.3,0)),"-")</f>
        <v>-</v>
      </c>
      <c r="R262" s="63" t="str">
        <f>IF($J262=R$3,IF(R$3&gt;$I262,"-",ROUNDUP(Ld_cal($B262, $C262, $D262, $G262,$E262, $F262, $H262, R$3)*1.3*1.3,0)),"-")</f>
        <v>-</v>
      </c>
      <c r="S262" s="63" t="str">
        <f>IF($J262=S$3,IF(S$3&gt;$I262,"-",ROUNDUP(Ld_cal($B262, $C262, $D262, $G262,$E262, $F262, $H262, S$3)*1.3*1.3,0)),"-")</f>
        <v>-</v>
      </c>
      <c r="T262" s="63" t="str">
        <f>IF($J262=T$3,IF(T$3&gt;$I262,"-",ROUNDUP(Ld_cal($B262, $C262, $D262, $G262,$E262, $F262, $H262, T$3)*1.3*1.3,0)),"-")</f>
        <v>-</v>
      </c>
      <c r="U262" s="63" t="str">
        <f>IF($J262=U$3,IF(U$3&gt;$I262,"-",ROUNDUP(Ld_cal($B262, $C262, $D262, $G262,$E262, $F262, $H262, U$3)*1.3*1.3,0)),"-")</f>
        <v>-</v>
      </c>
      <c r="V262" s="63" t="str">
        <f>IF($J262=V$3,IF(V$3&gt;$I262,"-",ROUNDUP(Ld_cal($B262, $C262, $D262, $G262,$E262, $F262, $H262, V$3)*1.3*1.3,0)),"-")</f>
        <v>-</v>
      </c>
      <c r="W262" s="63" t="str">
        <f>IF($J262=W$3,IF(W$3&gt;$I262,"-",ROUNDUP(Ld_cal($B262, $C262, $D262, $G262,$E262, $F262, $H262, W$3)*1.3*1.3,0)),"-")</f>
        <v>-</v>
      </c>
      <c r="X262" s="63">
        <f>IF($J262=X$3,IF(X$3&gt;$I262,"-",ROUNDUP(Ld_cal($B262, $C262, $D262, $G262,$E262, $F262, $H262, X$3)*1.3*1.3,0)),"-")</f>
        <v>269</v>
      </c>
      <c r="Y262" s="63" t="str">
        <f>IF($J262=Y$3,IF(Y$3&gt;$I262,"-",ROUNDUP(Ld_cal($B262, $C262, $D262, $G262,$E262, $F262, $H262, Y$3)*1.3*1.3,0)),"-")</f>
        <v>-</v>
      </c>
      <c r="Z262" s="63" t="str">
        <f>IF($J262=Z$3,IF(Z$3&gt;$I262,"-",ROUNDUP(Ld_cal($B262, $C262, $D262, $G262,$E262, $F262, $H262, Z$3)*1.3*1.3,0)),"-")</f>
        <v>-</v>
      </c>
      <c r="AA262" s="63" t="str">
        <f>IF($J262=AA$3,IF(AA$3&gt;$I262,"-",ROUNDUP(Ld_cal($B262, $C262, $D262, $G262,$E262, $F262, $H262, AA$3)*1.3*1.3,0)),"-")</f>
        <v>-</v>
      </c>
      <c r="AB262" s="63" t="str">
        <f>IF($J262=AB$3,IF(AB$3&gt;$I262,"-",ROUNDUP(Ld_cal($B262, $C262, $D262, $G262,$E262, $F262, $H262, AB$3)*1.3*1.3,0)),"-")</f>
        <v>-</v>
      </c>
      <c r="AC262" s="63" t="str">
        <f>IF($J262=AC$3,IF(AC$3&gt;$I262,"-",ROUNDUP(Ld_cal($B262, $C262, $D262, $G262,$E262, $F262, $H262, AC$3)*1.3*1.3,0)),"-")</f>
        <v>-</v>
      </c>
      <c r="AD262" s="63">
        <f t="shared" ref="AD262" si="254">IF(J262&gt;I262,"依標準圖",MAX(L262:AC262))</f>
        <v>269</v>
      </c>
    </row>
    <row r="263" spans="1:30">
      <c r="A263" s="106"/>
      <c r="B263" s="107"/>
      <c r="C263" s="108"/>
      <c r="D263" s="107"/>
      <c r="E263" s="109"/>
      <c r="F263" s="110"/>
      <c r="G263" s="107"/>
      <c r="H263" s="109"/>
      <c r="I263" s="111"/>
      <c r="J263" s="62">
        <v>7</v>
      </c>
      <c r="K263" s="40" t="s">
        <v>29</v>
      </c>
      <c r="L263" s="63" t="str">
        <f>IF($J263=L$3,IF(L$3&gt;$I262,"-",ROUNDUP(Ld_cal($B262, $C262, $D262, $G262,$E262, $F262, $H262, L$3)*1.3,0)),"-")</f>
        <v>-</v>
      </c>
      <c r="M263" s="63" t="str">
        <f>IF($J263=M$3,IF(M$3&gt;$I262,"-",ROUNDUP(Ld_cal($B262, $C262, $D262, $G262,$E262, $F262, $H262, M$3)*1.3,0)),"-")</f>
        <v>-</v>
      </c>
      <c r="N263" s="63" t="str">
        <f>IF($J263=N$3,IF(N$3&gt;$I262,"-",ROUNDUP(Ld_cal($B262, $C262, $D262, $G262,$E262, $F262, $H262, N$3)*1.3,0)),"-")</f>
        <v>-</v>
      </c>
      <c r="O263" s="63" t="str">
        <f>IF($J263=O$3,IF(O$3&gt;$I262,"-",ROUNDUP(Ld_cal($B262, $C262, $D262, $G262,$E262, $F262, $H262, O$3)*1.3,0)),"-")</f>
        <v>-</v>
      </c>
      <c r="P263" s="63">
        <f>IF($J263=P$3,IF(P$3&gt;$I262,"-",ROUNDUP(Ld_cal($B262, $C262, $D262, $G262,$E262, $F262, $H262, P$3)*1.3,0)),"-")</f>
        <v>105</v>
      </c>
      <c r="Q263" s="63" t="str">
        <f>IF($J263=Q$3,IF(Q$3&gt;$I262,"-",ROUNDUP(Ld_cal($B262, $C262, $D262, $G262,$E262, $F262, $H262, Q$3)*1.3,0)),"-")</f>
        <v>-</v>
      </c>
      <c r="R263" s="63" t="str">
        <f>IF($J263=R$3,IF(R$3&gt;$I262,"-",ROUNDUP(Ld_cal($B262, $C262, $D262, $G262,$E262, $F262, $H262, R$3)*1.3,0)),"-")</f>
        <v>-</v>
      </c>
      <c r="S263" s="63" t="str">
        <f>IF($J263=S$3,IF(S$3&gt;$I262,"-",ROUNDUP(Ld_cal($B262, $C262, $D262, $G262,$E262, $F262, $H262, S$3)*1.3,0)),"-")</f>
        <v>-</v>
      </c>
      <c r="T263" s="63" t="str">
        <f>IF($J263=T$3,IF(T$3&gt;$I262,"-",ROUNDUP(Ld_cal($B262, $C262, $D262, $G262,$E262, $F262, $H262, T$3)*1.3,0)),"-")</f>
        <v>-</v>
      </c>
      <c r="U263" s="63" t="str">
        <f>IF($J263=U$3,IF(U$3&gt;$I262,"-",ROUNDUP(Ld_cal($B262, $C262, $D262, $G262,$E262, $F262, $H262, U$3)*1.3,0)),"-")</f>
        <v>-</v>
      </c>
      <c r="V263" s="63" t="str">
        <f>IF($J263=V$3,IF(V$3&gt;$I262,"-",ROUNDUP(Ld_cal($B262, $C262, $D262, $G262,$E262, $F262, $H262, V$3)*1.3,0)),"-")</f>
        <v>-</v>
      </c>
      <c r="W263" s="63" t="str">
        <f>IF($J263=W$3,IF(W$3&gt;$I262,"-",ROUNDUP(Ld_cal($B262, $C262, $D262, $G262,$E262, $F262, $H262, W$3)*1.3,0)),"-")</f>
        <v>-</v>
      </c>
      <c r="X263" s="63" t="str">
        <f>IF($J263=X$3,IF(X$3&gt;$I262,"-",ROUNDUP(Ld_cal($B262, $C262, $D262, $G262,$E262, $F262, $H262, X$3)*1.3,0)),"-")</f>
        <v>-</v>
      </c>
      <c r="Y263" s="63" t="str">
        <f>IF($J263=Y$3,IF(Y$3&gt;$I262,"-",ROUNDUP(Ld_cal($B262, $C262, $D262, $G262,$E262, $F262, $H262, Y$3)*1.3,0)),"-")</f>
        <v>-</v>
      </c>
      <c r="Z263" s="63" t="str">
        <f>IF($J263=Z$3,IF(Z$3&gt;$I262,"-",ROUNDUP(Ld_cal($B262, $C262, $D262, $G262,$E262, $F262, $H262, Z$3)*1.3,0)),"-")</f>
        <v>-</v>
      </c>
      <c r="AA263" s="63" t="str">
        <f>IF($J263=AA$3,IF(AA$3&gt;$I262,"-",ROUNDUP(Ld_cal($B262, $C262, $D262, $G262,$E262, $F262, $H262, AA$3)*1.3,0)),"-")</f>
        <v>-</v>
      </c>
      <c r="AB263" s="63" t="str">
        <f>IF($J263=AB$3,IF(AB$3&gt;$I262,"-",ROUNDUP(Ld_cal($B262, $C262, $D262, $G262,$E262, $F262, $H262, AB$3)*1.3,0)),"-")</f>
        <v>-</v>
      </c>
      <c r="AC263" s="63" t="str">
        <f>IF($J263=AC$3,IF(AC$3&gt;$I262,"-",ROUNDUP(Ld_cal($B262, $C262, $D262, $G262,$E262, $F262, $H262, AC$3)*1.3,0)),"-")</f>
        <v>-</v>
      </c>
      <c r="AD263" s="63">
        <f t="shared" ref="AD263" si="255">IF(J263&gt;I262,"依標準圖",MAX(L263:AC263))</f>
        <v>105</v>
      </c>
    </row>
    <row r="264" spans="1:30">
      <c r="A264" s="97" t="s">
        <v>176</v>
      </c>
      <c r="B264" s="99">
        <v>120</v>
      </c>
      <c r="C264" s="100">
        <v>7.5</v>
      </c>
      <c r="D264" s="101">
        <v>4200</v>
      </c>
      <c r="E264" s="102">
        <v>16</v>
      </c>
      <c r="F264" s="103">
        <v>9</v>
      </c>
      <c r="G264" s="101">
        <v>350</v>
      </c>
      <c r="H264" s="102">
        <v>32</v>
      </c>
      <c r="I264" s="104">
        <f>ROUNDDOWN(($B264-2*$C264-2*$E264/10-$H264/10)/(($D$1+1)*$H264/10),0)+1</f>
        <v>16</v>
      </c>
      <c r="J264" s="60">
        <v>8</v>
      </c>
      <c r="K264" s="64" t="s">
        <v>30</v>
      </c>
      <c r="L264" s="61" t="str">
        <f>IF($J264=L$3,IF(L$3&gt;$I264,"-",ROUNDUP(Ld_cal($B264, $C264, $D264, $G264,$E264, $F264, $H264, L$3)*1.3*1.3,0)),"-")</f>
        <v>-</v>
      </c>
      <c r="M264" s="61" t="str">
        <f>IF($J264=M$3,IF(M$3&gt;$I264,"-",ROUNDUP(Ld_cal($B264, $C264, $D264, $G264,$E264, $F264, $H264, M$3)*1.3*1.3,0)),"-")</f>
        <v>-</v>
      </c>
      <c r="N264" s="61" t="str">
        <f>IF($J264=N$3,IF(N$3&gt;$I264,"-",ROUNDUP(Ld_cal($B264, $C264, $D264, $G264,$E264, $F264, $H264, N$3)*1.3*1.3,0)),"-")</f>
        <v>-</v>
      </c>
      <c r="O264" s="61" t="str">
        <f>IF($J264=O$3,IF(O$3&gt;$I264,"-",ROUNDUP(Ld_cal($B264, $C264, $D264, $G264,$E264, $F264, $H264, O$3)*1.3*1.3,0)),"-")</f>
        <v>-</v>
      </c>
      <c r="P264" s="61" t="str">
        <f>IF($J264=P$3,IF(P$3&gt;$I264,"-",ROUNDUP(Ld_cal($B264, $C264, $D264, $G264,$E264, $F264, $H264, P$3)*1.3*1.3,0)),"-")</f>
        <v>-</v>
      </c>
      <c r="Q264" s="61">
        <f>IF($J264=Q$3,IF(Q$3&gt;$I264,"-",ROUNDUP(Ld_cal($B264, $C264, $D264, $G264,$E264, $F264, $H264, Q$3)*1.3*1.3,0)),"-")</f>
        <v>136</v>
      </c>
      <c r="R264" s="61" t="str">
        <f>IF($J264=R$3,IF(R$3&gt;$I264,"-",ROUNDUP(Ld_cal($B264, $C264, $D264, $G264,$E264, $F264, $H264, R$3)*1.3*1.3,0)),"-")</f>
        <v>-</v>
      </c>
      <c r="S264" s="61" t="str">
        <f>IF($J264=S$3,IF(S$3&gt;$I264,"-",ROUNDUP(Ld_cal($B264, $C264, $D264, $G264,$E264, $F264, $H264, S$3)*1.3*1.3,0)),"-")</f>
        <v>-</v>
      </c>
      <c r="T264" s="61" t="str">
        <f>IF($J264=T$3,IF(T$3&gt;$I264,"-",ROUNDUP(Ld_cal($B264, $C264, $D264, $G264,$E264, $F264, $H264, T$3)*1.3*1.3,0)),"-")</f>
        <v>-</v>
      </c>
      <c r="U264" s="61" t="str">
        <f>IF($J264=U$3,IF(U$3&gt;$I264,"-",ROUNDUP(Ld_cal($B264, $C264, $D264, $G264,$E264, $F264, $H264, U$3)*1.3*1.3,0)),"-")</f>
        <v>-</v>
      </c>
      <c r="V264" s="61" t="str">
        <f>IF($J264=V$3,IF(V$3&gt;$I264,"-",ROUNDUP(Ld_cal($B264, $C264, $D264, $G264,$E264, $F264, $H264, V$3)*1.3*1.3,0)),"-")</f>
        <v>-</v>
      </c>
      <c r="W264" s="61" t="str">
        <f>IF($J264=W$3,IF(W$3&gt;$I264,"-",ROUNDUP(Ld_cal($B264, $C264, $D264, $G264,$E264, $F264, $H264, W$3)*1.3*1.3,0)),"-")</f>
        <v>-</v>
      </c>
      <c r="X264" s="61" t="str">
        <f>IF($J264=X$3,IF(X$3&gt;$I264,"-",ROUNDUP(Ld_cal($B264, $C264, $D264, $G264,$E264, $F264, $H264, X$3)*1.3*1.3,0)),"-")</f>
        <v>-</v>
      </c>
      <c r="Y264" s="61" t="str">
        <f>IF($J264=Y$3,IF(Y$3&gt;$I264,"-",ROUNDUP(Ld_cal($B264, $C264, $D264, $G264,$E264, $F264, $H264, Y$3)*1.3*1.3,0)),"-")</f>
        <v>-</v>
      </c>
      <c r="Z264" s="61" t="str">
        <f>IF($J264=Z$3,IF(Z$3&gt;$I264,"-",ROUNDUP(Ld_cal($B264, $C264, $D264, $G264,$E264, $F264, $H264, Z$3)*1.3*1.3,0)),"-")</f>
        <v>-</v>
      </c>
      <c r="AA264" s="61" t="str">
        <f>IF($J264=AA$3,IF(AA$3&gt;$I264,"-",ROUNDUP(Ld_cal($B264, $C264, $D264, $G264,$E264, $F264, $H264, AA$3)*1.3*1.3,0)),"-")</f>
        <v>-</v>
      </c>
      <c r="AB264" s="61" t="str">
        <f>IF($J264=AB$3,IF(AB$3&gt;$I264,"-",ROUNDUP(Ld_cal($B264, $C264, $D264, $G264,$E264, $F264, $H264, AB$3)*1.3*1.3,0)),"-")</f>
        <v>-</v>
      </c>
      <c r="AC264" s="61" t="str">
        <f>IF($J264=AC$3,IF(AC$3&gt;$I264,"-",ROUNDUP(Ld_cal($B264, $C264, $D264, $G264,$E264, $F264, $H264, AC$3)*1.3*1.3,0)),"-")</f>
        <v>-</v>
      </c>
      <c r="AD264" s="61">
        <f t="shared" ref="AD264" si="256">IF(J264&gt;I264,"依標準圖",MAX(L264:AC264))</f>
        <v>136</v>
      </c>
    </row>
    <row r="265" spans="1:30">
      <c r="A265" s="98"/>
      <c r="B265" s="99"/>
      <c r="C265" s="100"/>
      <c r="D265" s="101"/>
      <c r="E265" s="102"/>
      <c r="F265" s="103"/>
      <c r="G265" s="101"/>
      <c r="H265" s="102"/>
      <c r="I265" s="104"/>
      <c r="J265" s="60">
        <v>14</v>
      </c>
      <c r="K265" s="64" t="s">
        <v>29</v>
      </c>
      <c r="L265" s="61" t="str">
        <f>IF($J265=L$3,IF(L$3&gt;$I264,"-",ROUNDUP(Ld_cal($B264, $C264, $D264, $G264,$E264, $F264, $H264, L$3)*1.3,0)),"-")</f>
        <v>-</v>
      </c>
      <c r="M265" s="61" t="str">
        <f>IF($J265=M$3,IF(M$3&gt;$I264,"-",ROUNDUP(Ld_cal($B264, $C264, $D264, $G264,$E264, $F264, $H264, M$3)*1.3,0)),"-")</f>
        <v>-</v>
      </c>
      <c r="N265" s="61" t="str">
        <f>IF($J265=N$3,IF(N$3&gt;$I264,"-",ROUNDUP(Ld_cal($B264, $C264, $D264, $G264,$E264, $F264, $H264, N$3)*1.3,0)),"-")</f>
        <v>-</v>
      </c>
      <c r="O265" s="61" t="str">
        <f>IF($J265=O$3,IF(O$3&gt;$I264,"-",ROUNDUP(Ld_cal($B264, $C264, $D264, $G264,$E264, $F264, $H264, O$3)*1.3,0)),"-")</f>
        <v>-</v>
      </c>
      <c r="P265" s="61" t="str">
        <f>IF($J265=P$3,IF(P$3&gt;$I264,"-",ROUNDUP(Ld_cal($B264, $C264, $D264, $G264,$E264, $F264, $H264, P$3)*1.3,0)),"-")</f>
        <v>-</v>
      </c>
      <c r="Q265" s="61" t="str">
        <f>IF($J265=Q$3,IF(Q$3&gt;$I264,"-",ROUNDUP(Ld_cal($B264, $C264, $D264, $G264,$E264, $F264, $H264, Q$3)*1.3,0)),"-")</f>
        <v>-</v>
      </c>
      <c r="R265" s="61" t="str">
        <f>IF($J265=R$3,IF(R$3&gt;$I264,"-",ROUNDUP(Ld_cal($B264, $C264, $D264, $G264,$E264, $F264, $H264, R$3)*1.3,0)),"-")</f>
        <v>-</v>
      </c>
      <c r="S265" s="61" t="str">
        <f>IF($J265=S$3,IF(S$3&gt;$I264,"-",ROUNDUP(Ld_cal($B264, $C264, $D264, $G264,$E264, $F264, $H264, S$3)*1.3,0)),"-")</f>
        <v>-</v>
      </c>
      <c r="T265" s="61" t="str">
        <f>IF($J265=T$3,IF(T$3&gt;$I264,"-",ROUNDUP(Ld_cal($B264, $C264, $D264, $G264,$E264, $F264, $H264, T$3)*1.3,0)),"-")</f>
        <v>-</v>
      </c>
      <c r="U265" s="61" t="str">
        <f>IF($J265=U$3,IF(U$3&gt;$I264,"-",ROUNDUP(Ld_cal($B264, $C264, $D264, $G264,$E264, $F264, $H264, U$3)*1.3,0)),"-")</f>
        <v>-</v>
      </c>
      <c r="V265" s="61" t="str">
        <f>IF($J265=V$3,IF(V$3&gt;$I264,"-",ROUNDUP(Ld_cal($B264, $C264, $D264, $G264,$E264, $F264, $H264, V$3)*1.3,0)),"-")</f>
        <v>-</v>
      </c>
      <c r="W265" s="61">
        <f>IF($J265=W$3,IF(W$3&gt;$I264,"-",ROUNDUP(Ld_cal($B264, $C264, $D264, $G264,$E264, $F264, $H264, W$3)*1.3,0)),"-")</f>
        <v>166</v>
      </c>
      <c r="X265" s="61" t="str">
        <f>IF($J265=X$3,IF(X$3&gt;$I264,"-",ROUNDUP(Ld_cal($B264, $C264, $D264, $G264,$E264, $F264, $H264, X$3)*1.3,0)),"-")</f>
        <v>-</v>
      </c>
      <c r="Y265" s="61" t="str">
        <f>IF($J265=Y$3,IF(Y$3&gt;$I264,"-",ROUNDUP(Ld_cal($B264, $C264, $D264, $G264,$E264, $F264, $H264, Y$3)*1.3,0)),"-")</f>
        <v>-</v>
      </c>
      <c r="Z265" s="61" t="str">
        <f>IF($J265=Z$3,IF(Z$3&gt;$I264,"-",ROUNDUP(Ld_cal($B264, $C264, $D264, $G264,$E264, $F264, $H264, Z$3)*1.3,0)),"-")</f>
        <v>-</v>
      </c>
      <c r="AA265" s="61" t="str">
        <f>IF($J265=AA$3,IF(AA$3&gt;$I264,"-",ROUNDUP(Ld_cal($B264, $C264, $D264, $G264,$E264, $F264, $H264, AA$3)*1.3,0)),"-")</f>
        <v>-</v>
      </c>
      <c r="AB265" s="61" t="str">
        <f>IF($J265=AB$3,IF(AB$3&gt;$I264,"-",ROUNDUP(Ld_cal($B264, $C264, $D264, $G264,$E264, $F264, $H264, AB$3)*1.3,0)),"-")</f>
        <v>-</v>
      </c>
      <c r="AC265" s="61" t="str">
        <f>IF($J265=AC$3,IF(AC$3&gt;$I264,"-",ROUNDUP(Ld_cal($B264, $C264, $D264, $G264,$E264, $F264, $H264, AC$3)*1.3,0)),"-")</f>
        <v>-</v>
      </c>
      <c r="AD265" s="61">
        <f t="shared" ref="AD265" si="257">IF(J265&gt;I264,"依標準圖",MAX(L265:AC265))</f>
        <v>166</v>
      </c>
    </row>
    <row r="266" spans="1:30">
      <c r="A266" s="105" t="s">
        <v>177</v>
      </c>
      <c r="B266" s="107">
        <v>150</v>
      </c>
      <c r="C266" s="108">
        <v>7.5</v>
      </c>
      <c r="D266" s="107">
        <v>4200</v>
      </c>
      <c r="E266" s="109">
        <v>16</v>
      </c>
      <c r="F266" s="110">
        <v>7</v>
      </c>
      <c r="G266" s="107">
        <v>350</v>
      </c>
      <c r="H266" s="109">
        <v>32</v>
      </c>
      <c r="I266" s="111">
        <f>ROUNDDOWN(($B266-2*$C266-2*$E266/10-$H266/10)/(($D$1+1)*$H266/10),0)+1</f>
        <v>21</v>
      </c>
      <c r="J266" s="62">
        <v>11</v>
      </c>
      <c r="K266" s="40" t="s">
        <v>30</v>
      </c>
      <c r="L266" s="63" t="str">
        <f>IF($J266=L$3,IF(L$3&gt;$I266,"-",ROUNDUP(Ld_cal($B266, $C266, $D266, $G266,$E266, $F266, $H266, L$3)*1.3*1.3,0)),"-")</f>
        <v>-</v>
      </c>
      <c r="M266" s="63" t="str">
        <f>IF($J266=M$3,IF(M$3&gt;$I266,"-",ROUNDUP(Ld_cal($B266, $C266, $D266, $G266,$E266, $F266, $H266, M$3)*1.3*1.3,0)),"-")</f>
        <v>-</v>
      </c>
      <c r="N266" s="63" t="str">
        <f>IF($J266=N$3,IF(N$3&gt;$I266,"-",ROUNDUP(Ld_cal($B266, $C266, $D266, $G266,$E266, $F266, $H266, N$3)*1.3*1.3,0)),"-")</f>
        <v>-</v>
      </c>
      <c r="O266" s="63" t="str">
        <f>IF($J266=O$3,IF(O$3&gt;$I266,"-",ROUNDUP(Ld_cal($B266, $C266, $D266, $G266,$E266, $F266, $H266, O$3)*1.3*1.3,0)),"-")</f>
        <v>-</v>
      </c>
      <c r="P266" s="63" t="str">
        <f>IF($J266=P$3,IF(P$3&gt;$I266,"-",ROUNDUP(Ld_cal($B266, $C266, $D266, $G266,$E266, $F266, $H266, P$3)*1.3*1.3,0)),"-")</f>
        <v>-</v>
      </c>
      <c r="Q266" s="63" t="str">
        <f>IF($J266=Q$3,IF(Q$3&gt;$I266,"-",ROUNDUP(Ld_cal($B266, $C266, $D266, $G266,$E266, $F266, $H266, Q$3)*1.3*1.3,0)),"-")</f>
        <v>-</v>
      </c>
      <c r="R266" s="63" t="str">
        <f>IF($J266=R$3,IF(R$3&gt;$I266,"-",ROUNDUP(Ld_cal($B266, $C266, $D266, $G266,$E266, $F266, $H266, R$3)*1.3*1.3,0)),"-")</f>
        <v>-</v>
      </c>
      <c r="S266" s="63" t="str">
        <f>IF($J266=S$3,IF(S$3&gt;$I266,"-",ROUNDUP(Ld_cal($B266, $C266, $D266, $G266,$E266, $F266, $H266, S$3)*1.3*1.3,0)),"-")</f>
        <v>-</v>
      </c>
      <c r="T266" s="63">
        <f>IF($J266=T$3,IF(T$3&gt;$I266,"-",ROUNDUP(Ld_cal($B266, $C266, $D266, $G266,$E266, $F266, $H266, T$3)*1.3*1.3,0)),"-")</f>
        <v>136</v>
      </c>
      <c r="U266" s="63" t="str">
        <f>IF($J266=U$3,IF(U$3&gt;$I266,"-",ROUNDUP(Ld_cal($B266, $C266, $D266, $G266,$E266, $F266, $H266, U$3)*1.3*1.3,0)),"-")</f>
        <v>-</v>
      </c>
      <c r="V266" s="63" t="str">
        <f>IF($J266=V$3,IF(V$3&gt;$I266,"-",ROUNDUP(Ld_cal($B266, $C266, $D266, $G266,$E266, $F266, $H266, V$3)*1.3*1.3,0)),"-")</f>
        <v>-</v>
      </c>
      <c r="W266" s="63" t="str">
        <f>IF($J266=W$3,IF(W$3&gt;$I266,"-",ROUNDUP(Ld_cal($B266, $C266, $D266, $G266,$E266, $F266, $H266, W$3)*1.3*1.3,0)),"-")</f>
        <v>-</v>
      </c>
      <c r="X266" s="63" t="str">
        <f>IF($J266=X$3,IF(X$3&gt;$I266,"-",ROUNDUP(Ld_cal($B266, $C266, $D266, $G266,$E266, $F266, $H266, X$3)*1.3*1.3,0)),"-")</f>
        <v>-</v>
      </c>
      <c r="Y266" s="63" t="str">
        <f>IF($J266=Y$3,IF(Y$3&gt;$I266,"-",ROUNDUP(Ld_cal($B266, $C266, $D266, $G266,$E266, $F266, $H266, Y$3)*1.3*1.3,0)),"-")</f>
        <v>-</v>
      </c>
      <c r="Z266" s="63" t="str">
        <f>IF($J266=Z$3,IF(Z$3&gt;$I266,"-",ROUNDUP(Ld_cal($B266, $C266, $D266, $G266,$E266, $F266, $H266, Z$3)*1.3*1.3,0)),"-")</f>
        <v>-</v>
      </c>
      <c r="AA266" s="63" t="str">
        <f>IF($J266=AA$3,IF(AA$3&gt;$I266,"-",ROUNDUP(Ld_cal($B266, $C266, $D266, $G266,$E266, $F266, $H266, AA$3)*1.3*1.3,0)),"-")</f>
        <v>-</v>
      </c>
      <c r="AB266" s="63" t="str">
        <f>IF($J266=AB$3,IF(AB$3&gt;$I266,"-",ROUNDUP(Ld_cal($B266, $C266, $D266, $G266,$E266, $F266, $H266, AB$3)*1.3*1.3,0)),"-")</f>
        <v>-</v>
      </c>
      <c r="AC266" s="63" t="str">
        <f>IF($J266=AC$3,IF(AC$3&gt;$I266,"-",ROUNDUP(Ld_cal($B266, $C266, $D266, $G266,$E266, $F266, $H266, AC$3)*1.3*1.3,0)),"-")</f>
        <v>-</v>
      </c>
      <c r="AD266" s="63">
        <f t="shared" ref="AD266" si="258">IF(J266&gt;I266,"依標準圖",MAX(L266:AC266))</f>
        <v>136</v>
      </c>
    </row>
    <row r="267" spans="1:30">
      <c r="A267" s="106"/>
      <c r="B267" s="107"/>
      <c r="C267" s="108"/>
      <c r="D267" s="107"/>
      <c r="E267" s="109"/>
      <c r="F267" s="110"/>
      <c r="G267" s="107"/>
      <c r="H267" s="109"/>
      <c r="I267" s="111"/>
      <c r="J267" s="62">
        <v>17</v>
      </c>
      <c r="K267" s="40" t="s">
        <v>29</v>
      </c>
      <c r="L267" s="63" t="str">
        <f>IF($J267=L$3,IF(L$3&gt;$I266,"-",ROUNDUP(Ld_cal($B266, $C266, $D266, $G266,$E266, $F266, $H266, L$3)*1.3,0)),"-")</f>
        <v>-</v>
      </c>
      <c r="M267" s="63" t="str">
        <f>IF($J267=M$3,IF(M$3&gt;$I266,"-",ROUNDUP(Ld_cal($B266, $C266, $D266, $G266,$E266, $F266, $H266, M$3)*1.3,0)),"-")</f>
        <v>-</v>
      </c>
      <c r="N267" s="63" t="str">
        <f>IF($J267=N$3,IF(N$3&gt;$I266,"-",ROUNDUP(Ld_cal($B266, $C266, $D266, $G266,$E266, $F266, $H266, N$3)*1.3,0)),"-")</f>
        <v>-</v>
      </c>
      <c r="O267" s="63" t="str">
        <f>IF($J267=O$3,IF(O$3&gt;$I266,"-",ROUNDUP(Ld_cal($B266, $C266, $D266, $G266,$E266, $F266, $H266, O$3)*1.3,0)),"-")</f>
        <v>-</v>
      </c>
      <c r="P267" s="63" t="str">
        <f>IF($J267=P$3,IF(P$3&gt;$I266,"-",ROUNDUP(Ld_cal($B266, $C266, $D266, $G266,$E266, $F266, $H266, P$3)*1.3,0)),"-")</f>
        <v>-</v>
      </c>
      <c r="Q267" s="63" t="str">
        <f>IF($J267=Q$3,IF(Q$3&gt;$I266,"-",ROUNDUP(Ld_cal($B266, $C266, $D266, $G266,$E266, $F266, $H266, Q$3)*1.3,0)),"-")</f>
        <v>-</v>
      </c>
      <c r="R267" s="63" t="str">
        <f>IF($J267=R$3,IF(R$3&gt;$I266,"-",ROUNDUP(Ld_cal($B266, $C266, $D266, $G266,$E266, $F266, $H266, R$3)*1.3,0)),"-")</f>
        <v>-</v>
      </c>
      <c r="S267" s="63" t="str">
        <f>IF($J267=S$3,IF(S$3&gt;$I266,"-",ROUNDUP(Ld_cal($B266, $C266, $D266, $G266,$E266, $F266, $H266, S$3)*1.3,0)),"-")</f>
        <v>-</v>
      </c>
      <c r="T267" s="63" t="str">
        <f>IF($J267=T$3,IF(T$3&gt;$I266,"-",ROUNDUP(Ld_cal($B266, $C266, $D266, $G266,$E266, $F266, $H266, T$3)*1.3,0)),"-")</f>
        <v>-</v>
      </c>
      <c r="U267" s="63" t="str">
        <f>IF($J267=U$3,IF(U$3&gt;$I266,"-",ROUNDUP(Ld_cal($B266, $C266, $D266, $G266,$E266, $F266, $H266, U$3)*1.3,0)),"-")</f>
        <v>-</v>
      </c>
      <c r="V267" s="63" t="str">
        <f>IF($J267=V$3,IF(V$3&gt;$I266,"-",ROUNDUP(Ld_cal($B266, $C266, $D266, $G266,$E266, $F266, $H266, V$3)*1.3,0)),"-")</f>
        <v>-</v>
      </c>
      <c r="W267" s="63" t="str">
        <f>IF($J267=W$3,IF(W$3&gt;$I266,"-",ROUNDUP(Ld_cal($B266, $C266, $D266, $G266,$E266, $F266, $H266, W$3)*1.3,0)),"-")</f>
        <v>-</v>
      </c>
      <c r="X267" s="63" t="str">
        <f>IF($J267=X$3,IF(X$3&gt;$I266,"-",ROUNDUP(Ld_cal($B266, $C266, $D266, $G266,$E266, $F266, $H266, X$3)*1.3,0)),"-")</f>
        <v>-</v>
      </c>
      <c r="Y267" s="63" t="str">
        <f>IF($J267=Y$3,IF(Y$3&gt;$I266,"-",ROUNDUP(Ld_cal($B266, $C266, $D266, $G266,$E266, $F266, $H266, Y$3)*1.3,0)),"-")</f>
        <v>-</v>
      </c>
      <c r="Z267" s="63">
        <f>IF($J267=Z$3,IF(Z$3&gt;$I266,"-",ROUNDUP(Ld_cal($B266, $C266, $D266, $G266,$E266, $F266, $H266, Z$3)*1.3,0)),"-")</f>
        <v>156</v>
      </c>
      <c r="AA267" s="63" t="str">
        <f>IF($J267=AA$3,IF(AA$3&gt;$I266,"-",ROUNDUP(Ld_cal($B266, $C266, $D266, $G266,$E266, $F266, $H266, AA$3)*1.3,0)),"-")</f>
        <v>-</v>
      </c>
      <c r="AB267" s="63" t="str">
        <f>IF($J267=AB$3,IF(AB$3&gt;$I266,"-",ROUNDUP(Ld_cal($B266, $C266, $D266, $G266,$E266, $F266, $H266, AB$3)*1.3,0)),"-")</f>
        <v>-</v>
      </c>
      <c r="AC267" s="63" t="str">
        <f>IF($J267=AC$3,IF(AC$3&gt;$I266,"-",ROUNDUP(Ld_cal($B266, $C266, $D266, $G266,$E266, $F266, $H266, AC$3)*1.3,0)),"-")</f>
        <v>-</v>
      </c>
      <c r="AD267" s="63">
        <f t="shared" ref="AD267" si="259">IF(J267&gt;I266,"依標準圖",MAX(L267:AC267))</f>
        <v>156</v>
      </c>
    </row>
    <row r="268" spans="1:30">
      <c r="A268" s="97" t="s">
        <v>178</v>
      </c>
      <c r="B268" s="99">
        <v>150</v>
      </c>
      <c r="C268" s="100">
        <v>7.5</v>
      </c>
      <c r="D268" s="101">
        <v>4200</v>
      </c>
      <c r="E268" s="102">
        <v>16</v>
      </c>
      <c r="F268" s="103">
        <v>7</v>
      </c>
      <c r="G268" s="101">
        <v>350</v>
      </c>
      <c r="H268" s="102">
        <v>32</v>
      </c>
      <c r="I268" s="104">
        <f>ROUNDDOWN(($B268-2*$C268-2*$E268/10-$H268/10)/(($D$1+1)*$H268/10),0)+1</f>
        <v>21</v>
      </c>
      <c r="J268" s="60">
        <v>19</v>
      </c>
      <c r="K268" s="64" t="s">
        <v>30</v>
      </c>
      <c r="L268" s="61" t="str">
        <f>IF($J268=L$3,IF(L$3&gt;$I268,"-",ROUNDUP(Ld_cal($B268, $C268, $D268, $G268,$E268, $F268, $H268, L$3)*1.3*1.3,0)),"-")</f>
        <v>-</v>
      </c>
      <c r="M268" s="61" t="str">
        <f>IF($J268=M$3,IF(M$3&gt;$I268,"-",ROUNDUP(Ld_cal($B268, $C268, $D268, $G268,$E268, $F268, $H268, M$3)*1.3*1.3,0)),"-")</f>
        <v>-</v>
      </c>
      <c r="N268" s="61" t="str">
        <f>IF($J268=N$3,IF(N$3&gt;$I268,"-",ROUNDUP(Ld_cal($B268, $C268, $D268, $G268,$E268, $F268, $H268, N$3)*1.3*1.3,0)),"-")</f>
        <v>-</v>
      </c>
      <c r="O268" s="61" t="str">
        <f>IF($J268=O$3,IF(O$3&gt;$I268,"-",ROUNDUP(Ld_cal($B268, $C268, $D268, $G268,$E268, $F268, $H268, O$3)*1.3*1.3,0)),"-")</f>
        <v>-</v>
      </c>
      <c r="P268" s="61" t="str">
        <f>IF($J268=P$3,IF(P$3&gt;$I268,"-",ROUNDUP(Ld_cal($B268, $C268, $D268, $G268,$E268, $F268, $H268, P$3)*1.3*1.3,0)),"-")</f>
        <v>-</v>
      </c>
      <c r="Q268" s="61" t="str">
        <f>IF($J268=Q$3,IF(Q$3&gt;$I268,"-",ROUNDUP(Ld_cal($B268, $C268, $D268, $G268,$E268, $F268, $H268, Q$3)*1.3*1.3,0)),"-")</f>
        <v>-</v>
      </c>
      <c r="R268" s="61" t="str">
        <f>IF($J268=R$3,IF(R$3&gt;$I268,"-",ROUNDUP(Ld_cal($B268, $C268, $D268, $G268,$E268, $F268, $H268, R$3)*1.3*1.3,0)),"-")</f>
        <v>-</v>
      </c>
      <c r="S268" s="61" t="str">
        <f>IF($J268=S$3,IF(S$3&gt;$I268,"-",ROUNDUP(Ld_cal($B268, $C268, $D268, $G268,$E268, $F268, $H268, S$3)*1.3*1.3,0)),"-")</f>
        <v>-</v>
      </c>
      <c r="T268" s="61" t="str">
        <f>IF($J268=T$3,IF(T$3&gt;$I268,"-",ROUNDUP(Ld_cal($B268, $C268, $D268, $G268,$E268, $F268, $H268, T$3)*1.3*1.3,0)),"-")</f>
        <v>-</v>
      </c>
      <c r="U268" s="61" t="str">
        <f>IF($J268=U$3,IF(U$3&gt;$I268,"-",ROUNDUP(Ld_cal($B268, $C268, $D268, $G268,$E268, $F268, $H268, U$3)*1.3*1.3,0)),"-")</f>
        <v>-</v>
      </c>
      <c r="V268" s="61" t="str">
        <f>IF($J268=V$3,IF(V$3&gt;$I268,"-",ROUNDUP(Ld_cal($B268, $C268, $D268, $G268,$E268, $F268, $H268, V$3)*1.3*1.3,0)),"-")</f>
        <v>-</v>
      </c>
      <c r="W268" s="61" t="str">
        <f>IF($J268=W$3,IF(W$3&gt;$I268,"-",ROUNDUP(Ld_cal($B268, $C268, $D268, $G268,$E268, $F268, $H268, W$3)*1.3*1.3,0)),"-")</f>
        <v>-</v>
      </c>
      <c r="X268" s="61" t="str">
        <f>IF($J268=X$3,IF(X$3&gt;$I268,"-",ROUNDUP(Ld_cal($B268, $C268, $D268, $G268,$E268, $F268, $H268, X$3)*1.3*1.3,0)),"-")</f>
        <v>-</v>
      </c>
      <c r="Y268" s="61" t="str">
        <f>IF($J268=Y$3,IF(Y$3&gt;$I268,"-",ROUNDUP(Ld_cal($B268, $C268, $D268, $G268,$E268, $F268, $H268, Y$3)*1.3*1.3,0)),"-")</f>
        <v>-</v>
      </c>
      <c r="Z268" s="61" t="str">
        <f>IF($J268=Z$3,IF(Z$3&gt;$I268,"-",ROUNDUP(Ld_cal($B268, $C268, $D268, $G268,$E268, $F268, $H268, Z$3)*1.3*1.3,0)),"-")</f>
        <v>-</v>
      </c>
      <c r="AA268" s="61" t="str">
        <f>IF($J268=AA$3,IF(AA$3&gt;$I268,"-",ROUNDUP(Ld_cal($B268, $C268, $D268, $G268,$E268, $F268, $H268, AA$3)*1.3*1.3,0)),"-")</f>
        <v>-</v>
      </c>
      <c r="AB268" s="61">
        <f>IF($J268=AB$3,IF(AB$3&gt;$I268,"-",ROUNDUP(Ld_cal($B268, $C268, $D268, $G268,$E268, $F268, $H268, AB$3)*1.3*1.3,0)),"-")</f>
        <v>228</v>
      </c>
      <c r="AC268" s="61" t="str">
        <f>IF($J268=AC$3,IF(AC$3&gt;$I268,"-",ROUNDUP(Ld_cal($B268, $C268, $D268, $G268,$E268, $F268, $H268, AC$3)*1.3*1.3,0)),"-")</f>
        <v>-</v>
      </c>
      <c r="AD268" s="61">
        <f t="shared" ref="AD268" si="260">IF(J268&gt;I268,"依標準圖",MAX(L268:AC268))</f>
        <v>228</v>
      </c>
    </row>
    <row r="269" spans="1:30">
      <c r="A269" s="98"/>
      <c r="B269" s="99"/>
      <c r="C269" s="100"/>
      <c r="D269" s="101"/>
      <c r="E269" s="102"/>
      <c r="F269" s="103"/>
      <c r="G269" s="101"/>
      <c r="H269" s="102"/>
      <c r="I269" s="104"/>
      <c r="J269" s="60">
        <v>17</v>
      </c>
      <c r="K269" s="64" t="s">
        <v>29</v>
      </c>
      <c r="L269" s="61" t="str">
        <f>IF($J269=L$3,IF(L$3&gt;$I268,"-",ROUNDUP(Ld_cal($B268, $C268, $D268, $G268,$E268, $F268, $H268, L$3)*1.3,0)),"-")</f>
        <v>-</v>
      </c>
      <c r="M269" s="61" t="str">
        <f>IF($J269=M$3,IF(M$3&gt;$I268,"-",ROUNDUP(Ld_cal($B268, $C268, $D268, $G268,$E268, $F268, $H268, M$3)*1.3,0)),"-")</f>
        <v>-</v>
      </c>
      <c r="N269" s="61" t="str">
        <f>IF($J269=N$3,IF(N$3&gt;$I268,"-",ROUNDUP(Ld_cal($B268, $C268, $D268, $G268,$E268, $F268, $H268, N$3)*1.3,0)),"-")</f>
        <v>-</v>
      </c>
      <c r="O269" s="61" t="str">
        <f>IF($J269=O$3,IF(O$3&gt;$I268,"-",ROUNDUP(Ld_cal($B268, $C268, $D268, $G268,$E268, $F268, $H268, O$3)*1.3,0)),"-")</f>
        <v>-</v>
      </c>
      <c r="P269" s="61" t="str">
        <f>IF($J269=P$3,IF(P$3&gt;$I268,"-",ROUNDUP(Ld_cal($B268, $C268, $D268, $G268,$E268, $F268, $H268, P$3)*1.3,0)),"-")</f>
        <v>-</v>
      </c>
      <c r="Q269" s="61" t="str">
        <f>IF($J269=Q$3,IF(Q$3&gt;$I268,"-",ROUNDUP(Ld_cal($B268, $C268, $D268, $G268,$E268, $F268, $H268, Q$3)*1.3,0)),"-")</f>
        <v>-</v>
      </c>
      <c r="R269" s="61" t="str">
        <f>IF($J269=R$3,IF(R$3&gt;$I268,"-",ROUNDUP(Ld_cal($B268, $C268, $D268, $G268,$E268, $F268, $H268, R$3)*1.3,0)),"-")</f>
        <v>-</v>
      </c>
      <c r="S269" s="61" t="str">
        <f>IF($J269=S$3,IF(S$3&gt;$I268,"-",ROUNDUP(Ld_cal($B268, $C268, $D268, $G268,$E268, $F268, $H268, S$3)*1.3,0)),"-")</f>
        <v>-</v>
      </c>
      <c r="T269" s="61" t="str">
        <f>IF($J269=T$3,IF(T$3&gt;$I268,"-",ROUNDUP(Ld_cal($B268, $C268, $D268, $G268,$E268, $F268, $H268, T$3)*1.3,0)),"-")</f>
        <v>-</v>
      </c>
      <c r="U269" s="61" t="str">
        <f>IF($J269=U$3,IF(U$3&gt;$I268,"-",ROUNDUP(Ld_cal($B268, $C268, $D268, $G268,$E268, $F268, $H268, U$3)*1.3,0)),"-")</f>
        <v>-</v>
      </c>
      <c r="V269" s="61" t="str">
        <f>IF($J269=V$3,IF(V$3&gt;$I268,"-",ROUNDUP(Ld_cal($B268, $C268, $D268, $G268,$E268, $F268, $H268, V$3)*1.3,0)),"-")</f>
        <v>-</v>
      </c>
      <c r="W269" s="61" t="str">
        <f>IF($J269=W$3,IF(W$3&gt;$I268,"-",ROUNDUP(Ld_cal($B268, $C268, $D268, $G268,$E268, $F268, $H268, W$3)*1.3,0)),"-")</f>
        <v>-</v>
      </c>
      <c r="X269" s="61" t="str">
        <f>IF($J269=X$3,IF(X$3&gt;$I268,"-",ROUNDUP(Ld_cal($B268, $C268, $D268, $G268,$E268, $F268, $H268, X$3)*1.3,0)),"-")</f>
        <v>-</v>
      </c>
      <c r="Y269" s="61" t="str">
        <f>IF($J269=Y$3,IF(Y$3&gt;$I268,"-",ROUNDUP(Ld_cal($B268, $C268, $D268, $G268,$E268, $F268, $H268, Y$3)*1.3,0)),"-")</f>
        <v>-</v>
      </c>
      <c r="Z269" s="61">
        <f>IF($J269=Z$3,IF(Z$3&gt;$I268,"-",ROUNDUP(Ld_cal($B268, $C268, $D268, $G268,$E268, $F268, $H268, Z$3)*1.3,0)),"-")</f>
        <v>156</v>
      </c>
      <c r="AA269" s="61" t="str">
        <f>IF($J269=AA$3,IF(AA$3&gt;$I268,"-",ROUNDUP(Ld_cal($B268, $C268, $D268, $G268,$E268, $F268, $H268, AA$3)*1.3,0)),"-")</f>
        <v>-</v>
      </c>
      <c r="AB269" s="61" t="str">
        <f>IF($J269=AB$3,IF(AB$3&gt;$I268,"-",ROUNDUP(Ld_cal($B268, $C268, $D268, $G268,$E268, $F268, $H268, AB$3)*1.3,0)),"-")</f>
        <v>-</v>
      </c>
      <c r="AC269" s="61" t="str">
        <f>IF($J269=AC$3,IF(AC$3&gt;$I268,"-",ROUNDUP(Ld_cal($B268, $C268, $D268, $G268,$E268, $F268, $H268, AC$3)*1.3,0)),"-")</f>
        <v>-</v>
      </c>
      <c r="AD269" s="61">
        <f t="shared" ref="AD269" si="261">IF(J269&gt;I268,"依標準圖",MAX(L269:AC269))</f>
        <v>156</v>
      </c>
    </row>
    <row r="270" spans="1:30">
      <c r="A270" s="105" t="s">
        <v>179</v>
      </c>
      <c r="B270" s="107">
        <v>120</v>
      </c>
      <c r="C270" s="108">
        <v>7.5</v>
      </c>
      <c r="D270" s="107">
        <v>4200</v>
      </c>
      <c r="E270" s="109">
        <v>16</v>
      </c>
      <c r="F270" s="110">
        <v>25</v>
      </c>
      <c r="G270" s="107">
        <v>350</v>
      </c>
      <c r="H270" s="109">
        <v>32</v>
      </c>
      <c r="I270" s="111">
        <f>ROUNDDOWN(($B270-2*$C270-2*$E270/10-$H270/10)/(($D$1+1)*$H270/10),0)+1</f>
        <v>16</v>
      </c>
      <c r="J270" s="62">
        <v>9</v>
      </c>
      <c r="K270" s="40" t="s">
        <v>30</v>
      </c>
      <c r="L270" s="63" t="str">
        <f>IF($J270=L$3,IF(L$3&gt;$I270,"-",ROUNDUP(Ld_cal($B270, $C270, $D270, $G270,$E270, $F270, $H270, L$3)*1.3*1.3,0)),"-")</f>
        <v>-</v>
      </c>
      <c r="M270" s="63" t="str">
        <f>IF($J270=M$3,IF(M$3&gt;$I270,"-",ROUNDUP(Ld_cal($B270, $C270, $D270, $G270,$E270, $F270, $H270, M$3)*1.3*1.3,0)),"-")</f>
        <v>-</v>
      </c>
      <c r="N270" s="63" t="str">
        <f>IF($J270=N$3,IF(N$3&gt;$I270,"-",ROUNDUP(Ld_cal($B270, $C270, $D270, $G270,$E270, $F270, $H270, N$3)*1.3*1.3,0)),"-")</f>
        <v>-</v>
      </c>
      <c r="O270" s="63" t="str">
        <f>IF($J270=O$3,IF(O$3&gt;$I270,"-",ROUNDUP(Ld_cal($B270, $C270, $D270, $G270,$E270, $F270, $H270, O$3)*1.3*1.3,0)),"-")</f>
        <v>-</v>
      </c>
      <c r="P270" s="63" t="str">
        <f>IF($J270=P$3,IF(P$3&gt;$I270,"-",ROUNDUP(Ld_cal($B270, $C270, $D270, $G270,$E270, $F270, $H270, P$3)*1.3*1.3,0)),"-")</f>
        <v>-</v>
      </c>
      <c r="Q270" s="63" t="str">
        <f>IF($J270=Q$3,IF(Q$3&gt;$I270,"-",ROUNDUP(Ld_cal($B270, $C270, $D270, $G270,$E270, $F270, $H270, Q$3)*1.3*1.3,0)),"-")</f>
        <v>-</v>
      </c>
      <c r="R270" s="63">
        <f>IF($J270=R$3,IF(R$3&gt;$I270,"-",ROUNDUP(Ld_cal($B270, $C270, $D270, $G270,$E270, $F270, $H270, R$3)*1.3*1.3,0)),"-")</f>
        <v>159</v>
      </c>
      <c r="S270" s="63" t="str">
        <f>IF($J270=S$3,IF(S$3&gt;$I270,"-",ROUNDUP(Ld_cal($B270, $C270, $D270, $G270,$E270, $F270, $H270, S$3)*1.3*1.3,0)),"-")</f>
        <v>-</v>
      </c>
      <c r="T270" s="63" t="str">
        <f>IF($J270=T$3,IF(T$3&gt;$I270,"-",ROUNDUP(Ld_cal($B270, $C270, $D270, $G270,$E270, $F270, $H270, T$3)*1.3*1.3,0)),"-")</f>
        <v>-</v>
      </c>
      <c r="U270" s="63" t="str">
        <f>IF($J270=U$3,IF(U$3&gt;$I270,"-",ROUNDUP(Ld_cal($B270, $C270, $D270, $G270,$E270, $F270, $H270, U$3)*1.3*1.3,0)),"-")</f>
        <v>-</v>
      </c>
      <c r="V270" s="63" t="str">
        <f>IF($J270=V$3,IF(V$3&gt;$I270,"-",ROUNDUP(Ld_cal($B270, $C270, $D270, $G270,$E270, $F270, $H270, V$3)*1.3*1.3,0)),"-")</f>
        <v>-</v>
      </c>
      <c r="W270" s="63" t="str">
        <f>IF($J270=W$3,IF(W$3&gt;$I270,"-",ROUNDUP(Ld_cal($B270, $C270, $D270, $G270,$E270, $F270, $H270, W$3)*1.3*1.3,0)),"-")</f>
        <v>-</v>
      </c>
      <c r="X270" s="63" t="str">
        <f>IF($J270=X$3,IF(X$3&gt;$I270,"-",ROUNDUP(Ld_cal($B270, $C270, $D270, $G270,$E270, $F270, $H270, X$3)*1.3*1.3,0)),"-")</f>
        <v>-</v>
      </c>
      <c r="Y270" s="63" t="str">
        <f>IF($J270=Y$3,IF(Y$3&gt;$I270,"-",ROUNDUP(Ld_cal($B270, $C270, $D270, $G270,$E270, $F270, $H270, Y$3)*1.3*1.3,0)),"-")</f>
        <v>-</v>
      </c>
      <c r="Z270" s="63" t="str">
        <f>IF($J270=Z$3,IF(Z$3&gt;$I270,"-",ROUNDUP(Ld_cal($B270, $C270, $D270, $G270,$E270, $F270, $H270, Z$3)*1.3*1.3,0)),"-")</f>
        <v>-</v>
      </c>
      <c r="AA270" s="63" t="str">
        <f>IF($J270=AA$3,IF(AA$3&gt;$I270,"-",ROUNDUP(Ld_cal($B270, $C270, $D270, $G270,$E270, $F270, $H270, AA$3)*1.3*1.3,0)),"-")</f>
        <v>-</v>
      </c>
      <c r="AB270" s="63" t="str">
        <f>IF($J270=AB$3,IF(AB$3&gt;$I270,"-",ROUNDUP(Ld_cal($B270, $C270, $D270, $G270,$E270, $F270, $H270, AB$3)*1.3*1.3,0)),"-")</f>
        <v>-</v>
      </c>
      <c r="AC270" s="63" t="str">
        <f>IF($J270=AC$3,IF(AC$3&gt;$I270,"-",ROUNDUP(Ld_cal($B270, $C270, $D270, $G270,$E270, $F270, $H270, AC$3)*1.3*1.3,0)),"-")</f>
        <v>-</v>
      </c>
      <c r="AD270" s="63">
        <f t="shared" ref="AD270" si="262">IF(J270&gt;I270,"依標準圖",MAX(L270:AC270))</f>
        <v>159</v>
      </c>
    </row>
    <row r="271" spans="1:30">
      <c r="A271" s="106"/>
      <c r="B271" s="107"/>
      <c r="C271" s="108"/>
      <c r="D271" s="107"/>
      <c r="E271" s="109"/>
      <c r="F271" s="110"/>
      <c r="G271" s="107"/>
      <c r="H271" s="109"/>
      <c r="I271" s="111"/>
      <c r="J271" s="62">
        <v>5</v>
      </c>
      <c r="K271" s="40" t="s">
        <v>29</v>
      </c>
      <c r="L271" s="63" t="str">
        <f>IF($J271=L$3,IF(L$3&gt;$I270,"-",ROUNDUP(Ld_cal($B270, $C270, $D270, $G270,$E270, $F270, $H270, L$3)*1.3,0)),"-")</f>
        <v>-</v>
      </c>
      <c r="M271" s="63" t="str">
        <f>IF($J271=M$3,IF(M$3&gt;$I270,"-",ROUNDUP(Ld_cal($B270, $C270, $D270, $G270,$E270, $F270, $H270, M$3)*1.3,0)),"-")</f>
        <v>-</v>
      </c>
      <c r="N271" s="63">
        <f>IF($J271=N$3,IF(N$3&gt;$I270,"-",ROUNDUP(Ld_cal($B270, $C270, $D270, $G270,$E270, $F270, $H270, N$3)*1.3,0)),"-")</f>
        <v>105</v>
      </c>
      <c r="O271" s="63" t="str">
        <f>IF($J271=O$3,IF(O$3&gt;$I270,"-",ROUNDUP(Ld_cal($B270, $C270, $D270, $G270,$E270, $F270, $H270, O$3)*1.3,0)),"-")</f>
        <v>-</v>
      </c>
      <c r="P271" s="63" t="str">
        <f>IF($J271=P$3,IF(P$3&gt;$I270,"-",ROUNDUP(Ld_cal($B270, $C270, $D270, $G270,$E270, $F270, $H270, P$3)*1.3,0)),"-")</f>
        <v>-</v>
      </c>
      <c r="Q271" s="63" t="str">
        <f>IF($J271=Q$3,IF(Q$3&gt;$I270,"-",ROUNDUP(Ld_cal($B270, $C270, $D270, $G270,$E270, $F270, $H270, Q$3)*1.3,0)),"-")</f>
        <v>-</v>
      </c>
      <c r="R271" s="63" t="str">
        <f>IF($J271=R$3,IF(R$3&gt;$I270,"-",ROUNDUP(Ld_cal($B270, $C270, $D270, $G270,$E270, $F270, $H270, R$3)*1.3,0)),"-")</f>
        <v>-</v>
      </c>
      <c r="S271" s="63" t="str">
        <f>IF($J271=S$3,IF(S$3&gt;$I270,"-",ROUNDUP(Ld_cal($B270, $C270, $D270, $G270,$E270, $F270, $H270, S$3)*1.3,0)),"-")</f>
        <v>-</v>
      </c>
      <c r="T271" s="63" t="str">
        <f>IF($J271=T$3,IF(T$3&gt;$I270,"-",ROUNDUP(Ld_cal($B270, $C270, $D270, $G270,$E270, $F270, $H270, T$3)*1.3,0)),"-")</f>
        <v>-</v>
      </c>
      <c r="U271" s="63" t="str">
        <f>IF($J271=U$3,IF(U$3&gt;$I270,"-",ROUNDUP(Ld_cal($B270, $C270, $D270, $G270,$E270, $F270, $H270, U$3)*1.3,0)),"-")</f>
        <v>-</v>
      </c>
      <c r="V271" s="63" t="str">
        <f>IF($J271=V$3,IF(V$3&gt;$I270,"-",ROUNDUP(Ld_cal($B270, $C270, $D270, $G270,$E270, $F270, $H270, V$3)*1.3,0)),"-")</f>
        <v>-</v>
      </c>
      <c r="W271" s="63" t="str">
        <f>IF($J271=W$3,IF(W$3&gt;$I270,"-",ROUNDUP(Ld_cal($B270, $C270, $D270, $G270,$E270, $F270, $H270, W$3)*1.3,0)),"-")</f>
        <v>-</v>
      </c>
      <c r="X271" s="63" t="str">
        <f>IF($J271=X$3,IF(X$3&gt;$I270,"-",ROUNDUP(Ld_cal($B270, $C270, $D270, $G270,$E270, $F270, $H270, X$3)*1.3,0)),"-")</f>
        <v>-</v>
      </c>
      <c r="Y271" s="63" t="str">
        <f>IF($J271=Y$3,IF(Y$3&gt;$I270,"-",ROUNDUP(Ld_cal($B270, $C270, $D270, $G270,$E270, $F270, $H270, Y$3)*1.3,0)),"-")</f>
        <v>-</v>
      </c>
      <c r="Z271" s="63" t="str">
        <f>IF($J271=Z$3,IF(Z$3&gt;$I270,"-",ROUNDUP(Ld_cal($B270, $C270, $D270, $G270,$E270, $F270, $H270, Z$3)*1.3,0)),"-")</f>
        <v>-</v>
      </c>
      <c r="AA271" s="63" t="str">
        <f>IF($J271=AA$3,IF(AA$3&gt;$I270,"-",ROUNDUP(Ld_cal($B270, $C270, $D270, $G270,$E270, $F270, $H270, AA$3)*1.3,0)),"-")</f>
        <v>-</v>
      </c>
      <c r="AB271" s="63" t="str">
        <f>IF($J271=AB$3,IF(AB$3&gt;$I270,"-",ROUNDUP(Ld_cal($B270, $C270, $D270, $G270,$E270, $F270, $H270, AB$3)*1.3,0)),"-")</f>
        <v>-</v>
      </c>
      <c r="AC271" s="63" t="str">
        <f>IF($J271=AC$3,IF(AC$3&gt;$I270,"-",ROUNDUP(Ld_cal($B270, $C270, $D270, $G270,$E270, $F270, $H270, AC$3)*1.3,0)),"-")</f>
        <v>-</v>
      </c>
      <c r="AD271" s="63">
        <f t="shared" ref="AD271" si="263">IF(J271&gt;I270,"依標準圖",MAX(L271:AC271))</f>
        <v>105</v>
      </c>
    </row>
    <row r="272" spans="1:30">
      <c r="A272" s="97" t="s">
        <v>180</v>
      </c>
      <c r="B272" s="99">
        <v>120</v>
      </c>
      <c r="C272" s="100">
        <v>7.5</v>
      </c>
      <c r="D272" s="101">
        <v>4200</v>
      </c>
      <c r="E272" s="102">
        <v>16</v>
      </c>
      <c r="F272" s="103">
        <v>25</v>
      </c>
      <c r="G272" s="101">
        <v>350</v>
      </c>
      <c r="H272" s="102">
        <v>32</v>
      </c>
      <c r="I272" s="104">
        <f>ROUNDDOWN(($B272-2*$C272-2*$E272/10-$H272/10)/(($D$1+1)*$H272/10),0)+1</f>
        <v>16</v>
      </c>
      <c r="J272" s="60">
        <v>16</v>
      </c>
      <c r="K272" s="64" t="s">
        <v>30</v>
      </c>
      <c r="L272" s="61" t="str">
        <f>IF($J272=L$3,IF(L$3&gt;$I272,"-",ROUNDUP(Ld_cal($B272, $C272, $D272, $G272,$E272, $F272, $H272, L$3)*1.3*1.3,0)),"-")</f>
        <v>-</v>
      </c>
      <c r="M272" s="61" t="str">
        <f>IF($J272=M$3,IF(M$3&gt;$I272,"-",ROUNDUP(Ld_cal($B272, $C272, $D272, $G272,$E272, $F272, $H272, M$3)*1.3*1.3,0)),"-")</f>
        <v>-</v>
      </c>
      <c r="N272" s="61" t="str">
        <f>IF($J272=N$3,IF(N$3&gt;$I272,"-",ROUNDUP(Ld_cal($B272, $C272, $D272, $G272,$E272, $F272, $H272, N$3)*1.3*1.3,0)),"-")</f>
        <v>-</v>
      </c>
      <c r="O272" s="61" t="str">
        <f>IF($J272=O$3,IF(O$3&gt;$I272,"-",ROUNDUP(Ld_cal($B272, $C272, $D272, $G272,$E272, $F272, $H272, O$3)*1.3*1.3,0)),"-")</f>
        <v>-</v>
      </c>
      <c r="P272" s="61" t="str">
        <f>IF($J272=P$3,IF(P$3&gt;$I272,"-",ROUNDUP(Ld_cal($B272, $C272, $D272, $G272,$E272, $F272, $H272, P$3)*1.3*1.3,0)),"-")</f>
        <v>-</v>
      </c>
      <c r="Q272" s="61" t="str">
        <f>IF($J272=Q$3,IF(Q$3&gt;$I272,"-",ROUNDUP(Ld_cal($B272, $C272, $D272, $G272,$E272, $F272, $H272, Q$3)*1.3*1.3,0)),"-")</f>
        <v>-</v>
      </c>
      <c r="R272" s="61" t="str">
        <f>IF($J272=R$3,IF(R$3&gt;$I272,"-",ROUNDUP(Ld_cal($B272, $C272, $D272, $G272,$E272, $F272, $H272, R$3)*1.3*1.3,0)),"-")</f>
        <v>-</v>
      </c>
      <c r="S272" s="61" t="str">
        <f>IF($J272=S$3,IF(S$3&gt;$I272,"-",ROUNDUP(Ld_cal($B272, $C272, $D272, $G272,$E272, $F272, $H272, S$3)*1.3*1.3,0)),"-")</f>
        <v>-</v>
      </c>
      <c r="T272" s="61" t="str">
        <f>IF($J272=T$3,IF(T$3&gt;$I272,"-",ROUNDUP(Ld_cal($B272, $C272, $D272, $G272,$E272, $F272, $H272, T$3)*1.3*1.3,0)),"-")</f>
        <v>-</v>
      </c>
      <c r="U272" s="61" t="str">
        <f>IF($J272=U$3,IF(U$3&gt;$I272,"-",ROUNDUP(Ld_cal($B272, $C272, $D272, $G272,$E272, $F272, $H272, U$3)*1.3*1.3,0)),"-")</f>
        <v>-</v>
      </c>
      <c r="V272" s="61" t="str">
        <f>IF($J272=V$3,IF(V$3&gt;$I272,"-",ROUNDUP(Ld_cal($B272, $C272, $D272, $G272,$E272, $F272, $H272, V$3)*1.3*1.3,0)),"-")</f>
        <v>-</v>
      </c>
      <c r="W272" s="61" t="str">
        <f>IF($J272=W$3,IF(W$3&gt;$I272,"-",ROUNDUP(Ld_cal($B272, $C272, $D272, $G272,$E272, $F272, $H272, W$3)*1.3*1.3,0)),"-")</f>
        <v>-</v>
      </c>
      <c r="X272" s="61" t="str">
        <f>IF($J272=X$3,IF(X$3&gt;$I272,"-",ROUNDUP(Ld_cal($B272, $C272, $D272, $G272,$E272, $F272, $H272, X$3)*1.3*1.3,0)),"-")</f>
        <v>-</v>
      </c>
      <c r="Y272" s="61">
        <f>IF($J272=Y$3,IF(Y$3&gt;$I272,"-",ROUNDUP(Ld_cal($B272, $C272, $D272, $G272,$E272, $F272, $H272, Y$3)*1.3*1.3,0)),"-")</f>
        <v>295</v>
      </c>
      <c r="Z272" s="61" t="str">
        <f>IF($J272=Z$3,IF(Z$3&gt;$I272,"-",ROUNDUP(Ld_cal($B272, $C272, $D272, $G272,$E272, $F272, $H272, Z$3)*1.3*1.3,0)),"-")</f>
        <v>-</v>
      </c>
      <c r="AA272" s="61" t="str">
        <f>IF($J272=AA$3,IF(AA$3&gt;$I272,"-",ROUNDUP(Ld_cal($B272, $C272, $D272, $G272,$E272, $F272, $H272, AA$3)*1.3*1.3,0)),"-")</f>
        <v>-</v>
      </c>
      <c r="AB272" s="61" t="str">
        <f>IF($J272=AB$3,IF(AB$3&gt;$I272,"-",ROUNDUP(Ld_cal($B272, $C272, $D272, $G272,$E272, $F272, $H272, AB$3)*1.3*1.3,0)),"-")</f>
        <v>-</v>
      </c>
      <c r="AC272" s="61" t="str">
        <f>IF($J272=AC$3,IF(AC$3&gt;$I272,"-",ROUNDUP(Ld_cal($B272, $C272, $D272, $G272,$E272, $F272, $H272, AC$3)*1.3*1.3,0)),"-")</f>
        <v>-</v>
      </c>
      <c r="AD272" s="61">
        <f t="shared" ref="AD272" si="264">IF(J272&gt;I272,"依標準圖",MAX(L272:AC272))</f>
        <v>295</v>
      </c>
    </row>
    <row r="273" spans="1:30">
      <c r="A273" s="98"/>
      <c r="B273" s="99"/>
      <c r="C273" s="100"/>
      <c r="D273" s="101"/>
      <c r="E273" s="102"/>
      <c r="F273" s="103"/>
      <c r="G273" s="101"/>
      <c r="H273" s="102"/>
      <c r="I273" s="104"/>
      <c r="J273" s="60">
        <v>5</v>
      </c>
      <c r="K273" s="64" t="s">
        <v>29</v>
      </c>
      <c r="L273" s="61" t="str">
        <f>IF($J273=L$3,IF(L$3&gt;$I272,"-",ROUNDUP(Ld_cal($B272, $C272, $D272, $G272,$E272, $F272, $H272, L$3)*1.3,0)),"-")</f>
        <v>-</v>
      </c>
      <c r="M273" s="61" t="str">
        <f>IF($J273=M$3,IF(M$3&gt;$I272,"-",ROUNDUP(Ld_cal($B272, $C272, $D272, $G272,$E272, $F272, $H272, M$3)*1.3,0)),"-")</f>
        <v>-</v>
      </c>
      <c r="N273" s="61">
        <f>IF($J273=N$3,IF(N$3&gt;$I272,"-",ROUNDUP(Ld_cal($B272, $C272, $D272, $G272,$E272, $F272, $H272, N$3)*1.3,0)),"-")</f>
        <v>105</v>
      </c>
      <c r="O273" s="61" t="str">
        <f>IF($J273=O$3,IF(O$3&gt;$I272,"-",ROUNDUP(Ld_cal($B272, $C272, $D272, $G272,$E272, $F272, $H272, O$3)*1.3,0)),"-")</f>
        <v>-</v>
      </c>
      <c r="P273" s="61" t="str">
        <f>IF($J273=P$3,IF(P$3&gt;$I272,"-",ROUNDUP(Ld_cal($B272, $C272, $D272, $G272,$E272, $F272, $H272, P$3)*1.3,0)),"-")</f>
        <v>-</v>
      </c>
      <c r="Q273" s="61" t="str">
        <f>IF($J273=Q$3,IF(Q$3&gt;$I272,"-",ROUNDUP(Ld_cal($B272, $C272, $D272, $G272,$E272, $F272, $H272, Q$3)*1.3,0)),"-")</f>
        <v>-</v>
      </c>
      <c r="R273" s="61" t="str">
        <f>IF($J273=R$3,IF(R$3&gt;$I272,"-",ROUNDUP(Ld_cal($B272, $C272, $D272, $G272,$E272, $F272, $H272, R$3)*1.3,0)),"-")</f>
        <v>-</v>
      </c>
      <c r="S273" s="61" t="str">
        <f>IF($J273=S$3,IF(S$3&gt;$I272,"-",ROUNDUP(Ld_cal($B272, $C272, $D272, $G272,$E272, $F272, $H272, S$3)*1.3,0)),"-")</f>
        <v>-</v>
      </c>
      <c r="T273" s="61" t="str">
        <f>IF($J273=T$3,IF(T$3&gt;$I272,"-",ROUNDUP(Ld_cal($B272, $C272, $D272, $G272,$E272, $F272, $H272, T$3)*1.3,0)),"-")</f>
        <v>-</v>
      </c>
      <c r="U273" s="61" t="str">
        <f>IF($J273=U$3,IF(U$3&gt;$I272,"-",ROUNDUP(Ld_cal($B272, $C272, $D272, $G272,$E272, $F272, $H272, U$3)*1.3,0)),"-")</f>
        <v>-</v>
      </c>
      <c r="V273" s="61" t="str">
        <f>IF($J273=V$3,IF(V$3&gt;$I272,"-",ROUNDUP(Ld_cal($B272, $C272, $D272, $G272,$E272, $F272, $H272, V$3)*1.3,0)),"-")</f>
        <v>-</v>
      </c>
      <c r="W273" s="61" t="str">
        <f>IF($J273=W$3,IF(W$3&gt;$I272,"-",ROUNDUP(Ld_cal($B272, $C272, $D272, $G272,$E272, $F272, $H272, W$3)*1.3,0)),"-")</f>
        <v>-</v>
      </c>
      <c r="X273" s="61" t="str">
        <f>IF($J273=X$3,IF(X$3&gt;$I272,"-",ROUNDUP(Ld_cal($B272, $C272, $D272, $G272,$E272, $F272, $H272, X$3)*1.3,0)),"-")</f>
        <v>-</v>
      </c>
      <c r="Y273" s="61" t="str">
        <f>IF($J273=Y$3,IF(Y$3&gt;$I272,"-",ROUNDUP(Ld_cal($B272, $C272, $D272, $G272,$E272, $F272, $H272, Y$3)*1.3,0)),"-")</f>
        <v>-</v>
      </c>
      <c r="Z273" s="61" t="str">
        <f>IF($J273=Z$3,IF(Z$3&gt;$I272,"-",ROUNDUP(Ld_cal($B272, $C272, $D272, $G272,$E272, $F272, $H272, Z$3)*1.3,0)),"-")</f>
        <v>-</v>
      </c>
      <c r="AA273" s="61" t="str">
        <f>IF($J273=AA$3,IF(AA$3&gt;$I272,"-",ROUNDUP(Ld_cal($B272, $C272, $D272, $G272,$E272, $F272, $H272, AA$3)*1.3,0)),"-")</f>
        <v>-</v>
      </c>
      <c r="AB273" s="61" t="str">
        <f>IF($J273=AB$3,IF(AB$3&gt;$I272,"-",ROUNDUP(Ld_cal($B272, $C272, $D272, $G272,$E272, $F272, $H272, AB$3)*1.3,0)),"-")</f>
        <v>-</v>
      </c>
      <c r="AC273" s="61" t="str">
        <f>IF($J273=AC$3,IF(AC$3&gt;$I272,"-",ROUNDUP(Ld_cal($B272, $C272, $D272, $G272,$E272, $F272, $H272, AC$3)*1.3,0)),"-")</f>
        <v>-</v>
      </c>
      <c r="AD273" s="61">
        <f t="shared" ref="AD273" si="265">IF(J273&gt;I272,"依標準圖",MAX(L273:AC273))</f>
        <v>105</v>
      </c>
    </row>
    <row r="274" spans="1:30">
      <c r="A274" s="105" t="s">
        <v>181</v>
      </c>
      <c r="B274" s="107">
        <v>120</v>
      </c>
      <c r="C274" s="108">
        <v>7.5</v>
      </c>
      <c r="D274" s="107">
        <v>4200</v>
      </c>
      <c r="E274" s="109">
        <v>16</v>
      </c>
      <c r="F274" s="110">
        <v>20</v>
      </c>
      <c r="G274" s="107">
        <v>350</v>
      </c>
      <c r="H274" s="109">
        <v>32</v>
      </c>
      <c r="I274" s="111">
        <f>ROUNDDOWN(($B274-2*$C274-2*$E274/10-$H274/10)/(($D$1+1)*$H274/10),0)+1</f>
        <v>16</v>
      </c>
      <c r="J274" s="62">
        <v>16</v>
      </c>
      <c r="K274" s="40" t="s">
        <v>30</v>
      </c>
      <c r="L274" s="63" t="str">
        <f>IF($J274=L$3,IF(L$3&gt;$I274,"-",ROUNDUP(Ld_cal($B274, $C274, $D274, $G274,$E274, $F274, $H274, L$3)*1.3*1.3,0)),"-")</f>
        <v>-</v>
      </c>
      <c r="M274" s="63" t="str">
        <f>IF($J274=M$3,IF(M$3&gt;$I274,"-",ROUNDUP(Ld_cal($B274, $C274, $D274, $G274,$E274, $F274, $H274, M$3)*1.3*1.3,0)),"-")</f>
        <v>-</v>
      </c>
      <c r="N274" s="63" t="str">
        <f>IF($J274=N$3,IF(N$3&gt;$I274,"-",ROUNDUP(Ld_cal($B274, $C274, $D274, $G274,$E274, $F274, $H274, N$3)*1.3*1.3,0)),"-")</f>
        <v>-</v>
      </c>
      <c r="O274" s="63" t="str">
        <f>IF($J274=O$3,IF(O$3&gt;$I274,"-",ROUNDUP(Ld_cal($B274, $C274, $D274, $G274,$E274, $F274, $H274, O$3)*1.3*1.3,0)),"-")</f>
        <v>-</v>
      </c>
      <c r="P274" s="63" t="str">
        <f>IF($J274=P$3,IF(P$3&gt;$I274,"-",ROUNDUP(Ld_cal($B274, $C274, $D274, $G274,$E274, $F274, $H274, P$3)*1.3*1.3,0)),"-")</f>
        <v>-</v>
      </c>
      <c r="Q274" s="63" t="str">
        <f>IF($J274=Q$3,IF(Q$3&gt;$I274,"-",ROUNDUP(Ld_cal($B274, $C274, $D274, $G274,$E274, $F274, $H274, Q$3)*1.3*1.3,0)),"-")</f>
        <v>-</v>
      </c>
      <c r="R274" s="63" t="str">
        <f>IF($J274=R$3,IF(R$3&gt;$I274,"-",ROUNDUP(Ld_cal($B274, $C274, $D274, $G274,$E274, $F274, $H274, R$3)*1.3*1.3,0)),"-")</f>
        <v>-</v>
      </c>
      <c r="S274" s="63" t="str">
        <f>IF($J274=S$3,IF(S$3&gt;$I274,"-",ROUNDUP(Ld_cal($B274, $C274, $D274, $G274,$E274, $F274, $H274, S$3)*1.3*1.3,0)),"-")</f>
        <v>-</v>
      </c>
      <c r="T274" s="63" t="str">
        <f>IF($J274=T$3,IF(T$3&gt;$I274,"-",ROUNDUP(Ld_cal($B274, $C274, $D274, $G274,$E274, $F274, $H274, T$3)*1.3*1.3,0)),"-")</f>
        <v>-</v>
      </c>
      <c r="U274" s="63" t="str">
        <f>IF($J274=U$3,IF(U$3&gt;$I274,"-",ROUNDUP(Ld_cal($B274, $C274, $D274, $G274,$E274, $F274, $H274, U$3)*1.3*1.3,0)),"-")</f>
        <v>-</v>
      </c>
      <c r="V274" s="63" t="str">
        <f>IF($J274=V$3,IF(V$3&gt;$I274,"-",ROUNDUP(Ld_cal($B274, $C274, $D274, $G274,$E274, $F274, $H274, V$3)*1.3*1.3,0)),"-")</f>
        <v>-</v>
      </c>
      <c r="W274" s="63" t="str">
        <f>IF($J274=W$3,IF(W$3&gt;$I274,"-",ROUNDUP(Ld_cal($B274, $C274, $D274, $G274,$E274, $F274, $H274, W$3)*1.3*1.3,0)),"-")</f>
        <v>-</v>
      </c>
      <c r="X274" s="63" t="str">
        <f>IF($J274=X$3,IF(X$3&gt;$I274,"-",ROUNDUP(Ld_cal($B274, $C274, $D274, $G274,$E274, $F274, $H274, X$3)*1.3*1.3,0)),"-")</f>
        <v>-</v>
      </c>
      <c r="Y274" s="63">
        <f>IF($J274=Y$3,IF(Y$3&gt;$I274,"-",ROUNDUP(Ld_cal($B274, $C274, $D274, $G274,$E274, $F274, $H274, Y$3)*1.3*1.3,0)),"-")</f>
        <v>288</v>
      </c>
      <c r="Z274" s="63" t="str">
        <f>IF($J274=Z$3,IF(Z$3&gt;$I274,"-",ROUNDUP(Ld_cal($B274, $C274, $D274, $G274,$E274, $F274, $H274, Z$3)*1.3*1.3,0)),"-")</f>
        <v>-</v>
      </c>
      <c r="AA274" s="63" t="str">
        <f>IF($J274=AA$3,IF(AA$3&gt;$I274,"-",ROUNDUP(Ld_cal($B274, $C274, $D274, $G274,$E274, $F274, $H274, AA$3)*1.3*1.3,0)),"-")</f>
        <v>-</v>
      </c>
      <c r="AB274" s="63" t="str">
        <f>IF($J274=AB$3,IF(AB$3&gt;$I274,"-",ROUNDUP(Ld_cal($B274, $C274, $D274, $G274,$E274, $F274, $H274, AB$3)*1.3*1.3,0)),"-")</f>
        <v>-</v>
      </c>
      <c r="AC274" s="63" t="str">
        <f>IF($J274=AC$3,IF(AC$3&gt;$I274,"-",ROUNDUP(Ld_cal($B274, $C274, $D274, $G274,$E274, $F274, $H274, AC$3)*1.3*1.3,0)),"-")</f>
        <v>-</v>
      </c>
      <c r="AD274" s="63">
        <f t="shared" ref="AD274" si="266">IF(J274&gt;I274,"依標準圖",MAX(L274:AC274))</f>
        <v>288</v>
      </c>
    </row>
    <row r="275" spans="1:30">
      <c r="A275" s="106"/>
      <c r="B275" s="107"/>
      <c r="C275" s="108"/>
      <c r="D275" s="107"/>
      <c r="E275" s="109"/>
      <c r="F275" s="110"/>
      <c r="G275" s="107"/>
      <c r="H275" s="109"/>
      <c r="I275" s="111"/>
      <c r="J275" s="62">
        <v>8</v>
      </c>
      <c r="K275" s="40" t="s">
        <v>29</v>
      </c>
      <c r="L275" s="63" t="str">
        <f>IF($J275=L$3,IF(L$3&gt;$I274,"-",ROUNDUP(Ld_cal($B274, $C274, $D274, $G274,$E274, $F274, $H274, L$3)*1.3,0)),"-")</f>
        <v>-</v>
      </c>
      <c r="M275" s="63" t="str">
        <f>IF($J275=M$3,IF(M$3&gt;$I274,"-",ROUNDUP(Ld_cal($B274, $C274, $D274, $G274,$E274, $F274, $H274, M$3)*1.3,0)),"-")</f>
        <v>-</v>
      </c>
      <c r="N275" s="63" t="str">
        <f>IF($J275=N$3,IF(N$3&gt;$I274,"-",ROUNDUP(Ld_cal($B274, $C274, $D274, $G274,$E274, $F274, $H274, N$3)*1.3,0)),"-")</f>
        <v>-</v>
      </c>
      <c r="O275" s="63" t="str">
        <f>IF($J275=O$3,IF(O$3&gt;$I274,"-",ROUNDUP(Ld_cal($B274, $C274, $D274, $G274,$E274, $F274, $H274, O$3)*1.3,0)),"-")</f>
        <v>-</v>
      </c>
      <c r="P275" s="63" t="str">
        <f>IF($J275=P$3,IF(P$3&gt;$I274,"-",ROUNDUP(Ld_cal($B274, $C274, $D274, $G274,$E274, $F274, $H274, P$3)*1.3,0)),"-")</f>
        <v>-</v>
      </c>
      <c r="Q275" s="63">
        <f>IF($J275=Q$3,IF(Q$3&gt;$I274,"-",ROUNDUP(Ld_cal($B274, $C274, $D274, $G274,$E274, $F274, $H274, Q$3)*1.3,0)),"-")</f>
        <v>105</v>
      </c>
      <c r="R275" s="63" t="str">
        <f>IF($J275=R$3,IF(R$3&gt;$I274,"-",ROUNDUP(Ld_cal($B274, $C274, $D274, $G274,$E274, $F274, $H274, R$3)*1.3,0)),"-")</f>
        <v>-</v>
      </c>
      <c r="S275" s="63" t="str">
        <f>IF($J275=S$3,IF(S$3&gt;$I274,"-",ROUNDUP(Ld_cal($B274, $C274, $D274, $G274,$E274, $F274, $H274, S$3)*1.3,0)),"-")</f>
        <v>-</v>
      </c>
      <c r="T275" s="63" t="str">
        <f>IF($J275=T$3,IF(T$3&gt;$I274,"-",ROUNDUP(Ld_cal($B274, $C274, $D274, $G274,$E274, $F274, $H274, T$3)*1.3,0)),"-")</f>
        <v>-</v>
      </c>
      <c r="U275" s="63" t="str">
        <f>IF($J275=U$3,IF(U$3&gt;$I274,"-",ROUNDUP(Ld_cal($B274, $C274, $D274, $G274,$E274, $F274, $H274, U$3)*1.3,0)),"-")</f>
        <v>-</v>
      </c>
      <c r="V275" s="63" t="str">
        <f>IF($J275=V$3,IF(V$3&gt;$I274,"-",ROUNDUP(Ld_cal($B274, $C274, $D274, $G274,$E274, $F274, $H274, V$3)*1.3,0)),"-")</f>
        <v>-</v>
      </c>
      <c r="W275" s="63" t="str">
        <f>IF($J275=W$3,IF(W$3&gt;$I274,"-",ROUNDUP(Ld_cal($B274, $C274, $D274, $G274,$E274, $F274, $H274, W$3)*1.3,0)),"-")</f>
        <v>-</v>
      </c>
      <c r="X275" s="63" t="str">
        <f>IF($J275=X$3,IF(X$3&gt;$I274,"-",ROUNDUP(Ld_cal($B274, $C274, $D274, $G274,$E274, $F274, $H274, X$3)*1.3,0)),"-")</f>
        <v>-</v>
      </c>
      <c r="Y275" s="63" t="str">
        <f>IF($J275=Y$3,IF(Y$3&gt;$I274,"-",ROUNDUP(Ld_cal($B274, $C274, $D274, $G274,$E274, $F274, $H274, Y$3)*1.3,0)),"-")</f>
        <v>-</v>
      </c>
      <c r="Z275" s="63" t="str">
        <f>IF($J275=Z$3,IF(Z$3&gt;$I274,"-",ROUNDUP(Ld_cal($B274, $C274, $D274, $G274,$E274, $F274, $H274, Z$3)*1.3,0)),"-")</f>
        <v>-</v>
      </c>
      <c r="AA275" s="63" t="str">
        <f>IF($J275=AA$3,IF(AA$3&gt;$I274,"-",ROUNDUP(Ld_cal($B274, $C274, $D274, $G274,$E274, $F274, $H274, AA$3)*1.3,0)),"-")</f>
        <v>-</v>
      </c>
      <c r="AB275" s="63" t="str">
        <f>IF($J275=AB$3,IF(AB$3&gt;$I274,"-",ROUNDUP(Ld_cal($B274, $C274, $D274, $G274,$E274, $F274, $H274, AB$3)*1.3,0)),"-")</f>
        <v>-</v>
      </c>
      <c r="AC275" s="63" t="str">
        <f>IF($J275=AC$3,IF(AC$3&gt;$I274,"-",ROUNDUP(Ld_cal($B274, $C274, $D274, $G274,$E274, $F274, $H274, AC$3)*1.3,0)),"-")</f>
        <v>-</v>
      </c>
      <c r="AD275" s="63">
        <f t="shared" ref="AD275" si="267">IF(J275&gt;I274,"依標準圖",MAX(L275:AC275))</f>
        <v>105</v>
      </c>
    </row>
    <row r="276" spans="1:30">
      <c r="A276" s="97" t="s">
        <v>182</v>
      </c>
      <c r="B276" s="99">
        <v>120</v>
      </c>
      <c r="C276" s="100">
        <v>7.5</v>
      </c>
      <c r="D276" s="101">
        <v>4200</v>
      </c>
      <c r="E276" s="102">
        <v>16</v>
      </c>
      <c r="F276" s="103">
        <v>5</v>
      </c>
      <c r="G276" s="101">
        <v>350</v>
      </c>
      <c r="H276" s="102">
        <v>32</v>
      </c>
      <c r="I276" s="104">
        <f>ROUNDDOWN(($B276-2*$C276-2*$E276/10-$H276/10)/(($D$1+1)*$H276/10),0)+1</f>
        <v>16</v>
      </c>
      <c r="J276" s="60">
        <v>16</v>
      </c>
      <c r="K276" s="64" t="s">
        <v>30</v>
      </c>
      <c r="L276" s="61" t="str">
        <f>IF($J276=L$3,IF(L$3&gt;$I276,"-",ROUNDUP(Ld_cal($B276, $C276, $D276, $G276,$E276, $F276, $H276, L$3)*1.3*1.3,0)),"-")</f>
        <v>-</v>
      </c>
      <c r="M276" s="61" t="str">
        <f>IF($J276=M$3,IF(M$3&gt;$I276,"-",ROUNDUP(Ld_cal($B276, $C276, $D276, $G276,$E276, $F276, $H276, M$3)*1.3*1.3,0)),"-")</f>
        <v>-</v>
      </c>
      <c r="N276" s="61" t="str">
        <f>IF($J276=N$3,IF(N$3&gt;$I276,"-",ROUNDUP(Ld_cal($B276, $C276, $D276, $G276,$E276, $F276, $H276, N$3)*1.3*1.3,0)),"-")</f>
        <v>-</v>
      </c>
      <c r="O276" s="61" t="str">
        <f>IF($J276=O$3,IF(O$3&gt;$I276,"-",ROUNDUP(Ld_cal($B276, $C276, $D276, $G276,$E276, $F276, $H276, O$3)*1.3*1.3,0)),"-")</f>
        <v>-</v>
      </c>
      <c r="P276" s="61" t="str">
        <f>IF($J276=P$3,IF(P$3&gt;$I276,"-",ROUNDUP(Ld_cal($B276, $C276, $D276, $G276,$E276, $F276, $H276, P$3)*1.3*1.3,0)),"-")</f>
        <v>-</v>
      </c>
      <c r="Q276" s="61" t="str">
        <f>IF($J276=Q$3,IF(Q$3&gt;$I276,"-",ROUNDUP(Ld_cal($B276, $C276, $D276, $G276,$E276, $F276, $H276, Q$3)*1.3*1.3,0)),"-")</f>
        <v>-</v>
      </c>
      <c r="R276" s="61" t="str">
        <f>IF($J276=R$3,IF(R$3&gt;$I276,"-",ROUNDUP(Ld_cal($B276, $C276, $D276, $G276,$E276, $F276, $H276, R$3)*1.3*1.3,0)),"-")</f>
        <v>-</v>
      </c>
      <c r="S276" s="61" t="str">
        <f>IF($J276=S$3,IF(S$3&gt;$I276,"-",ROUNDUP(Ld_cal($B276, $C276, $D276, $G276,$E276, $F276, $H276, S$3)*1.3*1.3,0)),"-")</f>
        <v>-</v>
      </c>
      <c r="T276" s="61" t="str">
        <f>IF($J276=T$3,IF(T$3&gt;$I276,"-",ROUNDUP(Ld_cal($B276, $C276, $D276, $G276,$E276, $F276, $H276, T$3)*1.3*1.3,0)),"-")</f>
        <v>-</v>
      </c>
      <c r="U276" s="61" t="str">
        <f>IF($J276=U$3,IF(U$3&gt;$I276,"-",ROUNDUP(Ld_cal($B276, $C276, $D276, $G276,$E276, $F276, $H276, U$3)*1.3*1.3,0)),"-")</f>
        <v>-</v>
      </c>
      <c r="V276" s="61" t="str">
        <f>IF($J276=V$3,IF(V$3&gt;$I276,"-",ROUNDUP(Ld_cal($B276, $C276, $D276, $G276,$E276, $F276, $H276, V$3)*1.3*1.3,0)),"-")</f>
        <v>-</v>
      </c>
      <c r="W276" s="61" t="str">
        <f>IF($J276=W$3,IF(W$3&gt;$I276,"-",ROUNDUP(Ld_cal($B276, $C276, $D276, $G276,$E276, $F276, $H276, W$3)*1.3*1.3,0)),"-")</f>
        <v>-</v>
      </c>
      <c r="X276" s="61" t="str">
        <f>IF($J276=X$3,IF(X$3&gt;$I276,"-",ROUNDUP(Ld_cal($B276, $C276, $D276, $G276,$E276, $F276, $H276, X$3)*1.3*1.3,0)),"-")</f>
        <v>-</v>
      </c>
      <c r="Y276" s="61">
        <f>IF($J276=Y$3,IF(Y$3&gt;$I276,"-",ROUNDUP(Ld_cal($B276, $C276, $D276, $G276,$E276, $F276, $H276, Y$3)*1.3*1.3,0)),"-")</f>
        <v>206</v>
      </c>
      <c r="Z276" s="61" t="str">
        <f>IF($J276=Z$3,IF(Z$3&gt;$I276,"-",ROUNDUP(Ld_cal($B276, $C276, $D276, $G276,$E276, $F276, $H276, Z$3)*1.3*1.3,0)),"-")</f>
        <v>-</v>
      </c>
      <c r="AA276" s="61" t="str">
        <f>IF($J276=AA$3,IF(AA$3&gt;$I276,"-",ROUNDUP(Ld_cal($B276, $C276, $D276, $G276,$E276, $F276, $H276, AA$3)*1.3*1.3,0)),"-")</f>
        <v>-</v>
      </c>
      <c r="AB276" s="61" t="str">
        <f>IF($J276=AB$3,IF(AB$3&gt;$I276,"-",ROUNDUP(Ld_cal($B276, $C276, $D276, $G276,$E276, $F276, $H276, AB$3)*1.3*1.3,0)),"-")</f>
        <v>-</v>
      </c>
      <c r="AC276" s="61" t="str">
        <f>IF($J276=AC$3,IF(AC$3&gt;$I276,"-",ROUNDUP(Ld_cal($B276, $C276, $D276, $G276,$E276, $F276, $H276, AC$3)*1.3*1.3,0)),"-")</f>
        <v>-</v>
      </c>
      <c r="AD276" s="61">
        <f t="shared" ref="AD276" si="268">IF(J276&gt;I276,"依標準圖",MAX(L276:AC276))</f>
        <v>206</v>
      </c>
    </row>
    <row r="277" spans="1:30">
      <c r="A277" s="98"/>
      <c r="B277" s="99"/>
      <c r="C277" s="100"/>
      <c r="D277" s="101"/>
      <c r="E277" s="102"/>
      <c r="F277" s="103"/>
      <c r="G277" s="101"/>
      <c r="H277" s="102"/>
      <c r="I277" s="104"/>
      <c r="J277" s="60">
        <v>16</v>
      </c>
      <c r="K277" s="64" t="s">
        <v>29</v>
      </c>
      <c r="L277" s="61" t="str">
        <f>IF($J277=L$3,IF(L$3&gt;$I276,"-",ROUNDUP(Ld_cal($B276, $C276, $D276, $G276,$E276, $F276, $H276, L$3)*1.3,0)),"-")</f>
        <v>-</v>
      </c>
      <c r="M277" s="61" t="str">
        <f>IF($J277=M$3,IF(M$3&gt;$I276,"-",ROUNDUP(Ld_cal($B276, $C276, $D276, $G276,$E276, $F276, $H276, M$3)*1.3,0)),"-")</f>
        <v>-</v>
      </c>
      <c r="N277" s="61" t="str">
        <f>IF($J277=N$3,IF(N$3&gt;$I276,"-",ROUNDUP(Ld_cal($B276, $C276, $D276, $G276,$E276, $F276, $H276, N$3)*1.3,0)),"-")</f>
        <v>-</v>
      </c>
      <c r="O277" s="61" t="str">
        <f>IF($J277=O$3,IF(O$3&gt;$I276,"-",ROUNDUP(Ld_cal($B276, $C276, $D276, $G276,$E276, $F276, $H276, O$3)*1.3,0)),"-")</f>
        <v>-</v>
      </c>
      <c r="P277" s="61" t="str">
        <f>IF($J277=P$3,IF(P$3&gt;$I276,"-",ROUNDUP(Ld_cal($B276, $C276, $D276, $G276,$E276, $F276, $H276, P$3)*1.3,0)),"-")</f>
        <v>-</v>
      </c>
      <c r="Q277" s="61" t="str">
        <f>IF($J277=Q$3,IF(Q$3&gt;$I276,"-",ROUNDUP(Ld_cal($B276, $C276, $D276, $G276,$E276, $F276, $H276, Q$3)*1.3,0)),"-")</f>
        <v>-</v>
      </c>
      <c r="R277" s="61" t="str">
        <f>IF($J277=R$3,IF(R$3&gt;$I276,"-",ROUNDUP(Ld_cal($B276, $C276, $D276, $G276,$E276, $F276, $H276, R$3)*1.3,0)),"-")</f>
        <v>-</v>
      </c>
      <c r="S277" s="61" t="str">
        <f>IF($J277=S$3,IF(S$3&gt;$I276,"-",ROUNDUP(Ld_cal($B276, $C276, $D276, $G276,$E276, $F276, $H276, S$3)*1.3,0)),"-")</f>
        <v>-</v>
      </c>
      <c r="T277" s="61" t="str">
        <f>IF($J277=T$3,IF(T$3&gt;$I276,"-",ROUNDUP(Ld_cal($B276, $C276, $D276, $G276,$E276, $F276, $H276, T$3)*1.3,0)),"-")</f>
        <v>-</v>
      </c>
      <c r="U277" s="61" t="str">
        <f>IF($J277=U$3,IF(U$3&gt;$I276,"-",ROUNDUP(Ld_cal($B276, $C276, $D276, $G276,$E276, $F276, $H276, U$3)*1.3,0)),"-")</f>
        <v>-</v>
      </c>
      <c r="V277" s="61" t="str">
        <f>IF($J277=V$3,IF(V$3&gt;$I276,"-",ROUNDUP(Ld_cal($B276, $C276, $D276, $G276,$E276, $F276, $H276, V$3)*1.3,0)),"-")</f>
        <v>-</v>
      </c>
      <c r="W277" s="61" t="str">
        <f>IF($J277=W$3,IF(W$3&gt;$I276,"-",ROUNDUP(Ld_cal($B276, $C276, $D276, $G276,$E276, $F276, $H276, W$3)*1.3,0)),"-")</f>
        <v>-</v>
      </c>
      <c r="X277" s="61" t="str">
        <f>IF($J277=X$3,IF(X$3&gt;$I276,"-",ROUNDUP(Ld_cal($B276, $C276, $D276, $G276,$E276, $F276, $H276, X$3)*1.3,0)),"-")</f>
        <v>-</v>
      </c>
      <c r="Y277" s="61">
        <f>IF($J277=Y$3,IF(Y$3&gt;$I276,"-",ROUNDUP(Ld_cal($B276, $C276, $D276, $G276,$E276, $F276, $H276, Y$3)*1.3,0)),"-")</f>
        <v>158</v>
      </c>
      <c r="Z277" s="61" t="str">
        <f>IF($J277=Z$3,IF(Z$3&gt;$I276,"-",ROUNDUP(Ld_cal($B276, $C276, $D276, $G276,$E276, $F276, $H276, Z$3)*1.3,0)),"-")</f>
        <v>-</v>
      </c>
      <c r="AA277" s="61" t="str">
        <f>IF($J277=AA$3,IF(AA$3&gt;$I276,"-",ROUNDUP(Ld_cal($B276, $C276, $D276, $G276,$E276, $F276, $H276, AA$3)*1.3,0)),"-")</f>
        <v>-</v>
      </c>
      <c r="AB277" s="61" t="str">
        <f>IF($J277=AB$3,IF(AB$3&gt;$I276,"-",ROUNDUP(Ld_cal($B276, $C276, $D276, $G276,$E276, $F276, $H276, AB$3)*1.3,0)),"-")</f>
        <v>-</v>
      </c>
      <c r="AC277" s="61" t="str">
        <f>IF($J277=AC$3,IF(AC$3&gt;$I276,"-",ROUNDUP(Ld_cal($B276, $C276, $D276, $G276,$E276, $F276, $H276, AC$3)*1.3,0)),"-")</f>
        <v>-</v>
      </c>
      <c r="AD277" s="61">
        <f t="shared" ref="AD277" si="269">IF(J277&gt;I276,"依標準圖",MAX(L277:AC277))</f>
        <v>158</v>
      </c>
    </row>
    <row r="278" spans="1:30">
      <c r="A278" s="105" t="s">
        <v>183</v>
      </c>
      <c r="B278" s="107">
        <v>150</v>
      </c>
      <c r="C278" s="108">
        <v>7.5</v>
      </c>
      <c r="D278" s="107">
        <v>4200</v>
      </c>
      <c r="E278" s="109">
        <v>16</v>
      </c>
      <c r="F278" s="110">
        <v>7</v>
      </c>
      <c r="G278" s="107">
        <v>350</v>
      </c>
      <c r="H278" s="109">
        <v>32</v>
      </c>
      <c r="I278" s="111">
        <f>ROUNDDOWN(($B278-2*$C278-2*$E278/10-$H278/10)/(($D$1+1)*$H278/10),0)+1</f>
        <v>21</v>
      </c>
      <c r="J278" s="62">
        <v>11</v>
      </c>
      <c r="K278" s="40" t="s">
        <v>30</v>
      </c>
      <c r="L278" s="63" t="str">
        <f>IF($J278=L$3,IF(L$3&gt;$I278,"-",ROUNDUP(Ld_cal($B278, $C278, $D278, $G278,$E278, $F278, $H278, L$3)*1.3*1.3,0)),"-")</f>
        <v>-</v>
      </c>
      <c r="M278" s="63" t="str">
        <f>IF($J278=M$3,IF(M$3&gt;$I278,"-",ROUNDUP(Ld_cal($B278, $C278, $D278, $G278,$E278, $F278, $H278, M$3)*1.3*1.3,0)),"-")</f>
        <v>-</v>
      </c>
      <c r="N278" s="63" t="str">
        <f>IF($J278=N$3,IF(N$3&gt;$I278,"-",ROUNDUP(Ld_cal($B278, $C278, $D278, $G278,$E278, $F278, $H278, N$3)*1.3*1.3,0)),"-")</f>
        <v>-</v>
      </c>
      <c r="O278" s="63" t="str">
        <f>IF($J278=O$3,IF(O$3&gt;$I278,"-",ROUNDUP(Ld_cal($B278, $C278, $D278, $G278,$E278, $F278, $H278, O$3)*1.3*1.3,0)),"-")</f>
        <v>-</v>
      </c>
      <c r="P278" s="63" t="str">
        <f>IF($J278=P$3,IF(P$3&gt;$I278,"-",ROUNDUP(Ld_cal($B278, $C278, $D278, $G278,$E278, $F278, $H278, P$3)*1.3*1.3,0)),"-")</f>
        <v>-</v>
      </c>
      <c r="Q278" s="63" t="str">
        <f>IF($J278=Q$3,IF(Q$3&gt;$I278,"-",ROUNDUP(Ld_cal($B278, $C278, $D278, $G278,$E278, $F278, $H278, Q$3)*1.3*1.3,0)),"-")</f>
        <v>-</v>
      </c>
      <c r="R278" s="63" t="str">
        <f>IF($J278=R$3,IF(R$3&gt;$I278,"-",ROUNDUP(Ld_cal($B278, $C278, $D278, $G278,$E278, $F278, $H278, R$3)*1.3*1.3,0)),"-")</f>
        <v>-</v>
      </c>
      <c r="S278" s="63" t="str">
        <f>IF($J278=S$3,IF(S$3&gt;$I278,"-",ROUNDUP(Ld_cal($B278, $C278, $D278, $G278,$E278, $F278, $H278, S$3)*1.3*1.3,0)),"-")</f>
        <v>-</v>
      </c>
      <c r="T278" s="63">
        <f>IF($J278=T$3,IF(T$3&gt;$I278,"-",ROUNDUP(Ld_cal($B278, $C278, $D278, $G278,$E278, $F278, $H278, T$3)*1.3*1.3,0)),"-")</f>
        <v>136</v>
      </c>
      <c r="U278" s="63" t="str">
        <f>IF($J278=U$3,IF(U$3&gt;$I278,"-",ROUNDUP(Ld_cal($B278, $C278, $D278, $G278,$E278, $F278, $H278, U$3)*1.3*1.3,0)),"-")</f>
        <v>-</v>
      </c>
      <c r="V278" s="63" t="str">
        <f>IF($J278=V$3,IF(V$3&gt;$I278,"-",ROUNDUP(Ld_cal($B278, $C278, $D278, $G278,$E278, $F278, $H278, V$3)*1.3*1.3,0)),"-")</f>
        <v>-</v>
      </c>
      <c r="W278" s="63" t="str">
        <f>IF($J278=W$3,IF(W$3&gt;$I278,"-",ROUNDUP(Ld_cal($B278, $C278, $D278, $G278,$E278, $F278, $H278, W$3)*1.3*1.3,0)),"-")</f>
        <v>-</v>
      </c>
      <c r="X278" s="63" t="str">
        <f>IF($J278=X$3,IF(X$3&gt;$I278,"-",ROUNDUP(Ld_cal($B278, $C278, $D278, $G278,$E278, $F278, $H278, X$3)*1.3*1.3,0)),"-")</f>
        <v>-</v>
      </c>
      <c r="Y278" s="63" t="str">
        <f>IF($J278=Y$3,IF(Y$3&gt;$I278,"-",ROUNDUP(Ld_cal($B278, $C278, $D278, $G278,$E278, $F278, $H278, Y$3)*1.3*1.3,0)),"-")</f>
        <v>-</v>
      </c>
      <c r="Z278" s="63" t="str">
        <f>IF($J278=Z$3,IF(Z$3&gt;$I278,"-",ROUNDUP(Ld_cal($B278, $C278, $D278, $G278,$E278, $F278, $H278, Z$3)*1.3*1.3,0)),"-")</f>
        <v>-</v>
      </c>
      <c r="AA278" s="63" t="str">
        <f>IF($J278=AA$3,IF(AA$3&gt;$I278,"-",ROUNDUP(Ld_cal($B278, $C278, $D278, $G278,$E278, $F278, $H278, AA$3)*1.3*1.3,0)),"-")</f>
        <v>-</v>
      </c>
      <c r="AB278" s="63" t="str">
        <f>IF($J278=AB$3,IF(AB$3&gt;$I278,"-",ROUNDUP(Ld_cal($B278, $C278, $D278, $G278,$E278, $F278, $H278, AB$3)*1.3*1.3,0)),"-")</f>
        <v>-</v>
      </c>
      <c r="AC278" s="63" t="str">
        <f>IF($J278=AC$3,IF(AC$3&gt;$I278,"-",ROUNDUP(Ld_cal($B278, $C278, $D278, $G278,$E278, $F278, $H278, AC$3)*1.3*1.3,0)),"-")</f>
        <v>-</v>
      </c>
      <c r="AD278" s="63">
        <f t="shared" ref="AD278" si="270">IF(J278&gt;I278,"依標準圖",MAX(L278:AC278))</f>
        <v>136</v>
      </c>
    </row>
    <row r="279" spans="1:30">
      <c r="A279" s="106"/>
      <c r="B279" s="107"/>
      <c r="C279" s="108"/>
      <c r="D279" s="107"/>
      <c r="E279" s="109"/>
      <c r="F279" s="110"/>
      <c r="G279" s="107"/>
      <c r="H279" s="109"/>
      <c r="I279" s="111"/>
      <c r="J279" s="62">
        <v>17</v>
      </c>
      <c r="K279" s="40" t="s">
        <v>29</v>
      </c>
      <c r="L279" s="63" t="str">
        <f>IF($J279=L$3,IF(L$3&gt;$I278,"-",ROUNDUP(Ld_cal($B278, $C278, $D278, $G278,$E278, $F278, $H278, L$3)*1.3,0)),"-")</f>
        <v>-</v>
      </c>
      <c r="M279" s="63" t="str">
        <f>IF($J279=M$3,IF(M$3&gt;$I278,"-",ROUNDUP(Ld_cal($B278, $C278, $D278, $G278,$E278, $F278, $H278, M$3)*1.3,0)),"-")</f>
        <v>-</v>
      </c>
      <c r="N279" s="63" t="str">
        <f>IF($J279=N$3,IF(N$3&gt;$I278,"-",ROUNDUP(Ld_cal($B278, $C278, $D278, $G278,$E278, $F278, $H278, N$3)*1.3,0)),"-")</f>
        <v>-</v>
      </c>
      <c r="O279" s="63" t="str">
        <f>IF($J279=O$3,IF(O$3&gt;$I278,"-",ROUNDUP(Ld_cal($B278, $C278, $D278, $G278,$E278, $F278, $H278, O$3)*1.3,0)),"-")</f>
        <v>-</v>
      </c>
      <c r="P279" s="63" t="str">
        <f>IF($J279=P$3,IF(P$3&gt;$I278,"-",ROUNDUP(Ld_cal($B278, $C278, $D278, $G278,$E278, $F278, $H278, P$3)*1.3,0)),"-")</f>
        <v>-</v>
      </c>
      <c r="Q279" s="63" t="str">
        <f>IF($J279=Q$3,IF(Q$3&gt;$I278,"-",ROUNDUP(Ld_cal($B278, $C278, $D278, $G278,$E278, $F278, $H278, Q$3)*1.3,0)),"-")</f>
        <v>-</v>
      </c>
      <c r="R279" s="63" t="str">
        <f>IF($J279=R$3,IF(R$3&gt;$I278,"-",ROUNDUP(Ld_cal($B278, $C278, $D278, $G278,$E278, $F278, $H278, R$3)*1.3,0)),"-")</f>
        <v>-</v>
      </c>
      <c r="S279" s="63" t="str">
        <f>IF($J279=S$3,IF(S$3&gt;$I278,"-",ROUNDUP(Ld_cal($B278, $C278, $D278, $G278,$E278, $F278, $H278, S$3)*1.3,0)),"-")</f>
        <v>-</v>
      </c>
      <c r="T279" s="63" t="str">
        <f>IF($J279=T$3,IF(T$3&gt;$I278,"-",ROUNDUP(Ld_cal($B278, $C278, $D278, $G278,$E278, $F278, $H278, T$3)*1.3,0)),"-")</f>
        <v>-</v>
      </c>
      <c r="U279" s="63" t="str">
        <f>IF($J279=U$3,IF(U$3&gt;$I278,"-",ROUNDUP(Ld_cal($B278, $C278, $D278, $G278,$E278, $F278, $H278, U$3)*1.3,0)),"-")</f>
        <v>-</v>
      </c>
      <c r="V279" s="63" t="str">
        <f>IF($J279=V$3,IF(V$3&gt;$I278,"-",ROUNDUP(Ld_cal($B278, $C278, $D278, $G278,$E278, $F278, $H278, V$3)*1.3,0)),"-")</f>
        <v>-</v>
      </c>
      <c r="W279" s="63" t="str">
        <f>IF($J279=W$3,IF(W$3&gt;$I278,"-",ROUNDUP(Ld_cal($B278, $C278, $D278, $G278,$E278, $F278, $H278, W$3)*1.3,0)),"-")</f>
        <v>-</v>
      </c>
      <c r="X279" s="63" t="str">
        <f>IF($J279=X$3,IF(X$3&gt;$I278,"-",ROUNDUP(Ld_cal($B278, $C278, $D278, $G278,$E278, $F278, $H278, X$3)*1.3,0)),"-")</f>
        <v>-</v>
      </c>
      <c r="Y279" s="63" t="str">
        <f>IF($J279=Y$3,IF(Y$3&gt;$I278,"-",ROUNDUP(Ld_cal($B278, $C278, $D278, $G278,$E278, $F278, $H278, Y$3)*1.3,0)),"-")</f>
        <v>-</v>
      </c>
      <c r="Z279" s="63">
        <f>IF($J279=Z$3,IF(Z$3&gt;$I278,"-",ROUNDUP(Ld_cal($B278, $C278, $D278, $G278,$E278, $F278, $H278, Z$3)*1.3,0)),"-")</f>
        <v>156</v>
      </c>
      <c r="AA279" s="63" t="str">
        <f>IF($J279=AA$3,IF(AA$3&gt;$I278,"-",ROUNDUP(Ld_cal($B278, $C278, $D278, $G278,$E278, $F278, $H278, AA$3)*1.3,0)),"-")</f>
        <v>-</v>
      </c>
      <c r="AB279" s="63" t="str">
        <f>IF($J279=AB$3,IF(AB$3&gt;$I278,"-",ROUNDUP(Ld_cal($B278, $C278, $D278, $G278,$E278, $F278, $H278, AB$3)*1.3,0)),"-")</f>
        <v>-</v>
      </c>
      <c r="AC279" s="63" t="str">
        <f>IF($J279=AC$3,IF(AC$3&gt;$I278,"-",ROUNDUP(Ld_cal($B278, $C278, $D278, $G278,$E278, $F278, $H278, AC$3)*1.3,0)),"-")</f>
        <v>-</v>
      </c>
      <c r="AD279" s="63">
        <f t="shared" ref="AD279" si="271">IF(J279&gt;I278,"依標準圖",MAX(L279:AC279))</f>
        <v>156</v>
      </c>
    </row>
    <row r="280" spans="1:30">
      <c r="A280" s="97" t="s">
        <v>184</v>
      </c>
      <c r="B280" s="99">
        <v>150</v>
      </c>
      <c r="C280" s="100">
        <v>7.5</v>
      </c>
      <c r="D280" s="101">
        <v>4200</v>
      </c>
      <c r="E280" s="102">
        <v>16</v>
      </c>
      <c r="F280" s="103">
        <v>7</v>
      </c>
      <c r="G280" s="101">
        <v>350</v>
      </c>
      <c r="H280" s="102">
        <v>32</v>
      </c>
      <c r="I280" s="104">
        <f>ROUNDDOWN(($B280-2*$C280-2*$E280/10-$H280/10)/(($D$1+1)*$H280/10),0)+1</f>
        <v>21</v>
      </c>
      <c r="J280" s="60">
        <v>19</v>
      </c>
      <c r="K280" s="64" t="s">
        <v>30</v>
      </c>
      <c r="L280" s="61" t="str">
        <f>IF($J280=L$3,IF(L$3&gt;$I280,"-",ROUNDUP(Ld_cal($B280, $C280, $D280, $G280,$E280, $F280, $H280, L$3)*1.3*1.3,0)),"-")</f>
        <v>-</v>
      </c>
      <c r="M280" s="61" t="str">
        <f>IF($J280=M$3,IF(M$3&gt;$I280,"-",ROUNDUP(Ld_cal($B280, $C280, $D280, $G280,$E280, $F280, $H280, M$3)*1.3*1.3,0)),"-")</f>
        <v>-</v>
      </c>
      <c r="N280" s="61" t="str">
        <f>IF($J280=N$3,IF(N$3&gt;$I280,"-",ROUNDUP(Ld_cal($B280, $C280, $D280, $G280,$E280, $F280, $H280, N$3)*1.3*1.3,0)),"-")</f>
        <v>-</v>
      </c>
      <c r="O280" s="61" t="str">
        <f>IF($J280=O$3,IF(O$3&gt;$I280,"-",ROUNDUP(Ld_cal($B280, $C280, $D280, $G280,$E280, $F280, $H280, O$3)*1.3*1.3,0)),"-")</f>
        <v>-</v>
      </c>
      <c r="P280" s="61" t="str">
        <f>IF($J280=P$3,IF(P$3&gt;$I280,"-",ROUNDUP(Ld_cal($B280, $C280, $D280, $G280,$E280, $F280, $H280, P$3)*1.3*1.3,0)),"-")</f>
        <v>-</v>
      </c>
      <c r="Q280" s="61" t="str">
        <f>IF($J280=Q$3,IF(Q$3&gt;$I280,"-",ROUNDUP(Ld_cal($B280, $C280, $D280, $G280,$E280, $F280, $H280, Q$3)*1.3*1.3,0)),"-")</f>
        <v>-</v>
      </c>
      <c r="R280" s="61" t="str">
        <f>IF($J280=R$3,IF(R$3&gt;$I280,"-",ROUNDUP(Ld_cal($B280, $C280, $D280, $G280,$E280, $F280, $H280, R$3)*1.3*1.3,0)),"-")</f>
        <v>-</v>
      </c>
      <c r="S280" s="61" t="str">
        <f>IF($J280=S$3,IF(S$3&gt;$I280,"-",ROUNDUP(Ld_cal($B280, $C280, $D280, $G280,$E280, $F280, $H280, S$3)*1.3*1.3,0)),"-")</f>
        <v>-</v>
      </c>
      <c r="T280" s="61" t="str">
        <f>IF($J280=T$3,IF(T$3&gt;$I280,"-",ROUNDUP(Ld_cal($B280, $C280, $D280, $G280,$E280, $F280, $H280, T$3)*1.3*1.3,0)),"-")</f>
        <v>-</v>
      </c>
      <c r="U280" s="61" t="str">
        <f>IF($J280=U$3,IF(U$3&gt;$I280,"-",ROUNDUP(Ld_cal($B280, $C280, $D280, $G280,$E280, $F280, $H280, U$3)*1.3*1.3,0)),"-")</f>
        <v>-</v>
      </c>
      <c r="V280" s="61" t="str">
        <f>IF($J280=V$3,IF(V$3&gt;$I280,"-",ROUNDUP(Ld_cal($B280, $C280, $D280, $G280,$E280, $F280, $H280, V$3)*1.3*1.3,0)),"-")</f>
        <v>-</v>
      </c>
      <c r="W280" s="61" t="str">
        <f>IF($J280=W$3,IF(W$3&gt;$I280,"-",ROUNDUP(Ld_cal($B280, $C280, $D280, $G280,$E280, $F280, $H280, W$3)*1.3*1.3,0)),"-")</f>
        <v>-</v>
      </c>
      <c r="X280" s="61" t="str">
        <f>IF($J280=X$3,IF(X$3&gt;$I280,"-",ROUNDUP(Ld_cal($B280, $C280, $D280, $G280,$E280, $F280, $H280, X$3)*1.3*1.3,0)),"-")</f>
        <v>-</v>
      </c>
      <c r="Y280" s="61" t="str">
        <f>IF($J280=Y$3,IF(Y$3&gt;$I280,"-",ROUNDUP(Ld_cal($B280, $C280, $D280, $G280,$E280, $F280, $H280, Y$3)*1.3*1.3,0)),"-")</f>
        <v>-</v>
      </c>
      <c r="Z280" s="61" t="str">
        <f>IF($J280=Z$3,IF(Z$3&gt;$I280,"-",ROUNDUP(Ld_cal($B280, $C280, $D280, $G280,$E280, $F280, $H280, Z$3)*1.3*1.3,0)),"-")</f>
        <v>-</v>
      </c>
      <c r="AA280" s="61" t="str">
        <f>IF($J280=AA$3,IF(AA$3&gt;$I280,"-",ROUNDUP(Ld_cal($B280, $C280, $D280, $G280,$E280, $F280, $H280, AA$3)*1.3*1.3,0)),"-")</f>
        <v>-</v>
      </c>
      <c r="AB280" s="61">
        <f>IF($J280=AB$3,IF(AB$3&gt;$I280,"-",ROUNDUP(Ld_cal($B280, $C280, $D280, $G280,$E280, $F280, $H280, AB$3)*1.3*1.3,0)),"-")</f>
        <v>228</v>
      </c>
      <c r="AC280" s="61" t="str">
        <f>IF($J280=AC$3,IF(AC$3&gt;$I280,"-",ROUNDUP(Ld_cal($B280, $C280, $D280, $G280,$E280, $F280, $H280, AC$3)*1.3*1.3,0)),"-")</f>
        <v>-</v>
      </c>
      <c r="AD280" s="61">
        <f t="shared" ref="AD280" si="272">IF(J280&gt;I280,"依標準圖",MAX(L280:AC280))</f>
        <v>228</v>
      </c>
    </row>
    <row r="281" spans="1:30">
      <c r="A281" s="98"/>
      <c r="B281" s="99"/>
      <c r="C281" s="100"/>
      <c r="D281" s="101"/>
      <c r="E281" s="102"/>
      <c r="F281" s="103"/>
      <c r="G281" s="101"/>
      <c r="H281" s="102"/>
      <c r="I281" s="104"/>
      <c r="J281" s="60">
        <v>17</v>
      </c>
      <c r="K281" s="64" t="s">
        <v>29</v>
      </c>
      <c r="L281" s="61" t="str">
        <f>IF($J281=L$3,IF(L$3&gt;$I280,"-",ROUNDUP(Ld_cal($B280, $C280, $D280, $G280,$E280, $F280, $H280, L$3)*1.3,0)),"-")</f>
        <v>-</v>
      </c>
      <c r="M281" s="61" t="str">
        <f>IF($J281=M$3,IF(M$3&gt;$I280,"-",ROUNDUP(Ld_cal($B280, $C280, $D280, $G280,$E280, $F280, $H280, M$3)*1.3,0)),"-")</f>
        <v>-</v>
      </c>
      <c r="N281" s="61" t="str">
        <f>IF($J281=N$3,IF(N$3&gt;$I280,"-",ROUNDUP(Ld_cal($B280, $C280, $D280, $G280,$E280, $F280, $H280, N$3)*1.3,0)),"-")</f>
        <v>-</v>
      </c>
      <c r="O281" s="61" t="str">
        <f>IF($J281=O$3,IF(O$3&gt;$I280,"-",ROUNDUP(Ld_cal($B280, $C280, $D280, $G280,$E280, $F280, $H280, O$3)*1.3,0)),"-")</f>
        <v>-</v>
      </c>
      <c r="P281" s="61" t="str">
        <f>IF($J281=P$3,IF(P$3&gt;$I280,"-",ROUNDUP(Ld_cal($B280, $C280, $D280, $G280,$E280, $F280, $H280, P$3)*1.3,0)),"-")</f>
        <v>-</v>
      </c>
      <c r="Q281" s="61" t="str">
        <f>IF($J281=Q$3,IF(Q$3&gt;$I280,"-",ROUNDUP(Ld_cal($B280, $C280, $D280, $G280,$E280, $F280, $H280, Q$3)*1.3,0)),"-")</f>
        <v>-</v>
      </c>
      <c r="R281" s="61" t="str">
        <f>IF($J281=R$3,IF(R$3&gt;$I280,"-",ROUNDUP(Ld_cal($B280, $C280, $D280, $G280,$E280, $F280, $H280, R$3)*1.3,0)),"-")</f>
        <v>-</v>
      </c>
      <c r="S281" s="61" t="str">
        <f>IF($J281=S$3,IF(S$3&gt;$I280,"-",ROUNDUP(Ld_cal($B280, $C280, $D280, $G280,$E280, $F280, $H280, S$3)*1.3,0)),"-")</f>
        <v>-</v>
      </c>
      <c r="T281" s="61" t="str">
        <f>IF($J281=T$3,IF(T$3&gt;$I280,"-",ROUNDUP(Ld_cal($B280, $C280, $D280, $G280,$E280, $F280, $H280, T$3)*1.3,0)),"-")</f>
        <v>-</v>
      </c>
      <c r="U281" s="61" t="str">
        <f>IF($J281=U$3,IF(U$3&gt;$I280,"-",ROUNDUP(Ld_cal($B280, $C280, $D280, $G280,$E280, $F280, $H280, U$3)*1.3,0)),"-")</f>
        <v>-</v>
      </c>
      <c r="V281" s="61" t="str">
        <f>IF($J281=V$3,IF(V$3&gt;$I280,"-",ROUNDUP(Ld_cal($B280, $C280, $D280, $G280,$E280, $F280, $H280, V$3)*1.3,0)),"-")</f>
        <v>-</v>
      </c>
      <c r="W281" s="61" t="str">
        <f>IF($J281=W$3,IF(W$3&gt;$I280,"-",ROUNDUP(Ld_cal($B280, $C280, $D280, $G280,$E280, $F280, $H280, W$3)*1.3,0)),"-")</f>
        <v>-</v>
      </c>
      <c r="X281" s="61" t="str">
        <f>IF($J281=X$3,IF(X$3&gt;$I280,"-",ROUNDUP(Ld_cal($B280, $C280, $D280, $G280,$E280, $F280, $H280, X$3)*1.3,0)),"-")</f>
        <v>-</v>
      </c>
      <c r="Y281" s="61" t="str">
        <f>IF($J281=Y$3,IF(Y$3&gt;$I280,"-",ROUNDUP(Ld_cal($B280, $C280, $D280, $G280,$E280, $F280, $H280, Y$3)*1.3,0)),"-")</f>
        <v>-</v>
      </c>
      <c r="Z281" s="61">
        <f>IF($J281=Z$3,IF(Z$3&gt;$I280,"-",ROUNDUP(Ld_cal($B280, $C280, $D280, $G280,$E280, $F280, $H280, Z$3)*1.3,0)),"-")</f>
        <v>156</v>
      </c>
      <c r="AA281" s="61" t="str">
        <f>IF($J281=AA$3,IF(AA$3&gt;$I280,"-",ROUNDUP(Ld_cal($B280, $C280, $D280, $G280,$E280, $F280, $H280, AA$3)*1.3,0)),"-")</f>
        <v>-</v>
      </c>
      <c r="AB281" s="61" t="str">
        <f>IF($J281=AB$3,IF(AB$3&gt;$I280,"-",ROUNDUP(Ld_cal($B280, $C280, $D280, $G280,$E280, $F280, $H280, AB$3)*1.3,0)),"-")</f>
        <v>-</v>
      </c>
      <c r="AC281" s="61" t="str">
        <f>IF($J281=AC$3,IF(AC$3&gt;$I280,"-",ROUNDUP(Ld_cal($B280, $C280, $D280, $G280,$E280, $F280, $H280, AC$3)*1.3,0)),"-")</f>
        <v>-</v>
      </c>
      <c r="AD281" s="61">
        <f t="shared" ref="AD281" si="273">IF(J281&gt;I280,"依標準圖",MAX(L281:AC281))</f>
        <v>156</v>
      </c>
    </row>
    <row r="282" spans="1:30">
      <c r="A282" s="105" t="s">
        <v>185</v>
      </c>
      <c r="B282" s="107">
        <v>120</v>
      </c>
      <c r="C282" s="108">
        <v>7.5</v>
      </c>
      <c r="D282" s="107">
        <v>4200</v>
      </c>
      <c r="E282" s="109">
        <v>16</v>
      </c>
      <c r="F282" s="110">
        <v>25</v>
      </c>
      <c r="G282" s="107">
        <v>350</v>
      </c>
      <c r="H282" s="109">
        <v>32</v>
      </c>
      <c r="I282" s="111">
        <f>ROUNDDOWN(($B282-2*$C282-2*$E282/10-$H282/10)/(($D$1+1)*$H282/10),0)+1</f>
        <v>16</v>
      </c>
      <c r="J282" s="62">
        <v>9</v>
      </c>
      <c r="K282" s="40" t="s">
        <v>30</v>
      </c>
      <c r="L282" s="63" t="str">
        <f>IF($J282=L$3,IF(L$3&gt;$I282,"-",ROUNDUP(Ld_cal($B282, $C282, $D282, $G282,$E282, $F282, $H282, L$3)*1.3*1.3,0)),"-")</f>
        <v>-</v>
      </c>
      <c r="M282" s="63" t="str">
        <f>IF($J282=M$3,IF(M$3&gt;$I282,"-",ROUNDUP(Ld_cal($B282, $C282, $D282, $G282,$E282, $F282, $H282, M$3)*1.3*1.3,0)),"-")</f>
        <v>-</v>
      </c>
      <c r="N282" s="63" t="str">
        <f>IF($J282=N$3,IF(N$3&gt;$I282,"-",ROUNDUP(Ld_cal($B282, $C282, $D282, $G282,$E282, $F282, $H282, N$3)*1.3*1.3,0)),"-")</f>
        <v>-</v>
      </c>
      <c r="O282" s="63" t="str">
        <f>IF($J282=O$3,IF(O$3&gt;$I282,"-",ROUNDUP(Ld_cal($B282, $C282, $D282, $G282,$E282, $F282, $H282, O$3)*1.3*1.3,0)),"-")</f>
        <v>-</v>
      </c>
      <c r="P282" s="63" t="str">
        <f>IF($J282=P$3,IF(P$3&gt;$I282,"-",ROUNDUP(Ld_cal($B282, $C282, $D282, $G282,$E282, $F282, $H282, P$3)*1.3*1.3,0)),"-")</f>
        <v>-</v>
      </c>
      <c r="Q282" s="63" t="str">
        <f>IF($J282=Q$3,IF(Q$3&gt;$I282,"-",ROUNDUP(Ld_cal($B282, $C282, $D282, $G282,$E282, $F282, $H282, Q$3)*1.3*1.3,0)),"-")</f>
        <v>-</v>
      </c>
      <c r="R282" s="63">
        <f>IF($J282=R$3,IF(R$3&gt;$I282,"-",ROUNDUP(Ld_cal($B282, $C282, $D282, $G282,$E282, $F282, $H282, R$3)*1.3*1.3,0)),"-")</f>
        <v>159</v>
      </c>
      <c r="S282" s="63" t="str">
        <f>IF($J282=S$3,IF(S$3&gt;$I282,"-",ROUNDUP(Ld_cal($B282, $C282, $D282, $G282,$E282, $F282, $H282, S$3)*1.3*1.3,0)),"-")</f>
        <v>-</v>
      </c>
      <c r="T282" s="63" t="str">
        <f>IF($J282=T$3,IF(T$3&gt;$I282,"-",ROUNDUP(Ld_cal($B282, $C282, $D282, $G282,$E282, $F282, $H282, T$3)*1.3*1.3,0)),"-")</f>
        <v>-</v>
      </c>
      <c r="U282" s="63" t="str">
        <f>IF($J282=U$3,IF(U$3&gt;$I282,"-",ROUNDUP(Ld_cal($B282, $C282, $D282, $G282,$E282, $F282, $H282, U$3)*1.3*1.3,0)),"-")</f>
        <v>-</v>
      </c>
      <c r="V282" s="63" t="str">
        <f>IF($J282=V$3,IF(V$3&gt;$I282,"-",ROUNDUP(Ld_cal($B282, $C282, $D282, $G282,$E282, $F282, $H282, V$3)*1.3*1.3,0)),"-")</f>
        <v>-</v>
      </c>
      <c r="W282" s="63" t="str">
        <f>IF($J282=W$3,IF(W$3&gt;$I282,"-",ROUNDUP(Ld_cal($B282, $C282, $D282, $G282,$E282, $F282, $H282, W$3)*1.3*1.3,0)),"-")</f>
        <v>-</v>
      </c>
      <c r="X282" s="63" t="str">
        <f>IF($J282=X$3,IF(X$3&gt;$I282,"-",ROUNDUP(Ld_cal($B282, $C282, $D282, $G282,$E282, $F282, $H282, X$3)*1.3*1.3,0)),"-")</f>
        <v>-</v>
      </c>
      <c r="Y282" s="63" t="str">
        <f>IF($J282=Y$3,IF(Y$3&gt;$I282,"-",ROUNDUP(Ld_cal($B282, $C282, $D282, $G282,$E282, $F282, $H282, Y$3)*1.3*1.3,0)),"-")</f>
        <v>-</v>
      </c>
      <c r="Z282" s="63" t="str">
        <f>IF($J282=Z$3,IF(Z$3&gt;$I282,"-",ROUNDUP(Ld_cal($B282, $C282, $D282, $G282,$E282, $F282, $H282, Z$3)*1.3*1.3,0)),"-")</f>
        <v>-</v>
      </c>
      <c r="AA282" s="63" t="str">
        <f>IF($J282=AA$3,IF(AA$3&gt;$I282,"-",ROUNDUP(Ld_cal($B282, $C282, $D282, $G282,$E282, $F282, $H282, AA$3)*1.3*1.3,0)),"-")</f>
        <v>-</v>
      </c>
      <c r="AB282" s="63" t="str">
        <f>IF($J282=AB$3,IF(AB$3&gt;$I282,"-",ROUNDUP(Ld_cal($B282, $C282, $D282, $G282,$E282, $F282, $H282, AB$3)*1.3*1.3,0)),"-")</f>
        <v>-</v>
      </c>
      <c r="AC282" s="63" t="str">
        <f>IF($J282=AC$3,IF(AC$3&gt;$I282,"-",ROUNDUP(Ld_cal($B282, $C282, $D282, $G282,$E282, $F282, $H282, AC$3)*1.3*1.3,0)),"-")</f>
        <v>-</v>
      </c>
      <c r="AD282" s="63">
        <f t="shared" ref="AD282" si="274">IF(J282&gt;I282,"依標準圖",MAX(L282:AC282))</f>
        <v>159</v>
      </c>
    </row>
    <row r="283" spans="1:30">
      <c r="A283" s="106"/>
      <c r="B283" s="107"/>
      <c r="C283" s="108"/>
      <c r="D283" s="107"/>
      <c r="E283" s="109"/>
      <c r="F283" s="110"/>
      <c r="G283" s="107"/>
      <c r="H283" s="109"/>
      <c r="I283" s="111"/>
      <c r="J283" s="62">
        <v>5</v>
      </c>
      <c r="K283" s="40" t="s">
        <v>29</v>
      </c>
      <c r="L283" s="63" t="str">
        <f>IF($J283=L$3,IF(L$3&gt;$I282,"-",ROUNDUP(Ld_cal($B282, $C282, $D282, $G282,$E282, $F282, $H282, L$3)*1.3,0)),"-")</f>
        <v>-</v>
      </c>
      <c r="M283" s="63" t="str">
        <f>IF($J283=M$3,IF(M$3&gt;$I282,"-",ROUNDUP(Ld_cal($B282, $C282, $D282, $G282,$E282, $F282, $H282, M$3)*1.3,0)),"-")</f>
        <v>-</v>
      </c>
      <c r="N283" s="63">
        <f>IF($J283=N$3,IF(N$3&gt;$I282,"-",ROUNDUP(Ld_cal($B282, $C282, $D282, $G282,$E282, $F282, $H282, N$3)*1.3,0)),"-")</f>
        <v>105</v>
      </c>
      <c r="O283" s="63" t="str">
        <f>IF($J283=O$3,IF(O$3&gt;$I282,"-",ROUNDUP(Ld_cal($B282, $C282, $D282, $G282,$E282, $F282, $H282, O$3)*1.3,0)),"-")</f>
        <v>-</v>
      </c>
      <c r="P283" s="63" t="str">
        <f>IF($J283=P$3,IF(P$3&gt;$I282,"-",ROUNDUP(Ld_cal($B282, $C282, $D282, $G282,$E282, $F282, $H282, P$3)*1.3,0)),"-")</f>
        <v>-</v>
      </c>
      <c r="Q283" s="63" t="str">
        <f>IF($J283=Q$3,IF(Q$3&gt;$I282,"-",ROUNDUP(Ld_cal($B282, $C282, $D282, $G282,$E282, $F282, $H282, Q$3)*1.3,0)),"-")</f>
        <v>-</v>
      </c>
      <c r="R283" s="63" t="str">
        <f>IF($J283=R$3,IF(R$3&gt;$I282,"-",ROUNDUP(Ld_cal($B282, $C282, $D282, $G282,$E282, $F282, $H282, R$3)*1.3,0)),"-")</f>
        <v>-</v>
      </c>
      <c r="S283" s="63" t="str">
        <f>IF($J283=S$3,IF(S$3&gt;$I282,"-",ROUNDUP(Ld_cal($B282, $C282, $D282, $G282,$E282, $F282, $H282, S$3)*1.3,0)),"-")</f>
        <v>-</v>
      </c>
      <c r="T283" s="63" t="str">
        <f>IF($J283=T$3,IF(T$3&gt;$I282,"-",ROUNDUP(Ld_cal($B282, $C282, $D282, $G282,$E282, $F282, $H282, T$3)*1.3,0)),"-")</f>
        <v>-</v>
      </c>
      <c r="U283" s="63" t="str">
        <f>IF($J283=U$3,IF(U$3&gt;$I282,"-",ROUNDUP(Ld_cal($B282, $C282, $D282, $G282,$E282, $F282, $H282, U$3)*1.3,0)),"-")</f>
        <v>-</v>
      </c>
      <c r="V283" s="63" t="str">
        <f>IF($J283=V$3,IF(V$3&gt;$I282,"-",ROUNDUP(Ld_cal($B282, $C282, $D282, $G282,$E282, $F282, $H282, V$3)*1.3,0)),"-")</f>
        <v>-</v>
      </c>
      <c r="W283" s="63" t="str">
        <f>IF($J283=W$3,IF(W$3&gt;$I282,"-",ROUNDUP(Ld_cal($B282, $C282, $D282, $G282,$E282, $F282, $H282, W$3)*1.3,0)),"-")</f>
        <v>-</v>
      </c>
      <c r="X283" s="63" t="str">
        <f>IF($J283=X$3,IF(X$3&gt;$I282,"-",ROUNDUP(Ld_cal($B282, $C282, $D282, $G282,$E282, $F282, $H282, X$3)*1.3,0)),"-")</f>
        <v>-</v>
      </c>
      <c r="Y283" s="63" t="str">
        <f>IF($J283=Y$3,IF(Y$3&gt;$I282,"-",ROUNDUP(Ld_cal($B282, $C282, $D282, $G282,$E282, $F282, $H282, Y$3)*1.3,0)),"-")</f>
        <v>-</v>
      </c>
      <c r="Z283" s="63" t="str">
        <f>IF($J283=Z$3,IF(Z$3&gt;$I282,"-",ROUNDUP(Ld_cal($B282, $C282, $D282, $G282,$E282, $F282, $H282, Z$3)*1.3,0)),"-")</f>
        <v>-</v>
      </c>
      <c r="AA283" s="63" t="str">
        <f>IF($J283=AA$3,IF(AA$3&gt;$I282,"-",ROUNDUP(Ld_cal($B282, $C282, $D282, $G282,$E282, $F282, $H282, AA$3)*1.3,0)),"-")</f>
        <v>-</v>
      </c>
      <c r="AB283" s="63" t="str">
        <f>IF($J283=AB$3,IF(AB$3&gt;$I282,"-",ROUNDUP(Ld_cal($B282, $C282, $D282, $G282,$E282, $F282, $H282, AB$3)*1.3,0)),"-")</f>
        <v>-</v>
      </c>
      <c r="AC283" s="63" t="str">
        <f>IF($J283=AC$3,IF(AC$3&gt;$I282,"-",ROUNDUP(Ld_cal($B282, $C282, $D282, $G282,$E282, $F282, $H282, AC$3)*1.3,0)),"-")</f>
        <v>-</v>
      </c>
      <c r="AD283" s="63">
        <f t="shared" ref="AD283" si="275">IF(J283&gt;I282,"依標準圖",MAX(L283:AC283))</f>
        <v>105</v>
      </c>
    </row>
    <row r="284" spans="1:30">
      <c r="A284" s="97" t="s">
        <v>186</v>
      </c>
      <c r="B284" s="99">
        <v>120</v>
      </c>
      <c r="C284" s="100">
        <v>7.5</v>
      </c>
      <c r="D284" s="101">
        <v>4200</v>
      </c>
      <c r="E284" s="102">
        <v>16</v>
      </c>
      <c r="F284" s="103">
        <v>20</v>
      </c>
      <c r="G284" s="101">
        <v>350</v>
      </c>
      <c r="H284" s="102">
        <v>32</v>
      </c>
      <c r="I284" s="104">
        <f>ROUNDDOWN(($B284-2*$C284-2*$E284/10-$H284/10)/(($D$1+1)*$H284/10),0)+1</f>
        <v>16</v>
      </c>
      <c r="J284" s="60">
        <v>16</v>
      </c>
      <c r="K284" s="64" t="s">
        <v>30</v>
      </c>
      <c r="L284" s="61" t="str">
        <f>IF($J284=L$3,IF(L$3&gt;$I284,"-",ROUNDUP(Ld_cal($B284, $C284, $D284, $G284,$E284, $F284, $H284, L$3)*1.3*1.3,0)),"-")</f>
        <v>-</v>
      </c>
      <c r="M284" s="61" t="str">
        <f>IF($J284=M$3,IF(M$3&gt;$I284,"-",ROUNDUP(Ld_cal($B284, $C284, $D284, $G284,$E284, $F284, $H284, M$3)*1.3*1.3,0)),"-")</f>
        <v>-</v>
      </c>
      <c r="N284" s="61" t="str">
        <f>IF($J284=N$3,IF(N$3&gt;$I284,"-",ROUNDUP(Ld_cal($B284, $C284, $D284, $G284,$E284, $F284, $H284, N$3)*1.3*1.3,0)),"-")</f>
        <v>-</v>
      </c>
      <c r="O284" s="61" t="str">
        <f>IF($J284=O$3,IF(O$3&gt;$I284,"-",ROUNDUP(Ld_cal($B284, $C284, $D284, $G284,$E284, $F284, $H284, O$3)*1.3*1.3,0)),"-")</f>
        <v>-</v>
      </c>
      <c r="P284" s="61" t="str">
        <f>IF($J284=P$3,IF(P$3&gt;$I284,"-",ROUNDUP(Ld_cal($B284, $C284, $D284, $G284,$E284, $F284, $H284, P$3)*1.3*1.3,0)),"-")</f>
        <v>-</v>
      </c>
      <c r="Q284" s="61" t="str">
        <f>IF($J284=Q$3,IF(Q$3&gt;$I284,"-",ROUNDUP(Ld_cal($B284, $C284, $D284, $G284,$E284, $F284, $H284, Q$3)*1.3*1.3,0)),"-")</f>
        <v>-</v>
      </c>
      <c r="R284" s="61" t="str">
        <f>IF($J284=R$3,IF(R$3&gt;$I284,"-",ROUNDUP(Ld_cal($B284, $C284, $D284, $G284,$E284, $F284, $H284, R$3)*1.3*1.3,0)),"-")</f>
        <v>-</v>
      </c>
      <c r="S284" s="61" t="str">
        <f>IF($J284=S$3,IF(S$3&gt;$I284,"-",ROUNDUP(Ld_cal($B284, $C284, $D284, $G284,$E284, $F284, $H284, S$3)*1.3*1.3,0)),"-")</f>
        <v>-</v>
      </c>
      <c r="T284" s="61" t="str">
        <f>IF($J284=T$3,IF(T$3&gt;$I284,"-",ROUNDUP(Ld_cal($B284, $C284, $D284, $G284,$E284, $F284, $H284, T$3)*1.3*1.3,0)),"-")</f>
        <v>-</v>
      </c>
      <c r="U284" s="61" t="str">
        <f>IF($J284=U$3,IF(U$3&gt;$I284,"-",ROUNDUP(Ld_cal($B284, $C284, $D284, $G284,$E284, $F284, $H284, U$3)*1.3*1.3,0)),"-")</f>
        <v>-</v>
      </c>
      <c r="V284" s="61" t="str">
        <f>IF($J284=V$3,IF(V$3&gt;$I284,"-",ROUNDUP(Ld_cal($B284, $C284, $D284, $G284,$E284, $F284, $H284, V$3)*1.3*1.3,0)),"-")</f>
        <v>-</v>
      </c>
      <c r="W284" s="61" t="str">
        <f>IF($J284=W$3,IF(W$3&gt;$I284,"-",ROUNDUP(Ld_cal($B284, $C284, $D284, $G284,$E284, $F284, $H284, W$3)*1.3*1.3,0)),"-")</f>
        <v>-</v>
      </c>
      <c r="X284" s="61" t="str">
        <f>IF($J284=X$3,IF(X$3&gt;$I284,"-",ROUNDUP(Ld_cal($B284, $C284, $D284, $G284,$E284, $F284, $H284, X$3)*1.3*1.3,0)),"-")</f>
        <v>-</v>
      </c>
      <c r="Y284" s="61">
        <f>IF($J284=Y$3,IF(Y$3&gt;$I284,"-",ROUNDUP(Ld_cal($B284, $C284, $D284, $G284,$E284, $F284, $H284, Y$3)*1.3*1.3,0)),"-")</f>
        <v>288</v>
      </c>
      <c r="Z284" s="61" t="str">
        <f>IF($J284=Z$3,IF(Z$3&gt;$I284,"-",ROUNDUP(Ld_cal($B284, $C284, $D284, $G284,$E284, $F284, $H284, Z$3)*1.3*1.3,0)),"-")</f>
        <v>-</v>
      </c>
      <c r="AA284" s="61" t="str">
        <f>IF($J284=AA$3,IF(AA$3&gt;$I284,"-",ROUNDUP(Ld_cal($B284, $C284, $D284, $G284,$E284, $F284, $H284, AA$3)*1.3*1.3,0)),"-")</f>
        <v>-</v>
      </c>
      <c r="AB284" s="61" t="str">
        <f>IF($J284=AB$3,IF(AB$3&gt;$I284,"-",ROUNDUP(Ld_cal($B284, $C284, $D284, $G284,$E284, $F284, $H284, AB$3)*1.3*1.3,0)),"-")</f>
        <v>-</v>
      </c>
      <c r="AC284" s="61" t="str">
        <f>IF($J284=AC$3,IF(AC$3&gt;$I284,"-",ROUNDUP(Ld_cal($B284, $C284, $D284, $G284,$E284, $F284, $H284, AC$3)*1.3*1.3,0)),"-")</f>
        <v>-</v>
      </c>
      <c r="AD284" s="61">
        <f t="shared" ref="AD284" si="276">IF(J284&gt;I284,"依標準圖",MAX(L284:AC284))</f>
        <v>288</v>
      </c>
    </row>
    <row r="285" spans="1:30">
      <c r="A285" s="98"/>
      <c r="B285" s="99"/>
      <c r="C285" s="100"/>
      <c r="D285" s="101"/>
      <c r="E285" s="102"/>
      <c r="F285" s="103"/>
      <c r="G285" s="101"/>
      <c r="H285" s="102"/>
      <c r="I285" s="104"/>
      <c r="J285" s="60">
        <v>5</v>
      </c>
      <c r="K285" s="64" t="s">
        <v>29</v>
      </c>
      <c r="L285" s="61" t="str">
        <f>IF($J285=L$3,IF(L$3&gt;$I284,"-",ROUNDUP(Ld_cal($B284, $C284, $D284, $G284,$E284, $F284, $H284, L$3)*1.3,0)),"-")</f>
        <v>-</v>
      </c>
      <c r="M285" s="61" t="str">
        <f>IF($J285=M$3,IF(M$3&gt;$I284,"-",ROUNDUP(Ld_cal($B284, $C284, $D284, $G284,$E284, $F284, $H284, M$3)*1.3,0)),"-")</f>
        <v>-</v>
      </c>
      <c r="N285" s="61">
        <f>IF($J285=N$3,IF(N$3&gt;$I284,"-",ROUNDUP(Ld_cal($B284, $C284, $D284, $G284,$E284, $F284, $H284, N$3)*1.3,0)),"-")</f>
        <v>105</v>
      </c>
      <c r="O285" s="61" t="str">
        <f>IF($J285=O$3,IF(O$3&gt;$I284,"-",ROUNDUP(Ld_cal($B284, $C284, $D284, $G284,$E284, $F284, $H284, O$3)*1.3,0)),"-")</f>
        <v>-</v>
      </c>
      <c r="P285" s="61" t="str">
        <f>IF($J285=P$3,IF(P$3&gt;$I284,"-",ROUNDUP(Ld_cal($B284, $C284, $D284, $G284,$E284, $F284, $H284, P$3)*1.3,0)),"-")</f>
        <v>-</v>
      </c>
      <c r="Q285" s="61" t="str">
        <f>IF($J285=Q$3,IF(Q$3&gt;$I284,"-",ROUNDUP(Ld_cal($B284, $C284, $D284, $G284,$E284, $F284, $H284, Q$3)*1.3,0)),"-")</f>
        <v>-</v>
      </c>
      <c r="R285" s="61" t="str">
        <f>IF($J285=R$3,IF(R$3&gt;$I284,"-",ROUNDUP(Ld_cal($B284, $C284, $D284, $G284,$E284, $F284, $H284, R$3)*1.3,0)),"-")</f>
        <v>-</v>
      </c>
      <c r="S285" s="61" t="str">
        <f>IF($J285=S$3,IF(S$3&gt;$I284,"-",ROUNDUP(Ld_cal($B284, $C284, $D284, $G284,$E284, $F284, $H284, S$3)*1.3,0)),"-")</f>
        <v>-</v>
      </c>
      <c r="T285" s="61" t="str">
        <f>IF($J285=T$3,IF(T$3&gt;$I284,"-",ROUNDUP(Ld_cal($B284, $C284, $D284, $G284,$E284, $F284, $H284, T$3)*1.3,0)),"-")</f>
        <v>-</v>
      </c>
      <c r="U285" s="61" t="str">
        <f>IF($J285=U$3,IF(U$3&gt;$I284,"-",ROUNDUP(Ld_cal($B284, $C284, $D284, $G284,$E284, $F284, $H284, U$3)*1.3,0)),"-")</f>
        <v>-</v>
      </c>
      <c r="V285" s="61" t="str">
        <f>IF($J285=V$3,IF(V$3&gt;$I284,"-",ROUNDUP(Ld_cal($B284, $C284, $D284, $G284,$E284, $F284, $H284, V$3)*1.3,0)),"-")</f>
        <v>-</v>
      </c>
      <c r="W285" s="61" t="str">
        <f>IF($J285=W$3,IF(W$3&gt;$I284,"-",ROUNDUP(Ld_cal($B284, $C284, $D284, $G284,$E284, $F284, $H284, W$3)*1.3,0)),"-")</f>
        <v>-</v>
      </c>
      <c r="X285" s="61" t="str">
        <f>IF($J285=X$3,IF(X$3&gt;$I284,"-",ROUNDUP(Ld_cal($B284, $C284, $D284, $G284,$E284, $F284, $H284, X$3)*1.3,0)),"-")</f>
        <v>-</v>
      </c>
      <c r="Y285" s="61" t="str">
        <f>IF($J285=Y$3,IF(Y$3&gt;$I284,"-",ROUNDUP(Ld_cal($B284, $C284, $D284, $G284,$E284, $F284, $H284, Y$3)*1.3,0)),"-")</f>
        <v>-</v>
      </c>
      <c r="Z285" s="61" t="str">
        <f>IF($J285=Z$3,IF(Z$3&gt;$I284,"-",ROUNDUP(Ld_cal($B284, $C284, $D284, $G284,$E284, $F284, $H284, Z$3)*1.3,0)),"-")</f>
        <v>-</v>
      </c>
      <c r="AA285" s="61" t="str">
        <f>IF($J285=AA$3,IF(AA$3&gt;$I284,"-",ROUNDUP(Ld_cal($B284, $C284, $D284, $G284,$E284, $F284, $H284, AA$3)*1.3,0)),"-")</f>
        <v>-</v>
      </c>
      <c r="AB285" s="61" t="str">
        <f>IF($J285=AB$3,IF(AB$3&gt;$I284,"-",ROUNDUP(Ld_cal($B284, $C284, $D284, $G284,$E284, $F284, $H284, AB$3)*1.3,0)),"-")</f>
        <v>-</v>
      </c>
      <c r="AC285" s="61" t="str">
        <f>IF($J285=AC$3,IF(AC$3&gt;$I284,"-",ROUNDUP(Ld_cal($B284, $C284, $D284, $G284,$E284, $F284, $H284, AC$3)*1.3,0)),"-")</f>
        <v>-</v>
      </c>
      <c r="AD285" s="61">
        <f t="shared" ref="AD285" si="277">IF(J285&gt;I284,"依標準圖",MAX(L285:AC285))</f>
        <v>105</v>
      </c>
    </row>
    <row r="286" spans="1:30">
      <c r="A286" s="105" t="s">
        <v>187</v>
      </c>
      <c r="B286" s="107">
        <v>120</v>
      </c>
      <c r="C286" s="108">
        <v>7.5</v>
      </c>
      <c r="D286" s="107">
        <v>4200</v>
      </c>
      <c r="E286" s="109">
        <v>16</v>
      </c>
      <c r="F286" s="110">
        <v>14</v>
      </c>
      <c r="G286" s="107">
        <v>350</v>
      </c>
      <c r="H286" s="109">
        <v>32</v>
      </c>
      <c r="I286" s="111">
        <f>ROUNDDOWN(($B286-2*$C286-2*$E286/10-$H286/10)/(($D$1+1)*$H286/10),0)+1</f>
        <v>16</v>
      </c>
      <c r="J286" s="62">
        <v>16</v>
      </c>
      <c r="K286" s="40" t="s">
        <v>30</v>
      </c>
      <c r="L286" s="63" t="str">
        <f>IF($J286=L$3,IF(L$3&gt;$I286,"-",ROUNDUP(Ld_cal($B286, $C286, $D286, $G286,$E286, $F286, $H286, L$3)*1.3*1.3,0)),"-")</f>
        <v>-</v>
      </c>
      <c r="M286" s="63" t="str">
        <f>IF($J286=M$3,IF(M$3&gt;$I286,"-",ROUNDUP(Ld_cal($B286, $C286, $D286, $G286,$E286, $F286, $H286, M$3)*1.3*1.3,0)),"-")</f>
        <v>-</v>
      </c>
      <c r="N286" s="63" t="str">
        <f>IF($J286=N$3,IF(N$3&gt;$I286,"-",ROUNDUP(Ld_cal($B286, $C286, $D286, $G286,$E286, $F286, $H286, N$3)*1.3*1.3,0)),"-")</f>
        <v>-</v>
      </c>
      <c r="O286" s="63" t="str">
        <f>IF($J286=O$3,IF(O$3&gt;$I286,"-",ROUNDUP(Ld_cal($B286, $C286, $D286, $G286,$E286, $F286, $H286, O$3)*1.3*1.3,0)),"-")</f>
        <v>-</v>
      </c>
      <c r="P286" s="63" t="str">
        <f>IF($J286=P$3,IF(P$3&gt;$I286,"-",ROUNDUP(Ld_cal($B286, $C286, $D286, $G286,$E286, $F286, $H286, P$3)*1.3*1.3,0)),"-")</f>
        <v>-</v>
      </c>
      <c r="Q286" s="63" t="str">
        <f>IF($J286=Q$3,IF(Q$3&gt;$I286,"-",ROUNDUP(Ld_cal($B286, $C286, $D286, $G286,$E286, $F286, $H286, Q$3)*1.3*1.3,0)),"-")</f>
        <v>-</v>
      </c>
      <c r="R286" s="63" t="str">
        <f>IF($J286=R$3,IF(R$3&gt;$I286,"-",ROUNDUP(Ld_cal($B286, $C286, $D286, $G286,$E286, $F286, $H286, R$3)*1.3*1.3,0)),"-")</f>
        <v>-</v>
      </c>
      <c r="S286" s="63" t="str">
        <f>IF($J286=S$3,IF(S$3&gt;$I286,"-",ROUNDUP(Ld_cal($B286, $C286, $D286, $G286,$E286, $F286, $H286, S$3)*1.3*1.3,0)),"-")</f>
        <v>-</v>
      </c>
      <c r="T286" s="63" t="str">
        <f>IF($J286=T$3,IF(T$3&gt;$I286,"-",ROUNDUP(Ld_cal($B286, $C286, $D286, $G286,$E286, $F286, $H286, T$3)*1.3*1.3,0)),"-")</f>
        <v>-</v>
      </c>
      <c r="U286" s="63" t="str">
        <f>IF($J286=U$3,IF(U$3&gt;$I286,"-",ROUNDUP(Ld_cal($B286, $C286, $D286, $G286,$E286, $F286, $H286, U$3)*1.3*1.3,0)),"-")</f>
        <v>-</v>
      </c>
      <c r="V286" s="63" t="str">
        <f>IF($J286=V$3,IF(V$3&gt;$I286,"-",ROUNDUP(Ld_cal($B286, $C286, $D286, $G286,$E286, $F286, $H286, V$3)*1.3*1.3,0)),"-")</f>
        <v>-</v>
      </c>
      <c r="W286" s="63" t="str">
        <f>IF($J286=W$3,IF(W$3&gt;$I286,"-",ROUNDUP(Ld_cal($B286, $C286, $D286, $G286,$E286, $F286, $H286, W$3)*1.3*1.3,0)),"-")</f>
        <v>-</v>
      </c>
      <c r="X286" s="63" t="str">
        <f>IF($J286=X$3,IF(X$3&gt;$I286,"-",ROUNDUP(Ld_cal($B286, $C286, $D286, $G286,$E286, $F286, $H286, X$3)*1.3*1.3,0)),"-")</f>
        <v>-</v>
      </c>
      <c r="Y286" s="63">
        <f>IF($J286=Y$3,IF(Y$3&gt;$I286,"-",ROUNDUP(Ld_cal($B286, $C286, $D286, $G286,$E286, $F286, $H286, Y$3)*1.3*1.3,0)),"-")</f>
        <v>272</v>
      </c>
      <c r="Z286" s="63" t="str">
        <f>IF($J286=Z$3,IF(Z$3&gt;$I286,"-",ROUNDUP(Ld_cal($B286, $C286, $D286, $G286,$E286, $F286, $H286, Z$3)*1.3*1.3,0)),"-")</f>
        <v>-</v>
      </c>
      <c r="AA286" s="63" t="str">
        <f>IF($J286=AA$3,IF(AA$3&gt;$I286,"-",ROUNDUP(Ld_cal($B286, $C286, $D286, $G286,$E286, $F286, $H286, AA$3)*1.3*1.3,0)),"-")</f>
        <v>-</v>
      </c>
      <c r="AB286" s="63" t="str">
        <f>IF($J286=AB$3,IF(AB$3&gt;$I286,"-",ROUNDUP(Ld_cal($B286, $C286, $D286, $G286,$E286, $F286, $H286, AB$3)*1.3*1.3,0)),"-")</f>
        <v>-</v>
      </c>
      <c r="AC286" s="63" t="str">
        <f>IF($J286=AC$3,IF(AC$3&gt;$I286,"-",ROUNDUP(Ld_cal($B286, $C286, $D286, $G286,$E286, $F286, $H286, AC$3)*1.3*1.3,0)),"-")</f>
        <v>-</v>
      </c>
      <c r="AD286" s="63">
        <f t="shared" ref="AD286" si="278">IF(J286&gt;I286,"依標準圖",MAX(L286:AC286))</f>
        <v>272</v>
      </c>
    </row>
    <row r="287" spans="1:30">
      <c r="A287" s="106"/>
      <c r="B287" s="107"/>
      <c r="C287" s="108"/>
      <c r="D287" s="107"/>
      <c r="E287" s="109"/>
      <c r="F287" s="110"/>
      <c r="G287" s="107"/>
      <c r="H287" s="109"/>
      <c r="I287" s="111"/>
      <c r="J287" s="62">
        <v>8</v>
      </c>
      <c r="K287" s="40" t="s">
        <v>29</v>
      </c>
      <c r="L287" s="63" t="str">
        <f>IF($J287=L$3,IF(L$3&gt;$I286,"-",ROUNDUP(Ld_cal($B286, $C286, $D286, $G286,$E286, $F286, $H286, L$3)*1.3,0)),"-")</f>
        <v>-</v>
      </c>
      <c r="M287" s="63" t="str">
        <f>IF($J287=M$3,IF(M$3&gt;$I286,"-",ROUNDUP(Ld_cal($B286, $C286, $D286, $G286,$E286, $F286, $H286, M$3)*1.3,0)),"-")</f>
        <v>-</v>
      </c>
      <c r="N287" s="63" t="str">
        <f>IF($J287=N$3,IF(N$3&gt;$I286,"-",ROUNDUP(Ld_cal($B286, $C286, $D286, $G286,$E286, $F286, $H286, N$3)*1.3,0)),"-")</f>
        <v>-</v>
      </c>
      <c r="O287" s="63" t="str">
        <f>IF($J287=O$3,IF(O$3&gt;$I286,"-",ROUNDUP(Ld_cal($B286, $C286, $D286, $G286,$E286, $F286, $H286, O$3)*1.3,0)),"-")</f>
        <v>-</v>
      </c>
      <c r="P287" s="63" t="str">
        <f>IF($J287=P$3,IF(P$3&gt;$I286,"-",ROUNDUP(Ld_cal($B286, $C286, $D286, $G286,$E286, $F286, $H286, P$3)*1.3,0)),"-")</f>
        <v>-</v>
      </c>
      <c r="Q287" s="63">
        <f>IF($J287=Q$3,IF(Q$3&gt;$I286,"-",ROUNDUP(Ld_cal($B286, $C286, $D286, $G286,$E286, $F286, $H286, Q$3)*1.3,0)),"-")</f>
        <v>105</v>
      </c>
      <c r="R287" s="63" t="str">
        <f>IF($J287=R$3,IF(R$3&gt;$I286,"-",ROUNDUP(Ld_cal($B286, $C286, $D286, $G286,$E286, $F286, $H286, R$3)*1.3,0)),"-")</f>
        <v>-</v>
      </c>
      <c r="S287" s="63" t="str">
        <f>IF($J287=S$3,IF(S$3&gt;$I286,"-",ROUNDUP(Ld_cal($B286, $C286, $D286, $G286,$E286, $F286, $H286, S$3)*1.3,0)),"-")</f>
        <v>-</v>
      </c>
      <c r="T287" s="63" t="str">
        <f>IF($J287=T$3,IF(T$3&gt;$I286,"-",ROUNDUP(Ld_cal($B286, $C286, $D286, $G286,$E286, $F286, $H286, T$3)*1.3,0)),"-")</f>
        <v>-</v>
      </c>
      <c r="U287" s="63" t="str">
        <f>IF($J287=U$3,IF(U$3&gt;$I286,"-",ROUNDUP(Ld_cal($B286, $C286, $D286, $G286,$E286, $F286, $H286, U$3)*1.3,0)),"-")</f>
        <v>-</v>
      </c>
      <c r="V287" s="63" t="str">
        <f>IF($J287=V$3,IF(V$3&gt;$I286,"-",ROUNDUP(Ld_cal($B286, $C286, $D286, $G286,$E286, $F286, $H286, V$3)*1.3,0)),"-")</f>
        <v>-</v>
      </c>
      <c r="W287" s="63" t="str">
        <f>IF($J287=W$3,IF(W$3&gt;$I286,"-",ROUNDUP(Ld_cal($B286, $C286, $D286, $G286,$E286, $F286, $H286, W$3)*1.3,0)),"-")</f>
        <v>-</v>
      </c>
      <c r="X287" s="63" t="str">
        <f>IF($J287=X$3,IF(X$3&gt;$I286,"-",ROUNDUP(Ld_cal($B286, $C286, $D286, $G286,$E286, $F286, $H286, X$3)*1.3,0)),"-")</f>
        <v>-</v>
      </c>
      <c r="Y287" s="63" t="str">
        <f>IF($J287=Y$3,IF(Y$3&gt;$I286,"-",ROUNDUP(Ld_cal($B286, $C286, $D286, $G286,$E286, $F286, $H286, Y$3)*1.3,0)),"-")</f>
        <v>-</v>
      </c>
      <c r="Z287" s="63" t="str">
        <f>IF($J287=Z$3,IF(Z$3&gt;$I286,"-",ROUNDUP(Ld_cal($B286, $C286, $D286, $G286,$E286, $F286, $H286, Z$3)*1.3,0)),"-")</f>
        <v>-</v>
      </c>
      <c r="AA287" s="63" t="str">
        <f>IF($J287=AA$3,IF(AA$3&gt;$I286,"-",ROUNDUP(Ld_cal($B286, $C286, $D286, $G286,$E286, $F286, $H286, AA$3)*1.3,0)),"-")</f>
        <v>-</v>
      </c>
      <c r="AB287" s="63" t="str">
        <f>IF($J287=AB$3,IF(AB$3&gt;$I286,"-",ROUNDUP(Ld_cal($B286, $C286, $D286, $G286,$E286, $F286, $H286, AB$3)*1.3,0)),"-")</f>
        <v>-</v>
      </c>
      <c r="AC287" s="63" t="str">
        <f>IF($J287=AC$3,IF(AC$3&gt;$I286,"-",ROUNDUP(Ld_cal($B286, $C286, $D286, $G286,$E286, $F286, $H286, AC$3)*1.3,0)),"-")</f>
        <v>-</v>
      </c>
      <c r="AD287" s="63">
        <f t="shared" ref="AD287" si="279">IF(J287&gt;I286,"依標準圖",MAX(L287:AC287))</f>
        <v>105</v>
      </c>
    </row>
    <row r="288" spans="1:30">
      <c r="A288" s="97" t="s">
        <v>188</v>
      </c>
      <c r="B288" s="99">
        <v>120</v>
      </c>
      <c r="C288" s="100">
        <v>7.5</v>
      </c>
      <c r="D288" s="101">
        <v>4200</v>
      </c>
      <c r="E288" s="102">
        <v>16</v>
      </c>
      <c r="F288" s="103">
        <v>9</v>
      </c>
      <c r="G288" s="101">
        <v>350</v>
      </c>
      <c r="H288" s="102">
        <v>32</v>
      </c>
      <c r="I288" s="104">
        <f>ROUNDDOWN(($B288-2*$C288-2*$E288/10-$H288/10)/(($D$1+1)*$H288/10),0)+1</f>
        <v>16</v>
      </c>
      <c r="J288" s="60">
        <v>8</v>
      </c>
      <c r="K288" s="64" t="s">
        <v>30</v>
      </c>
      <c r="L288" s="61" t="str">
        <f>IF($J288=L$3,IF(L$3&gt;$I288,"-",ROUNDUP(Ld_cal($B288, $C288, $D288, $G288,$E288, $F288, $H288, L$3)*1.3*1.3,0)),"-")</f>
        <v>-</v>
      </c>
      <c r="M288" s="61" t="str">
        <f>IF($J288=M$3,IF(M$3&gt;$I288,"-",ROUNDUP(Ld_cal($B288, $C288, $D288, $G288,$E288, $F288, $H288, M$3)*1.3*1.3,0)),"-")</f>
        <v>-</v>
      </c>
      <c r="N288" s="61" t="str">
        <f>IF($J288=N$3,IF(N$3&gt;$I288,"-",ROUNDUP(Ld_cal($B288, $C288, $D288, $G288,$E288, $F288, $H288, N$3)*1.3*1.3,0)),"-")</f>
        <v>-</v>
      </c>
      <c r="O288" s="61" t="str">
        <f>IF($J288=O$3,IF(O$3&gt;$I288,"-",ROUNDUP(Ld_cal($B288, $C288, $D288, $G288,$E288, $F288, $H288, O$3)*1.3*1.3,0)),"-")</f>
        <v>-</v>
      </c>
      <c r="P288" s="61" t="str">
        <f>IF($J288=P$3,IF(P$3&gt;$I288,"-",ROUNDUP(Ld_cal($B288, $C288, $D288, $G288,$E288, $F288, $H288, P$3)*1.3*1.3,0)),"-")</f>
        <v>-</v>
      </c>
      <c r="Q288" s="61">
        <f>IF($J288=Q$3,IF(Q$3&gt;$I288,"-",ROUNDUP(Ld_cal($B288, $C288, $D288, $G288,$E288, $F288, $H288, Q$3)*1.3*1.3,0)),"-")</f>
        <v>136</v>
      </c>
      <c r="R288" s="61" t="str">
        <f>IF($J288=R$3,IF(R$3&gt;$I288,"-",ROUNDUP(Ld_cal($B288, $C288, $D288, $G288,$E288, $F288, $H288, R$3)*1.3*1.3,0)),"-")</f>
        <v>-</v>
      </c>
      <c r="S288" s="61" t="str">
        <f>IF($J288=S$3,IF(S$3&gt;$I288,"-",ROUNDUP(Ld_cal($B288, $C288, $D288, $G288,$E288, $F288, $H288, S$3)*1.3*1.3,0)),"-")</f>
        <v>-</v>
      </c>
      <c r="T288" s="61" t="str">
        <f>IF($J288=T$3,IF(T$3&gt;$I288,"-",ROUNDUP(Ld_cal($B288, $C288, $D288, $G288,$E288, $F288, $H288, T$3)*1.3*1.3,0)),"-")</f>
        <v>-</v>
      </c>
      <c r="U288" s="61" t="str">
        <f>IF($J288=U$3,IF(U$3&gt;$I288,"-",ROUNDUP(Ld_cal($B288, $C288, $D288, $G288,$E288, $F288, $H288, U$3)*1.3*1.3,0)),"-")</f>
        <v>-</v>
      </c>
      <c r="V288" s="61" t="str">
        <f>IF($J288=V$3,IF(V$3&gt;$I288,"-",ROUNDUP(Ld_cal($B288, $C288, $D288, $G288,$E288, $F288, $H288, V$3)*1.3*1.3,0)),"-")</f>
        <v>-</v>
      </c>
      <c r="W288" s="61" t="str">
        <f>IF($J288=W$3,IF(W$3&gt;$I288,"-",ROUNDUP(Ld_cal($B288, $C288, $D288, $G288,$E288, $F288, $H288, W$3)*1.3*1.3,0)),"-")</f>
        <v>-</v>
      </c>
      <c r="X288" s="61" t="str">
        <f>IF($J288=X$3,IF(X$3&gt;$I288,"-",ROUNDUP(Ld_cal($B288, $C288, $D288, $G288,$E288, $F288, $H288, X$3)*1.3*1.3,0)),"-")</f>
        <v>-</v>
      </c>
      <c r="Y288" s="61" t="str">
        <f>IF($J288=Y$3,IF(Y$3&gt;$I288,"-",ROUNDUP(Ld_cal($B288, $C288, $D288, $G288,$E288, $F288, $H288, Y$3)*1.3*1.3,0)),"-")</f>
        <v>-</v>
      </c>
      <c r="Z288" s="61" t="str">
        <f>IF($J288=Z$3,IF(Z$3&gt;$I288,"-",ROUNDUP(Ld_cal($B288, $C288, $D288, $G288,$E288, $F288, $H288, Z$3)*1.3*1.3,0)),"-")</f>
        <v>-</v>
      </c>
      <c r="AA288" s="61" t="str">
        <f>IF($J288=AA$3,IF(AA$3&gt;$I288,"-",ROUNDUP(Ld_cal($B288, $C288, $D288, $G288,$E288, $F288, $H288, AA$3)*1.3*1.3,0)),"-")</f>
        <v>-</v>
      </c>
      <c r="AB288" s="61" t="str">
        <f>IF($J288=AB$3,IF(AB$3&gt;$I288,"-",ROUNDUP(Ld_cal($B288, $C288, $D288, $G288,$E288, $F288, $H288, AB$3)*1.3*1.3,0)),"-")</f>
        <v>-</v>
      </c>
      <c r="AC288" s="61" t="str">
        <f>IF($J288=AC$3,IF(AC$3&gt;$I288,"-",ROUNDUP(Ld_cal($B288, $C288, $D288, $G288,$E288, $F288, $H288, AC$3)*1.3*1.3,0)),"-")</f>
        <v>-</v>
      </c>
      <c r="AD288" s="61">
        <f t="shared" ref="AD288" si="280">IF(J288&gt;I288,"依標準圖",MAX(L288:AC288))</f>
        <v>136</v>
      </c>
    </row>
    <row r="289" spans="1:30">
      <c r="A289" s="98"/>
      <c r="B289" s="99"/>
      <c r="C289" s="100"/>
      <c r="D289" s="101"/>
      <c r="E289" s="102"/>
      <c r="F289" s="103"/>
      <c r="G289" s="101"/>
      <c r="H289" s="102"/>
      <c r="I289" s="104"/>
      <c r="J289" s="60">
        <v>14</v>
      </c>
      <c r="K289" s="64" t="s">
        <v>29</v>
      </c>
      <c r="L289" s="61" t="str">
        <f>IF($J289=L$3,IF(L$3&gt;$I288,"-",ROUNDUP(Ld_cal($B288, $C288, $D288, $G288,$E288, $F288, $H288, L$3)*1.3,0)),"-")</f>
        <v>-</v>
      </c>
      <c r="M289" s="61" t="str">
        <f>IF($J289=M$3,IF(M$3&gt;$I288,"-",ROUNDUP(Ld_cal($B288, $C288, $D288, $G288,$E288, $F288, $H288, M$3)*1.3,0)),"-")</f>
        <v>-</v>
      </c>
      <c r="N289" s="61" t="str">
        <f>IF($J289=N$3,IF(N$3&gt;$I288,"-",ROUNDUP(Ld_cal($B288, $C288, $D288, $G288,$E288, $F288, $H288, N$3)*1.3,0)),"-")</f>
        <v>-</v>
      </c>
      <c r="O289" s="61" t="str">
        <f>IF($J289=O$3,IF(O$3&gt;$I288,"-",ROUNDUP(Ld_cal($B288, $C288, $D288, $G288,$E288, $F288, $H288, O$3)*1.3,0)),"-")</f>
        <v>-</v>
      </c>
      <c r="P289" s="61" t="str">
        <f>IF($J289=P$3,IF(P$3&gt;$I288,"-",ROUNDUP(Ld_cal($B288, $C288, $D288, $G288,$E288, $F288, $H288, P$3)*1.3,0)),"-")</f>
        <v>-</v>
      </c>
      <c r="Q289" s="61" t="str">
        <f>IF($J289=Q$3,IF(Q$3&gt;$I288,"-",ROUNDUP(Ld_cal($B288, $C288, $D288, $G288,$E288, $F288, $H288, Q$3)*1.3,0)),"-")</f>
        <v>-</v>
      </c>
      <c r="R289" s="61" t="str">
        <f>IF($J289=R$3,IF(R$3&gt;$I288,"-",ROUNDUP(Ld_cal($B288, $C288, $D288, $G288,$E288, $F288, $H288, R$3)*1.3,0)),"-")</f>
        <v>-</v>
      </c>
      <c r="S289" s="61" t="str">
        <f>IF($J289=S$3,IF(S$3&gt;$I288,"-",ROUNDUP(Ld_cal($B288, $C288, $D288, $G288,$E288, $F288, $H288, S$3)*1.3,0)),"-")</f>
        <v>-</v>
      </c>
      <c r="T289" s="61" t="str">
        <f>IF($J289=T$3,IF(T$3&gt;$I288,"-",ROUNDUP(Ld_cal($B288, $C288, $D288, $G288,$E288, $F288, $H288, T$3)*1.3,0)),"-")</f>
        <v>-</v>
      </c>
      <c r="U289" s="61" t="str">
        <f>IF($J289=U$3,IF(U$3&gt;$I288,"-",ROUNDUP(Ld_cal($B288, $C288, $D288, $G288,$E288, $F288, $H288, U$3)*1.3,0)),"-")</f>
        <v>-</v>
      </c>
      <c r="V289" s="61" t="str">
        <f>IF($J289=V$3,IF(V$3&gt;$I288,"-",ROUNDUP(Ld_cal($B288, $C288, $D288, $G288,$E288, $F288, $H288, V$3)*1.3,0)),"-")</f>
        <v>-</v>
      </c>
      <c r="W289" s="61">
        <f>IF($J289=W$3,IF(W$3&gt;$I288,"-",ROUNDUP(Ld_cal($B288, $C288, $D288, $G288,$E288, $F288, $H288, W$3)*1.3,0)),"-")</f>
        <v>166</v>
      </c>
      <c r="X289" s="61" t="str">
        <f>IF($J289=X$3,IF(X$3&gt;$I288,"-",ROUNDUP(Ld_cal($B288, $C288, $D288, $G288,$E288, $F288, $H288, X$3)*1.3,0)),"-")</f>
        <v>-</v>
      </c>
      <c r="Y289" s="61" t="str">
        <f>IF($J289=Y$3,IF(Y$3&gt;$I288,"-",ROUNDUP(Ld_cal($B288, $C288, $D288, $G288,$E288, $F288, $H288, Y$3)*1.3,0)),"-")</f>
        <v>-</v>
      </c>
      <c r="Z289" s="61" t="str">
        <f>IF($J289=Z$3,IF(Z$3&gt;$I288,"-",ROUNDUP(Ld_cal($B288, $C288, $D288, $G288,$E288, $F288, $H288, Z$3)*1.3,0)),"-")</f>
        <v>-</v>
      </c>
      <c r="AA289" s="61" t="str">
        <f>IF($J289=AA$3,IF(AA$3&gt;$I288,"-",ROUNDUP(Ld_cal($B288, $C288, $D288, $G288,$E288, $F288, $H288, AA$3)*1.3,0)),"-")</f>
        <v>-</v>
      </c>
      <c r="AB289" s="61" t="str">
        <f>IF($J289=AB$3,IF(AB$3&gt;$I288,"-",ROUNDUP(Ld_cal($B288, $C288, $D288, $G288,$E288, $F288, $H288, AB$3)*1.3,0)),"-")</f>
        <v>-</v>
      </c>
      <c r="AC289" s="61" t="str">
        <f>IF($J289=AC$3,IF(AC$3&gt;$I288,"-",ROUNDUP(Ld_cal($B288, $C288, $D288, $G288,$E288, $F288, $H288, AC$3)*1.3,0)),"-")</f>
        <v>-</v>
      </c>
      <c r="AD289" s="61">
        <f t="shared" ref="AD289" si="281">IF(J289&gt;I288,"依標準圖",MAX(L289:AC289))</f>
        <v>166</v>
      </c>
    </row>
    <row r="290" spans="1:30">
      <c r="A290" s="105" t="s">
        <v>189</v>
      </c>
      <c r="B290" s="107">
        <v>150</v>
      </c>
      <c r="C290" s="108">
        <v>7.5</v>
      </c>
      <c r="D290" s="107">
        <v>4200</v>
      </c>
      <c r="E290" s="109">
        <v>16</v>
      </c>
      <c r="F290" s="110">
        <v>9</v>
      </c>
      <c r="G290" s="107">
        <v>350</v>
      </c>
      <c r="H290" s="109">
        <v>32</v>
      </c>
      <c r="I290" s="111">
        <f>ROUNDDOWN(($B290-2*$C290-2*$E290/10-$H290/10)/(($D$1+1)*$H290/10),0)+1</f>
        <v>21</v>
      </c>
      <c r="J290" s="62">
        <v>10</v>
      </c>
      <c r="K290" s="40" t="s">
        <v>30</v>
      </c>
      <c r="L290" s="63" t="str">
        <f>IF($J290=L$3,IF(L$3&gt;$I290,"-",ROUNDUP(Ld_cal($B290, $C290, $D290, $G290,$E290, $F290, $H290, L$3)*1.3*1.3,0)),"-")</f>
        <v>-</v>
      </c>
      <c r="M290" s="63" t="str">
        <f>IF($J290=M$3,IF(M$3&gt;$I290,"-",ROUNDUP(Ld_cal($B290, $C290, $D290, $G290,$E290, $F290, $H290, M$3)*1.3*1.3,0)),"-")</f>
        <v>-</v>
      </c>
      <c r="N290" s="63" t="str">
        <f>IF($J290=N$3,IF(N$3&gt;$I290,"-",ROUNDUP(Ld_cal($B290, $C290, $D290, $G290,$E290, $F290, $H290, N$3)*1.3*1.3,0)),"-")</f>
        <v>-</v>
      </c>
      <c r="O290" s="63" t="str">
        <f>IF($J290=O$3,IF(O$3&gt;$I290,"-",ROUNDUP(Ld_cal($B290, $C290, $D290, $G290,$E290, $F290, $H290, O$3)*1.3*1.3,0)),"-")</f>
        <v>-</v>
      </c>
      <c r="P290" s="63" t="str">
        <f>IF($J290=P$3,IF(P$3&gt;$I290,"-",ROUNDUP(Ld_cal($B290, $C290, $D290, $G290,$E290, $F290, $H290, P$3)*1.3*1.3,0)),"-")</f>
        <v>-</v>
      </c>
      <c r="Q290" s="63" t="str">
        <f>IF($J290=Q$3,IF(Q$3&gt;$I290,"-",ROUNDUP(Ld_cal($B290, $C290, $D290, $G290,$E290, $F290, $H290, Q$3)*1.3*1.3,0)),"-")</f>
        <v>-</v>
      </c>
      <c r="R290" s="63" t="str">
        <f>IF($J290=R$3,IF(R$3&gt;$I290,"-",ROUNDUP(Ld_cal($B290, $C290, $D290, $G290,$E290, $F290, $H290, R$3)*1.3*1.3,0)),"-")</f>
        <v>-</v>
      </c>
      <c r="S290" s="63">
        <f>IF($J290=S$3,IF(S$3&gt;$I290,"-",ROUNDUP(Ld_cal($B290, $C290, $D290, $G290,$E290, $F290, $H290, S$3)*1.3*1.3,0)),"-")</f>
        <v>136</v>
      </c>
      <c r="T290" s="63" t="str">
        <f>IF($J290=T$3,IF(T$3&gt;$I290,"-",ROUNDUP(Ld_cal($B290, $C290, $D290, $G290,$E290, $F290, $H290, T$3)*1.3*1.3,0)),"-")</f>
        <v>-</v>
      </c>
      <c r="U290" s="63" t="str">
        <f>IF($J290=U$3,IF(U$3&gt;$I290,"-",ROUNDUP(Ld_cal($B290, $C290, $D290, $G290,$E290, $F290, $H290, U$3)*1.3*1.3,0)),"-")</f>
        <v>-</v>
      </c>
      <c r="V290" s="63" t="str">
        <f>IF($J290=V$3,IF(V$3&gt;$I290,"-",ROUNDUP(Ld_cal($B290, $C290, $D290, $G290,$E290, $F290, $H290, V$3)*1.3*1.3,0)),"-")</f>
        <v>-</v>
      </c>
      <c r="W290" s="63" t="str">
        <f>IF($J290=W$3,IF(W$3&gt;$I290,"-",ROUNDUP(Ld_cal($B290, $C290, $D290, $G290,$E290, $F290, $H290, W$3)*1.3*1.3,0)),"-")</f>
        <v>-</v>
      </c>
      <c r="X290" s="63" t="str">
        <f>IF($J290=X$3,IF(X$3&gt;$I290,"-",ROUNDUP(Ld_cal($B290, $C290, $D290, $G290,$E290, $F290, $H290, X$3)*1.3*1.3,0)),"-")</f>
        <v>-</v>
      </c>
      <c r="Y290" s="63" t="str">
        <f>IF($J290=Y$3,IF(Y$3&gt;$I290,"-",ROUNDUP(Ld_cal($B290, $C290, $D290, $G290,$E290, $F290, $H290, Y$3)*1.3*1.3,0)),"-")</f>
        <v>-</v>
      </c>
      <c r="Z290" s="63" t="str">
        <f>IF($J290=Z$3,IF(Z$3&gt;$I290,"-",ROUNDUP(Ld_cal($B290, $C290, $D290, $G290,$E290, $F290, $H290, Z$3)*1.3*1.3,0)),"-")</f>
        <v>-</v>
      </c>
      <c r="AA290" s="63" t="str">
        <f>IF($J290=AA$3,IF(AA$3&gt;$I290,"-",ROUNDUP(Ld_cal($B290, $C290, $D290, $G290,$E290, $F290, $H290, AA$3)*1.3*1.3,0)),"-")</f>
        <v>-</v>
      </c>
      <c r="AB290" s="63" t="str">
        <f>IF($J290=AB$3,IF(AB$3&gt;$I290,"-",ROUNDUP(Ld_cal($B290, $C290, $D290, $G290,$E290, $F290, $H290, AB$3)*1.3*1.3,0)),"-")</f>
        <v>-</v>
      </c>
      <c r="AC290" s="63" t="str">
        <f>IF($J290=AC$3,IF(AC$3&gt;$I290,"-",ROUNDUP(Ld_cal($B290, $C290, $D290, $G290,$E290, $F290, $H290, AC$3)*1.3*1.3,0)),"-")</f>
        <v>-</v>
      </c>
      <c r="AD290" s="63">
        <f t="shared" ref="AD290" si="282">IF(J290&gt;I290,"依標準圖",MAX(L290:AC290))</f>
        <v>136</v>
      </c>
    </row>
    <row r="291" spans="1:30">
      <c r="A291" s="106"/>
      <c r="B291" s="107"/>
      <c r="C291" s="108"/>
      <c r="D291" s="107"/>
      <c r="E291" s="109"/>
      <c r="F291" s="110"/>
      <c r="G291" s="107"/>
      <c r="H291" s="109"/>
      <c r="I291" s="111"/>
      <c r="J291" s="62">
        <v>17</v>
      </c>
      <c r="K291" s="40" t="s">
        <v>29</v>
      </c>
      <c r="L291" s="63" t="str">
        <f>IF($J291=L$3,IF(L$3&gt;$I290,"-",ROUNDUP(Ld_cal($B290, $C290, $D290, $G290,$E290, $F290, $H290, L$3)*1.3,0)),"-")</f>
        <v>-</v>
      </c>
      <c r="M291" s="63" t="str">
        <f>IF($J291=M$3,IF(M$3&gt;$I290,"-",ROUNDUP(Ld_cal($B290, $C290, $D290, $G290,$E290, $F290, $H290, M$3)*1.3,0)),"-")</f>
        <v>-</v>
      </c>
      <c r="N291" s="63" t="str">
        <f>IF($J291=N$3,IF(N$3&gt;$I290,"-",ROUNDUP(Ld_cal($B290, $C290, $D290, $G290,$E290, $F290, $H290, N$3)*1.3,0)),"-")</f>
        <v>-</v>
      </c>
      <c r="O291" s="63" t="str">
        <f>IF($J291=O$3,IF(O$3&gt;$I290,"-",ROUNDUP(Ld_cal($B290, $C290, $D290, $G290,$E290, $F290, $H290, O$3)*1.3,0)),"-")</f>
        <v>-</v>
      </c>
      <c r="P291" s="63" t="str">
        <f>IF($J291=P$3,IF(P$3&gt;$I290,"-",ROUNDUP(Ld_cal($B290, $C290, $D290, $G290,$E290, $F290, $H290, P$3)*1.3,0)),"-")</f>
        <v>-</v>
      </c>
      <c r="Q291" s="63" t="str">
        <f>IF($J291=Q$3,IF(Q$3&gt;$I290,"-",ROUNDUP(Ld_cal($B290, $C290, $D290, $G290,$E290, $F290, $H290, Q$3)*1.3,0)),"-")</f>
        <v>-</v>
      </c>
      <c r="R291" s="63" t="str">
        <f>IF($J291=R$3,IF(R$3&gt;$I290,"-",ROUNDUP(Ld_cal($B290, $C290, $D290, $G290,$E290, $F290, $H290, R$3)*1.3,0)),"-")</f>
        <v>-</v>
      </c>
      <c r="S291" s="63" t="str">
        <f>IF($J291=S$3,IF(S$3&gt;$I290,"-",ROUNDUP(Ld_cal($B290, $C290, $D290, $G290,$E290, $F290, $H290, S$3)*1.3,0)),"-")</f>
        <v>-</v>
      </c>
      <c r="T291" s="63" t="str">
        <f>IF($J291=T$3,IF(T$3&gt;$I290,"-",ROUNDUP(Ld_cal($B290, $C290, $D290, $G290,$E290, $F290, $H290, T$3)*1.3,0)),"-")</f>
        <v>-</v>
      </c>
      <c r="U291" s="63" t="str">
        <f>IF($J291=U$3,IF(U$3&gt;$I290,"-",ROUNDUP(Ld_cal($B290, $C290, $D290, $G290,$E290, $F290, $H290, U$3)*1.3,0)),"-")</f>
        <v>-</v>
      </c>
      <c r="V291" s="63" t="str">
        <f>IF($J291=V$3,IF(V$3&gt;$I290,"-",ROUNDUP(Ld_cal($B290, $C290, $D290, $G290,$E290, $F290, $H290, V$3)*1.3,0)),"-")</f>
        <v>-</v>
      </c>
      <c r="W291" s="63" t="str">
        <f>IF($J291=W$3,IF(W$3&gt;$I290,"-",ROUNDUP(Ld_cal($B290, $C290, $D290, $G290,$E290, $F290, $H290, W$3)*1.3,0)),"-")</f>
        <v>-</v>
      </c>
      <c r="X291" s="63" t="str">
        <f>IF($J291=X$3,IF(X$3&gt;$I290,"-",ROUNDUP(Ld_cal($B290, $C290, $D290, $G290,$E290, $F290, $H290, X$3)*1.3,0)),"-")</f>
        <v>-</v>
      </c>
      <c r="Y291" s="63" t="str">
        <f>IF($J291=Y$3,IF(Y$3&gt;$I290,"-",ROUNDUP(Ld_cal($B290, $C290, $D290, $G290,$E290, $F290, $H290, Y$3)*1.3,0)),"-")</f>
        <v>-</v>
      </c>
      <c r="Z291" s="63">
        <f>IF($J291=Z$3,IF(Z$3&gt;$I290,"-",ROUNDUP(Ld_cal($B290, $C290, $D290, $G290,$E290, $F290, $H290, Z$3)*1.3,0)),"-")</f>
        <v>166</v>
      </c>
      <c r="AA291" s="63" t="str">
        <f>IF($J291=AA$3,IF(AA$3&gt;$I290,"-",ROUNDUP(Ld_cal($B290, $C290, $D290, $G290,$E290, $F290, $H290, AA$3)*1.3,0)),"-")</f>
        <v>-</v>
      </c>
      <c r="AB291" s="63" t="str">
        <f>IF($J291=AB$3,IF(AB$3&gt;$I290,"-",ROUNDUP(Ld_cal($B290, $C290, $D290, $G290,$E290, $F290, $H290, AB$3)*1.3,0)),"-")</f>
        <v>-</v>
      </c>
      <c r="AC291" s="63" t="str">
        <f>IF($J291=AC$3,IF(AC$3&gt;$I290,"-",ROUNDUP(Ld_cal($B290, $C290, $D290, $G290,$E290, $F290, $H290, AC$3)*1.3,0)),"-")</f>
        <v>-</v>
      </c>
      <c r="AD291" s="63">
        <f t="shared" ref="AD291" si="283">IF(J291&gt;I290,"依標準圖",MAX(L291:AC291))</f>
        <v>166</v>
      </c>
    </row>
    <row r="292" spans="1:30">
      <c r="A292" s="97" t="s">
        <v>190</v>
      </c>
      <c r="B292" s="99">
        <v>150</v>
      </c>
      <c r="C292" s="100">
        <v>7.5</v>
      </c>
      <c r="D292" s="101">
        <v>4200</v>
      </c>
      <c r="E292" s="102">
        <v>16</v>
      </c>
      <c r="F292" s="103">
        <v>7</v>
      </c>
      <c r="G292" s="101">
        <v>350</v>
      </c>
      <c r="H292" s="102">
        <v>32</v>
      </c>
      <c r="I292" s="104">
        <f>ROUNDDOWN(($B292-2*$C292-2*$E292/10-$H292/10)/(($D$1+1)*$H292/10),0)+1</f>
        <v>21</v>
      </c>
      <c r="J292" s="60">
        <v>19</v>
      </c>
      <c r="K292" s="64" t="s">
        <v>30</v>
      </c>
      <c r="L292" s="61" t="str">
        <f>IF($J292=L$3,IF(L$3&gt;$I292,"-",ROUNDUP(Ld_cal($B292, $C292, $D292, $G292,$E292, $F292, $H292, L$3)*1.3*1.3,0)),"-")</f>
        <v>-</v>
      </c>
      <c r="M292" s="61" t="str">
        <f>IF($J292=M$3,IF(M$3&gt;$I292,"-",ROUNDUP(Ld_cal($B292, $C292, $D292, $G292,$E292, $F292, $H292, M$3)*1.3*1.3,0)),"-")</f>
        <v>-</v>
      </c>
      <c r="N292" s="61" t="str">
        <f>IF($J292=N$3,IF(N$3&gt;$I292,"-",ROUNDUP(Ld_cal($B292, $C292, $D292, $G292,$E292, $F292, $H292, N$3)*1.3*1.3,0)),"-")</f>
        <v>-</v>
      </c>
      <c r="O292" s="61" t="str">
        <f>IF($J292=O$3,IF(O$3&gt;$I292,"-",ROUNDUP(Ld_cal($B292, $C292, $D292, $G292,$E292, $F292, $H292, O$3)*1.3*1.3,0)),"-")</f>
        <v>-</v>
      </c>
      <c r="P292" s="61" t="str">
        <f>IF($J292=P$3,IF(P$3&gt;$I292,"-",ROUNDUP(Ld_cal($B292, $C292, $D292, $G292,$E292, $F292, $H292, P$3)*1.3*1.3,0)),"-")</f>
        <v>-</v>
      </c>
      <c r="Q292" s="61" t="str">
        <f>IF($J292=Q$3,IF(Q$3&gt;$I292,"-",ROUNDUP(Ld_cal($B292, $C292, $D292, $G292,$E292, $F292, $H292, Q$3)*1.3*1.3,0)),"-")</f>
        <v>-</v>
      </c>
      <c r="R292" s="61" t="str">
        <f>IF($J292=R$3,IF(R$3&gt;$I292,"-",ROUNDUP(Ld_cal($B292, $C292, $D292, $G292,$E292, $F292, $H292, R$3)*1.3*1.3,0)),"-")</f>
        <v>-</v>
      </c>
      <c r="S292" s="61" t="str">
        <f>IF($J292=S$3,IF(S$3&gt;$I292,"-",ROUNDUP(Ld_cal($B292, $C292, $D292, $G292,$E292, $F292, $H292, S$3)*1.3*1.3,0)),"-")</f>
        <v>-</v>
      </c>
      <c r="T292" s="61" t="str">
        <f>IF($J292=T$3,IF(T$3&gt;$I292,"-",ROUNDUP(Ld_cal($B292, $C292, $D292, $G292,$E292, $F292, $H292, T$3)*1.3*1.3,0)),"-")</f>
        <v>-</v>
      </c>
      <c r="U292" s="61" t="str">
        <f>IF($J292=U$3,IF(U$3&gt;$I292,"-",ROUNDUP(Ld_cal($B292, $C292, $D292, $G292,$E292, $F292, $H292, U$3)*1.3*1.3,0)),"-")</f>
        <v>-</v>
      </c>
      <c r="V292" s="61" t="str">
        <f>IF($J292=V$3,IF(V$3&gt;$I292,"-",ROUNDUP(Ld_cal($B292, $C292, $D292, $G292,$E292, $F292, $H292, V$3)*1.3*1.3,0)),"-")</f>
        <v>-</v>
      </c>
      <c r="W292" s="61" t="str">
        <f>IF($J292=W$3,IF(W$3&gt;$I292,"-",ROUNDUP(Ld_cal($B292, $C292, $D292, $G292,$E292, $F292, $H292, W$3)*1.3*1.3,0)),"-")</f>
        <v>-</v>
      </c>
      <c r="X292" s="61" t="str">
        <f>IF($J292=X$3,IF(X$3&gt;$I292,"-",ROUNDUP(Ld_cal($B292, $C292, $D292, $G292,$E292, $F292, $H292, X$3)*1.3*1.3,0)),"-")</f>
        <v>-</v>
      </c>
      <c r="Y292" s="61" t="str">
        <f>IF($J292=Y$3,IF(Y$3&gt;$I292,"-",ROUNDUP(Ld_cal($B292, $C292, $D292, $G292,$E292, $F292, $H292, Y$3)*1.3*1.3,0)),"-")</f>
        <v>-</v>
      </c>
      <c r="Z292" s="61" t="str">
        <f>IF($J292=Z$3,IF(Z$3&gt;$I292,"-",ROUNDUP(Ld_cal($B292, $C292, $D292, $G292,$E292, $F292, $H292, Z$3)*1.3*1.3,0)),"-")</f>
        <v>-</v>
      </c>
      <c r="AA292" s="61" t="str">
        <f>IF($J292=AA$3,IF(AA$3&gt;$I292,"-",ROUNDUP(Ld_cal($B292, $C292, $D292, $G292,$E292, $F292, $H292, AA$3)*1.3*1.3,0)),"-")</f>
        <v>-</v>
      </c>
      <c r="AB292" s="61">
        <f>IF($J292=AB$3,IF(AB$3&gt;$I292,"-",ROUNDUP(Ld_cal($B292, $C292, $D292, $G292,$E292, $F292, $H292, AB$3)*1.3*1.3,0)),"-")</f>
        <v>228</v>
      </c>
      <c r="AC292" s="61" t="str">
        <f>IF($J292=AC$3,IF(AC$3&gt;$I292,"-",ROUNDUP(Ld_cal($B292, $C292, $D292, $G292,$E292, $F292, $H292, AC$3)*1.3*1.3,0)),"-")</f>
        <v>-</v>
      </c>
      <c r="AD292" s="61">
        <f t="shared" ref="AD292" si="284">IF(J292&gt;I292,"依標準圖",MAX(L292:AC292))</f>
        <v>228</v>
      </c>
    </row>
    <row r="293" spans="1:30">
      <c r="A293" s="98"/>
      <c r="B293" s="99"/>
      <c r="C293" s="100"/>
      <c r="D293" s="101"/>
      <c r="E293" s="102"/>
      <c r="F293" s="103"/>
      <c r="G293" s="101"/>
      <c r="H293" s="102"/>
      <c r="I293" s="104"/>
      <c r="J293" s="60">
        <v>17</v>
      </c>
      <c r="K293" s="64" t="s">
        <v>29</v>
      </c>
      <c r="L293" s="61" t="str">
        <f>IF($J293=L$3,IF(L$3&gt;$I292,"-",ROUNDUP(Ld_cal($B292, $C292, $D292, $G292,$E292, $F292, $H292, L$3)*1.3,0)),"-")</f>
        <v>-</v>
      </c>
      <c r="M293" s="61" t="str">
        <f>IF($J293=M$3,IF(M$3&gt;$I292,"-",ROUNDUP(Ld_cal($B292, $C292, $D292, $G292,$E292, $F292, $H292, M$3)*1.3,0)),"-")</f>
        <v>-</v>
      </c>
      <c r="N293" s="61" t="str">
        <f>IF($J293=N$3,IF(N$3&gt;$I292,"-",ROUNDUP(Ld_cal($B292, $C292, $D292, $G292,$E292, $F292, $H292, N$3)*1.3,0)),"-")</f>
        <v>-</v>
      </c>
      <c r="O293" s="61" t="str">
        <f>IF($J293=O$3,IF(O$3&gt;$I292,"-",ROUNDUP(Ld_cal($B292, $C292, $D292, $G292,$E292, $F292, $H292, O$3)*1.3,0)),"-")</f>
        <v>-</v>
      </c>
      <c r="P293" s="61" t="str">
        <f>IF($J293=P$3,IF(P$3&gt;$I292,"-",ROUNDUP(Ld_cal($B292, $C292, $D292, $G292,$E292, $F292, $H292, P$3)*1.3,0)),"-")</f>
        <v>-</v>
      </c>
      <c r="Q293" s="61" t="str">
        <f>IF($J293=Q$3,IF(Q$3&gt;$I292,"-",ROUNDUP(Ld_cal($B292, $C292, $D292, $G292,$E292, $F292, $H292, Q$3)*1.3,0)),"-")</f>
        <v>-</v>
      </c>
      <c r="R293" s="61" t="str">
        <f>IF($J293=R$3,IF(R$3&gt;$I292,"-",ROUNDUP(Ld_cal($B292, $C292, $D292, $G292,$E292, $F292, $H292, R$3)*1.3,0)),"-")</f>
        <v>-</v>
      </c>
      <c r="S293" s="61" t="str">
        <f>IF($J293=S$3,IF(S$3&gt;$I292,"-",ROUNDUP(Ld_cal($B292, $C292, $D292, $G292,$E292, $F292, $H292, S$3)*1.3,0)),"-")</f>
        <v>-</v>
      </c>
      <c r="T293" s="61" t="str">
        <f>IF($J293=T$3,IF(T$3&gt;$I292,"-",ROUNDUP(Ld_cal($B292, $C292, $D292, $G292,$E292, $F292, $H292, T$3)*1.3,0)),"-")</f>
        <v>-</v>
      </c>
      <c r="U293" s="61" t="str">
        <f>IF($J293=U$3,IF(U$3&gt;$I292,"-",ROUNDUP(Ld_cal($B292, $C292, $D292, $G292,$E292, $F292, $H292, U$3)*1.3,0)),"-")</f>
        <v>-</v>
      </c>
      <c r="V293" s="61" t="str">
        <f>IF($J293=V$3,IF(V$3&gt;$I292,"-",ROUNDUP(Ld_cal($B292, $C292, $D292, $G292,$E292, $F292, $H292, V$3)*1.3,0)),"-")</f>
        <v>-</v>
      </c>
      <c r="W293" s="61" t="str">
        <f>IF($J293=W$3,IF(W$3&gt;$I292,"-",ROUNDUP(Ld_cal($B292, $C292, $D292, $G292,$E292, $F292, $H292, W$3)*1.3,0)),"-")</f>
        <v>-</v>
      </c>
      <c r="X293" s="61" t="str">
        <f>IF($J293=X$3,IF(X$3&gt;$I292,"-",ROUNDUP(Ld_cal($B292, $C292, $D292, $G292,$E292, $F292, $H292, X$3)*1.3,0)),"-")</f>
        <v>-</v>
      </c>
      <c r="Y293" s="61" t="str">
        <f>IF($J293=Y$3,IF(Y$3&gt;$I292,"-",ROUNDUP(Ld_cal($B292, $C292, $D292, $G292,$E292, $F292, $H292, Y$3)*1.3,0)),"-")</f>
        <v>-</v>
      </c>
      <c r="Z293" s="61">
        <f>IF($J293=Z$3,IF(Z$3&gt;$I292,"-",ROUNDUP(Ld_cal($B292, $C292, $D292, $G292,$E292, $F292, $H292, Z$3)*1.3,0)),"-")</f>
        <v>156</v>
      </c>
      <c r="AA293" s="61" t="str">
        <f>IF($J293=AA$3,IF(AA$3&gt;$I292,"-",ROUNDUP(Ld_cal($B292, $C292, $D292, $G292,$E292, $F292, $H292, AA$3)*1.3,0)),"-")</f>
        <v>-</v>
      </c>
      <c r="AB293" s="61" t="str">
        <f>IF($J293=AB$3,IF(AB$3&gt;$I292,"-",ROUNDUP(Ld_cal($B292, $C292, $D292, $G292,$E292, $F292, $H292, AB$3)*1.3,0)),"-")</f>
        <v>-</v>
      </c>
      <c r="AC293" s="61" t="str">
        <f>IF($J293=AC$3,IF(AC$3&gt;$I292,"-",ROUNDUP(Ld_cal($B292, $C292, $D292, $G292,$E292, $F292, $H292, AC$3)*1.3,0)),"-")</f>
        <v>-</v>
      </c>
      <c r="AD293" s="61">
        <f t="shared" ref="AD293" si="285">IF(J293&gt;I292,"依標準圖",MAX(L293:AC293))</f>
        <v>156</v>
      </c>
    </row>
    <row r="294" spans="1:30">
      <c r="A294" s="105" t="s">
        <v>191</v>
      </c>
      <c r="B294" s="107">
        <v>120</v>
      </c>
      <c r="C294" s="108">
        <v>7.5</v>
      </c>
      <c r="D294" s="107">
        <v>4200</v>
      </c>
      <c r="E294" s="109">
        <v>16</v>
      </c>
      <c r="F294" s="110">
        <v>25</v>
      </c>
      <c r="G294" s="107">
        <v>350</v>
      </c>
      <c r="H294" s="109">
        <v>32</v>
      </c>
      <c r="I294" s="111">
        <f>ROUNDDOWN(($B294-2*$C294-2*$E294/10-$H294/10)/(($D$1+1)*$H294/10),0)+1</f>
        <v>16</v>
      </c>
      <c r="J294" s="62">
        <v>8</v>
      </c>
      <c r="K294" s="40" t="s">
        <v>30</v>
      </c>
      <c r="L294" s="63" t="str">
        <f>IF($J294=L$3,IF(L$3&gt;$I294,"-",ROUNDUP(Ld_cal($B294, $C294, $D294, $G294,$E294, $F294, $H294, L$3)*1.3*1.3,0)),"-")</f>
        <v>-</v>
      </c>
      <c r="M294" s="63" t="str">
        <f>IF($J294=M$3,IF(M$3&gt;$I294,"-",ROUNDUP(Ld_cal($B294, $C294, $D294, $G294,$E294, $F294, $H294, M$3)*1.3*1.3,0)),"-")</f>
        <v>-</v>
      </c>
      <c r="N294" s="63" t="str">
        <f>IF($J294=N$3,IF(N$3&gt;$I294,"-",ROUNDUP(Ld_cal($B294, $C294, $D294, $G294,$E294, $F294, $H294, N$3)*1.3*1.3,0)),"-")</f>
        <v>-</v>
      </c>
      <c r="O294" s="63" t="str">
        <f>IF($J294=O$3,IF(O$3&gt;$I294,"-",ROUNDUP(Ld_cal($B294, $C294, $D294, $G294,$E294, $F294, $H294, O$3)*1.3*1.3,0)),"-")</f>
        <v>-</v>
      </c>
      <c r="P294" s="63" t="str">
        <f>IF($J294=P$3,IF(P$3&gt;$I294,"-",ROUNDUP(Ld_cal($B294, $C294, $D294, $G294,$E294, $F294, $H294, P$3)*1.3*1.3,0)),"-")</f>
        <v>-</v>
      </c>
      <c r="Q294" s="63">
        <f>IF($J294=Q$3,IF(Q$3&gt;$I294,"-",ROUNDUP(Ld_cal($B294, $C294, $D294, $G294,$E294, $F294, $H294, Q$3)*1.3*1.3,0)),"-")</f>
        <v>139</v>
      </c>
      <c r="R294" s="63" t="str">
        <f>IF($J294=R$3,IF(R$3&gt;$I294,"-",ROUNDUP(Ld_cal($B294, $C294, $D294, $G294,$E294, $F294, $H294, R$3)*1.3*1.3,0)),"-")</f>
        <v>-</v>
      </c>
      <c r="S294" s="63" t="str">
        <f>IF($J294=S$3,IF(S$3&gt;$I294,"-",ROUNDUP(Ld_cal($B294, $C294, $D294, $G294,$E294, $F294, $H294, S$3)*1.3*1.3,0)),"-")</f>
        <v>-</v>
      </c>
      <c r="T294" s="63" t="str">
        <f>IF($J294=T$3,IF(T$3&gt;$I294,"-",ROUNDUP(Ld_cal($B294, $C294, $D294, $G294,$E294, $F294, $H294, T$3)*1.3*1.3,0)),"-")</f>
        <v>-</v>
      </c>
      <c r="U294" s="63" t="str">
        <f>IF($J294=U$3,IF(U$3&gt;$I294,"-",ROUNDUP(Ld_cal($B294, $C294, $D294, $G294,$E294, $F294, $H294, U$3)*1.3*1.3,0)),"-")</f>
        <v>-</v>
      </c>
      <c r="V294" s="63" t="str">
        <f>IF($J294=V$3,IF(V$3&gt;$I294,"-",ROUNDUP(Ld_cal($B294, $C294, $D294, $G294,$E294, $F294, $H294, V$3)*1.3*1.3,0)),"-")</f>
        <v>-</v>
      </c>
      <c r="W294" s="63" t="str">
        <f>IF($J294=W$3,IF(W$3&gt;$I294,"-",ROUNDUP(Ld_cal($B294, $C294, $D294, $G294,$E294, $F294, $H294, W$3)*1.3*1.3,0)),"-")</f>
        <v>-</v>
      </c>
      <c r="X294" s="63" t="str">
        <f>IF($J294=X$3,IF(X$3&gt;$I294,"-",ROUNDUP(Ld_cal($B294, $C294, $D294, $G294,$E294, $F294, $H294, X$3)*1.3*1.3,0)),"-")</f>
        <v>-</v>
      </c>
      <c r="Y294" s="63" t="str">
        <f>IF($J294=Y$3,IF(Y$3&gt;$I294,"-",ROUNDUP(Ld_cal($B294, $C294, $D294, $G294,$E294, $F294, $H294, Y$3)*1.3*1.3,0)),"-")</f>
        <v>-</v>
      </c>
      <c r="Z294" s="63" t="str">
        <f>IF($J294=Z$3,IF(Z$3&gt;$I294,"-",ROUNDUP(Ld_cal($B294, $C294, $D294, $G294,$E294, $F294, $H294, Z$3)*1.3*1.3,0)),"-")</f>
        <v>-</v>
      </c>
      <c r="AA294" s="63" t="str">
        <f>IF($J294=AA$3,IF(AA$3&gt;$I294,"-",ROUNDUP(Ld_cal($B294, $C294, $D294, $G294,$E294, $F294, $H294, AA$3)*1.3*1.3,0)),"-")</f>
        <v>-</v>
      </c>
      <c r="AB294" s="63" t="str">
        <f>IF($J294=AB$3,IF(AB$3&gt;$I294,"-",ROUNDUP(Ld_cal($B294, $C294, $D294, $G294,$E294, $F294, $H294, AB$3)*1.3*1.3,0)),"-")</f>
        <v>-</v>
      </c>
      <c r="AC294" s="63" t="str">
        <f>IF($J294=AC$3,IF(AC$3&gt;$I294,"-",ROUNDUP(Ld_cal($B294, $C294, $D294, $G294,$E294, $F294, $H294, AC$3)*1.3*1.3,0)),"-")</f>
        <v>-</v>
      </c>
      <c r="AD294" s="63">
        <f t="shared" ref="AD294" si="286">IF(J294&gt;I294,"依標準圖",MAX(L294:AC294))</f>
        <v>139</v>
      </c>
    </row>
    <row r="295" spans="1:30">
      <c r="A295" s="106"/>
      <c r="B295" s="107"/>
      <c r="C295" s="108"/>
      <c r="D295" s="107"/>
      <c r="E295" s="109"/>
      <c r="F295" s="110"/>
      <c r="G295" s="107"/>
      <c r="H295" s="109"/>
      <c r="I295" s="111"/>
      <c r="J295" s="62">
        <v>5</v>
      </c>
      <c r="K295" s="40" t="s">
        <v>29</v>
      </c>
      <c r="L295" s="63" t="str">
        <f>IF($J295=L$3,IF(L$3&gt;$I294,"-",ROUNDUP(Ld_cal($B294, $C294, $D294, $G294,$E294, $F294, $H294, L$3)*1.3,0)),"-")</f>
        <v>-</v>
      </c>
      <c r="M295" s="63" t="str">
        <f>IF($J295=M$3,IF(M$3&gt;$I294,"-",ROUNDUP(Ld_cal($B294, $C294, $D294, $G294,$E294, $F294, $H294, M$3)*1.3,0)),"-")</f>
        <v>-</v>
      </c>
      <c r="N295" s="63">
        <f>IF($J295=N$3,IF(N$3&gt;$I294,"-",ROUNDUP(Ld_cal($B294, $C294, $D294, $G294,$E294, $F294, $H294, N$3)*1.3,0)),"-")</f>
        <v>105</v>
      </c>
      <c r="O295" s="63" t="str">
        <f>IF($J295=O$3,IF(O$3&gt;$I294,"-",ROUNDUP(Ld_cal($B294, $C294, $D294, $G294,$E294, $F294, $H294, O$3)*1.3,0)),"-")</f>
        <v>-</v>
      </c>
      <c r="P295" s="63" t="str">
        <f>IF($J295=P$3,IF(P$3&gt;$I294,"-",ROUNDUP(Ld_cal($B294, $C294, $D294, $G294,$E294, $F294, $H294, P$3)*1.3,0)),"-")</f>
        <v>-</v>
      </c>
      <c r="Q295" s="63" t="str">
        <f>IF($J295=Q$3,IF(Q$3&gt;$I294,"-",ROUNDUP(Ld_cal($B294, $C294, $D294, $G294,$E294, $F294, $H294, Q$3)*1.3,0)),"-")</f>
        <v>-</v>
      </c>
      <c r="R295" s="63" t="str">
        <f>IF($J295=R$3,IF(R$3&gt;$I294,"-",ROUNDUP(Ld_cal($B294, $C294, $D294, $G294,$E294, $F294, $H294, R$3)*1.3,0)),"-")</f>
        <v>-</v>
      </c>
      <c r="S295" s="63" t="str">
        <f>IF($J295=S$3,IF(S$3&gt;$I294,"-",ROUNDUP(Ld_cal($B294, $C294, $D294, $G294,$E294, $F294, $H294, S$3)*1.3,0)),"-")</f>
        <v>-</v>
      </c>
      <c r="T295" s="63" t="str">
        <f>IF($J295=T$3,IF(T$3&gt;$I294,"-",ROUNDUP(Ld_cal($B294, $C294, $D294, $G294,$E294, $F294, $H294, T$3)*1.3,0)),"-")</f>
        <v>-</v>
      </c>
      <c r="U295" s="63" t="str">
        <f>IF($J295=U$3,IF(U$3&gt;$I294,"-",ROUNDUP(Ld_cal($B294, $C294, $D294, $G294,$E294, $F294, $H294, U$3)*1.3,0)),"-")</f>
        <v>-</v>
      </c>
      <c r="V295" s="63" t="str">
        <f>IF($J295=V$3,IF(V$3&gt;$I294,"-",ROUNDUP(Ld_cal($B294, $C294, $D294, $G294,$E294, $F294, $H294, V$3)*1.3,0)),"-")</f>
        <v>-</v>
      </c>
      <c r="W295" s="63" t="str">
        <f>IF($J295=W$3,IF(W$3&gt;$I294,"-",ROUNDUP(Ld_cal($B294, $C294, $D294, $G294,$E294, $F294, $H294, W$3)*1.3,0)),"-")</f>
        <v>-</v>
      </c>
      <c r="X295" s="63" t="str">
        <f>IF($J295=X$3,IF(X$3&gt;$I294,"-",ROUNDUP(Ld_cal($B294, $C294, $D294, $G294,$E294, $F294, $H294, X$3)*1.3,0)),"-")</f>
        <v>-</v>
      </c>
      <c r="Y295" s="63" t="str">
        <f>IF($J295=Y$3,IF(Y$3&gt;$I294,"-",ROUNDUP(Ld_cal($B294, $C294, $D294, $G294,$E294, $F294, $H294, Y$3)*1.3,0)),"-")</f>
        <v>-</v>
      </c>
      <c r="Z295" s="63" t="str">
        <f>IF($J295=Z$3,IF(Z$3&gt;$I294,"-",ROUNDUP(Ld_cal($B294, $C294, $D294, $G294,$E294, $F294, $H294, Z$3)*1.3,0)),"-")</f>
        <v>-</v>
      </c>
      <c r="AA295" s="63" t="str">
        <f>IF($J295=AA$3,IF(AA$3&gt;$I294,"-",ROUNDUP(Ld_cal($B294, $C294, $D294, $G294,$E294, $F294, $H294, AA$3)*1.3,0)),"-")</f>
        <v>-</v>
      </c>
      <c r="AB295" s="63" t="str">
        <f>IF($J295=AB$3,IF(AB$3&gt;$I294,"-",ROUNDUP(Ld_cal($B294, $C294, $D294, $G294,$E294, $F294, $H294, AB$3)*1.3,0)),"-")</f>
        <v>-</v>
      </c>
      <c r="AC295" s="63" t="str">
        <f>IF($J295=AC$3,IF(AC$3&gt;$I294,"-",ROUNDUP(Ld_cal($B294, $C294, $D294, $G294,$E294, $F294, $H294, AC$3)*1.3,0)),"-")</f>
        <v>-</v>
      </c>
      <c r="AD295" s="63">
        <f t="shared" ref="AD295" si="287">IF(J295&gt;I294,"依標準圖",MAX(L295:AC295))</f>
        <v>105</v>
      </c>
    </row>
    <row r="296" spans="1:30">
      <c r="A296" s="97" t="s">
        <v>192</v>
      </c>
      <c r="B296" s="99">
        <v>120</v>
      </c>
      <c r="C296" s="100">
        <v>7.5</v>
      </c>
      <c r="D296" s="101">
        <v>4200</v>
      </c>
      <c r="E296" s="102">
        <v>16</v>
      </c>
      <c r="F296" s="103">
        <v>25</v>
      </c>
      <c r="G296" s="101">
        <v>350</v>
      </c>
      <c r="H296" s="102">
        <v>32</v>
      </c>
      <c r="I296" s="104">
        <f>ROUNDDOWN(($B296-2*$C296-2*$E296/10-$H296/10)/(($D$1+1)*$H296/10),0)+1</f>
        <v>16</v>
      </c>
      <c r="J296" s="60">
        <v>16</v>
      </c>
      <c r="K296" s="64" t="s">
        <v>30</v>
      </c>
      <c r="L296" s="61" t="str">
        <f>IF($J296=L$3,IF(L$3&gt;$I296,"-",ROUNDUP(Ld_cal($B296, $C296, $D296, $G296,$E296, $F296, $H296, L$3)*1.3*1.3,0)),"-")</f>
        <v>-</v>
      </c>
      <c r="M296" s="61" t="str">
        <f>IF($J296=M$3,IF(M$3&gt;$I296,"-",ROUNDUP(Ld_cal($B296, $C296, $D296, $G296,$E296, $F296, $H296, M$3)*1.3*1.3,0)),"-")</f>
        <v>-</v>
      </c>
      <c r="N296" s="61" t="str">
        <f>IF($J296=N$3,IF(N$3&gt;$I296,"-",ROUNDUP(Ld_cal($B296, $C296, $D296, $G296,$E296, $F296, $H296, N$3)*1.3*1.3,0)),"-")</f>
        <v>-</v>
      </c>
      <c r="O296" s="61" t="str">
        <f>IF($J296=O$3,IF(O$3&gt;$I296,"-",ROUNDUP(Ld_cal($B296, $C296, $D296, $G296,$E296, $F296, $H296, O$3)*1.3*1.3,0)),"-")</f>
        <v>-</v>
      </c>
      <c r="P296" s="61" t="str">
        <f>IF($J296=P$3,IF(P$3&gt;$I296,"-",ROUNDUP(Ld_cal($B296, $C296, $D296, $G296,$E296, $F296, $H296, P$3)*1.3*1.3,0)),"-")</f>
        <v>-</v>
      </c>
      <c r="Q296" s="61" t="str">
        <f>IF($J296=Q$3,IF(Q$3&gt;$I296,"-",ROUNDUP(Ld_cal($B296, $C296, $D296, $G296,$E296, $F296, $H296, Q$3)*1.3*1.3,0)),"-")</f>
        <v>-</v>
      </c>
      <c r="R296" s="61" t="str">
        <f>IF($J296=R$3,IF(R$3&gt;$I296,"-",ROUNDUP(Ld_cal($B296, $C296, $D296, $G296,$E296, $F296, $H296, R$3)*1.3*1.3,0)),"-")</f>
        <v>-</v>
      </c>
      <c r="S296" s="61" t="str">
        <f>IF($J296=S$3,IF(S$3&gt;$I296,"-",ROUNDUP(Ld_cal($B296, $C296, $D296, $G296,$E296, $F296, $H296, S$3)*1.3*1.3,0)),"-")</f>
        <v>-</v>
      </c>
      <c r="T296" s="61" t="str">
        <f>IF($J296=T$3,IF(T$3&gt;$I296,"-",ROUNDUP(Ld_cal($B296, $C296, $D296, $G296,$E296, $F296, $H296, T$3)*1.3*1.3,0)),"-")</f>
        <v>-</v>
      </c>
      <c r="U296" s="61" t="str">
        <f>IF($J296=U$3,IF(U$3&gt;$I296,"-",ROUNDUP(Ld_cal($B296, $C296, $D296, $G296,$E296, $F296, $H296, U$3)*1.3*1.3,0)),"-")</f>
        <v>-</v>
      </c>
      <c r="V296" s="61" t="str">
        <f>IF($J296=V$3,IF(V$3&gt;$I296,"-",ROUNDUP(Ld_cal($B296, $C296, $D296, $G296,$E296, $F296, $H296, V$3)*1.3*1.3,0)),"-")</f>
        <v>-</v>
      </c>
      <c r="W296" s="61" t="str">
        <f>IF($J296=W$3,IF(W$3&gt;$I296,"-",ROUNDUP(Ld_cal($B296, $C296, $D296, $G296,$E296, $F296, $H296, W$3)*1.3*1.3,0)),"-")</f>
        <v>-</v>
      </c>
      <c r="X296" s="61" t="str">
        <f>IF($J296=X$3,IF(X$3&gt;$I296,"-",ROUNDUP(Ld_cal($B296, $C296, $D296, $G296,$E296, $F296, $H296, X$3)*1.3*1.3,0)),"-")</f>
        <v>-</v>
      </c>
      <c r="Y296" s="61">
        <f>IF($J296=Y$3,IF(Y$3&gt;$I296,"-",ROUNDUP(Ld_cal($B296, $C296, $D296, $G296,$E296, $F296, $H296, Y$3)*1.3*1.3,0)),"-")</f>
        <v>295</v>
      </c>
      <c r="Z296" s="61" t="str">
        <f>IF($J296=Z$3,IF(Z$3&gt;$I296,"-",ROUNDUP(Ld_cal($B296, $C296, $D296, $G296,$E296, $F296, $H296, Z$3)*1.3*1.3,0)),"-")</f>
        <v>-</v>
      </c>
      <c r="AA296" s="61" t="str">
        <f>IF($J296=AA$3,IF(AA$3&gt;$I296,"-",ROUNDUP(Ld_cal($B296, $C296, $D296, $G296,$E296, $F296, $H296, AA$3)*1.3*1.3,0)),"-")</f>
        <v>-</v>
      </c>
      <c r="AB296" s="61" t="str">
        <f>IF($J296=AB$3,IF(AB$3&gt;$I296,"-",ROUNDUP(Ld_cal($B296, $C296, $D296, $G296,$E296, $F296, $H296, AB$3)*1.3*1.3,0)),"-")</f>
        <v>-</v>
      </c>
      <c r="AC296" s="61" t="str">
        <f>IF($J296=AC$3,IF(AC$3&gt;$I296,"-",ROUNDUP(Ld_cal($B296, $C296, $D296, $G296,$E296, $F296, $H296, AC$3)*1.3*1.3,0)),"-")</f>
        <v>-</v>
      </c>
      <c r="AD296" s="61">
        <f t="shared" ref="AD296" si="288">IF(J296&gt;I296,"依標準圖",MAX(L296:AC296))</f>
        <v>295</v>
      </c>
    </row>
    <row r="297" spans="1:30">
      <c r="A297" s="98"/>
      <c r="B297" s="99"/>
      <c r="C297" s="100"/>
      <c r="D297" s="101"/>
      <c r="E297" s="102"/>
      <c r="F297" s="103"/>
      <c r="G297" s="101"/>
      <c r="H297" s="102"/>
      <c r="I297" s="104"/>
      <c r="J297" s="60">
        <v>5</v>
      </c>
      <c r="K297" s="64" t="s">
        <v>29</v>
      </c>
      <c r="L297" s="61" t="str">
        <f>IF($J297=L$3,IF(L$3&gt;$I296,"-",ROUNDUP(Ld_cal($B296, $C296, $D296, $G296,$E296, $F296, $H296, L$3)*1.3,0)),"-")</f>
        <v>-</v>
      </c>
      <c r="M297" s="61" t="str">
        <f>IF($J297=M$3,IF(M$3&gt;$I296,"-",ROUNDUP(Ld_cal($B296, $C296, $D296, $G296,$E296, $F296, $H296, M$3)*1.3,0)),"-")</f>
        <v>-</v>
      </c>
      <c r="N297" s="61">
        <f>IF($J297=N$3,IF(N$3&gt;$I296,"-",ROUNDUP(Ld_cal($B296, $C296, $D296, $G296,$E296, $F296, $H296, N$3)*1.3,0)),"-")</f>
        <v>105</v>
      </c>
      <c r="O297" s="61" t="str">
        <f>IF($J297=O$3,IF(O$3&gt;$I296,"-",ROUNDUP(Ld_cal($B296, $C296, $D296, $G296,$E296, $F296, $H296, O$3)*1.3,0)),"-")</f>
        <v>-</v>
      </c>
      <c r="P297" s="61" t="str">
        <f>IF($J297=P$3,IF(P$3&gt;$I296,"-",ROUNDUP(Ld_cal($B296, $C296, $D296, $G296,$E296, $F296, $H296, P$3)*1.3,0)),"-")</f>
        <v>-</v>
      </c>
      <c r="Q297" s="61" t="str">
        <f>IF($J297=Q$3,IF(Q$3&gt;$I296,"-",ROUNDUP(Ld_cal($B296, $C296, $D296, $G296,$E296, $F296, $H296, Q$3)*1.3,0)),"-")</f>
        <v>-</v>
      </c>
      <c r="R297" s="61" t="str">
        <f>IF($J297=R$3,IF(R$3&gt;$I296,"-",ROUNDUP(Ld_cal($B296, $C296, $D296, $G296,$E296, $F296, $H296, R$3)*1.3,0)),"-")</f>
        <v>-</v>
      </c>
      <c r="S297" s="61" t="str">
        <f>IF($J297=S$3,IF(S$3&gt;$I296,"-",ROUNDUP(Ld_cal($B296, $C296, $D296, $G296,$E296, $F296, $H296, S$3)*1.3,0)),"-")</f>
        <v>-</v>
      </c>
      <c r="T297" s="61" t="str">
        <f>IF($J297=T$3,IF(T$3&gt;$I296,"-",ROUNDUP(Ld_cal($B296, $C296, $D296, $G296,$E296, $F296, $H296, T$3)*1.3,0)),"-")</f>
        <v>-</v>
      </c>
      <c r="U297" s="61" t="str">
        <f>IF($J297=U$3,IF(U$3&gt;$I296,"-",ROUNDUP(Ld_cal($B296, $C296, $D296, $G296,$E296, $F296, $H296, U$3)*1.3,0)),"-")</f>
        <v>-</v>
      </c>
      <c r="V297" s="61" t="str">
        <f>IF($J297=V$3,IF(V$3&gt;$I296,"-",ROUNDUP(Ld_cal($B296, $C296, $D296, $G296,$E296, $F296, $H296, V$3)*1.3,0)),"-")</f>
        <v>-</v>
      </c>
      <c r="W297" s="61" t="str">
        <f>IF($J297=W$3,IF(W$3&gt;$I296,"-",ROUNDUP(Ld_cal($B296, $C296, $D296, $G296,$E296, $F296, $H296, W$3)*1.3,0)),"-")</f>
        <v>-</v>
      </c>
      <c r="X297" s="61" t="str">
        <f>IF($J297=X$3,IF(X$3&gt;$I296,"-",ROUNDUP(Ld_cal($B296, $C296, $D296, $G296,$E296, $F296, $H296, X$3)*1.3,0)),"-")</f>
        <v>-</v>
      </c>
      <c r="Y297" s="61" t="str">
        <f>IF($J297=Y$3,IF(Y$3&gt;$I296,"-",ROUNDUP(Ld_cal($B296, $C296, $D296, $G296,$E296, $F296, $H296, Y$3)*1.3,0)),"-")</f>
        <v>-</v>
      </c>
      <c r="Z297" s="61" t="str">
        <f>IF($J297=Z$3,IF(Z$3&gt;$I296,"-",ROUNDUP(Ld_cal($B296, $C296, $D296, $G296,$E296, $F296, $H296, Z$3)*1.3,0)),"-")</f>
        <v>-</v>
      </c>
      <c r="AA297" s="61" t="str">
        <f>IF($J297=AA$3,IF(AA$3&gt;$I296,"-",ROUNDUP(Ld_cal($B296, $C296, $D296, $G296,$E296, $F296, $H296, AA$3)*1.3,0)),"-")</f>
        <v>-</v>
      </c>
      <c r="AB297" s="61" t="str">
        <f>IF($J297=AB$3,IF(AB$3&gt;$I296,"-",ROUNDUP(Ld_cal($B296, $C296, $D296, $G296,$E296, $F296, $H296, AB$3)*1.3,0)),"-")</f>
        <v>-</v>
      </c>
      <c r="AC297" s="61" t="str">
        <f>IF($J297=AC$3,IF(AC$3&gt;$I296,"-",ROUNDUP(Ld_cal($B296, $C296, $D296, $G296,$E296, $F296, $H296, AC$3)*1.3,0)),"-")</f>
        <v>-</v>
      </c>
      <c r="AD297" s="61">
        <f t="shared" ref="AD297" si="289">IF(J297&gt;I296,"依標準圖",MAX(L297:AC297))</f>
        <v>105</v>
      </c>
    </row>
    <row r="298" spans="1:30">
      <c r="A298" s="105" t="s">
        <v>193</v>
      </c>
      <c r="B298" s="107">
        <v>120</v>
      </c>
      <c r="C298" s="108">
        <v>7.5</v>
      </c>
      <c r="D298" s="107">
        <v>4200</v>
      </c>
      <c r="E298" s="109">
        <v>16</v>
      </c>
      <c r="F298" s="110">
        <v>18</v>
      </c>
      <c r="G298" s="107">
        <v>350</v>
      </c>
      <c r="H298" s="109">
        <v>32</v>
      </c>
      <c r="I298" s="111">
        <f>ROUNDDOWN(($B298-2*$C298-2*$E298/10-$H298/10)/(($D$1+1)*$H298/10),0)+1</f>
        <v>16</v>
      </c>
      <c r="J298" s="62">
        <v>16</v>
      </c>
      <c r="K298" s="40" t="s">
        <v>30</v>
      </c>
      <c r="L298" s="63" t="str">
        <f>IF($J298=L$3,IF(L$3&gt;$I298,"-",ROUNDUP(Ld_cal($B298, $C298, $D298, $G298,$E298, $F298, $H298, L$3)*1.3*1.3,0)),"-")</f>
        <v>-</v>
      </c>
      <c r="M298" s="63" t="str">
        <f>IF($J298=M$3,IF(M$3&gt;$I298,"-",ROUNDUP(Ld_cal($B298, $C298, $D298, $G298,$E298, $F298, $H298, M$3)*1.3*1.3,0)),"-")</f>
        <v>-</v>
      </c>
      <c r="N298" s="63" t="str">
        <f>IF($J298=N$3,IF(N$3&gt;$I298,"-",ROUNDUP(Ld_cal($B298, $C298, $D298, $G298,$E298, $F298, $H298, N$3)*1.3*1.3,0)),"-")</f>
        <v>-</v>
      </c>
      <c r="O298" s="63" t="str">
        <f>IF($J298=O$3,IF(O$3&gt;$I298,"-",ROUNDUP(Ld_cal($B298, $C298, $D298, $G298,$E298, $F298, $H298, O$3)*1.3*1.3,0)),"-")</f>
        <v>-</v>
      </c>
      <c r="P298" s="63" t="str">
        <f>IF($J298=P$3,IF(P$3&gt;$I298,"-",ROUNDUP(Ld_cal($B298, $C298, $D298, $G298,$E298, $F298, $H298, P$3)*1.3*1.3,0)),"-")</f>
        <v>-</v>
      </c>
      <c r="Q298" s="63" t="str">
        <f>IF($J298=Q$3,IF(Q$3&gt;$I298,"-",ROUNDUP(Ld_cal($B298, $C298, $D298, $G298,$E298, $F298, $H298, Q$3)*1.3*1.3,0)),"-")</f>
        <v>-</v>
      </c>
      <c r="R298" s="63" t="str">
        <f>IF($J298=R$3,IF(R$3&gt;$I298,"-",ROUNDUP(Ld_cal($B298, $C298, $D298, $G298,$E298, $F298, $H298, R$3)*1.3*1.3,0)),"-")</f>
        <v>-</v>
      </c>
      <c r="S298" s="63" t="str">
        <f>IF($J298=S$3,IF(S$3&gt;$I298,"-",ROUNDUP(Ld_cal($B298, $C298, $D298, $G298,$E298, $F298, $H298, S$3)*1.3*1.3,0)),"-")</f>
        <v>-</v>
      </c>
      <c r="T298" s="63" t="str">
        <f>IF($J298=T$3,IF(T$3&gt;$I298,"-",ROUNDUP(Ld_cal($B298, $C298, $D298, $G298,$E298, $F298, $H298, T$3)*1.3*1.3,0)),"-")</f>
        <v>-</v>
      </c>
      <c r="U298" s="63" t="str">
        <f>IF($J298=U$3,IF(U$3&gt;$I298,"-",ROUNDUP(Ld_cal($B298, $C298, $D298, $G298,$E298, $F298, $H298, U$3)*1.3*1.3,0)),"-")</f>
        <v>-</v>
      </c>
      <c r="V298" s="63" t="str">
        <f>IF($J298=V$3,IF(V$3&gt;$I298,"-",ROUNDUP(Ld_cal($B298, $C298, $D298, $G298,$E298, $F298, $H298, V$3)*1.3*1.3,0)),"-")</f>
        <v>-</v>
      </c>
      <c r="W298" s="63" t="str">
        <f>IF($J298=W$3,IF(W$3&gt;$I298,"-",ROUNDUP(Ld_cal($B298, $C298, $D298, $G298,$E298, $F298, $H298, W$3)*1.3*1.3,0)),"-")</f>
        <v>-</v>
      </c>
      <c r="X298" s="63" t="str">
        <f>IF($J298=X$3,IF(X$3&gt;$I298,"-",ROUNDUP(Ld_cal($B298, $C298, $D298, $G298,$E298, $F298, $H298, X$3)*1.3*1.3,0)),"-")</f>
        <v>-</v>
      </c>
      <c r="Y298" s="63">
        <f>IF($J298=Y$3,IF(Y$3&gt;$I298,"-",ROUNDUP(Ld_cal($B298, $C298, $D298, $G298,$E298, $F298, $H298, Y$3)*1.3*1.3,0)),"-")</f>
        <v>283</v>
      </c>
      <c r="Z298" s="63" t="str">
        <f>IF($J298=Z$3,IF(Z$3&gt;$I298,"-",ROUNDUP(Ld_cal($B298, $C298, $D298, $G298,$E298, $F298, $H298, Z$3)*1.3*1.3,0)),"-")</f>
        <v>-</v>
      </c>
      <c r="AA298" s="63" t="str">
        <f>IF($J298=AA$3,IF(AA$3&gt;$I298,"-",ROUNDUP(Ld_cal($B298, $C298, $D298, $G298,$E298, $F298, $H298, AA$3)*1.3*1.3,0)),"-")</f>
        <v>-</v>
      </c>
      <c r="AB298" s="63" t="str">
        <f>IF($J298=AB$3,IF(AB$3&gt;$I298,"-",ROUNDUP(Ld_cal($B298, $C298, $D298, $G298,$E298, $F298, $H298, AB$3)*1.3*1.3,0)),"-")</f>
        <v>-</v>
      </c>
      <c r="AC298" s="63" t="str">
        <f>IF($J298=AC$3,IF(AC$3&gt;$I298,"-",ROUNDUP(Ld_cal($B298, $C298, $D298, $G298,$E298, $F298, $H298, AC$3)*1.3*1.3,0)),"-")</f>
        <v>-</v>
      </c>
      <c r="AD298" s="63">
        <f t="shared" ref="AD298" si="290">IF(J298&gt;I298,"依標準圖",MAX(L298:AC298))</f>
        <v>283</v>
      </c>
    </row>
    <row r="299" spans="1:30">
      <c r="A299" s="106"/>
      <c r="B299" s="107"/>
      <c r="C299" s="108"/>
      <c r="D299" s="107"/>
      <c r="E299" s="109"/>
      <c r="F299" s="110"/>
      <c r="G299" s="107"/>
      <c r="H299" s="109"/>
      <c r="I299" s="111"/>
      <c r="J299" s="62">
        <v>7</v>
      </c>
      <c r="K299" s="40" t="s">
        <v>29</v>
      </c>
      <c r="L299" s="63" t="str">
        <f>IF($J299=L$3,IF(L$3&gt;$I298,"-",ROUNDUP(Ld_cal($B298, $C298, $D298, $G298,$E298, $F298, $H298, L$3)*1.3,0)),"-")</f>
        <v>-</v>
      </c>
      <c r="M299" s="63" t="str">
        <f>IF($J299=M$3,IF(M$3&gt;$I298,"-",ROUNDUP(Ld_cal($B298, $C298, $D298, $G298,$E298, $F298, $H298, M$3)*1.3,0)),"-")</f>
        <v>-</v>
      </c>
      <c r="N299" s="63" t="str">
        <f>IF($J299=N$3,IF(N$3&gt;$I298,"-",ROUNDUP(Ld_cal($B298, $C298, $D298, $G298,$E298, $F298, $H298, N$3)*1.3,0)),"-")</f>
        <v>-</v>
      </c>
      <c r="O299" s="63" t="str">
        <f>IF($J299=O$3,IF(O$3&gt;$I298,"-",ROUNDUP(Ld_cal($B298, $C298, $D298, $G298,$E298, $F298, $H298, O$3)*1.3,0)),"-")</f>
        <v>-</v>
      </c>
      <c r="P299" s="63">
        <f>IF($J299=P$3,IF(P$3&gt;$I298,"-",ROUNDUP(Ld_cal($B298, $C298, $D298, $G298,$E298, $F298, $H298, P$3)*1.3,0)),"-")</f>
        <v>105</v>
      </c>
      <c r="Q299" s="63" t="str">
        <f>IF($J299=Q$3,IF(Q$3&gt;$I298,"-",ROUNDUP(Ld_cal($B298, $C298, $D298, $G298,$E298, $F298, $H298, Q$3)*1.3,0)),"-")</f>
        <v>-</v>
      </c>
      <c r="R299" s="63" t="str">
        <f>IF($J299=R$3,IF(R$3&gt;$I298,"-",ROUNDUP(Ld_cal($B298, $C298, $D298, $G298,$E298, $F298, $H298, R$3)*1.3,0)),"-")</f>
        <v>-</v>
      </c>
      <c r="S299" s="63" t="str">
        <f>IF($J299=S$3,IF(S$3&gt;$I298,"-",ROUNDUP(Ld_cal($B298, $C298, $D298, $G298,$E298, $F298, $H298, S$3)*1.3,0)),"-")</f>
        <v>-</v>
      </c>
      <c r="T299" s="63" t="str">
        <f>IF($J299=T$3,IF(T$3&gt;$I298,"-",ROUNDUP(Ld_cal($B298, $C298, $D298, $G298,$E298, $F298, $H298, T$3)*1.3,0)),"-")</f>
        <v>-</v>
      </c>
      <c r="U299" s="63" t="str">
        <f>IF($J299=U$3,IF(U$3&gt;$I298,"-",ROUNDUP(Ld_cal($B298, $C298, $D298, $G298,$E298, $F298, $H298, U$3)*1.3,0)),"-")</f>
        <v>-</v>
      </c>
      <c r="V299" s="63" t="str">
        <f>IF($J299=V$3,IF(V$3&gt;$I298,"-",ROUNDUP(Ld_cal($B298, $C298, $D298, $G298,$E298, $F298, $H298, V$3)*1.3,0)),"-")</f>
        <v>-</v>
      </c>
      <c r="W299" s="63" t="str">
        <f>IF($J299=W$3,IF(W$3&gt;$I298,"-",ROUNDUP(Ld_cal($B298, $C298, $D298, $G298,$E298, $F298, $H298, W$3)*1.3,0)),"-")</f>
        <v>-</v>
      </c>
      <c r="X299" s="63" t="str">
        <f>IF($J299=X$3,IF(X$3&gt;$I298,"-",ROUNDUP(Ld_cal($B298, $C298, $D298, $G298,$E298, $F298, $H298, X$3)*1.3,0)),"-")</f>
        <v>-</v>
      </c>
      <c r="Y299" s="63" t="str">
        <f>IF($J299=Y$3,IF(Y$3&gt;$I298,"-",ROUNDUP(Ld_cal($B298, $C298, $D298, $G298,$E298, $F298, $H298, Y$3)*1.3,0)),"-")</f>
        <v>-</v>
      </c>
      <c r="Z299" s="63" t="str">
        <f>IF($J299=Z$3,IF(Z$3&gt;$I298,"-",ROUNDUP(Ld_cal($B298, $C298, $D298, $G298,$E298, $F298, $H298, Z$3)*1.3,0)),"-")</f>
        <v>-</v>
      </c>
      <c r="AA299" s="63" t="str">
        <f>IF($J299=AA$3,IF(AA$3&gt;$I298,"-",ROUNDUP(Ld_cal($B298, $C298, $D298, $G298,$E298, $F298, $H298, AA$3)*1.3,0)),"-")</f>
        <v>-</v>
      </c>
      <c r="AB299" s="63" t="str">
        <f>IF($J299=AB$3,IF(AB$3&gt;$I298,"-",ROUNDUP(Ld_cal($B298, $C298, $D298, $G298,$E298, $F298, $H298, AB$3)*1.3,0)),"-")</f>
        <v>-</v>
      </c>
      <c r="AC299" s="63" t="str">
        <f>IF($J299=AC$3,IF(AC$3&gt;$I298,"-",ROUNDUP(Ld_cal($B298, $C298, $D298, $G298,$E298, $F298, $H298, AC$3)*1.3,0)),"-")</f>
        <v>-</v>
      </c>
      <c r="AD299" s="63">
        <f t="shared" ref="AD299" si="291">IF(J299&gt;I298,"依標準圖",MAX(L299:AC299))</f>
        <v>105</v>
      </c>
    </row>
    <row r="300" spans="1:30">
      <c r="A300" s="97" t="s">
        <v>194</v>
      </c>
      <c r="B300" s="99">
        <v>120</v>
      </c>
      <c r="C300" s="100">
        <v>7.5</v>
      </c>
      <c r="D300" s="101">
        <v>4200</v>
      </c>
      <c r="E300" s="102">
        <v>16</v>
      </c>
      <c r="F300" s="103">
        <v>12</v>
      </c>
      <c r="G300" s="101">
        <v>350</v>
      </c>
      <c r="H300" s="102">
        <v>32</v>
      </c>
      <c r="I300" s="104">
        <f>ROUNDDOWN(($B300-2*$C300-2*$E300/10-$H300/10)/(($D$1+1)*$H300/10),0)+1</f>
        <v>16</v>
      </c>
      <c r="J300" s="60">
        <v>6</v>
      </c>
      <c r="K300" s="64" t="s">
        <v>30</v>
      </c>
      <c r="L300" s="61" t="str">
        <f>IF($J300=L$3,IF(L$3&gt;$I300,"-",ROUNDUP(Ld_cal($B300, $C300, $D300, $G300,$E300, $F300, $H300, L$3)*1.3*1.3,0)),"-")</f>
        <v>-</v>
      </c>
      <c r="M300" s="61" t="str">
        <f>IF($J300=M$3,IF(M$3&gt;$I300,"-",ROUNDUP(Ld_cal($B300, $C300, $D300, $G300,$E300, $F300, $H300, M$3)*1.3*1.3,0)),"-")</f>
        <v>-</v>
      </c>
      <c r="N300" s="61" t="str">
        <f>IF($J300=N$3,IF(N$3&gt;$I300,"-",ROUNDUP(Ld_cal($B300, $C300, $D300, $G300,$E300, $F300, $H300, N$3)*1.3*1.3,0)),"-")</f>
        <v>-</v>
      </c>
      <c r="O300" s="61">
        <f>IF($J300=O$3,IF(O$3&gt;$I300,"-",ROUNDUP(Ld_cal($B300, $C300, $D300, $G300,$E300, $F300, $H300, O$3)*1.3*1.3,0)),"-")</f>
        <v>136</v>
      </c>
      <c r="P300" s="61" t="str">
        <f>IF($J300=P$3,IF(P$3&gt;$I300,"-",ROUNDUP(Ld_cal($B300, $C300, $D300, $G300,$E300, $F300, $H300, P$3)*1.3*1.3,0)),"-")</f>
        <v>-</v>
      </c>
      <c r="Q300" s="61" t="str">
        <f>IF($J300=Q$3,IF(Q$3&gt;$I300,"-",ROUNDUP(Ld_cal($B300, $C300, $D300, $G300,$E300, $F300, $H300, Q$3)*1.3*1.3,0)),"-")</f>
        <v>-</v>
      </c>
      <c r="R300" s="61" t="str">
        <f>IF($J300=R$3,IF(R$3&gt;$I300,"-",ROUNDUP(Ld_cal($B300, $C300, $D300, $G300,$E300, $F300, $H300, R$3)*1.3*1.3,0)),"-")</f>
        <v>-</v>
      </c>
      <c r="S300" s="61" t="str">
        <f>IF($J300=S$3,IF(S$3&gt;$I300,"-",ROUNDUP(Ld_cal($B300, $C300, $D300, $G300,$E300, $F300, $H300, S$3)*1.3*1.3,0)),"-")</f>
        <v>-</v>
      </c>
      <c r="T300" s="61" t="str">
        <f>IF($J300=T$3,IF(T$3&gt;$I300,"-",ROUNDUP(Ld_cal($B300, $C300, $D300, $G300,$E300, $F300, $H300, T$3)*1.3*1.3,0)),"-")</f>
        <v>-</v>
      </c>
      <c r="U300" s="61" t="str">
        <f>IF($J300=U$3,IF(U$3&gt;$I300,"-",ROUNDUP(Ld_cal($B300, $C300, $D300, $G300,$E300, $F300, $H300, U$3)*1.3*1.3,0)),"-")</f>
        <v>-</v>
      </c>
      <c r="V300" s="61" t="str">
        <f>IF($J300=V$3,IF(V$3&gt;$I300,"-",ROUNDUP(Ld_cal($B300, $C300, $D300, $G300,$E300, $F300, $H300, V$3)*1.3*1.3,0)),"-")</f>
        <v>-</v>
      </c>
      <c r="W300" s="61" t="str">
        <f>IF($J300=W$3,IF(W$3&gt;$I300,"-",ROUNDUP(Ld_cal($B300, $C300, $D300, $G300,$E300, $F300, $H300, W$3)*1.3*1.3,0)),"-")</f>
        <v>-</v>
      </c>
      <c r="X300" s="61" t="str">
        <f>IF($J300=X$3,IF(X$3&gt;$I300,"-",ROUNDUP(Ld_cal($B300, $C300, $D300, $G300,$E300, $F300, $H300, X$3)*1.3*1.3,0)),"-")</f>
        <v>-</v>
      </c>
      <c r="Y300" s="61" t="str">
        <f>IF($J300=Y$3,IF(Y$3&gt;$I300,"-",ROUNDUP(Ld_cal($B300, $C300, $D300, $G300,$E300, $F300, $H300, Y$3)*1.3*1.3,0)),"-")</f>
        <v>-</v>
      </c>
      <c r="Z300" s="61" t="str">
        <f>IF($J300=Z$3,IF(Z$3&gt;$I300,"-",ROUNDUP(Ld_cal($B300, $C300, $D300, $G300,$E300, $F300, $H300, Z$3)*1.3*1.3,0)),"-")</f>
        <v>-</v>
      </c>
      <c r="AA300" s="61" t="str">
        <f>IF($J300=AA$3,IF(AA$3&gt;$I300,"-",ROUNDUP(Ld_cal($B300, $C300, $D300, $G300,$E300, $F300, $H300, AA$3)*1.3*1.3,0)),"-")</f>
        <v>-</v>
      </c>
      <c r="AB300" s="61" t="str">
        <f>IF($J300=AB$3,IF(AB$3&gt;$I300,"-",ROUNDUP(Ld_cal($B300, $C300, $D300, $G300,$E300, $F300, $H300, AB$3)*1.3*1.3,0)),"-")</f>
        <v>-</v>
      </c>
      <c r="AC300" s="61" t="str">
        <f>IF($J300=AC$3,IF(AC$3&gt;$I300,"-",ROUNDUP(Ld_cal($B300, $C300, $D300, $G300,$E300, $F300, $H300, AC$3)*1.3*1.3,0)),"-")</f>
        <v>-</v>
      </c>
      <c r="AD300" s="61">
        <f t="shared" ref="AD300" si="292">IF(J300&gt;I300,"依標準圖",MAX(L300:AC300))</f>
        <v>136</v>
      </c>
    </row>
    <row r="301" spans="1:30">
      <c r="A301" s="98"/>
      <c r="B301" s="99"/>
      <c r="C301" s="100"/>
      <c r="D301" s="101"/>
      <c r="E301" s="102"/>
      <c r="F301" s="103"/>
      <c r="G301" s="101"/>
      <c r="H301" s="102"/>
      <c r="I301" s="104"/>
      <c r="J301" s="60">
        <v>16</v>
      </c>
      <c r="K301" s="64" t="s">
        <v>29</v>
      </c>
      <c r="L301" s="61" t="str">
        <f>IF($J301=L$3,IF(L$3&gt;$I300,"-",ROUNDUP(Ld_cal($B300, $C300, $D300, $G300,$E300, $F300, $H300, L$3)*1.3,0)),"-")</f>
        <v>-</v>
      </c>
      <c r="M301" s="61" t="str">
        <f>IF($J301=M$3,IF(M$3&gt;$I300,"-",ROUNDUP(Ld_cal($B300, $C300, $D300, $G300,$E300, $F300, $H300, M$3)*1.3,0)),"-")</f>
        <v>-</v>
      </c>
      <c r="N301" s="61" t="str">
        <f>IF($J301=N$3,IF(N$3&gt;$I300,"-",ROUNDUP(Ld_cal($B300, $C300, $D300, $G300,$E300, $F300, $H300, N$3)*1.3,0)),"-")</f>
        <v>-</v>
      </c>
      <c r="O301" s="61" t="str">
        <f>IF($J301=O$3,IF(O$3&gt;$I300,"-",ROUNDUP(Ld_cal($B300, $C300, $D300, $G300,$E300, $F300, $H300, O$3)*1.3,0)),"-")</f>
        <v>-</v>
      </c>
      <c r="P301" s="61" t="str">
        <f>IF($J301=P$3,IF(P$3&gt;$I300,"-",ROUNDUP(Ld_cal($B300, $C300, $D300, $G300,$E300, $F300, $H300, P$3)*1.3,0)),"-")</f>
        <v>-</v>
      </c>
      <c r="Q301" s="61" t="str">
        <f>IF($J301=Q$3,IF(Q$3&gt;$I300,"-",ROUNDUP(Ld_cal($B300, $C300, $D300, $G300,$E300, $F300, $H300, Q$3)*1.3,0)),"-")</f>
        <v>-</v>
      </c>
      <c r="R301" s="61" t="str">
        <f>IF($J301=R$3,IF(R$3&gt;$I300,"-",ROUNDUP(Ld_cal($B300, $C300, $D300, $G300,$E300, $F300, $H300, R$3)*1.3,0)),"-")</f>
        <v>-</v>
      </c>
      <c r="S301" s="61" t="str">
        <f>IF($J301=S$3,IF(S$3&gt;$I300,"-",ROUNDUP(Ld_cal($B300, $C300, $D300, $G300,$E300, $F300, $H300, S$3)*1.3,0)),"-")</f>
        <v>-</v>
      </c>
      <c r="T301" s="61" t="str">
        <f>IF($J301=T$3,IF(T$3&gt;$I300,"-",ROUNDUP(Ld_cal($B300, $C300, $D300, $G300,$E300, $F300, $H300, T$3)*1.3,0)),"-")</f>
        <v>-</v>
      </c>
      <c r="U301" s="61" t="str">
        <f>IF($J301=U$3,IF(U$3&gt;$I300,"-",ROUNDUP(Ld_cal($B300, $C300, $D300, $G300,$E300, $F300, $H300, U$3)*1.3,0)),"-")</f>
        <v>-</v>
      </c>
      <c r="V301" s="61" t="str">
        <f>IF($J301=V$3,IF(V$3&gt;$I300,"-",ROUNDUP(Ld_cal($B300, $C300, $D300, $G300,$E300, $F300, $H300, V$3)*1.3,0)),"-")</f>
        <v>-</v>
      </c>
      <c r="W301" s="61" t="str">
        <f>IF($J301=W$3,IF(W$3&gt;$I300,"-",ROUNDUP(Ld_cal($B300, $C300, $D300, $G300,$E300, $F300, $H300, W$3)*1.3,0)),"-")</f>
        <v>-</v>
      </c>
      <c r="X301" s="61" t="str">
        <f>IF($J301=X$3,IF(X$3&gt;$I300,"-",ROUNDUP(Ld_cal($B300, $C300, $D300, $G300,$E300, $F300, $H300, X$3)*1.3,0)),"-")</f>
        <v>-</v>
      </c>
      <c r="Y301" s="61">
        <f>IF($J301=Y$3,IF(Y$3&gt;$I300,"-",ROUNDUP(Ld_cal($B300, $C300, $D300, $G300,$E300, $F300, $H300, Y$3)*1.3,0)),"-")</f>
        <v>203</v>
      </c>
      <c r="Z301" s="61" t="str">
        <f>IF($J301=Z$3,IF(Z$3&gt;$I300,"-",ROUNDUP(Ld_cal($B300, $C300, $D300, $G300,$E300, $F300, $H300, Z$3)*1.3,0)),"-")</f>
        <v>-</v>
      </c>
      <c r="AA301" s="61" t="str">
        <f>IF($J301=AA$3,IF(AA$3&gt;$I300,"-",ROUNDUP(Ld_cal($B300, $C300, $D300, $G300,$E300, $F300, $H300, AA$3)*1.3,0)),"-")</f>
        <v>-</v>
      </c>
      <c r="AB301" s="61" t="str">
        <f>IF($J301=AB$3,IF(AB$3&gt;$I300,"-",ROUNDUP(Ld_cal($B300, $C300, $D300, $G300,$E300, $F300, $H300, AB$3)*1.3,0)),"-")</f>
        <v>-</v>
      </c>
      <c r="AC301" s="61" t="str">
        <f>IF($J301=AC$3,IF(AC$3&gt;$I300,"-",ROUNDUP(Ld_cal($B300, $C300, $D300, $G300,$E300, $F300, $H300, AC$3)*1.3,0)),"-")</f>
        <v>-</v>
      </c>
      <c r="AD301" s="61">
        <f t="shared" ref="AD301" si="293">IF(J301&gt;I300,"依標準圖",MAX(L301:AC301))</f>
        <v>203</v>
      </c>
    </row>
    <row r="302" spans="1:30">
      <c r="A302" s="105" t="s">
        <v>195</v>
      </c>
      <c r="B302" s="107">
        <v>120</v>
      </c>
      <c r="C302" s="108">
        <v>7.5</v>
      </c>
      <c r="D302" s="107">
        <v>4200</v>
      </c>
      <c r="E302" s="109">
        <v>16</v>
      </c>
      <c r="F302" s="110">
        <v>14</v>
      </c>
      <c r="G302" s="107">
        <v>350</v>
      </c>
      <c r="H302" s="109">
        <v>32</v>
      </c>
      <c r="I302" s="111">
        <f>ROUNDDOWN(($B302-2*$C302-2*$E302/10-$H302/10)/(($D$1+1)*$H302/10),0)+1</f>
        <v>16</v>
      </c>
      <c r="J302" s="62">
        <v>7</v>
      </c>
      <c r="K302" s="40" t="s">
        <v>30</v>
      </c>
      <c r="L302" s="63" t="str">
        <f>IF($J302=L$3,IF(L$3&gt;$I302,"-",ROUNDUP(Ld_cal($B302, $C302, $D302, $G302,$E302, $F302, $H302, L$3)*1.3*1.3,0)),"-")</f>
        <v>-</v>
      </c>
      <c r="M302" s="63" t="str">
        <f>IF($J302=M$3,IF(M$3&gt;$I302,"-",ROUNDUP(Ld_cal($B302, $C302, $D302, $G302,$E302, $F302, $H302, M$3)*1.3*1.3,0)),"-")</f>
        <v>-</v>
      </c>
      <c r="N302" s="63" t="str">
        <f>IF($J302=N$3,IF(N$3&gt;$I302,"-",ROUNDUP(Ld_cal($B302, $C302, $D302, $G302,$E302, $F302, $H302, N$3)*1.3*1.3,0)),"-")</f>
        <v>-</v>
      </c>
      <c r="O302" s="63" t="str">
        <f>IF($J302=O$3,IF(O$3&gt;$I302,"-",ROUNDUP(Ld_cal($B302, $C302, $D302, $G302,$E302, $F302, $H302, O$3)*1.3*1.3,0)),"-")</f>
        <v>-</v>
      </c>
      <c r="P302" s="63">
        <f>IF($J302=P$3,IF(P$3&gt;$I302,"-",ROUNDUP(Ld_cal($B302, $C302, $D302, $G302,$E302, $F302, $H302, P$3)*1.3*1.3,0)),"-")</f>
        <v>136</v>
      </c>
      <c r="Q302" s="63" t="str">
        <f>IF($J302=Q$3,IF(Q$3&gt;$I302,"-",ROUNDUP(Ld_cal($B302, $C302, $D302, $G302,$E302, $F302, $H302, Q$3)*1.3*1.3,0)),"-")</f>
        <v>-</v>
      </c>
      <c r="R302" s="63" t="str">
        <f>IF($J302=R$3,IF(R$3&gt;$I302,"-",ROUNDUP(Ld_cal($B302, $C302, $D302, $G302,$E302, $F302, $H302, R$3)*1.3*1.3,0)),"-")</f>
        <v>-</v>
      </c>
      <c r="S302" s="63" t="str">
        <f>IF($J302=S$3,IF(S$3&gt;$I302,"-",ROUNDUP(Ld_cal($B302, $C302, $D302, $G302,$E302, $F302, $H302, S$3)*1.3*1.3,0)),"-")</f>
        <v>-</v>
      </c>
      <c r="T302" s="63" t="str">
        <f>IF($J302=T$3,IF(T$3&gt;$I302,"-",ROUNDUP(Ld_cal($B302, $C302, $D302, $G302,$E302, $F302, $H302, T$3)*1.3*1.3,0)),"-")</f>
        <v>-</v>
      </c>
      <c r="U302" s="63" t="str">
        <f>IF($J302=U$3,IF(U$3&gt;$I302,"-",ROUNDUP(Ld_cal($B302, $C302, $D302, $G302,$E302, $F302, $H302, U$3)*1.3*1.3,0)),"-")</f>
        <v>-</v>
      </c>
      <c r="V302" s="63" t="str">
        <f>IF($J302=V$3,IF(V$3&gt;$I302,"-",ROUNDUP(Ld_cal($B302, $C302, $D302, $G302,$E302, $F302, $H302, V$3)*1.3*1.3,0)),"-")</f>
        <v>-</v>
      </c>
      <c r="W302" s="63" t="str">
        <f>IF($J302=W$3,IF(W$3&gt;$I302,"-",ROUNDUP(Ld_cal($B302, $C302, $D302, $G302,$E302, $F302, $H302, W$3)*1.3*1.3,0)),"-")</f>
        <v>-</v>
      </c>
      <c r="X302" s="63" t="str">
        <f>IF($J302=X$3,IF(X$3&gt;$I302,"-",ROUNDUP(Ld_cal($B302, $C302, $D302, $G302,$E302, $F302, $H302, X$3)*1.3*1.3,0)),"-")</f>
        <v>-</v>
      </c>
      <c r="Y302" s="63" t="str">
        <f>IF($J302=Y$3,IF(Y$3&gt;$I302,"-",ROUNDUP(Ld_cal($B302, $C302, $D302, $G302,$E302, $F302, $H302, Y$3)*1.3*1.3,0)),"-")</f>
        <v>-</v>
      </c>
      <c r="Z302" s="63" t="str">
        <f>IF($J302=Z$3,IF(Z$3&gt;$I302,"-",ROUNDUP(Ld_cal($B302, $C302, $D302, $G302,$E302, $F302, $H302, Z$3)*1.3*1.3,0)),"-")</f>
        <v>-</v>
      </c>
      <c r="AA302" s="63" t="str">
        <f>IF($J302=AA$3,IF(AA$3&gt;$I302,"-",ROUNDUP(Ld_cal($B302, $C302, $D302, $G302,$E302, $F302, $H302, AA$3)*1.3*1.3,0)),"-")</f>
        <v>-</v>
      </c>
      <c r="AB302" s="63" t="str">
        <f>IF($J302=AB$3,IF(AB$3&gt;$I302,"-",ROUNDUP(Ld_cal($B302, $C302, $D302, $G302,$E302, $F302, $H302, AB$3)*1.3*1.3,0)),"-")</f>
        <v>-</v>
      </c>
      <c r="AC302" s="63" t="str">
        <f>IF($J302=AC$3,IF(AC$3&gt;$I302,"-",ROUNDUP(Ld_cal($B302, $C302, $D302, $G302,$E302, $F302, $H302, AC$3)*1.3*1.3,0)),"-")</f>
        <v>-</v>
      </c>
      <c r="AD302" s="63">
        <f t="shared" ref="AD302" si="294">IF(J302&gt;I302,"依標準圖",MAX(L302:AC302))</f>
        <v>136</v>
      </c>
    </row>
    <row r="303" spans="1:30">
      <c r="A303" s="106"/>
      <c r="B303" s="107"/>
      <c r="C303" s="108"/>
      <c r="D303" s="107"/>
      <c r="E303" s="109"/>
      <c r="F303" s="110"/>
      <c r="G303" s="107"/>
      <c r="H303" s="109"/>
      <c r="I303" s="111"/>
      <c r="J303" s="62">
        <v>16</v>
      </c>
      <c r="K303" s="40" t="s">
        <v>29</v>
      </c>
      <c r="L303" s="63" t="str">
        <f>IF($J303=L$3,IF(L$3&gt;$I302,"-",ROUNDUP(Ld_cal($B302, $C302, $D302, $G302,$E302, $F302, $H302, L$3)*1.3,0)),"-")</f>
        <v>-</v>
      </c>
      <c r="M303" s="63" t="str">
        <f>IF($J303=M$3,IF(M$3&gt;$I302,"-",ROUNDUP(Ld_cal($B302, $C302, $D302, $G302,$E302, $F302, $H302, M$3)*1.3,0)),"-")</f>
        <v>-</v>
      </c>
      <c r="N303" s="63" t="str">
        <f>IF($J303=N$3,IF(N$3&gt;$I302,"-",ROUNDUP(Ld_cal($B302, $C302, $D302, $G302,$E302, $F302, $H302, N$3)*1.3,0)),"-")</f>
        <v>-</v>
      </c>
      <c r="O303" s="63" t="str">
        <f>IF($J303=O$3,IF(O$3&gt;$I302,"-",ROUNDUP(Ld_cal($B302, $C302, $D302, $G302,$E302, $F302, $H302, O$3)*1.3,0)),"-")</f>
        <v>-</v>
      </c>
      <c r="P303" s="63" t="str">
        <f>IF($J303=P$3,IF(P$3&gt;$I302,"-",ROUNDUP(Ld_cal($B302, $C302, $D302, $G302,$E302, $F302, $H302, P$3)*1.3,0)),"-")</f>
        <v>-</v>
      </c>
      <c r="Q303" s="63" t="str">
        <f>IF($J303=Q$3,IF(Q$3&gt;$I302,"-",ROUNDUP(Ld_cal($B302, $C302, $D302, $G302,$E302, $F302, $H302, Q$3)*1.3,0)),"-")</f>
        <v>-</v>
      </c>
      <c r="R303" s="63" t="str">
        <f>IF($J303=R$3,IF(R$3&gt;$I302,"-",ROUNDUP(Ld_cal($B302, $C302, $D302, $G302,$E302, $F302, $H302, R$3)*1.3,0)),"-")</f>
        <v>-</v>
      </c>
      <c r="S303" s="63" t="str">
        <f>IF($J303=S$3,IF(S$3&gt;$I302,"-",ROUNDUP(Ld_cal($B302, $C302, $D302, $G302,$E302, $F302, $H302, S$3)*1.3,0)),"-")</f>
        <v>-</v>
      </c>
      <c r="T303" s="63" t="str">
        <f>IF($J303=T$3,IF(T$3&gt;$I302,"-",ROUNDUP(Ld_cal($B302, $C302, $D302, $G302,$E302, $F302, $H302, T$3)*1.3,0)),"-")</f>
        <v>-</v>
      </c>
      <c r="U303" s="63" t="str">
        <f>IF($J303=U$3,IF(U$3&gt;$I302,"-",ROUNDUP(Ld_cal($B302, $C302, $D302, $G302,$E302, $F302, $H302, U$3)*1.3,0)),"-")</f>
        <v>-</v>
      </c>
      <c r="V303" s="63" t="str">
        <f>IF($J303=V$3,IF(V$3&gt;$I302,"-",ROUNDUP(Ld_cal($B302, $C302, $D302, $G302,$E302, $F302, $H302, V$3)*1.3,0)),"-")</f>
        <v>-</v>
      </c>
      <c r="W303" s="63" t="str">
        <f>IF($J303=W$3,IF(W$3&gt;$I302,"-",ROUNDUP(Ld_cal($B302, $C302, $D302, $G302,$E302, $F302, $H302, W$3)*1.3,0)),"-")</f>
        <v>-</v>
      </c>
      <c r="X303" s="63" t="str">
        <f>IF($J303=X$3,IF(X$3&gt;$I302,"-",ROUNDUP(Ld_cal($B302, $C302, $D302, $G302,$E302, $F302, $H302, X$3)*1.3,0)),"-")</f>
        <v>-</v>
      </c>
      <c r="Y303" s="63">
        <f>IF($J303=Y$3,IF(Y$3&gt;$I302,"-",ROUNDUP(Ld_cal($B302, $C302, $D302, $G302,$E302, $F302, $H302, Y$3)*1.3,0)),"-")</f>
        <v>209</v>
      </c>
      <c r="Z303" s="63" t="str">
        <f>IF($J303=Z$3,IF(Z$3&gt;$I302,"-",ROUNDUP(Ld_cal($B302, $C302, $D302, $G302,$E302, $F302, $H302, Z$3)*1.3,0)),"-")</f>
        <v>-</v>
      </c>
      <c r="AA303" s="63" t="str">
        <f>IF($J303=AA$3,IF(AA$3&gt;$I302,"-",ROUNDUP(Ld_cal($B302, $C302, $D302, $G302,$E302, $F302, $H302, AA$3)*1.3,0)),"-")</f>
        <v>-</v>
      </c>
      <c r="AB303" s="63" t="str">
        <f>IF($J303=AB$3,IF(AB$3&gt;$I302,"-",ROUNDUP(Ld_cal($B302, $C302, $D302, $G302,$E302, $F302, $H302, AB$3)*1.3,0)),"-")</f>
        <v>-</v>
      </c>
      <c r="AC303" s="63" t="str">
        <f>IF($J303=AC$3,IF(AC$3&gt;$I302,"-",ROUNDUP(Ld_cal($B302, $C302, $D302, $G302,$E302, $F302, $H302, AC$3)*1.3,0)),"-")</f>
        <v>-</v>
      </c>
      <c r="AD303" s="63">
        <f t="shared" ref="AD303" si="295">IF(J303&gt;I302,"依標準圖",MAX(L303:AC303))</f>
        <v>209</v>
      </c>
    </row>
    <row r="304" spans="1:30">
      <c r="A304" s="97" t="s">
        <v>196</v>
      </c>
      <c r="B304" s="99">
        <v>150</v>
      </c>
      <c r="C304" s="100">
        <v>7.5</v>
      </c>
      <c r="D304" s="101">
        <v>4200</v>
      </c>
      <c r="E304" s="102">
        <v>16</v>
      </c>
      <c r="F304" s="103">
        <v>6</v>
      </c>
      <c r="G304" s="101">
        <v>350</v>
      </c>
      <c r="H304" s="102">
        <v>32</v>
      </c>
      <c r="I304" s="104">
        <f>ROUNDDOWN(($B304-2*$C304-2*$E304/10-$H304/10)/(($D$1+1)*$H304/10),0)+1</f>
        <v>21</v>
      </c>
      <c r="J304" s="60">
        <v>19</v>
      </c>
      <c r="K304" s="64" t="s">
        <v>30</v>
      </c>
      <c r="L304" s="61" t="str">
        <f>IF($J304=L$3,IF(L$3&gt;$I304,"-",ROUNDUP(Ld_cal($B304, $C304, $D304, $G304,$E304, $F304, $H304, L$3)*1.3*1.3,0)),"-")</f>
        <v>-</v>
      </c>
      <c r="M304" s="61" t="str">
        <f>IF($J304=M$3,IF(M$3&gt;$I304,"-",ROUNDUP(Ld_cal($B304, $C304, $D304, $G304,$E304, $F304, $H304, M$3)*1.3*1.3,0)),"-")</f>
        <v>-</v>
      </c>
      <c r="N304" s="61" t="str">
        <f>IF($J304=N$3,IF(N$3&gt;$I304,"-",ROUNDUP(Ld_cal($B304, $C304, $D304, $G304,$E304, $F304, $H304, N$3)*1.3*1.3,0)),"-")</f>
        <v>-</v>
      </c>
      <c r="O304" s="61" t="str">
        <f>IF($J304=O$3,IF(O$3&gt;$I304,"-",ROUNDUP(Ld_cal($B304, $C304, $D304, $G304,$E304, $F304, $H304, O$3)*1.3*1.3,0)),"-")</f>
        <v>-</v>
      </c>
      <c r="P304" s="61" t="str">
        <f>IF($J304=P$3,IF(P$3&gt;$I304,"-",ROUNDUP(Ld_cal($B304, $C304, $D304, $G304,$E304, $F304, $H304, P$3)*1.3*1.3,0)),"-")</f>
        <v>-</v>
      </c>
      <c r="Q304" s="61" t="str">
        <f>IF($J304=Q$3,IF(Q$3&gt;$I304,"-",ROUNDUP(Ld_cal($B304, $C304, $D304, $G304,$E304, $F304, $H304, Q$3)*1.3*1.3,0)),"-")</f>
        <v>-</v>
      </c>
      <c r="R304" s="61" t="str">
        <f>IF($J304=R$3,IF(R$3&gt;$I304,"-",ROUNDUP(Ld_cal($B304, $C304, $D304, $G304,$E304, $F304, $H304, R$3)*1.3*1.3,0)),"-")</f>
        <v>-</v>
      </c>
      <c r="S304" s="61" t="str">
        <f>IF($J304=S$3,IF(S$3&gt;$I304,"-",ROUNDUP(Ld_cal($B304, $C304, $D304, $G304,$E304, $F304, $H304, S$3)*1.3*1.3,0)),"-")</f>
        <v>-</v>
      </c>
      <c r="T304" s="61" t="str">
        <f>IF($J304=T$3,IF(T$3&gt;$I304,"-",ROUNDUP(Ld_cal($B304, $C304, $D304, $G304,$E304, $F304, $H304, T$3)*1.3*1.3,0)),"-")</f>
        <v>-</v>
      </c>
      <c r="U304" s="61" t="str">
        <f>IF($J304=U$3,IF(U$3&gt;$I304,"-",ROUNDUP(Ld_cal($B304, $C304, $D304, $G304,$E304, $F304, $H304, U$3)*1.3*1.3,0)),"-")</f>
        <v>-</v>
      </c>
      <c r="V304" s="61" t="str">
        <f>IF($J304=V$3,IF(V$3&gt;$I304,"-",ROUNDUP(Ld_cal($B304, $C304, $D304, $G304,$E304, $F304, $H304, V$3)*1.3*1.3,0)),"-")</f>
        <v>-</v>
      </c>
      <c r="W304" s="61" t="str">
        <f>IF($J304=W$3,IF(W$3&gt;$I304,"-",ROUNDUP(Ld_cal($B304, $C304, $D304, $G304,$E304, $F304, $H304, W$3)*1.3*1.3,0)),"-")</f>
        <v>-</v>
      </c>
      <c r="X304" s="61" t="str">
        <f>IF($J304=X$3,IF(X$3&gt;$I304,"-",ROUNDUP(Ld_cal($B304, $C304, $D304, $G304,$E304, $F304, $H304, X$3)*1.3*1.3,0)),"-")</f>
        <v>-</v>
      </c>
      <c r="Y304" s="61" t="str">
        <f>IF($J304=Y$3,IF(Y$3&gt;$I304,"-",ROUNDUP(Ld_cal($B304, $C304, $D304, $G304,$E304, $F304, $H304, Y$3)*1.3*1.3,0)),"-")</f>
        <v>-</v>
      </c>
      <c r="Z304" s="61" t="str">
        <f>IF($J304=Z$3,IF(Z$3&gt;$I304,"-",ROUNDUP(Ld_cal($B304, $C304, $D304, $G304,$E304, $F304, $H304, Z$3)*1.3*1.3,0)),"-")</f>
        <v>-</v>
      </c>
      <c r="AA304" s="61" t="str">
        <f>IF($J304=AA$3,IF(AA$3&gt;$I304,"-",ROUNDUP(Ld_cal($B304, $C304, $D304, $G304,$E304, $F304, $H304, AA$3)*1.3*1.3,0)),"-")</f>
        <v>-</v>
      </c>
      <c r="AB304" s="61">
        <f>IF($J304=AB$3,IF(AB$3&gt;$I304,"-",ROUNDUP(Ld_cal($B304, $C304, $D304, $G304,$E304, $F304, $H304, AB$3)*1.3*1.3,0)),"-")</f>
        <v>219</v>
      </c>
      <c r="AC304" s="61" t="str">
        <f>IF($J304=AC$3,IF(AC$3&gt;$I304,"-",ROUNDUP(Ld_cal($B304, $C304, $D304, $G304,$E304, $F304, $H304, AC$3)*1.3*1.3,0)),"-")</f>
        <v>-</v>
      </c>
      <c r="AD304" s="61">
        <f t="shared" ref="AD304" si="296">IF(J304&gt;I304,"依標準圖",MAX(L304:AC304))</f>
        <v>219</v>
      </c>
    </row>
    <row r="305" spans="1:30">
      <c r="A305" s="98"/>
      <c r="B305" s="99"/>
      <c r="C305" s="100"/>
      <c r="D305" s="101"/>
      <c r="E305" s="102"/>
      <c r="F305" s="103"/>
      <c r="G305" s="101"/>
      <c r="H305" s="102"/>
      <c r="I305" s="104"/>
      <c r="J305" s="60">
        <v>19</v>
      </c>
      <c r="K305" s="64" t="s">
        <v>29</v>
      </c>
      <c r="L305" s="61" t="str">
        <f>IF($J305=L$3,IF(L$3&gt;$I304,"-",ROUNDUP(Ld_cal($B304, $C304, $D304, $G304,$E304, $F304, $H304, L$3)*1.3,0)),"-")</f>
        <v>-</v>
      </c>
      <c r="M305" s="61" t="str">
        <f>IF($J305=M$3,IF(M$3&gt;$I304,"-",ROUNDUP(Ld_cal($B304, $C304, $D304, $G304,$E304, $F304, $H304, M$3)*1.3,0)),"-")</f>
        <v>-</v>
      </c>
      <c r="N305" s="61" t="str">
        <f>IF($J305=N$3,IF(N$3&gt;$I304,"-",ROUNDUP(Ld_cal($B304, $C304, $D304, $G304,$E304, $F304, $H304, N$3)*1.3,0)),"-")</f>
        <v>-</v>
      </c>
      <c r="O305" s="61" t="str">
        <f>IF($J305=O$3,IF(O$3&gt;$I304,"-",ROUNDUP(Ld_cal($B304, $C304, $D304, $G304,$E304, $F304, $H304, O$3)*1.3,0)),"-")</f>
        <v>-</v>
      </c>
      <c r="P305" s="61" t="str">
        <f>IF($J305=P$3,IF(P$3&gt;$I304,"-",ROUNDUP(Ld_cal($B304, $C304, $D304, $G304,$E304, $F304, $H304, P$3)*1.3,0)),"-")</f>
        <v>-</v>
      </c>
      <c r="Q305" s="61" t="str">
        <f>IF($J305=Q$3,IF(Q$3&gt;$I304,"-",ROUNDUP(Ld_cal($B304, $C304, $D304, $G304,$E304, $F304, $H304, Q$3)*1.3,0)),"-")</f>
        <v>-</v>
      </c>
      <c r="R305" s="61" t="str">
        <f>IF($J305=R$3,IF(R$3&gt;$I304,"-",ROUNDUP(Ld_cal($B304, $C304, $D304, $G304,$E304, $F304, $H304, R$3)*1.3,0)),"-")</f>
        <v>-</v>
      </c>
      <c r="S305" s="61" t="str">
        <f>IF($J305=S$3,IF(S$3&gt;$I304,"-",ROUNDUP(Ld_cal($B304, $C304, $D304, $G304,$E304, $F304, $H304, S$3)*1.3,0)),"-")</f>
        <v>-</v>
      </c>
      <c r="T305" s="61" t="str">
        <f>IF($J305=T$3,IF(T$3&gt;$I304,"-",ROUNDUP(Ld_cal($B304, $C304, $D304, $G304,$E304, $F304, $H304, T$3)*1.3,0)),"-")</f>
        <v>-</v>
      </c>
      <c r="U305" s="61" t="str">
        <f>IF($J305=U$3,IF(U$3&gt;$I304,"-",ROUNDUP(Ld_cal($B304, $C304, $D304, $G304,$E304, $F304, $H304, U$3)*1.3,0)),"-")</f>
        <v>-</v>
      </c>
      <c r="V305" s="61" t="str">
        <f>IF($J305=V$3,IF(V$3&gt;$I304,"-",ROUNDUP(Ld_cal($B304, $C304, $D304, $G304,$E304, $F304, $H304, V$3)*1.3,0)),"-")</f>
        <v>-</v>
      </c>
      <c r="W305" s="61" t="str">
        <f>IF($J305=W$3,IF(W$3&gt;$I304,"-",ROUNDUP(Ld_cal($B304, $C304, $D304, $G304,$E304, $F304, $H304, W$3)*1.3,0)),"-")</f>
        <v>-</v>
      </c>
      <c r="X305" s="61" t="str">
        <f>IF($J305=X$3,IF(X$3&gt;$I304,"-",ROUNDUP(Ld_cal($B304, $C304, $D304, $G304,$E304, $F304, $H304, X$3)*1.3,0)),"-")</f>
        <v>-</v>
      </c>
      <c r="Y305" s="61" t="str">
        <f>IF($J305=Y$3,IF(Y$3&gt;$I304,"-",ROUNDUP(Ld_cal($B304, $C304, $D304, $G304,$E304, $F304, $H304, Y$3)*1.3,0)),"-")</f>
        <v>-</v>
      </c>
      <c r="Z305" s="61" t="str">
        <f>IF($J305=Z$3,IF(Z$3&gt;$I304,"-",ROUNDUP(Ld_cal($B304, $C304, $D304, $G304,$E304, $F304, $H304, Z$3)*1.3,0)),"-")</f>
        <v>-</v>
      </c>
      <c r="AA305" s="61" t="str">
        <f>IF($J305=AA$3,IF(AA$3&gt;$I304,"-",ROUNDUP(Ld_cal($B304, $C304, $D304, $G304,$E304, $F304, $H304, AA$3)*1.3,0)),"-")</f>
        <v>-</v>
      </c>
      <c r="AB305" s="61">
        <f>IF($J305=AB$3,IF(AB$3&gt;$I304,"-",ROUNDUP(Ld_cal($B304, $C304, $D304, $G304,$E304, $F304, $H304, AB$3)*1.3,0)),"-")</f>
        <v>168</v>
      </c>
      <c r="AC305" s="61" t="str">
        <f>IF($J305=AC$3,IF(AC$3&gt;$I304,"-",ROUNDUP(Ld_cal($B304, $C304, $D304, $G304,$E304, $F304, $H304, AC$3)*1.3,0)),"-")</f>
        <v>-</v>
      </c>
      <c r="AD305" s="61">
        <f t="shared" ref="AD305" si="297">IF(J305&gt;I304,"依標準圖",MAX(L305:AC305))</f>
        <v>168</v>
      </c>
    </row>
    <row r="306" spans="1:30">
      <c r="A306" s="105" t="s">
        <v>197</v>
      </c>
      <c r="B306" s="107">
        <v>120</v>
      </c>
      <c r="C306" s="108">
        <v>7.5</v>
      </c>
      <c r="D306" s="107">
        <v>4200</v>
      </c>
      <c r="E306" s="109">
        <v>16</v>
      </c>
      <c r="F306" s="110">
        <v>25</v>
      </c>
      <c r="G306" s="107">
        <v>350</v>
      </c>
      <c r="H306" s="109">
        <v>32</v>
      </c>
      <c r="I306" s="111">
        <f>ROUNDDOWN(($B306-2*$C306-2*$E306/10-$H306/10)/(($D$1+1)*$H306/10),0)+1</f>
        <v>16</v>
      </c>
      <c r="J306" s="62">
        <v>6</v>
      </c>
      <c r="K306" s="40" t="s">
        <v>30</v>
      </c>
      <c r="L306" s="63" t="str">
        <f>IF($J306=L$3,IF(L$3&gt;$I306,"-",ROUNDUP(Ld_cal($B306, $C306, $D306, $G306,$E306, $F306, $H306, L$3)*1.3*1.3,0)),"-")</f>
        <v>-</v>
      </c>
      <c r="M306" s="63" t="str">
        <f>IF($J306=M$3,IF(M$3&gt;$I306,"-",ROUNDUP(Ld_cal($B306, $C306, $D306, $G306,$E306, $F306, $H306, M$3)*1.3*1.3,0)),"-")</f>
        <v>-</v>
      </c>
      <c r="N306" s="63" t="str">
        <f>IF($J306=N$3,IF(N$3&gt;$I306,"-",ROUNDUP(Ld_cal($B306, $C306, $D306, $G306,$E306, $F306, $H306, N$3)*1.3*1.3,0)),"-")</f>
        <v>-</v>
      </c>
      <c r="O306" s="63">
        <f>IF($J306=O$3,IF(O$3&gt;$I306,"-",ROUNDUP(Ld_cal($B306, $C306, $D306, $G306,$E306, $F306, $H306, O$3)*1.3*1.3,0)),"-")</f>
        <v>136</v>
      </c>
      <c r="P306" s="63" t="str">
        <f>IF($J306=P$3,IF(P$3&gt;$I306,"-",ROUNDUP(Ld_cal($B306, $C306, $D306, $G306,$E306, $F306, $H306, P$3)*1.3*1.3,0)),"-")</f>
        <v>-</v>
      </c>
      <c r="Q306" s="63" t="str">
        <f>IF($J306=Q$3,IF(Q$3&gt;$I306,"-",ROUNDUP(Ld_cal($B306, $C306, $D306, $G306,$E306, $F306, $H306, Q$3)*1.3*1.3,0)),"-")</f>
        <v>-</v>
      </c>
      <c r="R306" s="63" t="str">
        <f>IF($J306=R$3,IF(R$3&gt;$I306,"-",ROUNDUP(Ld_cal($B306, $C306, $D306, $G306,$E306, $F306, $H306, R$3)*1.3*1.3,0)),"-")</f>
        <v>-</v>
      </c>
      <c r="S306" s="63" t="str">
        <f>IF($J306=S$3,IF(S$3&gt;$I306,"-",ROUNDUP(Ld_cal($B306, $C306, $D306, $G306,$E306, $F306, $H306, S$3)*1.3*1.3,0)),"-")</f>
        <v>-</v>
      </c>
      <c r="T306" s="63" t="str">
        <f>IF($J306=T$3,IF(T$3&gt;$I306,"-",ROUNDUP(Ld_cal($B306, $C306, $D306, $G306,$E306, $F306, $H306, T$3)*1.3*1.3,0)),"-")</f>
        <v>-</v>
      </c>
      <c r="U306" s="63" t="str">
        <f>IF($J306=U$3,IF(U$3&gt;$I306,"-",ROUNDUP(Ld_cal($B306, $C306, $D306, $G306,$E306, $F306, $H306, U$3)*1.3*1.3,0)),"-")</f>
        <v>-</v>
      </c>
      <c r="V306" s="63" t="str">
        <f>IF($J306=V$3,IF(V$3&gt;$I306,"-",ROUNDUP(Ld_cal($B306, $C306, $D306, $G306,$E306, $F306, $H306, V$3)*1.3*1.3,0)),"-")</f>
        <v>-</v>
      </c>
      <c r="W306" s="63" t="str">
        <f>IF($J306=W$3,IF(W$3&gt;$I306,"-",ROUNDUP(Ld_cal($B306, $C306, $D306, $G306,$E306, $F306, $H306, W$3)*1.3*1.3,0)),"-")</f>
        <v>-</v>
      </c>
      <c r="X306" s="63" t="str">
        <f>IF($J306=X$3,IF(X$3&gt;$I306,"-",ROUNDUP(Ld_cal($B306, $C306, $D306, $G306,$E306, $F306, $H306, X$3)*1.3*1.3,0)),"-")</f>
        <v>-</v>
      </c>
      <c r="Y306" s="63" t="str">
        <f>IF($J306=Y$3,IF(Y$3&gt;$I306,"-",ROUNDUP(Ld_cal($B306, $C306, $D306, $G306,$E306, $F306, $H306, Y$3)*1.3*1.3,0)),"-")</f>
        <v>-</v>
      </c>
      <c r="Z306" s="63" t="str">
        <f>IF($J306=Z$3,IF(Z$3&gt;$I306,"-",ROUNDUP(Ld_cal($B306, $C306, $D306, $G306,$E306, $F306, $H306, Z$3)*1.3*1.3,0)),"-")</f>
        <v>-</v>
      </c>
      <c r="AA306" s="63" t="str">
        <f>IF($J306=AA$3,IF(AA$3&gt;$I306,"-",ROUNDUP(Ld_cal($B306, $C306, $D306, $G306,$E306, $F306, $H306, AA$3)*1.3*1.3,0)),"-")</f>
        <v>-</v>
      </c>
      <c r="AB306" s="63" t="str">
        <f>IF($J306=AB$3,IF(AB$3&gt;$I306,"-",ROUNDUP(Ld_cal($B306, $C306, $D306, $G306,$E306, $F306, $H306, AB$3)*1.3*1.3,0)),"-")</f>
        <v>-</v>
      </c>
      <c r="AC306" s="63" t="str">
        <f>IF($J306=AC$3,IF(AC$3&gt;$I306,"-",ROUNDUP(Ld_cal($B306, $C306, $D306, $G306,$E306, $F306, $H306, AC$3)*1.3*1.3,0)),"-")</f>
        <v>-</v>
      </c>
      <c r="AD306" s="63">
        <f t="shared" ref="AD306" si="298">IF(J306&gt;I306,"依標準圖",MAX(L306:AC306))</f>
        <v>136</v>
      </c>
    </row>
    <row r="307" spans="1:30">
      <c r="A307" s="106"/>
      <c r="B307" s="107"/>
      <c r="C307" s="108"/>
      <c r="D307" s="107"/>
      <c r="E307" s="109"/>
      <c r="F307" s="110"/>
      <c r="G307" s="107"/>
      <c r="H307" s="109"/>
      <c r="I307" s="111"/>
      <c r="J307" s="62">
        <v>5</v>
      </c>
      <c r="K307" s="40" t="s">
        <v>29</v>
      </c>
      <c r="L307" s="63" t="str">
        <f>IF($J307=L$3,IF(L$3&gt;$I306,"-",ROUNDUP(Ld_cal($B306, $C306, $D306, $G306,$E306, $F306, $H306, L$3)*1.3,0)),"-")</f>
        <v>-</v>
      </c>
      <c r="M307" s="63" t="str">
        <f>IF($J307=M$3,IF(M$3&gt;$I306,"-",ROUNDUP(Ld_cal($B306, $C306, $D306, $G306,$E306, $F306, $H306, M$3)*1.3,0)),"-")</f>
        <v>-</v>
      </c>
      <c r="N307" s="63">
        <f>IF($J307=N$3,IF(N$3&gt;$I306,"-",ROUNDUP(Ld_cal($B306, $C306, $D306, $G306,$E306, $F306, $H306, N$3)*1.3,0)),"-")</f>
        <v>105</v>
      </c>
      <c r="O307" s="63" t="str">
        <f>IF($J307=O$3,IF(O$3&gt;$I306,"-",ROUNDUP(Ld_cal($B306, $C306, $D306, $G306,$E306, $F306, $H306, O$3)*1.3,0)),"-")</f>
        <v>-</v>
      </c>
      <c r="P307" s="63" t="str">
        <f>IF($J307=P$3,IF(P$3&gt;$I306,"-",ROUNDUP(Ld_cal($B306, $C306, $D306, $G306,$E306, $F306, $H306, P$3)*1.3,0)),"-")</f>
        <v>-</v>
      </c>
      <c r="Q307" s="63" t="str">
        <f>IF($J307=Q$3,IF(Q$3&gt;$I306,"-",ROUNDUP(Ld_cal($B306, $C306, $D306, $G306,$E306, $F306, $H306, Q$3)*1.3,0)),"-")</f>
        <v>-</v>
      </c>
      <c r="R307" s="63" t="str">
        <f>IF($J307=R$3,IF(R$3&gt;$I306,"-",ROUNDUP(Ld_cal($B306, $C306, $D306, $G306,$E306, $F306, $H306, R$3)*1.3,0)),"-")</f>
        <v>-</v>
      </c>
      <c r="S307" s="63" t="str">
        <f>IF($J307=S$3,IF(S$3&gt;$I306,"-",ROUNDUP(Ld_cal($B306, $C306, $D306, $G306,$E306, $F306, $H306, S$3)*1.3,0)),"-")</f>
        <v>-</v>
      </c>
      <c r="T307" s="63" t="str">
        <f>IF($J307=T$3,IF(T$3&gt;$I306,"-",ROUNDUP(Ld_cal($B306, $C306, $D306, $G306,$E306, $F306, $H306, T$3)*1.3,0)),"-")</f>
        <v>-</v>
      </c>
      <c r="U307" s="63" t="str">
        <f>IF($J307=U$3,IF(U$3&gt;$I306,"-",ROUNDUP(Ld_cal($B306, $C306, $D306, $G306,$E306, $F306, $H306, U$3)*1.3,0)),"-")</f>
        <v>-</v>
      </c>
      <c r="V307" s="63" t="str">
        <f>IF($J307=V$3,IF(V$3&gt;$I306,"-",ROUNDUP(Ld_cal($B306, $C306, $D306, $G306,$E306, $F306, $H306, V$3)*1.3,0)),"-")</f>
        <v>-</v>
      </c>
      <c r="W307" s="63" t="str">
        <f>IF($J307=W$3,IF(W$3&gt;$I306,"-",ROUNDUP(Ld_cal($B306, $C306, $D306, $G306,$E306, $F306, $H306, W$3)*1.3,0)),"-")</f>
        <v>-</v>
      </c>
      <c r="X307" s="63" t="str">
        <f>IF($J307=X$3,IF(X$3&gt;$I306,"-",ROUNDUP(Ld_cal($B306, $C306, $D306, $G306,$E306, $F306, $H306, X$3)*1.3,0)),"-")</f>
        <v>-</v>
      </c>
      <c r="Y307" s="63" t="str">
        <f>IF($J307=Y$3,IF(Y$3&gt;$I306,"-",ROUNDUP(Ld_cal($B306, $C306, $D306, $G306,$E306, $F306, $H306, Y$3)*1.3,0)),"-")</f>
        <v>-</v>
      </c>
      <c r="Z307" s="63" t="str">
        <f>IF($J307=Z$3,IF(Z$3&gt;$I306,"-",ROUNDUP(Ld_cal($B306, $C306, $D306, $G306,$E306, $F306, $H306, Z$3)*1.3,0)),"-")</f>
        <v>-</v>
      </c>
      <c r="AA307" s="63" t="str">
        <f>IF($J307=AA$3,IF(AA$3&gt;$I306,"-",ROUNDUP(Ld_cal($B306, $C306, $D306, $G306,$E306, $F306, $H306, AA$3)*1.3,0)),"-")</f>
        <v>-</v>
      </c>
      <c r="AB307" s="63" t="str">
        <f>IF($J307=AB$3,IF(AB$3&gt;$I306,"-",ROUNDUP(Ld_cal($B306, $C306, $D306, $G306,$E306, $F306, $H306, AB$3)*1.3,0)),"-")</f>
        <v>-</v>
      </c>
      <c r="AC307" s="63" t="str">
        <f>IF($J307=AC$3,IF(AC$3&gt;$I306,"-",ROUNDUP(Ld_cal($B306, $C306, $D306, $G306,$E306, $F306, $H306, AC$3)*1.3,0)),"-")</f>
        <v>-</v>
      </c>
      <c r="AD307" s="63">
        <f t="shared" ref="AD307" si="299">IF(J307&gt;I306,"依標準圖",MAX(L307:AC307))</f>
        <v>105</v>
      </c>
    </row>
    <row r="308" spans="1:30">
      <c r="A308" s="97" t="s">
        <v>198</v>
      </c>
      <c r="B308" s="99">
        <v>120</v>
      </c>
      <c r="C308" s="100">
        <v>7.5</v>
      </c>
      <c r="D308" s="101">
        <v>4200</v>
      </c>
      <c r="E308" s="102">
        <v>16</v>
      </c>
      <c r="F308" s="103">
        <v>25</v>
      </c>
      <c r="G308" s="101">
        <v>350</v>
      </c>
      <c r="H308" s="102">
        <v>32</v>
      </c>
      <c r="I308" s="104">
        <f>ROUNDDOWN(($B308-2*$C308-2*$E308/10-$H308/10)/(($D$1+1)*$H308/10),0)+1</f>
        <v>16</v>
      </c>
      <c r="J308" s="60">
        <v>9</v>
      </c>
      <c r="K308" s="64" t="s">
        <v>30</v>
      </c>
      <c r="L308" s="61" t="str">
        <f>IF($J308=L$3,IF(L$3&gt;$I308,"-",ROUNDUP(Ld_cal($B308, $C308, $D308, $G308,$E308, $F308, $H308, L$3)*1.3*1.3,0)),"-")</f>
        <v>-</v>
      </c>
      <c r="M308" s="61" t="str">
        <f>IF($J308=M$3,IF(M$3&gt;$I308,"-",ROUNDUP(Ld_cal($B308, $C308, $D308, $G308,$E308, $F308, $H308, M$3)*1.3*1.3,0)),"-")</f>
        <v>-</v>
      </c>
      <c r="N308" s="61" t="str">
        <f>IF($J308=N$3,IF(N$3&gt;$I308,"-",ROUNDUP(Ld_cal($B308, $C308, $D308, $G308,$E308, $F308, $H308, N$3)*1.3*1.3,0)),"-")</f>
        <v>-</v>
      </c>
      <c r="O308" s="61" t="str">
        <f>IF($J308=O$3,IF(O$3&gt;$I308,"-",ROUNDUP(Ld_cal($B308, $C308, $D308, $G308,$E308, $F308, $H308, O$3)*1.3*1.3,0)),"-")</f>
        <v>-</v>
      </c>
      <c r="P308" s="61" t="str">
        <f>IF($J308=P$3,IF(P$3&gt;$I308,"-",ROUNDUP(Ld_cal($B308, $C308, $D308, $G308,$E308, $F308, $H308, P$3)*1.3*1.3,0)),"-")</f>
        <v>-</v>
      </c>
      <c r="Q308" s="61" t="str">
        <f>IF($J308=Q$3,IF(Q$3&gt;$I308,"-",ROUNDUP(Ld_cal($B308, $C308, $D308, $G308,$E308, $F308, $H308, Q$3)*1.3*1.3,0)),"-")</f>
        <v>-</v>
      </c>
      <c r="R308" s="61">
        <f>IF($J308=R$3,IF(R$3&gt;$I308,"-",ROUNDUP(Ld_cal($B308, $C308, $D308, $G308,$E308, $F308, $H308, R$3)*1.3*1.3,0)),"-")</f>
        <v>159</v>
      </c>
      <c r="S308" s="61" t="str">
        <f>IF($J308=S$3,IF(S$3&gt;$I308,"-",ROUNDUP(Ld_cal($B308, $C308, $D308, $G308,$E308, $F308, $H308, S$3)*1.3*1.3,0)),"-")</f>
        <v>-</v>
      </c>
      <c r="T308" s="61" t="str">
        <f>IF($J308=T$3,IF(T$3&gt;$I308,"-",ROUNDUP(Ld_cal($B308, $C308, $D308, $G308,$E308, $F308, $H308, T$3)*1.3*1.3,0)),"-")</f>
        <v>-</v>
      </c>
      <c r="U308" s="61" t="str">
        <f>IF($J308=U$3,IF(U$3&gt;$I308,"-",ROUNDUP(Ld_cal($B308, $C308, $D308, $G308,$E308, $F308, $H308, U$3)*1.3*1.3,0)),"-")</f>
        <v>-</v>
      </c>
      <c r="V308" s="61" t="str">
        <f>IF($J308=V$3,IF(V$3&gt;$I308,"-",ROUNDUP(Ld_cal($B308, $C308, $D308, $G308,$E308, $F308, $H308, V$3)*1.3*1.3,0)),"-")</f>
        <v>-</v>
      </c>
      <c r="W308" s="61" t="str">
        <f>IF($J308=W$3,IF(W$3&gt;$I308,"-",ROUNDUP(Ld_cal($B308, $C308, $D308, $G308,$E308, $F308, $H308, W$3)*1.3*1.3,0)),"-")</f>
        <v>-</v>
      </c>
      <c r="X308" s="61" t="str">
        <f>IF($J308=X$3,IF(X$3&gt;$I308,"-",ROUNDUP(Ld_cal($B308, $C308, $D308, $G308,$E308, $F308, $H308, X$3)*1.3*1.3,0)),"-")</f>
        <v>-</v>
      </c>
      <c r="Y308" s="61" t="str">
        <f>IF($J308=Y$3,IF(Y$3&gt;$I308,"-",ROUNDUP(Ld_cal($B308, $C308, $D308, $G308,$E308, $F308, $H308, Y$3)*1.3*1.3,0)),"-")</f>
        <v>-</v>
      </c>
      <c r="Z308" s="61" t="str">
        <f>IF($J308=Z$3,IF(Z$3&gt;$I308,"-",ROUNDUP(Ld_cal($B308, $C308, $D308, $G308,$E308, $F308, $H308, Z$3)*1.3*1.3,0)),"-")</f>
        <v>-</v>
      </c>
      <c r="AA308" s="61" t="str">
        <f>IF($J308=AA$3,IF(AA$3&gt;$I308,"-",ROUNDUP(Ld_cal($B308, $C308, $D308, $G308,$E308, $F308, $H308, AA$3)*1.3*1.3,0)),"-")</f>
        <v>-</v>
      </c>
      <c r="AB308" s="61" t="str">
        <f>IF($J308=AB$3,IF(AB$3&gt;$I308,"-",ROUNDUP(Ld_cal($B308, $C308, $D308, $G308,$E308, $F308, $H308, AB$3)*1.3*1.3,0)),"-")</f>
        <v>-</v>
      </c>
      <c r="AC308" s="61" t="str">
        <f>IF($J308=AC$3,IF(AC$3&gt;$I308,"-",ROUNDUP(Ld_cal($B308, $C308, $D308, $G308,$E308, $F308, $H308, AC$3)*1.3*1.3,0)),"-")</f>
        <v>-</v>
      </c>
      <c r="AD308" s="61">
        <f t="shared" ref="AD308" si="300">IF(J308&gt;I308,"依標準圖",MAX(L308:AC308))</f>
        <v>159</v>
      </c>
    </row>
    <row r="309" spans="1:30">
      <c r="A309" s="98"/>
      <c r="B309" s="99"/>
      <c r="C309" s="100"/>
      <c r="D309" s="101"/>
      <c r="E309" s="102"/>
      <c r="F309" s="103"/>
      <c r="G309" s="101"/>
      <c r="H309" s="102"/>
      <c r="I309" s="104"/>
      <c r="J309" s="60">
        <v>5</v>
      </c>
      <c r="K309" s="64" t="s">
        <v>29</v>
      </c>
      <c r="L309" s="61" t="str">
        <f>IF($J309=L$3,IF(L$3&gt;$I308,"-",ROUNDUP(Ld_cal($B308, $C308, $D308, $G308,$E308, $F308, $H308, L$3)*1.3,0)),"-")</f>
        <v>-</v>
      </c>
      <c r="M309" s="61" t="str">
        <f>IF($J309=M$3,IF(M$3&gt;$I308,"-",ROUNDUP(Ld_cal($B308, $C308, $D308, $G308,$E308, $F308, $H308, M$3)*1.3,0)),"-")</f>
        <v>-</v>
      </c>
      <c r="N309" s="61">
        <f>IF($J309=N$3,IF(N$3&gt;$I308,"-",ROUNDUP(Ld_cal($B308, $C308, $D308, $G308,$E308, $F308, $H308, N$3)*1.3,0)),"-")</f>
        <v>105</v>
      </c>
      <c r="O309" s="61" t="str">
        <f>IF($J309=O$3,IF(O$3&gt;$I308,"-",ROUNDUP(Ld_cal($B308, $C308, $D308, $G308,$E308, $F308, $H308, O$3)*1.3,0)),"-")</f>
        <v>-</v>
      </c>
      <c r="P309" s="61" t="str">
        <f>IF($J309=P$3,IF(P$3&gt;$I308,"-",ROUNDUP(Ld_cal($B308, $C308, $D308, $G308,$E308, $F308, $H308, P$3)*1.3,0)),"-")</f>
        <v>-</v>
      </c>
      <c r="Q309" s="61" t="str">
        <f>IF($J309=Q$3,IF(Q$3&gt;$I308,"-",ROUNDUP(Ld_cal($B308, $C308, $D308, $G308,$E308, $F308, $H308, Q$3)*1.3,0)),"-")</f>
        <v>-</v>
      </c>
      <c r="R309" s="61" t="str">
        <f>IF($J309=R$3,IF(R$3&gt;$I308,"-",ROUNDUP(Ld_cal($B308, $C308, $D308, $G308,$E308, $F308, $H308, R$3)*1.3,0)),"-")</f>
        <v>-</v>
      </c>
      <c r="S309" s="61" t="str">
        <f>IF($J309=S$3,IF(S$3&gt;$I308,"-",ROUNDUP(Ld_cal($B308, $C308, $D308, $G308,$E308, $F308, $H308, S$3)*1.3,0)),"-")</f>
        <v>-</v>
      </c>
      <c r="T309" s="61" t="str">
        <f>IF($J309=T$3,IF(T$3&gt;$I308,"-",ROUNDUP(Ld_cal($B308, $C308, $D308, $G308,$E308, $F308, $H308, T$3)*1.3,0)),"-")</f>
        <v>-</v>
      </c>
      <c r="U309" s="61" t="str">
        <f>IF($J309=U$3,IF(U$3&gt;$I308,"-",ROUNDUP(Ld_cal($B308, $C308, $D308, $G308,$E308, $F308, $H308, U$3)*1.3,0)),"-")</f>
        <v>-</v>
      </c>
      <c r="V309" s="61" t="str">
        <f>IF($J309=V$3,IF(V$3&gt;$I308,"-",ROUNDUP(Ld_cal($B308, $C308, $D308, $G308,$E308, $F308, $H308, V$3)*1.3,0)),"-")</f>
        <v>-</v>
      </c>
      <c r="W309" s="61" t="str">
        <f>IF($J309=W$3,IF(W$3&gt;$I308,"-",ROUNDUP(Ld_cal($B308, $C308, $D308, $G308,$E308, $F308, $H308, W$3)*1.3,0)),"-")</f>
        <v>-</v>
      </c>
      <c r="X309" s="61" t="str">
        <f>IF($J309=X$3,IF(X$3&gt;$I308,"-",ROUNDUP(Ld_cal($B308, $C308, $D308, $G308,$E308, $F308, $H308, X$3)*1.3,0)),"-")</f>
        <v>-</v>
      </c>
      <c r="Y309" s="61" t="str">
        <f>IF($J309=Y$3,IF(Y$3&gt;$I308,"-",ROUNDUP(Ld_cal($B308, $C308, $D308, $G308,$E308, $F308, $H308, Y$3)*1.3,0)),"-")</f>
        <v>-</v>
      </c>
      <c r="Z309" s="61" t="str">
        <f>IF($J309=Z$3,IF(Z$3&gt;$I308,"-",ROUNDUP(Ld_cal($B308, $C308, $D308, $G308,$E308, $F308, $H308, Z$3)*1.3,0)),"-")</f>
        <v>-</v>
      </c>
      <c r="AA309" s="61" t="str">
        <f>IF($J309=AA$3,IF(AA$3&gt;$I308,"-",ROUNDUP(Ld_cal($B308, $C308, $D308, $G308,$E308, $F308, $H308, AA$3)*1.3,0)),"-")</f>
        <v>-</v>
      </c>
      <c r="AB309" s="61" t="str">
        <f>IF($J309=AB$3,IF(AB$3&gt;$I308,"-",ROUNDUP(Ld_cal($B308, $C308, $D308, $G308,$E308, $F308, $H308, AB$3)*1.3,0)),"-")</f>
        <v>-</v>
      </c>
      <c r="AC309" s="61" t="str">
        <f>IF($J309=AC$3,IF(AC$3&gt;$I308,"-",ROUNDUP(Ld_cal($B308, $C308, $D308, $G308,$E308, $F308, $H308, AC$3)*1.3,0)),"-")</f>
        <v>-</v>
      </c>
      <c r="AD309" s="61">
        <f t="shared" ref="AD309" si="301">IF(J309&gt;I308,"依標準圖",MAX(L309:AC309))</f>
        <v>105</v>
      </c>
    </row>
    <row r="310" spans="1:30">
      <c r="A310" s="105" t="s">
        <v>199</v>
      </c>
      <c r="B310" s="107">
        <v>120</v>
      </c>
      <c r="C310" s="108">
        <v>7.5</v>
      </c>
      <c r="D310" s="107">
        <v>4200</v>
      </c>
      <c r="E310" s="109">
        <v>16</v>
      </c>
      <c r="F310" s="110">
        <v>25</v>
      </c>
      <c r="G310" s="107">
        <v>350</v>
      </c>
      <c r="H310" s="109">
        <v>32</v>
      </c>
      <c r="I310" s="111">
        <f>ROUNDDOWN(($B310-2*$C310-2*$E310/10-$H310/10)/(($D$1+1)*$H310/10),0)+1</f>
        <v>16</v>
      </c>
      <c r="J310" s="62">
        <v>14</v>
      </c>
      <c r="K310" s="40" t="s">
        <v>30</v>
      </c>
      <c r="L310" s="63" t="str">
        <f>IF($J310=L$3,IF(L$3&gt;$I310,"-",ROUNDUP(Ld_cal($B310, $C310, $D310, $G310,$E310, $F310, $H310, L$3)*1.3*1.3,0)),"-")</f>
        <v>-</v>
      </c>
      <c r="M310" s="63" t="str">
        <f>IF($J310=M$3,IF(M$3&gt;$I310,"-",ROUNDUP(Ld_cal($B310, $C310, $D310, $G310,$E310, $F310, $H310, M$3)*1.3*1.3,0)),"-")</f>
        <v>-</v>
      </c>
      <c r="N310" s="63" t="str">
        <f>IF($J310=N$3,IF(N$3&gt;$I310,"-",ROUNDUP(Ld_cal($B310, $C310, $D310, $G310,$E310, $F310, $H310, N$3)*1.3*1.3,0)),"-")</f>
        <v>-</v>
      </c>
      <c r="O310" s="63" t="str">
        <f>IF($J310=O$3,IF(O$3&gt;$I310,"-",ROUNDUP(Ld_cal($B310, $C310, $D310, $G310,$E310, $F310, $H310, O$3)*1.3*1.3,0)),"-")</f>
        <v>-</v>
      </c>
      <c r="P310" s="63" t="str">
        <f>IF($J310=P$3,IF(P$3&gt;$I310,"-",ROUNDUP(Ld_cal($B310, $C310, $D310, $G310,$E310, $F310, $H310, P$3)*1.3*1.3,0)),"-")</f>
        <v>-</v>
      </c>
      <c r="Q310" s="63" t="str">
        <f>IF($J310=Q$3,IF(Q$3&gt;$I310,"-",ROUNDUP(Ld_cal($B310, $C310, $D310, $G310,$E310, $F310, $H310, Q$3)*1.3*1.3,0)),"-")</f>
        <v>-</v>
      </c>
      <c r="R310" s="63" t="str">
        <f>IF($J310=R$3,IF(R$3&gt;$I310,"-",ROUNDUP(Ld_cal($B310, $C310, $D310, $G310,$E310, $F310, $H310, R$3)*1.3*1.3,0)),"-")</f>
        <v>-</v>
      </c>
      <c r="S310" s="63" t="str">
        <f>IF($J310=S$3,IF(S$3&gt;$I310,"-",ROUNDUP(Ld_cal($B310, $C310, $D310, $G310,$E310, $F310, $H310, S$3)*1.3*1.3,0)),"-")</f>
        <v>-</v>
      </c>
      <c r="T310" s="63" t="str">
        <f>IF($J310=T$3,IF(T$3&gt;$I310,"-",ROUNDUP(Ld_cal($B310, $C310, $D310, $G310,$E310, $F310, $H310, T$3)*1.3*1.3,0)),"-")</f>
        <v>-</v>
      </c>
      <c r="U310" s="63" t="str">
        <f>IF($J310=U$3,IF(U$3&gt;$I310,"-",ROUNDUP(Ld_cal($B310, $C310, $D310, $G310,$E310, $F310, $H310, U$3)*1.3*1.3,0)),"-")</f>
        <v>-</v>
      </c>
      <c r="V310" s="63" t="str">
        <f>IF($J310=V$3,IF(V$3&gt;$I310,"-",ROUNDUP(Ld_cal($B310, $C310, $D310, $G310,$E310, $F310, $H310, V$3)*1.3*1.3,0)),"-")</f>
        <v>-</v>
      </c>
      <c r="W310" s="63">
        <f>IF($J310=W$3,IF(W$3&gt;$I310,"-",ROUNDUP(Ld_cal($B310, $C310, $D310, $G310,$E310, $F310, $H310, W$3)*1.3*1.3,0)),"-")</f>
        <v>256</v>
      </c>
      <c r="X310" s="63" t="str">
        <f>IF($J310=X$3,IF(X$3&gt;$I310,"-",ROUNDUP(Ld_cal($B310, $C310, $D310, $G310,$E310, $F310, $H310, X$3)*1.3*1.3,0)),"-")</f>
        <v>-</v>
      </c>
      <c r="Y310" s="63" t="str">
        <f>IF($J310=Y$3,IF(Y$3&gt;$I310,"-",ROUNDUP(Ld_cal($B310, $C310, $D310, $G310,$E310, $F310, $H310, Y$3)*1.3*1.3,0)),"-")</f>
        <v>-</v>
      </c>
      <c r="Z310" s="63" t="str">
        <f>IF($J310=Z$3,IF(Z$3&gt;$I310,"-",ROUNDUP(Ld_cal($B310, $C310, $D310, $G310,$E310, $F310, $H310, Z$3)*1.3*1.3,0)),"-")</f>
        <v>-</v>
      </c>
      <c r="AA310" s="63" t="str">
        <f>IF($J310=AA$3,IF(AA$3&gt;$I310,"-",ROUNDUP(Ld_cal($B310, $C310, $D310, $G310,$E310, $F310, $H310, AA$3)*1.3*1.3,0)),"-")</f>
        <v>-</v>
      </c>
      <c r="AB310" s="63" t="str">
        <f>IF($J310=AB$3,IF(AB$3&gt;$I310,"-",ROUNDUP(Ld_cal($B310, $C310, $D310, $G310,$E310, $F310, $H310, AB$3)*1.3*1.3,0)),"-")</f>
        <v>-</v>
      </c>
      <c r="AC310" s="63" t="str">
        <f>IF($J310=AC$3,IF(AC$3&gt;$I310,"-",ROUNDUP(Ld_cal($B310, $C310, $D310, $G310,$E310, $F310, $H310, AC$3)*1.3*1.3,0)),"-")</f>
        <v>-</v>
      </c>
      <c r="AD310" s="63">
        <f t="shared" ref="AD310" si="302">IF(J310&gt;I310,"依標準圖",MAX(L310:AC310))</f>
        <v>256</v>
      </c>
    </row>
    <row r="311" spans="1:30">
      <c r="A311" s="106"/>
      <c r="B311" s="107"/>
      <c r="C311" s="108"/>
      <c r="D311" s="107"/>
      <c r="E311" s="109"/>
      <c r="F311" s="110"/>
      <c r="G311" s="107"/>
      <c r="H311" s="109"/>
      <c r="I311" s="111"/>
      <c r="J311" s="62">
        <v>5</v>
      </c>
      <c r="K311" s="40" t="s">
        <v>29</v>
      </c>
      <c r="L311" s="63" t="str">
        <f>IF($J311=L$3,IF(L$3&gt;$I310,"-",ROUNDUP(Ld_cal($B310, $C310, $D310, $G310,$E310, $F310, $H310, L$3)*1.3,0)),"-")</f>
        <v>-</v>
      </c>
      <c r="M311" s="63" t="str">
        <f>IF($J311=M$3,IF(M$3&gt;$I310,"-",ROUNDUP(Ld_cal($B310, $C310, $D310, $G310,$E310, $F310, $H310, M$3)*1.3,0)),"-")</f>
        <v>-</v>
      </c>
      <c r="N311" s="63">
        <f>IF($J311=N$3,IF(N$3&gt;$I310,"-",ROUNDUP(Ld_cal($B310, $C310, $D310, $G310,$E310, $F310, $H310, N$3)*1.3,0)),"-")</f>
        <v>105</v>
      </c>
      <c r="O311" s="63" t="str">
        <f>IF($J311=O$3,IF(O$3&gt;$I310,"-",ROUNDUP(Ld_cal($B310, $C310, $D310, $G310,$E310, $F310, $H310, O$3)*1.3,0)),"-")</f>
        <v>-</v>
      </c>
      <c r="P311" s="63" t="str">
        <f>IF($J311=P$3,IF(P$3&gt;$I310,"-",ROUNDUP(Ld_cal($B310, $C310, $D310, $G310,$E310, $F310, $H310, P$3)*1.3,0)),"-")</f>
        <v>-</v>
      </c>
      <c r="Q311" s="63" t="str">
        <f>IF($J311=Q$3,IF(Q$3&gt;$I310,"-",ROUNDUP(Ld_cal($B310, $C310, $D310, $G310,$E310, $F310, $H310, Q$3)*1.3,0)),"-")</f>
        <v>-</v>
      </c>
      <c r="R311" s="63" t="str">
        <f>IF($J311=R$3,IF(R$3&gt;$I310,"-",ROUNDUP(Ld_cal($B310, $C310, $D310, $G310,$E310, $F310, $H310, R$3)*1.3,0)),"-")</f>
        <v>-</v>
      </c>
      <c r="S311" s="63" t="str">
        <f>IF($J311=S$3,IF(S$3&gt;$I310,"-",ROUNDUP(Ld_cal($B310, $C310, $D310, $G310,$E310, $F310, $H310, S$3)*1.3,0)),"-")</f>
        <v>-</v>
      </c>
      <c r="T311" s="63" t="str">
        <f>IF($J311=T$3,IF(T$3&gt;$I310,"-",ROUNDUP(Ld_cal($B310, $C310, $D310, $G310,$E310, $F310, $H310, T$3)*1.3,0)),"-")</f>
        <v>-</v>
      </c>
      <c r="U311" s="63" t="str">
        <f>IF($J311=U$3,IF(U$3&gt;$I310,"-",ROUNDUP(Ld_cal($B310, $C310, $D310, $G310,$E310, $F310, $H310, U$3)*1.3,0)),"-")</f>
        <v>-</v>
      </c>
      <c r="V311" s="63" t="str">
        <f>IF($J311=V$3,IF(V$3&gt;$I310,"-",ROUNDUP(Ld_cal($B310, $C310, $D310, $G310,$E310, $F310, $H310, V$3)*1.3,0)),"-")</f>
        <v>-</v>
      </c>
      <c r="W311" s="63" t="str">
        <f>IF($J311=W$3,IF(W$3&gt;$I310,"-",ROUNDUP(Ld_cal($B310, $C310, $D310, $G310,$E310, $F310, $H310, W$3)*1.3,0)),"-")</f>
        <v>-</v>
      </c>
      <c r="X311" s="63" t="str">
        <f>IF($J311=X$3,IF(X$3&gt;$I310,"-",ROUNDUP(Ld_cal($B310, $C310, $D310, $G310,$E310, $F310, $H310, X$3)*1.3,0)),"-")</f>
        <v>-</v>
      </c>
      <c r="Y311" s="63" t="str">
        <f>IF($J311=Y$3,IF(Y$3&gt;$I310,"-",ROUNDUP(Ld_cal($B310, $C310, $D310, $G310,$E310, $F310, $H310, Y$3)*1.3,0)),"-")</f>
        <v>-</v>
      </c>
      <c r="Z311" s="63" t="str">
        <f>IF($J311=Z$3,IF(Z$3&gt;$I310,"-",ROUNDUP(Ld_cal($B310, $C310, $D310, $G310,$E310, $F310, $H310, Z$3)*1.3,0)),"-")</f>
        <v>-</v>
      </c>
      <c r="AA311" s="63" t="str">
        <f>IF($J311=AA$3,IF(AA$3&gt;$I310,"-",ROUNDUP(Ld_cal($B310, $C310, $D310, $G310,$E310, $F310, $H310, AA$3)*1.3,0)),"-")</f>
        <v>-</v>
      </c>
      <c r="AB311" s="63" t="str">
        <f>IF($J311=AB$3,IF(AB$3&gt;$I310,"-",ROUNDUP(Ld_cal($B310, $C310, $D310, $G310,$E310, $F310, $H310, AB$3)*1.3,0)),"-")</f>
        <v>-</v>
      </c>
      <c r="AC311" s="63" t="str">
        <f>IF($J311=AC$3,IF(AC$3&gt;$I310,"-",ROUNDUP(Ld_cal($B310, $C310, $D310, $G310,$E310, $F310, $H310, AC$3)*1.3,0)),"-")</f>
        <v>-</v>
      </c>
      <c r="AD311" s="63">
        <f t="shared" ref="AD311" si="303">IF(J311&gt;I310,"依標準圖",MAX(L311:AC311))</f>
        <v>105</v>
      </c>
    </row>
    <row r="312" spans="1:30">
      <c r="A312" s="97" t="s">
        <v>200</v>
      </c>
      <c r="B312" s="99">
        <v>120</v>
      </c>
      <c r="C312" s="100">
        <v>7.5</v>
      </c>
      <c r="D312" s="101">
        <v>4200</v>
      </c>
      <c r="E312" s="102">
        <v>16</v>
      </c>
      <c r="F312" s="103">
        <v>14</v>
      </c>
      <c r="G312" s="101">
        <v>350</v>
      </c>
      <c r="H312" s="102">
        <v>32</v>
      </c>
      <c r="I312" s="104">
        <f>ROUNDDOWN(($B312-2*$C312-2*$E312/10-$H312/10)/(($D$1+1)*$H312/10),0)+1</f>
        <v>16</v>
      </c>
      <c r="J312" s="60">
        <v>9</v>
      </c>
      <c r="K312" s="64" t="s">
        <v>30</v>
      </c>
      <c r="L312" s="61" t="str">
        <f>IF($J312=L$3,IF(L$3&gt;$I312,"-",ROUNDUP(Ld_cal($B312, $C312, $D312, $G312,$E312, $F312, $H312, L$3)*1.3*1.3,0)),"-")</f>
        <v>-</v>
      </c>
      <c r="M312" s="61" t="str">
        <f>IF($J312=M$3,IF(M$3&gt;$I312,"-",ROUNDUP(Ld_cal($B312, $C312, $D312, $G312,$E312, $F312, $H312, M$3)*1.3*1.3,0)),"-")</f>
        <v>-</v>
      </c>
      <c r="N312" s="61" t="str">
        <f>IF($J312=N$3,IF(N$3&gt;$I312,"-",ROUNDUP(Ld_cal($B312, $C312, $D312, $G312,$E312, $F312, $H312, N$3)*1.3*1.3,0)),"-")</f>
        <v>-</v>
      </c>
      <c r="O312" s="61" t="str">
        <f>IF($J312=O$3,IF(O$3&gt;$I312,"-",ROUNDUP(Ld_cal($B312, $C312, $D312, $G312,$E312, $F312, $H312, O$3)*1.3*1.3,0)),"-")</f>
        <v>-</v>
      </c>
      <c r="P312" s="61" t="str">
        <f>IF($J312=P$3,IF(P$3&gt;$I312,"-",ROUNDUP(Ld_cal($B312, $C312, $D312, $G312,$E312, $F312, $H312, P$3)*1.3*1.3,0)),"-")</f>
        <v>-</v>
      </c>
      <c r="Q312" s="61" t="str">
        <f>IF($J312=Q$3,IF(Q$3&gt;$I312,"-",ROUNDUP(Ld_cal($B312, $C312, $D312, $G312,$E312, $F312, $H312, Q$3)*1.3*1.3,0)),"-")</f>
        <v>-</v>
      </c>
      <c r="R312" s="61">
        <f>IF($J312=R$3,IF(R$3&gt;$I312,"-",ROUNDUP(Ld_cal($B312, $C312, $D312, $G312,$E312, $F312, $H312, R$3)*1.3*1.3,0)),"-")</f>
        <v>147</v>
      </c>
      <c r="S312" s="61" t="str">
        <f>IF($J312=S$3,IF(S$3&gt;$I312,"-",ROUNDUP(Ld_cal($B312, $C312, $D312, $G312,$E312, $F312, $H312, S$3)*1.3*1.3,0)),"-")</f>
        <v>-</v>
      </c>
      <c r="T312" s="61" t="str">
        <f>IF($J312=T$3,IF(T$3&gt;$I312,"-",ROUNDUP(Ld_cal($B312, $C312, $D312, $G312,$E312, $F312, $H312, T$3)*1.3*1.3,0)),"-")</f>
        <v>-</v>
      </c>
      <c r="U312" s="61" t="str">
        <f>IF($J312=U$3,IF(U$3&gt;$I312,"-",ROUNDUP(Ld_cal($B312, $C312, $D312, $G312,$E312, $F312, $H312, U$3)*1.3*1.3,0)),"-")</f>
        <v>-</v>
      </c>
      <c r="V312" s="61" t="str">
        <f>IF($J312=V$3,IF(V$3&gt;$I312,"-",ROUNDUP(Ld_cal($B312, $C312, $D312, $G312,$E312, $F312, $H312, V$3)*1.3*1.3,0)),"-")</f>
        <v>-</v>
      </c>
      <c r="W312" s="61" t="str">
        <f>IF($J312=W$3,IF(W$3&gt;$I312,"-",ROUNDUP(Ld_cal($B312, $C312, $D312, $G312,$E312, $F312, $H312, W$3)*1.3*1.3,0)),"-")</f>
        <v>-</v>
      </c>
      <c r="X312" s="61" t="str">
        <f>IF($J312=X$3,IF(X$3&gt;$I312,"-",ROUNDUP(Ld_cal($B312, $C312, $D312, $G312,$E312, $F312, $H312, X$3)*1.3*1.3,0)),"-")</f>
        <v>-</v>
      </c>
      <c r="Y312" s="61" t="str">
        <f>IF($J312=Y$3,IF(Y$3&gt;$I312,"-",ROUNDUP(Ld_cal($B312, $C312, $D312, $G312,$E312, $F312, $H312, Y$3)*1.3*1.3,0)),"-")</f>
        <v>-</v>
      </c>
      <c r="Z312" s="61" t="str">
        <f>IF($J312=Z$3,IF(Z$3&gt;$I312,"-",ROUNDUP(Ld_cal($B312, $C312, $D312, $G312,$E312, $F312, $H312, Z$3)*1.3*1.3,0)),"-")</f>
        <v>-</v>
      </c>
      <c r="AA312" s="61" t="str">
        <f>IF($J312=AA$3,IF(AA$3&gt;$I312,"-",ROUNDUP(Ld_cal($B312, $C312, $D312, $G312,$E312, $F312, $H312, AA$3)*1.3*1.3,0)),"-")</f>
        <v>-</v>
      </c>
      <c r="AB312" s="61" t="str">
        <f>IF($J312=AB$3,IF(AB$3&gt;$I312,"-",ROUNDUP(Ld_cal($B312, $C312, $D312, $G312,$E312, $F312, $H312, AB$3)*1.3*1.3,0)),"-")</f>
        <v>-</v>
      </c>
      <c r="AC312" s="61" t="str">
        <f>IF($J312=AC$3,IF(AC$3&gt;$I312,"-",ROUNDUP(Ld_cal($B312, $C312, $D312, $G312,$E312, $F312, $H312, AC$3)*1.3*1.3,0)),"-")</f>
        <v>-</v>
      </c>
      <c r="AD312" s="61">
        <f t="shared" ref="AD312" si="304">IF(J312&gt;I312,"依標準圖",MAX(L312:AC312))</f>
        <v>147</v>
      </c>
    </row>
    <row r="313" spans="1:30">
      <c r="A313" s="98"/>
      <c r="B313" s="99"/>
      <c r="C313" s="100"/>
      <c r="D313" s="101"/>
      <c r="E313" s="102"/>
      <c r="F313" s="103"/>
      <c r="G313" s="101"/>
      <c r="H313" s="102"/>
      <c r="I313" s="104"/>
      <c r="J313" s="60">
        <v>15</v>
      </c>
      <c r="K313" s="64" t="s">
        <v>29</v>
      </c>
      <c r="L313" s="61" t="str">
        <f>IF($J313=L$3,IF(L$3&gt;$I312,"-",ROUNDUP(Ld_cal($B312, $C312, $D312, $G312,$E312, $F312, $H312, L$3)*1.3,0)),"-")</f>
        <v>-</v>
      </c>
      <c r="M313" s="61" t="str">
        <f>IF($J313=M$3,IF(M$3&gt;$I312,"-",ROUNDUP(Ld_cal($B312, $C312, $D312, $G312,$E312, $F312, $H312, M$3)*1.3,0)),"-")</f>
        <v>-</v>
      </c>
      <c r="N313" s="61" t="str">
        <f>IF($J313=N$3,IF(N$3&gt;$I312,"-",ROUNDUP(Ld_cal($B312, $C312, $D312, $G312,$E312, $F312, $H312, N$3)*1.3,0)),"-")</f>
        <v>-</v>
      </c>
      <c r="O313" s="61" t="str">
        <f>IF($J313=O$3,IF(O$3&gt;$I312,"-",ROUNDUP(Ld_cal($B312, $C312, $D312, $G312,$E312, $F312, $H312, O$3)*1.3,0)),"-")</f>
        <v>-</v>
      </c>
      <c r="P313" s="61" t="str">
        <f>IF($J313=P$3,IF(P$3&gt;$I312,"-",ROUNDUP(Ld_cal($B312, $C312, $D312, $G312,$E312, $F312, $H312, P$3)*1.3,0)),"-")</f>
        <v>-</v>
      </c>
      <c r="Q313" s="61" t="str">
        <f>IF($J313=Q$3,IF(Q$3&gt;$I312,"-",ROUNDUP(Ld_cal($B312, $C312, $D312, $G312,$E312, $F312, $H312, Q$3)*1.3,0)),"-")</f>
        <v>-</v>
      </c>
      <c r="R313" s="61" t="str">
        <f>IF($J313=R$3,IF(R$3&gt;$I312,"-",ROUNDUP(Ld_cal($B312, $C312, $D312, $G312,$E312, $F312, $H312, R$3)*1.3,0)),"-")</f>
        <v>-</v>
      </c>
      <c r="S313" s="61" t="str">
        <f>IF($J313=S$3,IF(S$3&gt;$I312,"-",ROUNDUP(Ld_cal($B312, $C312, $D312, $G312,$E312, $F312, $H312, S$3)*1.3,0)),"-")</f>
        <v>-</v>
      </c>
      <c r="T313" s="61" t="str">
        <f>IF($J313=T$3,IF(T$3&gt;$I312,"-",ROUNDUP(Ld_cal($B312, $C312, $D312, $G312,$E312, $F312, $H312, T$3)*1.3,0)),"-")</f>
        <v>-</v>
      </c>
      <c r="U313" s="61" t="str">
        <f>IF($J313=U$3,IF(U$3&gt;$I312,"-",ROUNDUP(Ld_cal($B312, $C312, $D312, $G312,$E312, $F312, $H312, U$3)*1.3,0)),"-")</f>
        <v>-</v>
      </c>
      <c r="V313" s="61" t="str">
        <f>IF($J313=V$3,IF(V$3&gt;$I312,"-",ROUNDUP(Ld_cal($B312, $C312, $D312, $G312,$E312, $F312, $H312, V$3)*1.3,0)),"-")</f>
        <v>-</v>
      </c>
      <c r="W313" s="61" t="str">
        <f>IF($J313=W$3,IF(W$3&gt;$I312,"-",ROUNDUP(Ld_cal($B312, $C312, $D312, $G312,$E312, $F312, $H312, W$3)*1.3,0)),"-")</f>
        <v>-</v>
      </c>
      <c r="X313" s="61">
        <f>IF($J313=X$3,IF(X$3&gt;$I312,"-",ROUNDUP(Ld_cal($B312, $C312, $D312, $G312,$E312, $F312, $H312, X$3)*1.3,0)),"-")</f>
        <v>196</v>
      </c>
      <c r="Y313" s="61" t="str">
        <f>IF($J313=Y$3,IF(Y$3&gt;$I312,"-",ROUNDUP(Ld_cal($B312, $C312, $D312, $G312,$E312, $F312, $H312, Y$3)*1.3,0)),"-")</f>
        <v>-</v>
      </c>
      <c r="Z313" s="61" t="str">
        <f>IF($J313=Z$3,IF(Z$3&gt;$I312,"-",ROUNDUP(Ld_cal($B312, $C312, $D312, $G312,$E312, $F312, $H312, Z$3)*1.3,0)),"-")</f>
        <v>-</v>
      </c>
      <c r="AA313" s="61" t="str">
        <f>IF($J313=AA$3,IF(AA$3&gt;$I312,"-",ROUNDUP(Ld_cal($B312, $C312, $D312, $G312,$E312, $F312, $H312, AA$3)*1.3,0)),"-")</f>
        <v>-</v>
      </c>
      <c r="AB313" s="61" t="str">
        <f>IF($J313=AB$3,IF(AB$3&gt;$I312,"-",ROUNDUP(Ld_cal($B312, $C312, $D312, $G312,$E312, $F312, $H312, AB$3)*1.3,0)),"-")</f>
        <v>-</v>
      </c>
      <c r="AC313" s="61" t="str">
        <f>IF($J313=AC$3,IF(AC$3&gt;$I312,"-",ROUNDUP(Ld_cal($B312, $C312, $D312, $G312,$E312, $F312, $H312, AC$3)*1.3,0)),"-")</f>
        <v>-</v>
      </c>
      <c r="AD313" s="61">
        <f t="shared" ref="AD313" si="305">IF(J313&gt;I312,"依標準圖",MAX(L313:AC313))</f>
        <v>196</v>
      </c>
    </row>
    <row r="314" spans="1:30">
      <c r="A314" s="105" t="s">
        <v>201</v>
      </c>
      <c r="B314" s="107">
        <v>120</v>
      </c>
      <c r="C314" s="108">
        <v>7.5</v>
      </c>
      <c r="D314" s="107">
        <v>4200</v>
      </c>
      <c r="E314" s="109">
        <v>16</v>
      </c>
      <c r="F314" s="110">
        <v>25</v>
      </c>
      <c r="G314" s="107">
        <v>350</v>
      </c>
      <c r="H314" s="109">
        <v>32</v>
      </c>
      <c r="I314" s="111">
        <f>ROUNDDOWN(($B314-2*$C314-2*$E314/10-$H314/10)/(($D$1+1)*$H314/10),0)+1</f>
        <v>16</v>
      </c>
      <c r="J314" s="62">
        <v>5</v>
      </c>
      <c r="K314" s="40" t="s">
        <v>30</v>
      </c>
      <c r="L314" s="63" t="str">
        <f>IF($J314=L$3,IF(L$3&gt;$I314,"-",ROUNDUP(Ld_cal($B314, $C314, $D314, $G314,$E314, $F314, $H314, L$3)*1.3*1.3,0)),"-")</f>
        <v>-</v>
      </c>
      <c r="M314" s="63" t="str">
        <f>IF($J314=M$3,IF(M$3&gt;$I314,"-",ROUNDUP(Ld_cal($B314, $C314, $D314, $G314,$E314, $F314, $H314, M$3)*1.3*1.3,0)),"-")</f>
        <v>-</v>
      </c>
      <c r="N314" s="63">
        <f>IF($J314=N$3,IF(N$3&gt;$I314,"-",ROUNDUP(Ld_cal($B314, $C314, $D314, $G314,$E314, $F314, $H314, N$3)*1.3*1.3,0)),"-")</f>
        <v>136</v>
      </c>
      <c r="O314" s="63" t="str">
        <f>IF($J314=O$3,IF(O$3&gt;$I314,"-",ROUNDUP(Ld_cal($B314, $C314, $D314, $G314,$E314, $F314, $H314, O$3)*1.3*1.3,0)),"-")</f>
        <v>-</v>
      </c>
      <c r="P314" s="63" t="str">
        <f>IF($J314=P$3,IF(P$3&gt;$I314,"-",ROUNDUP(Ld_cal($B314, $C314, $D314, $G314,$E314, $F314, $H314, P$3)*1.3*1.3,0)),"-")</f>
        <v>-</v>
      </c>
      <c r="Q314" s="63" t="str">
        <f>IF($J314=Q$3,IF(Q$3&gt;$I314,"-",ROUNDUP(Ld_cal($B314, $C314, $D314, $G314,$E314, $F314, $H314, Q$3)*1.3*1.3,0)),"-")</f>
        <v>-</v>
      </c>
      <c r="R314" s="63" t="str">
        <f>IF($J314=R$3,IF(R$3&gt;$I314,"-",ROUNDUP(Ld_cal($B314, $C314, $D314, $G314,$E314, $F314, $H314, R$3)*1.3*1.3,0)),"-")</f>
        <v>-</v>
      </c>
      <c r="S314" s="63" t="str">
        <f>IF($J314=S$3,IF(S$3&gt;$I314,"-",ROUNDUP(Ld_cal($B314, $C314, $D314, $G314,$E314, $F314, $H314, S$3)*1.3*1.3,0)),"-")</f>
        <v>-</v>
      </c>
      <c r="T314" s="63" t="str">
        <f>IF($J314=T$3,IF(T$3&gt;$I314,"-",ROUNDUP(Ld_cal($B314, $C314, $D314, $G314,$E314, $F314, $H314, T$3)*1.3*1.3,0)),"-")</f>
        <v>-</v>
      </c>
      <c r="U314" s="63" t="str">
        <f>IF($J314=U$3,IF(U$3&gt;$I314,"-",ROUNDUP(Ld_cal($B314, $C314, $D314, $G314,$E314, $F314, $H314, U$3)*1.3*1.3,0)),"-")</f>
        <v>-</v>
      </c>
      <c r="V314" s="63" t="str">
        <f>IF($J314=V$3,IF(V$3&gt;$I314,"-",ROUNDUP(Ld_cal($B314, $C314, $D314, $G314,$E314, $F314, $H314, V$3)*1.3*1.3,0)),"-")</f>
        <v>-</v>
      </c>
      <c r="W314" s="63" t="str">
        <f>IF($J314=W$3,IF(W$3&gt;$I314,"-",ROUNDUP(Ld_cal($B314, $C314, $D314, $G314,$E314, $F314, $H314, W$3)*1.3*1.3,0)),"-")</f>
        <v>-</v>
      </c>
      <c r="X314" s="63" t="str">
        <f>IF($J314=X$3,IF(X$3&gt;$I314,"-",ROUNDUP(Ld_cal($B314, $C314, $D314, $G314,$E314, $F314, $H314, X$3)*1.3*1.3,0)),"-")</f>
        <v>-</v>
      </c>
      <c r="Y314" s="63" t="str">
        <f>IF($J314=Y$3,IF(Y$3&gt;$I314,"-",ROUNDUP(Ld_cal($B314, $C314, $D314, $G314,$E314, $F314, $H314, Y$3)*1.3*1.3,0)),"-")</f>
        <v>-</v>
      </c>
      <c r="Z314" s="63" t="str">
        <f>IF($J314=Z$3,IF(Z$3&gt;$I314,"-",ROUNDUP(Ld_cal($B314, $C314, $D314, $G314,$E314, $F314, $H314, Z$3)*1.3*1.3,0)),"-")</f>
        <v>-</v>
      </c>
      <c r="AA314" s="63" t="str">
        <f>IF($J314=AA$3,IF(AA$3&gt;$I314,"-",ROUNDUP(Ld_cal($B314, $C314, $D314, $G314,$E314, $F314, $H314, AA$3)*1.3*1.3,0)),"-")</f>
        <v>-</v>
      </c>
      <c r="AB314" s="63" t="str">
        <f>IF($J314=AB$3,IF(AB$3&gt;$I314,"-",ROUNDUP(Ld_cal($B314, $C314, $D314, $G314,$E314, $F314, $H314, AB$3)*1.3*1.3,0)),"-")</f>
        <v>-</v>
      </c>
      <c r="AC314" s="63" t="str">
        <f>IF($J314=AC$3,IF(AC$3&gt;$I314,"-",ROUNDUP(Ld_cal($B314, $C314, $D314, $G314,$E314, $F314, $H314, AC$3)*1.3*1.3,0)),"-")</f>
        <v>-</v>
      </c>
      <c r="AD314" s="63">
        <f t="shared" ref="AD314" si="306">IF(J314&gt;I314,"依標準圖",MAX(L314:AC314))</f>
        <v>136</v>
      </c>
    </row>
    <row r="315" spans="1:30">
      <c r="A315" s="106"/>
      <c r="B315" s="107"/>
      <c r="C315" s="108"/>
      <c r="D315" s="107"/>
      <c r="E315" s="109"/>
      <c r="F315" s="110"/>
      <c r="G315" s="107"/>
      <c r="H315" s="109"/>
      <c r="I315" s="111"/>
      <c r="J315" s="62">
        <v>15</v>
      </c>
      <c r="K315" s="40" t="s">
        <v>29</v>
      </c>
      <c r="L315" s="63" t="str">
        <f>IF($J315=L$3,IF(L$3&gt;$I314,"-",ROUNDUP(Ld_cal($B314, $C314, $D314, $G314,$E314, $F314, $H314, L$3)*1.3,0)),"-")</f>
        <v>-</v>
      </c>
      <c r="M315" s="63" t="str">
        <f>IF($J315=M$3,IF(M$3&gt;$I314,"-",ROUNDUP(Ld_cal($B314, $C314, $D314, $G314,$E314, $F314, $H314, M$3)*1.3,0)),"-")</f>
        <v>-</v>
      </c>
      <c r="N315" s="63" t="str">
        <f>IF($J315=N$3,IF(N$3&gt;$I314,"-",ROUNDUP(Ld_cal($B314, $C314, $D314, $G314,$E314, $F314, $H314, N$3)*1.3,0)),"-")</f>
        <v>-</v>
      </c>
      <c r="O315" s="63" t="str">
        <f>IF($J315=O$3,IF(O$3&gt;$I314,"-",ROUNDUP(Ld_cal($B314, $C314, $D314, $G314,$E314, $F314, $H314, O$3)*1.3,0)),"-")</f>
        <v>-</v>
      </c>
      <c r="P315" s="63" t="str">
        <f>IF($J315=P$3,IF(P$3&gt;$I314,"-",ROUNDUP(Ld_cal($B314, $C314, $D314, $G314,$E314, $F314, $H314, P$3)*1.3,0)),"-")</f>
        <v>-</v>
      </c>
      <c r="Q315" s="63" t="str">
        <f>IF($J315=Q$3,IF(Q$3&gt;$I314,"-",ROUNDUP(Ld_cal($B314, $C314, $D314, $G314,$E314, $F314, $H314, Q$3)*1.3,0)),"-")</f>
        <v>-</v>
      </c>
      <c r="R315" s="63" t="str">
        <f>IF($J315=R$3,IF(R$3&gt;$I314,"-",ROUNDUP(Ld_cal($B314, $C314, $D314, $G314,$E314, $F314, $H314, R$3)*1.3,0)),"-")</f>
        <v>-</v>
      </c>
      <c r="S315" s="63" t="str">
        <f>IF($J315=S$3,IF(S$3&gt;$I314,"-",ROUNDUP(Ld_cal($B314, $C314, $D314, $G314,$E314, $F314, $H314, S$3)*1.3,0)),"-")</f>
        <v>-</v>
      </c>
      <c r="T315" s="63" t="str">
        <f>IF($J315=T$3,IF(T$3&gt;$I314,"-",ROUNDUP(Ld_cal($B314, $C314, $D314, $G314,$E314, $F314, $H314, T$3)*1.3,0)),"-")</f>
        <v>-</v>
      </c>
      <c r="U315" s="63" t="str">
        <f>IF($J315=U$3,IF(U$3&gt;$I314,"-",ROUNDUP(Ld_cal($B314, $C314, $D314, $G314,$E314, $F314, $H314, U$3)*1.3,0)),"-")</f>
        <v>-</v>
      </c>
      <c r="V315" s="63" t="str">
        <f>IF($J315=V$3,IF(V$3&gt;$I314,"-",ROUNDUP(Ld_cal($B314, $C314, $D314, $G314,$E314, $F314, $H314, V$3)*1.3,0)),"-")</f>
        <v>-</v>
      </c>
      <c r="W315" s="63" t="str">
        <f>IF($J315=W$3,IF(W$3&gt;$I314,"-",ROUNDUP(Ld_cal($B314, $C314, $D314, $G314,$E314, $F314, $H314, W$3)*1.3,0)),"-")</f>
        <v>-</v>
      </c>
      <c r="X315" s="63">
        <f>IF($J315=X$3,IF(X$3&gt;$I314,"-",ROUNDUP(Ld_cal($B314, $C314, $D314, $G314,$E314, $F314, $H314, X$3)*1.3,0)),"-")</f>
        <v>212</v>
      </c>
      <c r="Y315" s="63" t="str">
        <f>IF($J315=Y$3,IF(Y$3&gt;$I314,"-",ROUNDUP(Ld_cal($B314, $C314, $D314, $G314,$E314, $F314, $H314, Y$3)*1.3,0)),"-")</f>
        <v>-</v>
      </c>
      <c r="Z315" s="63" t="str">
        <f>IF($J315=Z$3,IF(Z$3&gt;$I314,"-",ROUNDUP(Ld_cal($B314, $C314, $D314, $G314,$E314, $F314, $H314, Z$3)*1.3,0)),"-")</f>
        <v>-</v>
      </c>
      <c r="AA315" s="63" t="str">
        <f>IF($J315=AA$3,IF(AA$3&gt;$I314,"-",ROUNDUP(Ld_cal($B314, $C314, $D314, $G314,$E314, $F314, $H314, AA$3)*1.3,0)),"-")</f>
        <v>-</v>
      </c>
      <c r="AB315" s="63" t="str">
        <f>IF($J315=AB$3,IF(AB$3&gt;$I314,"-",ROUNDUP(Ld_cal($B314, $C314, $D314, $G314,$E314, $F314, $H314, AB$3)*1.3,0)),"-")</f>
        <v>-</v>
      </c>
      <c r="AC315" s="63" t="str">
        <f>IF($J315=AC$3,IF(AC$3&gt;$I314,"-",ROUNDUP(Ld_cal($B314, $C314, $D314, $G314,$E314, $F314, $H314, AC$3)*1.3,0)),"-")</f>
        <v>-</v>
      </c>
      <c r="AD315" s="63">
        <f t="shared" ref="AD315" si="307">IF(J315&gt;I314,"依標準圖",MAX(L315:AC315))</f>
        <v>212</v>
      </c>
    </row>
    <row r="316" spans="1:30">
      <c r="A316" s="97" t="s">
        <v>202</v>
      </c>
      <c r="B316" s="99">
        <v>120</v>
      </c>
      <c r="C316" s="100">
        <v>7.5</v>
      </c>
      <c r="D316" s="101">
        <v>4200</v>
      </c>
      <c r="E316" s="102">
        <v>16</v>
      </c>
      <c r="F316" s="103">
        <v>9</v>
      </c>
      <c r="G316" s="101">
        <v>350</v>
      </c>
      <c r="H316" s="102">
        <v>32</v>
      </c>
      <c r="I316" s="104">
        <f>ROUNDDOWN(($B316-2*$C316-2*$E316/10-$H316/10)/(($D$1+1)*$H316/10),0)+1</f>
        <v>16</v>
      </c>
      <c r="J316" s="60">
        <v>15</v>
      </c>
      <c r="K316" s="64" t="s">
        <v>30</v>
      </c>
      <c r="L316" s="61" t="str">
        <f>IF($J316=L$3,IF(L$3&gt;$I316,"-",ROUNDUP(Ld_cal($B316, $C316, $D316, $G316,$E316, $F316, $H316, L$3)*1.3*1.3,0)),"-")</f>
        <v>-</v>
      </c>
      <c r="M316" s="61" t="str">
        <f>IF($J316=M$3,IF(M$3&gt;$I316,"-",ROUNDUP(Ld_cal($B316, $C316, $D316, $G316,$E316, $F316, $H316, M$3)*1.3*1.3,0)),"-")</f>
        <v>-</v>
      </c>
      <c r="N316" s="61" t="str">
        <f>IF($J316=N$3,IF(N$3&gt;$I316,"-",ROUNDUP(Ld_cal($B316, $C316, $D316, $G316,$E316, $F316, $H316, N$3)*1.3*1.3,0)),"-")</f>
        <v>-</v>
      </c>
      <c r="O316" s="61" t="str">
        <f>IF($J316=O$3,IF(O$3&gt;$I316,"-",ROUNDUP(Ld_cal($B316, $C316, $D316, $G316,$E316, $F316, $H316, O$3)*1.3*1.3,0)),"-")</f>
        <v>-</v>
      </c>
      <c r="P316" s="61" t="str">
        <f>IF($J316=P$3,IF(P$3&gt;$I316,"-",ROUNDUP(Ld_cal($B316, $C316, $D316, $G316,$E316, $F316, $H316, P$3)*1.3*1.3,0)),"-")</f>
        <v>-</v>
      </c>
      <c r="Q316" s="61" t="str">
        <f>IF($J316=Q$3,IF(Q$3&gt;$I316,"-",ROUNDUP(Ld_cal($B316, $C316, $D316, $G316,$E316, $F316, $H316, Q$3)*1.3*1.3,0)),"-")</f>
        <v>-</v>
      </c>
      <c r="R316" s="61" t="str">
        <f>IF($J316=R$3,IF(R$3&gt;$I316,"-",ROUNDUP(Ld_cal($B316, $C316, $D316, $G316,$E316, $F316, $H316, R$3)*1.3*1.3,0)),"-")</f>
        <v>-</v>
      </c>
      <c r="S316" s="61" t="str">
        <f>IF($J316=S$3,IF(S$3&gt;$I316,"-",ROUNDUP(Ld_cal($B316, $C316, $D316, $G316,$E316, $F316, $H316, S$3)*1.3*1.3,0)),"-")</f>
        <v>-</v>
      </c>
      <c r="T316" s="61" t="str">
        <f>IF($J316=T$3,IF(T$3&gt;$I316,"-",ROUNDUP(Ld_cal($B316, $C316, $D316, $G316,$E316, $F316, $H316, T$3)*1.3*1.3,0)),"-")</f>
        <v>-</v>
      </c>
      <c r="U316" s="61" t="str">
        <f>IF($J316=U$3,IF(U$3&gt;$I316,"-",ROUNDUP(Ld_cal($B316, $C316, $D316, $G316,$E316, $F316, $H316, U$3)*1.3*1.3,0)),"-")</f>
        <v>-</v>
      </c>
      <c r="V316" s="61" t="str">
        <f>IF($J316=V$3,IF(V$3&gt;$I316,"-",ROUNDUP(Ld_cal($B316, $C316, $D316, $G316,$E316, $F316, $H316, V$3)*1.3*1.3,0)),"-")</f>
        <v>-</v>
      </c>
      <c r="W316" s="61" t="str">
        <f>IF($J316=W$3,IF(W$3&gt;$I316,"-",ROUNDUP(Ld_cal($B316, $C316, $D316, $G316,$E316, $F316, $H316, W$3)*1.3*1.3,0)),"-")</f>
        <v>-</v>
      </c>
      <c r="X316" s="61">
        <f>IF($J316=X$3,IF(X$3&gt;$I316,"-",ROUNDUP(Ld_cal($B316, $C316, $D316, $G316,$E316, $F316, $H316, X$3)*1.3*1.3,0)),"-")</f>
        <v>231</v>
      </c>
      <c r="Y316" s="61" t="str">
        <f>IF($J316=Y$3,IF(Y$3&gt;$I316,"-",ROUNDUP(Ld_cal($B316, $C316, $D316, $G316,$E316, $F316, $H316, Y$3)*1.3*1.3,0)),"-")</f>
        <v>-</v>
      </c>
      <c r="Z316" s="61" t="str">
        <f>IF($J316=Z$3,IF(Z$3&gt;$I316,"-",ROUNDUP(Ld_cal($B316, $C316, $D316, $G316,$E316, $F316, $H316, Z$3)*1.3*1.3,0)),"-")</f>
        <v>-</v>
      </c>
      <c r="AA316" s="61" t="str">
        <f>IF($J316=AA$3,IF(AA$3&gt;$I316,"-",ROUNDUP(Ld_cal($B316, $C316, $D316, $G316,$E316, $F316, $H316, AA$3)*1.3*1.3,0)),"-")</f>
        <v>-</v>
      </c>
      <c r="AB316" s="61" t="str">
        <f>IF($J316=AB$3,IF(AB$3&gt;$I316,"-",ROUNDUP(Ld_cal($B316, $C316, $D316, $G316,$E316, $F316, $H316, AB$3)*1.3*1.3,0)),"-")</f>
        <v>-</v>
      </c>
      <c r="AC316" s="61" t="str">
        <f>IF($J316=AC$3,IF(AC$3&gt;$I316,"-",ROUNDUP(Ld_cal($B316, $C316, $D316, $G316,$E316, $F316, $H316, AC$3)*1.3*1.3,0)),"-")</f>
        <v>-</v>
      </c>
      <c r="AD316" s="61">
        <f t="shared" ref="AD316" si="308">IF(J316&gt;I316,"依標準圖",MAX(L316:AC316))</f>
        <v>231</v>
      </c>
    </row>
    <row r="317" spans="1:30">
      <c r="A317" s="98"/>
      <c r="B317" s="99"/>
      <c r="C317" s="100"/>
      <c r="D317" s="101"/>
      <c r="E317" s="102"/>
      <c r="F317" s="103"/>
      <c r="G317" s="101"/>
      <c r="H317" s="102"/>
      <c r="I317" s="104"/>
      <c r="J317" s="60">
        <v>14</v>
      </c>
      <c r="K317" s="64" t="s">
        <v>29</v>
      </c>
      <c r="L317" s="61" t="str">
        <f>IF($J317=L$3,IF(L$3&gt;$I316,"-",ROUNDUP(Ld_cal($B316, $C316, $D316, $G316,$E316, $F316, $H316, L$3)*1.3,0)),"-")</f>
        <v>-</v>
      </c>
      <c r="M317" s="61" t="str">
        <f>IF($J317=M$3,IF(M$3&gt;$I316,"-",ROUNDUP(Ld_cal($B316, $C316, $D316, $G316,$E316, $F316, $H316, M$3)*1.3,0)),"-")</f>
        <v>-</v>
      </c>
      <c r="N317" s="61" t="str">
        <f>IF($J317=N$3,IF(N$3&gt;$I316,"-",ROUNDUP(Ld_cal($B316, $C316, $D316, $G316,$E316, $F316, $H316, N$3)*1.3,0)),"-")</f>
        <v>-</v>
      </c>
      <c r="O317" s="61" t="str">
        <f>IF($J317=O$3,IF(O$3&gt;$I316,"-",ROUNDUP(Ld_cal($B316, $C316, $D316, $G316,$E316, $F316, $H316, O$3)*1.3,0)),"-")</f>
        <v>-</v>
      </c>
      <c r="P317" s="61" t="str">
        <f>IF($J317=P$3,IF(P$3&gt;$I316,"-",ROUNDUP(Ld_cal($B316, $C316, $D316, $G316,$E316, $F316, $H316, P$3)*1.3,0)),"-")</f>
        <v>-</v>
      </c>
      <c r="Q317" s="61" t="str">
        <f>IF($J317=Q$3,IF(Q$3&gt;$I316,"-",ROUNDUP(Ld_cal($B316, $C316, $D316, $G316,$E316, $F316, $H316, Q$3)*1.3,0)),"-")</f>
        <v>-</v>
      </c>
      <c r="R317" s="61" t="str">
        <f>IF($J317=R$3,IF(R$3&gt;$I316,"-",ROUNDUP(Ld_cal($B316, $C316, $D316, $G316,$E316, $F316, $H316, R$3)*1.3,0)),"-")</f>
        <v>-</v>
      </c>
      <c r="S317" s="61" t="str">
        <f>IF($J317=S$3,IF(S$3&gt;$I316,"-",ROUNDUP(Ld_cal($B316, $C316, $D316, $G316,$E316, $F316, $H316, S$3)*1.3,0)),"-")</f>
        <v>-</v>
      </c>
      <c r="T317" s="61" t="str">
        <f>IF($J317=T$3,IF(T$3&gt;$I316,"-",ROUNDUP(Ld_cal($B316, $C316, $D316, $G316,$E316, $F316, $H316, T$3)*1.3,0)),"-")</f>
        <v>-</v>
      </c>
      <c r="U317" s="61" t="str">
        <f>IF($J317=U$3,IF(U$3&gt;$I316,"-",ROUNDUP(Ld_cal($B316, $C316, $D316, $G316,$E316, $F316, $H316, U$3)*1.3,0)),"-")</f>
        <v>-</v>
      </c>
      <c r="V317" s="61" t="str">
        <f>IF($J317=V$3,IF(V$3&gt;$I316,"-",ROUNDUP(Ld_cal($B316, $C316, $D316, $G316,$E316, $F316, $H316, V$3)*1.3,0)),"-")</f>
        <v>-</v>
      </c>
      <c r="W317" s="61">
        <f>IF($J317=W$3,IF(W$3&gt;$I316,"-",ROUNDUP(Ld_cal($B316, $C316, $D316, $G316,$E316, $F316, $H316, W$3)*1.3,0)),"-")</f>
        <v>166</v>
      </c>
      <c r="X317" s="61" t="str">
        <f>IF($J317=X$3,IF(X$3&gt;$I316,"-",ROUNDUP(Ld_cal($B316, $C316, $D316, $G316,$E316, $F316, $H316, X$3)*1.3,0)),"-")</f>
        <v>-</v>
      </c>
      <c r="Y317" s="61" t="str">
        <f>IF($J317=Y$3,IF(Y$3&gt;$I316,"-",ROUNDUP(Ld_cal($B316, $C316, $D316, $G316,$E316, $F316, $H316, Y$3)*1.3,0)),"-")</f>
        <v>-</v>
      </c>
      <c r="Z317" s="61" t="str">
        <f>IF($J317=Z$3,IF(Z$3&gt;$I316,"-",ROUNDUP(Ld_cal($B316, $C316, $D316, $G316,$E316, $F316, $H316, Z$3)*1.3,0)),"-")</f>
        <v>-</v>
      </c>
      <c r="AA317" s="61" t="str">
        <f>IF($J317=AA$3,IF(AA$3&gt;$I316,"-",ROUNDUP(Ld_cal($B316, $C316, $D316, $G316,$E316, $F316, $H316, AA$3)*1.3,0)),"-")</f>
        <v>-</v>
      </c>
      <c r="AB317" s="61" t="str">
        <f>IF($J317=AB$3,IF(AB$3&gt;$I316,"-",ROUNDUP(Ld_cal($B316, $C316, $D316, $G316,$E316, $F316, $H316, AB$3)*1.3,0)),"-")</f>
        <v>-</v>
      </c>
      <c r="AC317" s="61" t="str">
        <f>IF($J317=AC$3,IF(AC$3&gt;$I316,"-",ROUNDUP(Ld_cal($B316, $C316, $D316, $G316,$E316, $F316, $H316, AC$3)*1.3,0)),"-")</f>
        <v>-</v>
      </c>
      <c r="AD317" s="61">
        <f t="shared" ref="AD317" si="309">IF(J317&gt;I316,"依標準圖",MAX(L317:AC317))</f>
        <v>166</v>
      </c>
    </row>
    <row r="318" spans="1:30">
      <c r="A318" s="105" t="s">
        <v>203</v>
      </c>
      <c r="B318" s="107">
        <v>120</v>
      </c>
      <c r="C318" s="108">
        <v>7.5</v>
      </c>
      <c r="D318" s="107">
        <v>4200</v>
      </c>
      <c r="E318" s="109">
        <v>16</v>
      </c>
      <c r="F318" s="110">
        <v>20</v>
      </c>
      <c r="G318" s="107">
        <v>350</v>
      </c>
      <c r="H318" s="109">
        <v>32</v>
      </c>
      <c r="I318" s="111">
        <f>ROUNDDOWN(($B318-2*$C318-2*$E318/10-$H318/10)/(($D$1+1)*$H318/10),0)+1</f>
        <v>16</v>
      </c>
      <c r="J318" s="62">
        <v>7</v>
      </c>
      <c r="K318" s="40" t="s">
        <v>30</v>
      </c>
      <c r="L318" s="63" t="str">
        <f>IF($J318=L$3,IF(L$3&gt;$I318,"-",ROUNDUP(Ld_cal($B318, $C318, $D318, $G318,$E318, $F318, $H318, L$3)*1.3*1.3,0)),"-")</f>
        <v>-</v>
      </c>
      <c r="M318" s="63" t="str">
        <f>IF($J318=M$3,IF(M$3&gt;$I318,"-",ROUNDUP(Ld_cal($B318, $C318, $D318, $G318,$E318, $F318, $H318, M$3)*1.3*1.3,0)),"-")</f>
        <v>-</v>
      </c>
      <c r="N318" s="63" t="str">
        <f>IF($J318=N$3,IF(N$3&gt;$I318,"-",ROUNDUP(Ld_cal($B318, $C318, $D318, $G318,$E318, $F318, $H318, N$3)*1.3*1.3,0)),"-")</f>
        <v>-</v>
      </c>
      <c r="O318" s="63" t="str">
        <f>IF($J318=O$3,IF(O$3&gt;$I318,"-",ROUNDUP(Ld_cal($B318, $C318, $D318, $G318,$E318, $F318, $H318, O$3)*1.3*1.3,0)),"-")</f>
        <v>-</v>
      </c>
      <c r="P318" s="63">
        <f>IF($J318=P$3,IF(P$3&gt;$I318,"-",ROUNDUP(Ld_cal($B318, $C318, $D318, $G318,$E318, $F318, $H318, P$3)*1.3*1.3,0)),"-")</f>
        <v>136</v>
      </c>
      <c r="Q318" s="63" t="str">
        <f>IF($J318=Q$3,IF(Q$3&gt;$I318,"-",ROUNDUP(Ld_cal($B318, $C318, $D318, $G318,$E318, $F318, $H318, Q$3)*1.3*1.3,0)),"-")</f>
        <v>-</v>
      </c>
      <c r="R318" s="63" t="str">
        <f>IF($J318=R$3,IF(R$3&gt;$I318,"-",ROUNDUP(Ld_cal($B318, $C318, $D318, $G318,$E318, $F318, $H318, R$3)*1.3*1.3,0)),"-")</f>
        <v>-</v>
      </c>
      <c r="S318" s="63" t="str">
        <f>IF($J318=S$3,IF(S$3&gt;$I318,"-",ROUNDUP(Ld_cal($B318, $C318, $D318, $G318,$E318, $F318, $H318, S$3)*1.3*1.3,0)),"-")</f>
        <v>-</v>
      </c>
      <c r="T318" s="63" t="str">
        <f>IF($J318=T$3,IF(T$3&gt;$I318,"-",ROUNDUP(Ld_cal($B318, $C318, $D318, $G318,$E318, $F318, $H318, T$3)*1.3*1.3,0)),"-")</f>
        <v>-</v>
      </c>
      <c r="U318" s="63" t="str">
        <f>IF($J318=U$3,IF(U$3&gt;$I318,"-",ROUNDUP(Ld_cal($B318, $C318, $D318, $G318,$E318, $F318, $H318, U$3)*1.3*1.3,0)),"-")</f>
        <v>-</v>
      </c>
      <c r="V318" s="63" t="str">
        <f>IF($J318=V$3,IF(V$3&gt;$I318,"-",ROUNDUP(Ld_cal($B318, $C318, $D318, $G318,$E318, $F318, $H318, V$3)*1.3*1.3,0)),"-")</f>
        <v>-</v>
      </c>
      <c r="W318" s="63" t="str">
        <f>IF($J318=W$3,IF(W$3&gt;$I318,"-",ROUNDUP(Ld_cal($B318, $C318, $D318, $G318,$E318, $F318, $H318, W$3)*1.3*1.3,0)),"-")</f>
        <v>-</v>
      </c>
      <c r="X318" s="63" t="str">
        <f>IF($J318=X$3,IF(X$3&gt;$I318,"-",ROUNDUP(Ld_cal($B318, $C318, $D318, $G318,$E318, $F318, $H318, X$3)*1.3*1.3,0)),"-")</f>
        <v>-</v>
      </c>
      <c r="Y318" s="63" t="str">
        <f>IF($J318=Y$3,IF(Y$3&gt;$I318,"-",ROUNDUP(Ld_cal($B318, $C318, $D318, $G318,$E318, $F318, $H318, Y$3)*1.3*1.3,0)),"-")</f>
        <v>-</v>
      </c>
      <c r="Z318" s="63" t="str">
        <f>IF($J318=Z$3,IF(Z$3&gt;$I318,"-",ROUNDUP(Ld_cal($B318, $C318, $D318, $G318,$E318, $F318, $H318, Z$3)*1.3*1.3,0)),"-")</f>
        <v>-</v>
      </c>
      <c r="AA318" s="63" t="str">
        <f>IF($J318=AA$3,IF(AA$3&gt;$I318,"-",ROUNDUP(Ld_cal($B318, $C318, $D318, $G318,$E318, $F318, $H318, AA$3)*1.3*1.3,0)),"-")</f>
        <v>-</v>
      </c>
      <c r="AB318" s="63" t="str">
        <f>IF($J318=AB$3,IF(AB$3&gt;$I318,"-",ROUNDUP(Ld_cal($B318, $C318, $D318, $G318,$E318, $F318, $H318, AB$3)*1.3*1.3,0)),"-")</f>
        <v>-</v>
      </c>
      <c r="AC318" s="63" t="str">
        <f>IF($J318=AC$3,IF(AC$3&gt;$I318,"-",ROUNDUP(Ld_cal($B318, $C318, $D318, $G318,$E318, $F318, $H318, AC$3)*1.3*1.3,0)),"-")</f>
        <v>-</v>
      </c>
      <c r="AD318" s="63">
        <f t="shared" ref="AD318" si="310">IF(J318&gt;I318,"依標準圖",MAX(L318:AC318))</f>
        <v>136</v>
      </c>
    </row>
    <row r="319" spans="1:30">
      <c r="A319" s="106"/>
      <c r="B319" s="107"/>
      <c r="C319" s="108"/>
      <c r="D319" s="107"/>
      <c r="E319" s="109"/>
      <c r="F319" s="110"/>
      <c r="G319" s="107"/>
      <c r="H319" s="109"/>
      <c r="I319" s="111"/>
      <c r="J319" s="62">
        <v>9</v>
      </c>
      <c r="K319" s="40" t="s">
        <v>29</v>
      </c>
      <c r="L319" s="63" t="str">
        <f>IF($J319=L$3,IF(L$3&gt;$I318,"-",ROUNDUP(Ld_cal($B318, $C318, $D318, $G318,$E318, $F318, $H318, L$3)*1.3,0)),"-")</f>
        <v>-</v>
      </c>
      <c r="M319" s="63" t="str">
        <f>IF($J319=M$3,IF(M$3&gt;$I318,"-",ROUNDUP(Ld_cal($B318, $C318, $D318, $G318,$E318, $F318, $H318, M$3)*1.3,0)),"-")</f>
        <v>-</v>
      </c>
      <c r="N319" s="63" t="str">
        <f>IF($J319=N$3,IF(N$3&gt;$I318,"-",ROUNDUP(Ld_cal($B318, $C318, $D318, $G318,$E318, $F318, $H318, N$3)*1.3,0)),"-")</f>
        <v>-</v>
      </c>
      <c r="O319" s="63" t="str">
        <f>IF($J319=O$3,IF(O$3&gt;$I318,"-",ROUNDUP(Ld_cal($B318, $C318, $D318, $G318,$E318, $F318, $H318, O$3)*1.3,0)),"-")</f>
        <v>-</v>
      </c>
      <c r="P319" s="63" t="str">
        <f>IF($J319=P$3,IF(P$3&gt;$I318,"-",ROUNDUP(Ld_cal($B318, $C318, $D318, $G318,$E318, $F318, $H318, P$3)*1.3,0)),"-")</f>
        <v>-</v>
      </c>
      <c r="Q319" s="63" t="str">
        <f>IF($J319=Q$3,IF(Q$3&gt;$I318,"-",ROUNDUP(Ld_cal($B318, $C318, $D318, $G318,$E318, $F318, $H318, Q$3)*1.3,0)),"-")</f>
        <v>-</v>
      </c>
      <c r="R319" s="63">
        <f>IF($J319=R$3,IF(R$3&gt;$I318,"-",ROUNDUP(Ld_cal($B318, $C318, $D318, $G318,$E318, $F318, $H318, R$3)*1.3,0)),"-")</f>
        <v>119</v>
      </c>
      <c r="S319" s="63" t="str">
        <f>IF($J319=S$3,IF(S$3&gt;$I318,"-",ROUNDUP(Ld_cal($B318, $C318, $D318, $G318,$E318, $F318, $H318, S$3)*1.3,0)),"-")</f>
        <v>-</v>
      </c>
      <c r="T319" s="63" t="str">
        <f>IF($J319=T$3,IF(T$3&gt;$I318,"-",ROUNDUP(Ld_cal($B318, $C318, $D318, $G318,$E318, $F318, $H318, T$3)*1.3,0)),"-")</f>
        <v>-</v>
      </c>
      <c r="U319" s="63" t="str">
        <f>IF($J319=U$3,IF(U$3&gt;$I318,"-",ROUNDUP(Ld_cal($B318, $C318, $D318, $G318,$E318, $F318, $H318, U$3)*1.3,0)),"-")</f>
        <v>-</v>
      </c>
      <c r="V319" s="63" t="str">
        <f>IF($J319=V$3,IF(V$3&gt;$I318,"-",ROUNDUP(Ld_cal($B318, $C318, $D318, $G318,$E318, $F318, $H318, V$3)*1.3,0)),"-")</f>
        <v>-</v>
      </c>
      <c r="W319" s="63" t="str">
        <f>IF($J319=W$3,IF(W$3&gt;$I318,"-",ROUNDUP(Ld_cal($B318, $C318, $D318, $G318,$E318, $F318, $H318, W$3)*1.3,0)),"-")</f>
        <v>-</v>
      </c>
      <c r="X319" s="63" t="str">
        <f>IF($J319=X$3,IF(X$3&gt;$I318,"-",ROUNDUP(Ld_cal($B318, $C318, $D318, $G318,$E318, $F318, $H318, X$3)*1.3,0)),"-")</f>
        <v>-</v>
      </c>
      <c r="Y319" s="63" t="str">
        <f>IF($J319=Y$3,IF(Y$3&gt;$I318,"-",ROUNDUP(Ld_cal($B318, $C318, $D318, $G318,$E318, $F318, $H318, Y$3)*1.3,0)),"-")</f>
        <v>-</v>
      </c>
      <c r="Z319" s="63" t="str">
        <f>IF($J319=Z$3,IF(Z$3&gt;$I318,"-",ROUNDUP(Ld_cal($B318, $C318, $D318, $G318,$E318, $F318, $H318, Z$3)*1.3,0)),"-")</f>
        <v>-</v>
      </c>
      <c r="AA319" s="63" t="str">
        <f>IF($J319=AA$3,IF(AA$3&gt;$I318,"-",ROUNDUP(Ld_cal($B318, $C318, $D318, $G318,$E318, $F318, $H318, AA$3)*1.3,0)),"-")</f>
        <v>-</v>
      </c>
      <c r="AB319" s="63" t="str">
        <f>IF($J319=AB$3,IF(AB$3&gt;$I318,"-",ROUNDUP(Ld_cal($B318, $C318, $D318, $G318,$E318, $F318, $H318, AB$3)*1.3,0)),"-")</f>
        <v>-</v>
      </c>
      <c r="AC319" s="63" t="str">
        <f>IF($J319=AC$3,IF(AC$3&gt;$I318,"-",ROUNDUP(Ld_cal($B318, $C318, $D318, $G318,$E318, $F318, $H318, AC$3)*1.3,0)),"-")</f>
        <v>-</v>
      </c>
      <c r="AD319" s="63">
        <f t="shared" ref="AD319" si="311">IF(J319&gt;I318,"依標準圖",MAX(L319:AC319))</f>
        <v>119</v>
      </c>
    </row>
    <row r="320" spans="1:30">
      <c r="A320" s="97" t="s">
        <v>204</v>
      </c>
      <c r="B320" s="99">
        <v>120</v>
      </c>
      <c r="C320" s="100">
        <v>7.5</v>
      </c>
      <c r="D320" s="101">
        <v>4200</v>
      </c>
      <c r="E320" s="102">
        <v>16</v>
      </c>
      <c r="F320" s="103">
        <v>25</v>
      </c>
      <c r="G320" s="101">
        <v>350</v>
      </c>
      <c r="H320" s="102">
        <v>32</v>
      </c>
      <c r="I320" s="104">
        <f>ROUNDDOWN(($B320-2*$C320-2*$E320/10-$H320/10)/(($D$1+1)*$H320/10),0)+1</f>
        <v>16</v>
      </c>
      <c r="J320" s="60">
        <v>9</v>
      </c>
      <c r="K320" s="64" t="s">
        <v>30</v>
      </c>
      <c r="L320" s="61" t="str">
        <f>IF($J320=L$3,IF(L$3&gt;$I320,"-",ROUNDUP(Ld_cal($B320, $C320, $D320, $G320,$E320, $F320, $H320, L$3)*1.3*1.3,0)),"-")</f>
        <v>-</v>
      </c>
      <c r="M320" s="61" t="str">
        <f>IF($J320=M$3,IF(M$3&gt;$I320,"-",ROUNDUP(Ld_cal($B320, $C320, $D320, $G320,$E320, $F320, $H320, M$3)*1.3*1.3,0)),"-")</f>
        <v>-</v>
      </c>
      <c r="N320" s="61" t="str">
        <f>IF($J320=N$3,IF(N$3&gt;$I320,"-",ROUNDUP(Ld_cal($B320, $C320, $D320, $G320,$E320, $F320, $H320, N$3)*1.3*1.3,0)),"-")</f>
        <v>-</v>
      </c>
      <c r="O320" s="61" t="str">
        <f>IF($J320=O$3,IF(O$3&gt;$I320,"-",ROUNDUP(Ld_cal($B320, $C320, $D320, $G320,$E320, $F320, $H320, O$3)*1.3*1.3,0)),"-")</f>
        <v>-</v>
      </c>
      <c r="P320" s="61" t="str">
        <f>IF($J320=P$3,IF(P$3&gt;$I320,"-",ROUNDUP(Ld_cal($B320, $C320, $D320, $G320,$E320, $F320, $H320, P$3)*1.3*1.3,0)),"-")</f>
        <v>-</v>
      </c>
      <c r="Q320" s="61" t="str">
        <f>IF($J320=Q$3,IF(Q$3&gt;$I320,"-",ROUNDUP(Ld_cal($B320, $C320, $D320, $G320,$E320, $F320, $H320, Q$3)*1.3*1.3,0)),"-")</f>
        <v>-</v>
      </c>
      <c r="R320" s="61">
        <f>IF($J320=R$3,IF(R$3&gt;$I320,"-",ROUNDUP(Ld_cal($B320, $C320, $D320, $G320,$E320, $F320, $H320, R$3)*1.3*1.3,0)),"-")</f>
        <v>159</v>
      </c>
      <c r="S320" s="61" t="str">
        <f>IF($J320=S$3,IF(S$3&gt;$I320,"-",ROUNDUP(Ld_cal($B320, $C320, $D320, $G320,$E320, $F320, $H320, S$3)*1.3*1.3,0)),"-")</f>
        <v>-</v>
      </c>
      <c r="T320" s="61" t="str">
        <f>IF($J320=T$3,IF(T$3&gt;$I320,"-",ROUNDUP(Ld_cal($B320, $C320, $D320, $G320,$E320, $F320, $H320, T$3)*1.3*1.3,0)),"-")</f>
        <v>-</v>
      </c>
      <c r="U320" s="61" t="str">
        <f>IF($J320=U$3,IF(U$3&gt;$I320,"-",ROUNDUP(Ld_cal($B320, $C320, $D320, $G320,$E320, $F320, $H320, U$3)*1.3*1.3,0)),"-")</f>
        <v>-</v>
      </c>
      <c r="V320" s="61" t="str">
        <f>IF($J320=V$3,IF(V$3&gt;$I320,"-",ROUNDUP(Ld_cal($B320, $C320, $D320, $G320,$E320, $F320, $H320, V$3)*1.3*1.3,0)),"-")</f>
        <v>-</v>
      </c>
      <c r="W320" s="61" t="str">
        <f>IF($J320=W$3,IF(W$3&gt;$I320,"-",ROUNDUP(Ld_cal($B320, $C320, $D320, $G320,$E320, $F320, $H320, W$3)*1.3*1.3,0)),"-")</f>
        <v>-</v>
      </c>
      <c r="X320" s="61" t="str">
        <f>IF($J320=X$3,IF(X$3&gt;$I320,"-",ROUNDUP(Ld_cal($B320, $C320, $D320, $G320,$E320, $F320, $H320, X$3)*1.3*1.3,0)),"-")</f>
        <v>-</v>
      </c>
      <c r="Y320" s="61" t="str">
        <f>IF($J320=Y$3,IF(Y$3&gt;$I320,"-",ROUNDUP(Ld_cal($B320, $C320, $D320, $G320,$E320, $F320, $H320, Y$3)*1.3*1.3,0)),"-")</f>
        <v>-</v>
      </c>
      <c r="Z320" s="61" t="str">
        <f>IF($J320=Z$3,IF(Z$3&gt;$I320,"-",ROUNDUP(Ld_cal($B320, $C320, $D320, $G320,$E320, $F320, $H320, Z$3)*1.3*1.3,0)),"-")</f>
        <v>-</v>
      </c>
      <c r="AA320" s="61" t="str">
        <f>IF($J320=AA$3,IF(AA$3&gt;$I320,"-",ROUNDUP(Ld_cal($B320, $C320, $D320, $G320,$E320, $F320, $H320, AA$3)*1.3*1.3,0)),"-")</f>
        <v>-</v>
      </c>
      <c r="AB320" s="61" t="str">
        <f>IF($J320=AB$3,IF(AB$3&gt;$I320,"-",ROUNDUP(Ld_cal($B320, $C320, $D320, $G320,$E320, $F320, $H320, AB$3)*1.3*1.3,0)),"-")</f>
        <v>-</v>
      </c>
      <c r="AC320" s="61" t="str">
        <f>IF($J320=AC$3,IF(AC$3&gt;$I320,"-",ROUNDUP(Ld_cal($B320, $C320, $D320, $G320,$E320, $F320, $H320, AC$3)*1.3*1.3,0)),"-")</f>
        <v>-</v>
      </c>
      <c r="AD320" s="61">
        <f t="shared" ref="AD320" si="312">IF(J320&gt;I320,"依標準圖",MAX(L320:AC320))</f>
        <v>159</v>
      </c>
    </row>
    <row r="321" spans="1:30">
      <c r="A321" s="98"/>
      <c r="B321" s="99"/>
      <c r="C321" s="100"/>
      <c r="D321" s="101"/>
      <c r="E321" s="102"/>
      <c r="F321" s="103"/>
      <c r="G321" s="101"/>
      <c r="H321" s="102"/>
      <c r="I321" s="104"/>
      <c r="J321" s="60">
        <v>5</v>
      </c>
      <c r="K321" s="64" t="s">
        <v>29</v>
      </c>
      <c r="L321" s="61" t="str">
        <f>IF($J321=L$3,IF(L$3&gt;$I320,"-",ROUNDUP(Ld_cal($B320, $C320, $D320, $G320,$E320, $F320, $H320, L$3)*1.3,0)),"-")</f>
        <v>-</v>
      </c>
      <c r="M321" s="61" t="str">
        <f>IF($J321=M$3,IF(M$3&gt;$I320,"-",ROUNDUP(Ld_cal($B320, $C320, $D320, $G320,$E320, $F320, $H320, M$3)*1.3,0)),"-")</f>
        <v>-</v>
      </c>
      <c r="N321" s="61">
        <f>IF($J321=N$3,IF(N$3&gt;$I320,"-",ROUNDUP(Ld_cal($B320, $C320, $D320, $G320,$E320, $F320, $H320, N$3)*1.3,0)),"-")</f>
        <v>105</v>
      </c>
      <c r="O321" s="61" t="str">
        <f>IF($J321=O$3,IF(O$3&gt;$I320,"-",ROUNDUP(Ld_cal($B320, $C320, $D320, $G320,$E320, $F320, $H320, O$3)*1.3,0)),"-")</f>
        <v>-</v>
      </c>
      <c r="P321" s="61" t="str">
        <f>IF($J321=P$3,IF(P$3&gt;$I320,"-",ROUNDUP(Ld_cal($B320, $C320, $D320, $G320,$E320, $F320, $H320, P$3)*1.3,0)),"-")</f>
        <v>-</v>
      </c>
      <c r="Q321" s="61" t="str">
        <f>IF($J321=Q$3,IF(Q$3&gt;$I320,"-",ROUNDUP(Ld_cal($B320, $C320, $D320, $G320,$E320, $F320, $H320, Q$3)*1.3,0)),"-")</f>
        <v>-</v>
      </c>
      <c r="R321" s="61" t="str">
        <f>IF($J321=R$3,IF(R$3&gt;$I320,"-",ROUNDUP(Ld_cal($B320, $C320, $D320, $G320,$E320, $F320, $H320, R$3)*1.3,0)),"-")</f>
        <v>-</v>
      </c>
      <c r="S321" s="61" t="str">
        <f>IF($J321=S$3,IF(S$3&gt;$I320,"-",ROUNDUP(Ld_cal($B320, $C320, $D320, $G320,$E320, $F320, $H320, S$3)*1.3,0)),"-")</f>
        <v>-</v>
      </c>
      <c r="T321" s="61" t="str">
        <f>IF($J321=T$3,IF(T$3&gt;$I320,"-",ROUNDUP(Ld_cal($B320, $C320, $D320, $G320,$E320, $F320, $H320, T$3)*1.3,0)),"-")</f>
        <v>-</v>
      </c>
      <c r="U321" s="61" t="str">
        <f>IF($J321=U$3,IF(U$3&gt;$I320,"-",ROUNDUP(Ld_cal($B320, $C320, $D320, $G320,$E320, $F320, $H320, U$3)*1.3,0)),"-")</f>
        <v>-</v>
      </c>
      <c r="V321" s="61" t="str">
        <f>IF($J321=V$3,IF(V$3&gt;$I320,"-",ROUNDUP(Ld_cal($B320, $C320, $D320, $G320,$E320, $F320, $H320, V$3)*1.3,0)),"-")</f>
        <v>-</v>
      </c>
      <c r="W321" s="61" t="str">
        <f>IF($J321=W$3,IF(W$3&gt;$I320,"-",ROUNDUP(Ld_cal($B320, $C320, $D320, $G320,$E320, $F320, $H320, W$3)*1.3,0)),"-")</f>
        <v>-</v>
      </c>
      <c r="X321" s="61" t="str">
        <f>IF($J321=X$3,IF(X$3&gt;$I320,"-",ROUNDUP(Ld_cal($B320, $C320, $D320, $G320,$E320, $F320, $H320, X$3)*1.3,0)),"-")</f>
        <v>-</v>
      </c>
      <c r="Y321" s="61" t="str">
        <f>IF($J321=Y$3,IF(Y$3&gt;$I320,"-",ROUNDUP(Ld_cal($B320, $C320, $D320, $G320,$E320, $F320, $H320, Y$3)*1.3,0)),"-")</f>
        <v>-</v>
      </c>
      <c r="Z321" s="61" t="str">
        <f>IF($J321=Z$3,IF(Z$3&gt;$I320,"-",ROUNDUP(Ld_cal($B320, $C320, $D320, $G320,$E320, $F320, $H320, Z$3)*1.3,0)),"-")</f>
        <v>-</v>
      </c>
      <c r="AA321" s="61" t="str">
        <f>IF($J321=AA$3,IF(AA$3&gt;$I320,"-",ROUNDUP(Ld_cal($B320, $C320, $D320, $G320,$E320, $F320, $H320, AA$3)*1.3,0)),"-")</f>
        <v>-</v>
      </c>
      <c r="AB321" s="61" t="str">
        <f>IF($J321=AB$3,IF(AB$3&gt;$I320,"-",ROUNDUP(Ld_cal($B320, $C320, $D320, $G320,$E320, $F320, $H320, AB$3)*1.3,0)),"-")</f>
        <v>-</v>
      </c>
      <c r="AC321" s="61" t="str">
        <f>IF($J321=AC$3,IF(AC$3&gt;$I320,"-",ROUNDUP(Ld_cal($B320, $C320, $D320, $G320,$E320, $F320, $H320, AC$3)*1.3,0)),"-")</f>
        <v>-</v>
      </c>
      <c r="AD321" s="61">
        <f t="shared" ref="AD321" si="313">IF(J321&gt;I320,"依標準圖",MAX(L321:AC321))</f>
        <v>105</v>
      </c>
    </row>
    <row r="322" spans="1:30">
      <c r="A322" s="105" t="s">
        <v>205</v>
      </c>
      <c r="B322" s="107">
        <v>120</v>
      </c>
      <c r="C322" s="108">
        <v>7.5</v>
      </c>
      <c r="D322" s="107">
        <v>4200</v>
      </c>
      <c r="E322" s="109">
        <v>16</v>
      </c>
      <c r="F322" s="110">
        <v>25</v>
      </c>
      <c r="G322" s="107">
        <v>350</v>
      </c>
      <c r="H322" s="109">
        <v>32</v>
      </c>
      <c r="I322" s="111">
        <f>ROUNDDOWN(($B322-2*$C322-2*$E322/10-$H322/10)/(($D$1+1)*$H322/10),0)+1</f>
        <v>16</v>
      </c>
      <c r="J322" s="62">
        <v>7</v>
      </c>
      <c r="K322" s="40" t="s">
        <v>30</v>
      </c>
      <c r="L322" s="63" t="str">
        <f>IF($J322=L$3,IF(L$3&gt;$I322,"-",ROUNDUP(Ld_cal($B322, $C322, $D322, $G322,$E322, $F322, $H322, L$3)*1.3*1.3,0)),"-")</f>
        <v>-</v>
      </c>
      <c r="M322" s="63" t="str">
        <f>IF($J322=M$3,IF(M$3&gt;$I322,"-",ROUNDUP(Ld_cal($B322, $C322, $D322, $G322,$E322, $F322, $H322, M$3)*1.3*1.3,0)),"-")</f>
        <v>-</v>
      </c>
      <c r="N322" s="63" t="str">
        <f>IF($J322=N$3,IF(N$3&gt;$I322,"-",ROUNDUP(Ld_cal($B322, $C322, $D322, $G322,$E322, $F322, $H322, N$3)*1.3*1.3,0)),"-")</f>
        <v>-</v>
      </c>
      <c r="O322" s="63" t="str">
        <f>IF($J322=O$3,IF(O$3&gt;$I322,"-",ROUNDUP(Ld_cal($B322, $C322, $D322, $G322,$E322, $F322, $H322, O$3)*1.3*1.3,0)),"-")</f>
        <v>-</v>
      </c>
      <c r="P322" s="63">
        <f>IF($J322=P$3,IF(P$3&gt;$I322,"-",ROUNDUP(Ld_cal($B322, $C322, $D322, $G322,$E322, $F322, $H322, P$3)*1.3*1.3,0)),"-")</f>
        <v>136</v>
      </c>
      <c r="Q322" s="63" t="str">
        <f>IF($J322=Q$3,IF(Q$3&gt;$I322,"-",ROUNDUP(Ld_cal($B322, $C322, $D322, $G322,$E322, $F322, $H322, Q$3)*1.3*1.3,0)),"-")</f>
        <v>-</v>
      </c>
      <c r="R322" s="63" t="str">
        <f>IF($J322=R$3,IF(R$3&gt;$I322,"-",ROUNDUP(Ld_cal($B322, $C322, $D322, $G322,$E322, $F322, $H322, R$3)*1.3*1.3,0)),"-")</f>
        <v>-</v>
      </c>
      <c r="S322" s="63" t="str">
        <f>IF($J322=S$3,IF(S$3&gt;$I322,"-",ROUNDUP(Ld_cal($B322, $C322, $D322, $G322,$E322, $F322, $H322, S$3)*1.3*1.3,0)),"-")</f>
        <v>-</v>
      </c>
      <c r="T322" s="63" t="str">
        <f>IF($J322=T$3,IF(T$3&gt;$I322,"-",ROUNDUP(Ld_cal($B322, $C322, $D322, $G322,$E322, $F322, $H322, T$3)*1.3*1.3,0)),"-")</f>
        <v>-</v>
      </c>
      <c r="U322" s="63" t="str">
        <f>IF($J322=U$3,IF(U$3&gt;$I322,"-",ROUNDUP(Ld_cal($B322, $C322, $D322, $G322,$E322, $F322, $H322, U$3)*1.3*1.3,0)),"-")</f>
        <v>-</v>
      </c>
      <c r="V322" s="63" t="str">
        <f>IF($J322=V$3,IF(V$3&gt;$I322,"-",ROUNDUP(Ld_cal($B322, $C322, $D322, $G322,$E322, $F322, $H322, V$3)*1.3*1.3,0)),"-")</f>
        <v>-</v>
      </c>
      <c r="W322" s="63" t="str">
        <f>IF($J322=W$3,IF(W$3&gt;$I322,"-",ROUNDUP(Ld_cal($B322, $C322, $D322, $G322,$E322, $F322, $H322, W$3)*1.3*1.3,0)),"-")</f>
        <v>-</v>
      </c>
      <c r="X322" s="63" t="str">
        <f>IF($J322=X$3,IF(X$3&gt;$I322,"-",ROUNDUP(Ld_cal($B322, $C322, $D322, $G322,$E322, $F322, $H322, X$3)*1.3*1.3,0)),"-")</f>
        <v>-</v>
      </c>
      <c r="Y322" s="63" t="str">
        <f>IF($J322=Y$3,IF(Y$3&gt;$I322,"-",ROUNDUP(Ld_cal($B322, $C322, $D322, $G322,$E322, $F322, $H322, Y$3)*1.3*1.3,0)),"-")</f>
        <v>-</v>
      </c>
      <c r="Z322" s="63" t="str">
        <f>IF($J322=Z$3,IF(Z$3&gt;$I322,"-",ROUNDUP(Ld_cal($B322, $C322, $D322, $G322,$E322, $F322, $H322, Z$3)*1.3*1.3,0)),"-")</f>
        <v>-</v>
      </c>
      <c r="AA322" s="63" t="str">
        <f>IF($J322=AA$3,IF(AA$3&gt;$I322,"-",ROUNDUP(Ld_cal($B322, $C322, $D322, $G322,$E322, $F322, $H322, AA$3)*1.3*1.3,0)),"-")</f>
        <v>-</v>
      </c>
      <c r="AB322" s="63" t="str">
        <f>IF($J322=AB$3,IF(AB$3&gt;$I322,"-",ROUNDUP(Ld_cal($B322, $C322, $D322, $G322,$E322, $F322, $H322, AB$3)*1.3*1.3,0)),"-")</f>
        <v>-</v>
      </c>
      <c r="AC322" s="63" t="str">
        <f>IF($J322=AC$3,IF(AC$3&gt;$I322,"-",ROUNDUP(Ld_cal($B322, $C322, $D322, $G322,$E322, $F322, $H322, AC$3)*1.3*1.3,0)),"-")</f>
        <v>-</v>
      </c>
      <c r="AD322" s="63">
        <f t="shared" ref="AD322" si="314">IF(J322&gt;I322,"依標準圖",MAX(L322:AC322))</f>
        <v>136</v>
      </c>
    </row>
    <row r="323" spans="1:30">
      <c r="A323" s="106"/>
      <c r="B323" s="107"/>
      <c r="C323" s="108"/>
      <c r="D323" s="107"/>
      <c r="E323" s="109"/>
      <c r="F323" s="110"/>
      <c r="G323" s="107"/>
      <c r="H323" s="109"/>
      <c r="I323" s="111"/>
      <c r="J323" s="62">
        <v>5</v>
      </c>
      <c r="K323" s="40" t="s">
        <v>29</v>
      </c>
      <c r="L323" s="63" t="str">
        <f>IF($J323=L$3,IF(L$3&gt;$I322,"-",ROUNDUP(Ld_cal($B322, $C322, $D322, $G322,$E322, $F322, $H322, L$3)*1.3,0)),"-")</f>
        <v>-</v>
      </c>
      <c r="M323" s="63" t="str">
        <f>IF($J323=M$3,IF(M$3&gt;$I322,"-",ROUNDUP(Ld_cal($B322, $C322, $D322, $G322,$E322, $F322, $H322, M$3)*1.3,0)),"-")</f>
        <v>-</v>
      </c>
      <c r="N323" s="63">
        <f>IF($J323=N$3,IF(N$3&gt;$I322,"-",ROUNDUP(Ld_cal($B322, $C322, $D322, $G322,$E322, $F322, $H322, N$3)*1.3,0)),"-")</f>
        <v>105</v>
      </c>
      <c r="O323" s="63" t="str">
        <f>IF($J323=O$3,IF(O$3&gt;$I322,"-",ROUNDUP(Ld_cal($B322, $C322, $D322, $G322,$E322, $F322, $H322, O$3)*1.3,0)),"-")</f>
        <v>-</v>
      </c>
      <c r="P323" s="63" t="str">
        <f>IF($J323=P$3,IF(P$3&gt;$I322,"-",ROUNDUP(Ld_cal($B322, $C322, $D322, $G322,$E322, $F322, $H322, P$3)*1.3,0)),"-")</f>
        <v>-</v>
      </c>
      <c r="Q323" s="63" t="str">
        <f>IF($J323=Q$3,IF(Q$3&gt;$I322,"-",ROUNDUP(Ld_cal($B322, $C322, $D322, $G322,$E322, $F322, $H322, Q$3)*1.3,0)),"-")</f>
        <v>-</v>
      </c>
      <c r="R323" s="63" t="str">
        <f>IF($J323=R$3,IF(R$3&gt;$I322,"-",ROUNDUP(Ld_cal($B322, $C322, $D322, $G322,$E322, $F322, $H322, R$3)*1.3,0)),"-")</f>
        <v>-</v>
      </c>
      <c r="S323" s="63" t="str">
        <f>IF($J323=S$3,IF(S$3&gt;$I322,"-",ROUNDUP(Ld_cal($B322, $C322, $D322, $G322,$E322, $F322, $H322, S$3)*1.3,0)),"-")</f>
        <v>-</v>
      </c>
      <c r="T323" s="63" t="str">
        <f>IF($J323=T$3,IF(T$3&gt;$I322,"-",ROUNDUP(Ld_cal($B322, $C322, $D322, $G322,$E322, $F322, $H322, T$3)*1.3,0)),"-")</f>
        <v>-</v>
      </c>
      <c r="U323" s="63" t="str">
        <f>IF($J323=U$3,IF(U$3&gt;$I322,"-",ROUNDUP(Ld_cal($B322, $C322, $D322, $G322,$E322, $F322, $H322, U$3)*1.3,0)),"-")</f>
        <v>-</v>
      </c>
      <c r="V323" s="63" t="str">
        <f>IF($J323=V$3,IF(V$3&gt;$I322,"-",ROUNDUP(Ld_cal($B322, $C322, $D322, $G322,$E322, $F322, $H322, V$3)*1.3,0)),"-")</f>
        <v>-</v>
      </c>
      <c r="W323" s="63" t="str">
        <f>IF($J323=W$3,IF(W$3&gt;$I322,"-",ROUNDUP(Ld_cal($B322, $C322, $D322, $G322,$E322, $F322, $H322, W$3)*1.3,0)),"-")</f>
        <v>-</v>
      </c>
      <c r="X323" s="63" t="str">
        <f>IF($J323=X$3,IF(X$3&gt;$I322,"-",ROUNDUP(Ld_cal($B322, $C322, $D322, $G322,$E322, $F322, $H322, X$3)*1.3,0)),"-")</f>
        <v>-</v>
      </c>
      <c r="Y323" s="63" t="str">
        <f>IF($J323=Y$3,IF(Y$3&gt;$I322,"-",ROUNDUP(Ld_cal($B322, $C322, $D322, $G322,$E322, $F322, $H322, Y$3)*1.3,0)),"-")</f>
        <v>-</v>
      </c>
      <c r="Z323" s="63" t="str">
        <f>IF($J323=Z$3,IF(Z$3&gt;$I322,"-",ROUNDUP(Ld_cal($B322, $C322, $D322, $G322,$E322, $F322, $H322, Z$3)*1.3,0)),"-")</f>
        <v>-</v>
      </c>
      <c r="AA323" s="63" t="str">
        <f>IF($J323=AA$3,IF(AA$3&gt;$I322,"-",ROUNDUP(Ld_cal($B322, $C322, $D322, $G322,$E322, $F322, $H322, AA$3)*1.3,0)),"-")</f>
        <v>-</v>
      </c>
      <c r="AB323" s="63" t="str">
        <f>IF($J323=AB$3,IF(AB$3&gt;$I322,"-",ROUNDUP(Ld_cal($B322, $C322, $D322, $G322,$E322, $F322, $H322, AB$3)*1.3,0)),"-")</f>
        <v>-</v>
      </c>
      <c r="AC323" s="63" t="str">
        <f>IF($J323=AC$3,IF(AC$3&gt;$I322,"-",ROUNDUP(Ld_cal($B322, $C322, $D322, $G322,$E322, $F322, $H322, AC$3)*1.3,0)),"-")</f>
        <v>-</v>
      </c>
      <c r="AD323" s="63">
        <f t="shared" ref="AD323" si="315">IF(J323&gt;I322,"依標準圖",MAX(L323:AC323))</f>
        <v>105</v>
      </c>
    </row>
    <row r="324" spans="1:30">
      <c r="A324" s="97" t="s">
        <v>206</v>
      </c>
      <c r="B324" s="99">
        <v>120</v>
      </c>
      <c r="C324" s="100">
        <v>7.5</v>
      </c>
      <c r="D324" s="101">
        <v>4200</v>
      </c>
      <c r="E324" s="102">
        <v>13</v>
      </c>
      <c r="F324" s="103">
        <v>20</v>
      </c>
      <c r="G324" s="101">
        <v>350</v>
      </c>
      <c r="H324" s="102">
        <v>32</v>
      </c>
      <c r="I324" s="104">
        <f>ROUNDDOWN(($B324-2*$C324-2*$E324/10-$H324/10)/(($D$1+1)*$H324/10),0)+1</f>
        <v>16</v>
      </c>
      <c r="J324" s="60">
        <v>5</v>
      </c>
      <c r="K324" s="64" t="s">
        <v>30</v>
      </c>
      <c r="L324" s="61" t="str">
        <f>IF($J324=L$3,IF(L$3&gt;$I324,"-",ROUNDUP(Ld_cal($B324, $C324, $D324, $G324,$E324, $F324, $H324, L$3)*1.3*1.3,0)),"-")</f>
        <v>-</v>
      </c>
      <c r="M324" s="61" t="str">
        <f>IF($J324=M$3,IF(M$3&gt;$I324,"-",ROUNDUP(Ld_cal($B324, $C324, $D324, $G324,$E324, $F324, $H324, M$3)*1.3*1.3,0)),"-")</f>
        <v>-</v>
      </c>
      <c r="N324" s="61">
        <f>IF($J324=N$3,IF(N$3&gt;$I324,"-",ROUNDUP(Ld_cal($B324, $C324, $D324, $G324,$E324, $F324, $H324, N$3)*1.3*1.3,0)),"-")</f>
        <v>136</v>
      </c>
      <c r="O324" s="61" t="str">
        <f>IF($J324=O$3,IF(O$3&gt;$I324,"-",ROUNDUP(Ld_cal($B324, $C324, $D324, $G324,$E324, $F324, $H324, O$3)*1.3*1.3,0)),"-")</f>
        <v>-</v>
      </c>
      <c r="P324" s="61" t="str">
        <f>IF($J324=P$3,IF(P$3&gt;$I324,"-",ROUNDUP(Ld_cal($B324, $C324, $D324, $G324,$E324, $F324, $H324, P$3)*1.3*1.3,0)),"-")</f>
        <v>-</v>
      </c>
      <c r="Q324" s="61" t="str">
        <f>IF($J324=Q$3,IF(Q$3&gt;$I324,"-",ROUNDUP(Ld_cal($B324, $C324, $D324, $G324,$E324, $F324, $H324, Q$3)*1.3*1.3,0)),"-")</f>
        <v>-</v>
      </c>
      <c r="R324" s="61" t="str">
        <f>IF($J324=R$3,IF(R$3&gt;$I324,"-",ROUNDUP(Ld_cal($B324, $C324, $D324, $G324,$E324, $F324, $H324, R$3)*1.3*1.3,0)),"-")</f>
        <v>-</v>
      </c>
      <c r="S324" s="61" t="str">
        <f>IF($J324=S$3,IF(S$3&gt;$I324,"-",ROUNDUP(Ld_cal($B324, $C324, $D324, $G324,$E324, $F324, $H324, S$3)*1.3*1.3,0)),"-")</f>
        <v>-</v>
      </c>
      <c r="T324" s="61" t="str">
        <f>IF($J324=T$3,IF(T$3&gt;$I324,"-",ROUNDUP(Ld_cal($B324, $C324, $D324, $G324,$E324, $F324, $H324, T$3)*1.3*1.3,0)),"-")</f>
        <v>-</v>
      </c>
      <c r="U324" s="61" t="str">
        <f>IF($J324=U$3,IF(U$3&gt;$I324,"-",ROUNDUP(Ld_cal($B324, $C324, $D324, $G324,$E324, $F324, $H324, U$3)*1.3*1.3,0)),"-")</f>
        <v>-</v>
      </c>
      <c r="V324" s="61" t="str">
        <f>IF($J324=V$3,IF(V$3&gt;$I324,"-",ROUNDUP(Ld_cal($B324, $C324, $D324, $G324,$E324, $F324, $H324, V$3)*1.3*1.3,0)),"-")</f>
        <v>-</v>
      </c>
      <c r="W324" s="61" t="str">
        <f>IF($J324=W$3,IF(W$3&gt;$I324,"-",ROUNDUP(Ld_cal($B324, $C324, $D324, $G324,$E324, $F324, $H324, W$3)*1.3*1.3,0)),"-")</f>
        <v>-</v>
      </c>
      <c r="X324" s="61" t="str">
        <f>IF($J324=X$3,IF(X$3&gt;$I324,"-",ROUNDUP(Ld_cal($B324, $C324, $D324, $G324,$E324, $F324, $H324, X$3)*1.3*1.3,0)),"-")</f>
        <v>-</v>
      </c>
      <c r="Y324" s="61" t="str">
        <f>IF($J324=Y$3,IF(Y$3&gt;$I324,"-",ROUNDUP(Ld_cal($B324, $C324, $D324, $G324,$E324, $F324, $H324, Y$3)*1.3*1.3,0)),"-")</f>
        <v>-</v>
      </c>
      <c r="Z324" s="61" t="str">
        <f>IF($J324=Z$3,IF(Z$3&gt;$I324,"-",ROUNDUP(Ld_cal($B324, $C324, $D324, $G324,$E324, $F324, $H324, Z$3)*1.3*1.3,0)),"-")</f>
        <v>-</v>
      </c>
      <c r="AA324" s="61" t="str">
        <f>IF($J324=AA$3,IF(AA$3&gt;$I324,"-",ROUNDUP(Ld_cal($B324, $C324, $D324, $G324,$E324, $F324, $H324, AA$3)*1.3*1.3,0)),"-")</f>
        <v>-</v>
      </c>
      <c r="AB324" s="61" t="str">
        <f>IF($J324=AB$3,IF(AB$3&gt;$I324,"-",ROUNDUP(Ld_cal($B324, $C324, $D324, $G324,$E324, $F324, $H324, AB$3)*1.3*1.3,0)),"-")</f>
        <v>-</v>
      </c>
      <c r="AC324" s="61" t="str">
        <f>IF($J324=AC$3,IF(AC$3&gt;$I324,"-",ROUNDUP(Ld_cal($B324, $C324, $D324, $G324,$E324, $F324, $H324, AC$3)*1.3*1.3,0)),"-")</f>
        <v>-</v>
      </c>
      <c r="AD324" s="61">
        <f t="shared" ref="AD324" si="316">IF(J324&gt;I324,"依標準圖",MAX(L324:AC324))</f>
        <v>136</v>
      </c>
    </row>
    <row r="325" spans="1:30">
      <c r="A325" s="98"/>
      <c r="B325" s="99"/>
      <c r="C325" s="100"/>
      <c r="D325" s="101"/>
      <c r="E325" s="102"/>
      <c r="F325" s="103"/>
      <c r="G325" s="101"/>
      <c r="H325" s="102"/>
      <c r="I325" s="104"/>
      <c r="J325" s="60">
        <v>6</v>
      </c>
      <c r="K325" s="64" t="s">
        <v>29</v>
      </c>
      <c r="L325" s="61" t="str">
        <f>IF($J325=L$3,IF(L$3&gt;$I324,"-",ROUNDUP(Ld_cal($B324, $C324, $D324, $G324,$E324, $F324, $H324, L$3)*1.3,0)),"-")</f>
        <v>-</v>
      </c>
      <c r="M325" s="61" t="str">
        <f>IF($J325=M$3,IF(M$3&gt;$I324,"-",ROUNDUP(Ld_cal($B324, $C324, $D324, $G324,$E324, $F324, $H324, M$3)*1.3,0)),"-")</f>
        <v>-</v>
      </c>
      <c r="N325" s="61" t="str">
        <f>IF($J325=N$3,IF(N$3&gt;$I324,"-",ROUNDUP(Ld_cal($B324, $C324, $D324, $G324,$E324, $F324, $H324, N$3)*1.3,0)),"-")</f>
        <v>-</v>
      </c>
      <c r="O325" s="61">
        <f>IF($J325=O$3,IF(O$3&gt;$I324,"-",ROUNDUP(Ld_cal($B324, $C324, $D324, $G324,$E324, $F324, $H324, O$3)*1.3,0)),"-")</f>
        <v>105</v>
      </c>
      <c r="P325" s="61" t="str">
        <f>IF($J325=P$3,IF(P$3&gt;$I324,"-",ROUNDUP(Ld_cal($B324, $C324, $D324, $G324,$E324, $F324, $H324, P$3)*1.3,0)),"-")</f>
        <v>-</v>
      </c>
      <c r="Q325" s="61" t="str">
        <f>IF($J325=Q$3,IF(Q$3&gt;$I324,"-",ROUNDUP(Ld_cal($B324, $C324, $D324, $G324,$E324, $F324, $H324, Q$3)*1.3,0)),"-")</f>
        <v>-</v>
      </c>
      <c r="R325" s="61" t="str">
        <f>IF($J325=R$3,IF(R$3&gt;$I324,"-",ROUNDUP(Ld_cal($B324, $C324, $D324, $G324,$E324, $F324, $H324, R$3)*1.3,0)),"-")</f>
        <v>-</v>
      </c>
      <c r="S325" s="61" t="str">
        <f>IF($J325=S$3,IF(S$3&gt;$I324,"-",ROUNDUP(Ld_cal($B324, $C324, $D324, $G324,$E324, $F324, $H324, S$3)*1.3,0)),"-")</f>
        <v>-</v>
      </c>
      <c r="T325" s="61" t="str">
        <f>IF($J325=T$3,IF(T$3&gt;$I324,"-",ROUNDUP(Ld_cal($B324, $C324, $D324, $G324,$E324, $F324, $H324, T$3)*1.3,0)),"-")</f>
        <v>-</v>
      </c>
      <c r="U325" s="61" t="str">
        <f>IF($J325=U$3,IF(U$3&gt;$I324,"-",ROUNDUP(Ld_cal($B324, $C324, $D324, $G324,$E324, $F324, $H324, U$3)*1.3,0)),"-")</f>
        <v>-</v>
      </c>
      <c r="V325" s="61" t="str">
        <f>IF($J325=V$3,IF(V$3&gt;$I324,"-",ROUNDUP(Ld_cal($B324, $C324, $D324, $G324,$E324, $F324, $H324, V$3)*1.3,0)),"-")</f>
        <v>-</v>
      </c>
      <c r="W325" s="61" t="str">
        <f>IF($J325=W$3,IF(W$3&gt;$I324,"-",ROUNDUP(Ld_cal($B324, $C324, $D324, $G324,$E324, $F324, $H324, W$3)*1.3,0)),"-")</f>
        <v>-</v>
      </c>
      <c r="X325" s="61" t="str">
        <f>IF($J325=X$3,IF(X$3&gt;$I324,"-",ROUNDUP(Ld_cal($B324, $C324, $D324, $G324,$E324, $F324, $H324, X$3)*1.3,0)),"-")</f>
        <v>-</v>
      </c>
      <c r="Y325" s="61" t="str">
        <f>IF($J325=Y$3,IF(Y$3&gt;$I324,"-",ROUNDUP(Ld_cal($B324, $C324, $D324, $G324,$E324, $F324, $H324, Y$3)*1.3,0)),"-")</f>
        <v>-</v>
      </c>
      <c r="Z325" s="61" t="str">
        <f>IF($J325=Z$3,IF(Z$3&gt;$I324,"-",ROUNDUP(Ld_cal($B324, $C324, $D324, $G324,$E324, $F324, $H324, Z$3)*1.3,0)),"-")</f>
        <v>-</v>
      </c>
      <c r="AA325" s="61" t="str">
        <f>IF($J325=AA$3,IF(AA$3&gt;$I324,"-",ROUNDUP(Ld_cal($B324, $C324, $D324, $G324,$E324, $F324, $H324, AA$3)*1.3,0)),"-")</f>
        <v>-</v>
      </c>
      <c r="AB325" s="61" t="str">
        <f>IF($J325=AB$3,IF(AB$3&gt;$I324,"-",ROUNDUP(Ld_cal($B324, $C324, $D324, $G324,$E324, $F324, $H324, AB$3)*1.3,0)),"-")</f>
        <v>-</v>
      </c>
      <c r="AC325" s="61" t="str">
        <f>IF($J325=AC$3,IF(AC$3&gt;$I324,"-",ROUNDUP(Ld_cal($B324, $C324, $D324, $G324,$E324, $F324, $H324, AC$3)*1.3,0)),"-")</f>
        <v>-</v>
      </c>
      <c r="AD325" s="61">
        <f t="shared" ref="AD325" si="317">IF(J325&gt;I324,"依標準圖",MAX(L325:AC325))</f>
        <v>105</v>
      </c>
    </row>
    <row r="326" spans="1:30">
      <c r="A326" s="105" t="s">
        <v>207</v>
      </c>
      <c r="B326" s="107">
        <v>120</v>
      </c>
      <c r="C326" s="108">
        <v>7.5</v>
      </c>
      <c r="D326" s="107">
        <v>4200</v>
      </c>
      <c r="E326" s="109">
        <v>13</v>
      </c>
      <c r="F326" s="110">
        <v>18</v>
      </c>
      <c r="G326" s="107">
        <v>350</v>
      </c>
      <c r="H326" s="109">
        <v>32</v>
      </c>
      <c r="I326" s="111">
        <f>ROUNDDOWN(($B326-2*$C326-2*$E326/10-$H326/10)/(($D$1+1)*$H326/10),0)+1</f>
        <v>16</v>
      </c>
      <c r="J326" s="62">
        <v>11</v>
      </c>
      <c r="K326" s="40" t="s">
        <v>30</v>
      </c>
      <c r="L326" s="63" t="str">
        <f>IF($J326=L$3,IF(L$3&gt;$I326,"-",ROUNDUP(Ld_cal($B326, $C326, $D326, $G326,$E326, $F326, $H326, L$3)*1.3*1.3,0)),"-")</f>
        <v>-</v>
      </c>
      <c r="M326" s="63" t="str">
        <f>IF($J326=M$3,IF(M$3&gt;$I326,"-",ROUNDUP(Ld_cal($B326, $C326, $D326, $G326,$E326, $F326, $H326, M$3)*1.3*1.3,0)),"-")</f>
        <v>-</v>
      </c>
      <c r="N326" s="63" t="str">
        <f>IF($J326=N$3,IF(N$3&gt;$I326,"-",ROUNDUP(Ld_cal($B326, $C326, $D326, $G326,$E326, $F326, $H326, N$3)*1.3*1.3,0)),"-")</f>
        <v>-</v>
      </c>
      <c r="O326" s="63" t="str">
        <f>IF($J326=O$3,IF(O$3&gt;$I326,"-",ROUNDUP(Ld_cal($B326, $C326, $D326, $G326,$E326, $F326, $H326, O$3)*1.3*1.3,0)),"-")</f>
        <v>-</v>
      </c>
      <c r="P326" s="63" t="str">
        <f>IF($J326=P$3,IF(P$3&gt;$I326,"-",ROUNDUP(Ld_cal($B326, $C326, $D326, $G326,$E326, $F326, $H326, P$3)*1.3*1.3,0)),"-")</f>
        <v>-</v>
      </c>
      <c r="Q326" s="63" t="str">
        <f>IF($J326=Q$3,IF(Q$3&gt;$I326,"-",ROUNDUP(Ld_cal($B326, $C326, $D326, $G326,$E326, $F326, $H326, Q$3)*1.3*1.3,0)),"-")</f>
        <v>-</v>
      </c>
      <c r="R326" s="63" t="str">
        <f>IF($J326=R$3,IF(R$3&gt;$I326,"-",ROUNDUP(Ld_cal($B326, $C326, $D326, $G326,$E326, $F326, $H326, R$3)*1.3*1.3,0)),"-")</f>
        <v>-</v>
      </c>
      <c r="S326" s="63" t="str">
        <f>IF($J326=S$3,IF(S$3&gt;$I326,"-",ROUNDUP(Ld_cal($B326, $C326, $D326, $G326,$E326, $F326, $H326, S$3)*1.3*1.3,0)),"-")</f>
        <v>-</v>
      </c>
      <c r="T326" s="63">
        <f>IF($J326=T$3,IF(T$3&gt;$I326,"-",ROUNDUP(Ld_cal($B326, $C326, $D326, $G326,$E326, $F326, $H326, T$3)*1.3*1.3,0)),"-")</f>
        <v>198</v>
      </c>
      <c r="U326" s="63" t="str">
        <f>IF($J326=U$3,IF(U$3&gt;$I326,"-",ROUNDUP(Ld_cal($B326, $C326, $D326, $G326,$E326, $F326, $H326, U$3)*1.3*1.3,0)),"-")</f>
        <v>-</v>
      </c>
      <c r="V326" s="63" t="str">
        <f>IF($J326=V$3,IF(V$3&gt;$I326,"-",ROUNDUP(Ld_cal($B326, $C326, $D326, $G326,$E326, $F326, $H326, V$3)*1.3*1.3,0)),"-")</f>
        <v>-</v>
      </c>
      <c r="W326" s="63" t="str">
        <f>IF($J326=W$3,IF(W$3&gt;$I326,"-",ROUNDUP(Ld_cal($B326, $C326, $D326, $G326,$E326, $F326, $H326, W$3)*1.3*1.3,0)),"-")</f>
        <v>-</v>
      </c>
      <c r="X326" s="63" t="str">
        <f>IF($J326=X$3,IF(X$3&gt;$I326,"-",ROUNDUP(Ld_cal($B326, $C326, $D326, $G326,$E326, $F326, $H326, X$3)*1.3*1.3,0)),"-")</f>
        <v>-</v>
      </c>
      <c r="Y326" s="63" t="str">
        <f>IF($J326=Y$3,IF(Y$3&gt;$I326,"-",ROUNDUP(Ld_cal($B326, $C326, $D326, $G326,$E326, $F326, $H326, Y$3)*1.3*1.3,0)),"-")</f>
        <v>-</v>
      </c>
      <c r="Z326" s="63" t="str">
        <f>IF($J326=Z$3,IF(Z$3&gt;$I326,"-",ROUNDUP(Ld_cal($B326, $C326, $D326, $G326,$E326, $F326, $H326, Z$3)*1.3*1.3,0)),"-")</f>
        <v>-</v>
      </c>
      <c r="AA326" s="63" t="str">
        <f>IF($J326=AA$3,IF(AA$3&gt;$I326,"-",ROUNDUP(Ld_cal($B326, $C326, $D326, $G326,$E326, $F326, $H326, AA$3)*1.3*1.3,0)),"-")</f>
        <v>-</v>
      </c>
      <c r="AB326" s="63" t="str">
        <f>IF($J326=AB$3,IF(AB$3&gt;$I326,"-",ROUNDUP(Ld_cal($B326, $C326, $D326, $G326,$E326, $F326, $H326, AB$3)*1.3*1.3,0)),"-")</f>
        <v>-</v>
      </c>
      <c r="AC326" s="63" t="str">
        <f>IF($J326=AC$3,IF(AC$3&gt;$I326,"-",ROUNDUP(Ld_cal($B326, $C326, $D326, $G326,$E326, $F326, $H326, AC$3)*1.3*1.3,0)),"-")</f>
        <v>-</v>
      </c>
      <c r="AD326" s="63">
        <f t="shared" ref="AD326" si="318">IF(J326&gt;I326,"依標準圖",MAX(L326:AC326))</f>
        <v>198</v>
      </c>
    </row>
    <row r="327" spans="1:30">
      <c r="A327" s="106"/>
      <c r="B327" s="107"/>
      <c r="C327" s="108"/>
      <c r="D327" s="107"/>
      <c r="E327" s="109"/>
      <c r="F327" s="110"/>
      <c r="G327" s="107"/>
      <c r="H327" s="109"/>
      <c r="I327" s="111"/>
      <c r="J327" s="62">
        <v>6</v>
      </c>
      <c r="K327" s="40" t="s">
        <v>29</v>
      </c>
      <c r="L327" s="63" t="str">
        <f>IF($J327=L$3,IF(L$3&gt;$I326,"-",ROUNDUP(Ld_cal($B326, $C326, $D326, $G326,$E326, $F326, $H326, L$3)*1.3,0)),"-")</f>
        <v>-</v>
      </c>
      <c r="M327" s="63" t="str">
        <f>IF($J327=M$3,IF(M$3&gt;$I326,"-",ROUNDUP(Ld_cal($B326, $C326, $D326, $G326,$E326, $F326, $H326, M$3)*1.3,0)),"-")</f>
        <v>-</v>
      </c>
      <c r="N327" s="63" t="str">
        <f>IF($J327=N$3,IF(N$3&gt;$I326,"-",ROUNDUP(Ld_cal($B326, $C326, $D326, $G326,$E326, $F326, $H326, N$3)*1.3,0)),"-")</f>
        <v>-</v>
      </c>
      <c r="O327" s="63">
        <f>IF($J327=O$3,IF(O$3&gt;$I326,"-",ROUNDUP(Ld_cal($B326, $C326, $D326, $G326,$E326, $F326, $H326, O$3)*1.3,0)),"-")</f>
        <v>105</v>
      </c>
      <c r="P327" s="63" t="str">
        <f>IF($J327=P$3,IF(P$3&gt;$I326,"-",ROUNDUP(Ld_cal($B326, $C326, $D326, $G326,$E326, $F326, $H326, P$3)*1.3,0)),"-")</f>
        <v>-</v>
      </c>
      <c r="Q327" s="63" t="str">
        <f>IF($J327=Q$3,IF(Q$3&gt;$I326,"-",ROUNDUP(Ld_cal($B326, $C326, $D326, $G326,$E326, $F326, $H326, Q$3)*1.3,0)),"-")</f>
        <v>-</v>
      </c>
      <c r="R327" s="63" t="str">
        <f>IF($J327=R$3,IF(R$3&gt;$I326,"-",ROUNDUP(Ld_cal($B326, $C326, $D326, $G326,$E326, $F326, $H326, R$3)*1.3,0)),"-")</f>
        <v>-</v>
      </c>
      <c r="S327" s="63" t="str">
        <f>IF($J327=S$3,IF(S$3&gt;$I326,"-",ROUNDUP(Ld_cal($B326, $C326, $D326, $G326,$E326, $F326, $H326, S$3)*1.3,0)),"-")</f>
        <v>-</v>
      </c>
      <c r="T327" s="63" t="str">
        <f>IF($J327=T$3,IF(T$3&gt;$I326,"-",ROUNDUP(Ld_cal($B326, $C326, $D326, $G326,$E326, $F326, $H326, T$3)*1.3,0)),"-")</f>
        <v>-</v>
      </c>
      <c r="U327" s="63" t="str">
        <f>IF($J327=U$3,IF(U$3&gt;$I326,"-",ROUNDUP(Ld_cal($B326, $C326, $D326, $G326,$E326, $F326, $H326, U$3)*1.3,0)),"-")</f>
        <v>-</v>
      </c>
      <c r="V327" s="63" t="str">
        <f>IF($J327=V$3,IF(V$3&gt;$I326,"-",ROUNDUP(Ld_cal($B326, $C326, $D326, $G326,$E326, $F326, $H326, V$3)*1.3,0)),"-")</f>
        <v>-</v>
      </c>
      <c r="W327" s="63" t="str">
        <f>IF($J327=W$3,IF(W$3&gt;$I326,"-",ROUNDUP(Ld_cal($B326, $C326, $D326, $G326,$E326, $F326, $H326, W$3)*1.3,0)),"-")</f>
        <v>-</v>
      </c>
      <c r="X327" s="63" t="str">
        <f>IF($J327=X$3,IF(X$3&gt;$I326,"-",ROUNDUP(Ld_cal($B326, $C326, $D326, $G326,$E326, $F326, $H326, X$3)*1.3,0)),"-")</f>
        <v>-</v>
      </c>
      <c r="Y327" s="63" t="str">
        <f>IF($J327=Y$3,IF(Y$3&gt;$I326,"-",ROUNDUP(Ld_cal($B326, $C326, $D326, $G326,$E326, $F326, $H326, Y$3)*1.3,0)),"-")</f>
        <v>-</v>
      </c>
      <c r="Z327" s="63" t="str">
        <f>IF($J327=Z$3,IF(Z$3&gt;$I326,"-",ROUNDUP(Ld_cal($B326, $C326, $D326, $G326,$E326, $F326, $H326, Z$3)*1.3,0)),"-")</f>
        <v>-</v>
      </c>
      <c r="AA327" s="63" t="str">
        <f>IF($J327=AA$3,IF(AA$3&gt;$I326,"-",ROUNDUP(Ld_cal($B326, $C326, $D326, $G326,$E326, $F326, $H326, AA$3)*1.3,0)),"-")</f>
        <v>-</v>
      </c>
      <c r="AB327" s="63" t="str">
        <f>IF($J327=AB$3,IF(AB$3&gt;$I326,"-",ROUNDUP(Ld_cal($B326, $C326, $D326, $G326,$E326, $F326, $H326, AB$3)*1.3,0)),"-")</f>
        <v>-</v>
      </c>
      <c r="AC327" s="63" t="str">
        <f>IF($J327=AC$3,IF(AC$3&gt;$I326,"-",ROUNDUP(Ld_cal($B326, $C326, $D326, $G326,$E326, $F326, $H326, AC$3)*1.3,0)),"-")</f>
        <v>-</v>
      </c>
      <c r="AD327" s="63">
        <f t="shared" ref="AD327" si="319">IF(J327&gt;I326,"依標準圖",MAX(L327:AC327))</f>
        <v>105</v>
      </c>
    </row>
    <row r="328" spans="1:30">
      <c r="A328" s="97" t="s">
        <v>208</v>
      </c>
      <c r="B328" s="99">
        <v>120</v>
      </c>
      <c r="C328" s="100">
        <v>7.5</v>
      </c>
      <c r="D328" s="101">
        <v>4200</v>
      </c>
      <c r="E328" s="102">
        <v>13</v>
      </c>
      <c r="F328" s="103">
        <v>20</v>
      </c>
      <c r="G328" s="101">
        <v>350</v>
      </c>
      <c r="H328" s="102">
        <v>32</v>
      </c>
      <c r="I328" s="104">
        <f>ROUNDDOWN(($B328-2*$C328-2*$E328/10-$H328/10)/(($D$1+1)*$H328/10),0)+1</f>
        <v>16</v>
      </c>
      <c r="J328" s="60">
        <v>5</v>
      </c>
      <c r="K328" s="64" t="s">
        <v>30</v>
      </c>
      <c r="L328" s="61" t="str">
        <f>IF($J328=L$3,IF(L$3&gt;$I328,"-",ROUNDUP(Ld_cal($B328, $C328, $D328, $G328,$E328, $F328, $H328, L$3)*1.3*1.3,0)),"-")</f>
        <v>-</v>
      </c>
      <c r="M328" s="61" t="str">
        <f>IF($J328=M$3,IF(M$3&gt;$I328,"-",ROUNDUP(Ld_cal($B328, $C328, $D328, $G328,$E328, $F328, $H328, M$3)*1.3*1.3,0)),"-")</f>
        <v>-</v>
      </c>
      <c r="N328" s="61">
        <f>IF($J328=N$3,IF(N$3&gt;$I328,"-",ROUNDUP(Ld_cal($B328, $C328, $D328, $G328,$E328, $F328, $H328, N$3)*1.3*1.3,0)),"-")</f>
        <v>136</v>
      </c>
      <c r="O328" s="61" t="str">
        <f>IF($J328=O$3,IF(O$3&gt;$I328,"-",ROUNDUP(Ld_cal($B328, $C328, $D328, $G328,$E328, $F328, $H328, O$3)*1.3*1.3,0)),"-")</f>
        <v>-</v>
      </c>
      <c r="P328" s="61" t="str">
        <f>IF($J328=P$3,IF(P$3&gt;$I328,"-",ROUNDUP(Ld_cal($B328, $C328, $D328, $G328,$E328, $F328, $H328, P$3)*1.3*1.3,0)),"-")</f>
        <v>-</v>
      </c>
      <c r="Q328" s="61" t="str">
        <f>IF($J328=Q$3,IF(Q$3&gt;$I328,"-",ROUNDUP(Ld_cal($B328, $C328, $D328, $G328,$E328, $F328, $H328, Q$3)*1.3*1.3,0)),"-")</f>
        <v>-</v>
      </c>
      <c r="R328" s="61" t="str">
        <f>IF($J328=R$3,IF(R$3&gt;$I328,"-",ROUNDUP(Ld_cal($B328, $C328, $D328, $G328,$E328, $F328, $H328, R$3)*1.3*1.3,0)),"-")</f>
        <v>-</v>
      </c>
      <c r="S328" s="61" t="str">
        <f>IF($J328=S$3,IF(S$3&gt;$I328,"-",ROUNDUP(Ld_cal($B328, $C328, $D328, $G328,$E328, $F328, $H328, S$3)*1.3*1.3,0)),"-")</f>
        <v>-</v>
      </c>
      <c r="T328" s="61" t="str">
        <f>IF($J328=T$3,IF(T$3&gt;$I328,"-",ROUNDUP(Ld_cal($B328, $C328, $D328, $G328,$E328, $F328, $H328, T$3)*1.3*1.3,0)),"-")</f>
        <v>-</v>
      </c>
      <c r="U328" s="61" t="str">
        <f>IF($J328=U$3,IF(U$3&gt;$I328,"-",ROUNDUP(Ld_cal($B328, $C328, $D328, $G328,$E328, $F328, $H328, U$3)*1.3*1.3,0)),"-")</f>
        <v>-</v>
      </c>
      <c r="V328" s="61" t="str">
        <f>IF($J328=V$3,IF(V$3&gt;$I328,"-",ROUNDUP(Ld_cal($B328, $C328, $D328, $G328,$E328, $F328, $H328, V$3)*1.3*1.3,0)),"-")</f>
        <v>-</v>
      </c>
      <c r="W328" s="61" t="str">
        <f>IF($J328=W$3,IF(W$3&gt;$I328,"-",ROUNDUP(Ld_cal($B328, $C328, $D328, $G328,$E328, $F328, $H328, W$3)*1.3*1.3,0)),"-")</f>
        <v>-</v>
      </c>
      <c r="X328" s="61" t="str">
        <f>IF($J328=X$3,IF(X$3&gt;$I328,"-",ROUNDUP(Ld_cal($B328, $C328, $D328, $G328,$E328, $F328, $H328, X$3)*1.3*1.3,0)),"-")</f>
        <v>-</v>
      </c>
      <c r="Y328" s="61" t="str">
        <f>IF($J328=Y$3,IF(Y$3&gt;$I328,"-",ROUNDUP(Ld_cal($B328, $C328, $D328, $G328,$E328, $F328, $H328, Y$3)*1.3*1.3,0)),"-")</f>
        <v>-</v>
      </c>
      <c r="Z328" s="61" t="str">
        <f>IF($J328=Z$3,IF(Z$3&gt;$I328,"-",ROUNDUP(Ld_cal($B328, $C328, $D328, $G328,$E328, $F328, $H328, Z$3)*1.3*1.3,0)),"-")</f>
        <v>-</v>
      </c>
      <c r="AA328" s="61" t="str">
        <f>IF($J328=AA$3,IF(AA$3&gt;$I328,"-",ROUNDUP(Ld_cal($B328, $C328, $D328, $G328,$E328, $F328, $H328, AA$3)*1.3*1.3,0)),"-")</f>
        <v>-</v>
      </c>
      <c r="AB328" s="61" t="str">
        <f>IF($J328=AB$3,IF(AB$3&gt;$I328,"-",ROUNDUP(Ld_cal($B328, $C328, $D328, $G328,$E328, $F328, $H328, AB$3)*1.3*1.3,0)),"-")</f>
        <v>-</v>
      </c>
      <c r="AC328" s="61" t="str">
        <f>IF($J328=AC$3,IF(AC$3&gt;$I328,"-",ROUNDUP(Ld_cal($B328, $C328, $D328, $G328,$E328, $F328, $H328, AC$3)*1.3*1.3,0)),"-")</f>
        <v>-</v>
      </c>
      <c r="AD328" s="61">
        <f t="shared" ref="AD328" si="320">IF(J328&gt;I328,"依標準圖",MAX(L328:AC328))</f>
        <v>136</v>
      </c>
    </row>
    <row r="329" spans="1:30">
      <c r="A329" s="98"/>
      <c r="B329" s="99"/>
      <c r="C329" s="100"/>
      <c r="D329" s="101"/>
      <c r="E329" s="102"/>
      <c r="F329" s="103"/>
      <c r="G329" s="101"/>
      <c r="H329" s="102"/>
      <c r="I329" s="104"/>
      <c r="J329" s="60">
        <v>9</v>
      </c>
      <c r="K329" s="64" t="s">
        <v>29</v>
      </c>
      <c r="L329" s="61" t="str">
        <f>IF($J329=L$3,IF(L$3&gt;$I328,"-",ROUNDUP(Ld_cal($B328, $C328, $D328, $G328,$E328, $F328, $H328, L$3)*1.3,0)),"-")</f>
        <v>-</v>
      </c>
      <c r="M329" s="61" t="str">
        <f>IF($J329=M$3,IF(M$3&gt;$I328,"-",ROUNDUP(Ld_cal($B328, $C328, $D328, $G328,$E328, $F328, $H328, M$3)*1.3,0)),"-")</f>
        <v>-</v>
      </c>
      <c r="N329" s="61" t="str">
        <f>IF($J329=N$3,IF(N$3&gt;$I328,"-",ROUNDUP(Ld_cal($B328, $C328, $D328, $G328,$E328, $F328, $H328, N$3)*1.3,0)),"-")</f>
        <v>-</v>
      </c>
      <c r="O329" s="61" t="str">
        <f>IF($J329=O$3,IF(O$3&gt;$I328,"-",ROUNDUP(Ld_cal($B328, $C328, $D328, $G328,$E328, $F328, $H328, O$3)*1.3,0)),"-")</f>
        <v>-</v>
      </c>
      <c r="P329" s="61" t="str">
        <f>IF($J329=P$3,IF(P$3&gt;$I328,"-",ROUNDUP(Ld_cal($B328, $C328, $D328, $G328,$E328, $F328, $H328, P$3)*1.3,0)),"-")</f>
        <v>-</v>
      </c>
      <c r="Q329" s="61" t="str">
        <f>IF($J329=Q$3,IF(Q$3&gt;$I328,"-",ROUNDUP(Ld_cal($B328, $C328, $D328, $G328,$E328, $F328, $H328, Q$3)*1.3,0)),"-")</f>
        <v>-</v>
      </c>
      <c r="R329" s="61">
        <f>IF($J329=R$3,IF(R$3&gt;$I328,"-",ROUNDUP(Ld_cal($B328, $C328, $D328, $G328,$E328, $F328, $H328, R$3)*1.3,0)),"-")</f>
        <v>124</v>
      </c>
      <c r="S329" s="61" t="str">
        <f>IF($J329=S$3,IF(S$3&gt;$I328,"-",ROUNDUP(Ld_cal($B328, $C328, $D328, $G328,$E328, $F328, $H328, S$3)*1.3,0)),"-")</f>
        <v>-</v>
      </c>
      <c r="T329" s="61" t="str">
        <f>IF($J329=T$3,IF(T$3&gt;$I328,"-",ROUNDUP(Ld_cal($B328, $C328, $D328, $G328,$E328, $F328, $H328, T$3)*1.3,0)),"-")</f>
        <v>-</v>
      </c>
      <c r="U329" s="61" t="str">
        <f>IF($J329=U$3,IF(U$3&gt;$I328,"-",ROUNDUP(Ld_cal($B328, $C328, $D328, $G328,$E328, $F328, $H328, U$3)*1.3,0)),"-")</f>
        <v>-</v>
      </c>
      <c r="V329" s="61" t="str">
        <f>IF($J329=V$3,IF(V$3&gt;$I328,"-",ROUNDUP(Ld_cal($B328, $C328, $D328, $G328,$E328, $F328, $H328, V$3)*1.3,0)),"-")</f>
        <v>-</v>
      </c>
      <c r="W329" s="61" t="str">
        <f>IF($J329=W$3,IF(W$3&gt;$I328,"-",ROUNDUP(Ld_cal($B328, $C328, $D328, $G328,$E328, $F328, $H328, W$3)*1.3,0)),"-")</f>
        <v>-</v>
      </c>
      <c r="X329" s="61" t="str">
        <f>IF($J329=X$3,IF(X$3&gt;$I328,"-",ROUNDUP(Ld_cal($B328, $C328, $D328, $G328,$E328, $F328, $H328, X$3)*1.3,0)),"-")</f>
        <v>-</v>
      </c>
      <c r="Y329" s="61" t="str">
        <f>IF($J329=Y$3,IF(Y$3&gt;$I328,"-",ROUNDUP(Ld_cal($B328, $C328, $D328, $G328,$E328, $F328, $H328, Y$3)*1.3,0)),"-")</f>
        <v>-</v>
      </c>
      <c r="Z329" s="61" t="str">
        <f>IF($J329=Z$3,IF(Z$3&gt;$I328,"-",ROUNDUP(Ld_cal($B328, $C328, $D328, $G328,$E328, $F328, $H328, Z$3)*1.3,0)),"-")</f>
        <v>-</v>
      </c>
      <c r="AA329" s="61" t="str">
        <f>IF($J329=AA$3,IF(AA$3&gt;$I328,"-",ROUNDUP(Ld_cal($B328, $C328, $D328, $G328,$E328, $F328, $H328, AA$3)*1.3,0)),"-")</f>
        <v>-</v>
      </c>
      <c r="AB329" s="61" t="str">
        <f>IF($J329=AB$3,IF(AB$3&gt;$I328,"-",ROUNDUP(Ld_cal($B328, $C328, $D328, $G328,$E328, $F328, $H328, AB$3)*1.3,0)),"-")</f>
        <v>-</v>
      </c>
      <c r="AC329" s="61" t="str">
        <f>IF($J329=AC$3,IF(AC$3&gt;$I328,"-",ROUNDUP(Ld_cal($B328, $C328, $D328, $G328,$E328, $F328, $H328, AC$3)*1.3,0)),"-")</f>
        <v>-</v>
      </c>
      <c r="AD329" s="61">
        <f t="shared" ref="AD329" si="321">IF(J329&gt;I328,"依標準圖",MAX(L329:AC329))</f>
        <v>124</v>
      </c>
    </row>
    <row r="330" spans="1:30">
      <c r="A330" s="105" t="s">
        <v>209</v>
      </c>
      <c r="B330" s="107">
        <v>120</v>
      </c>
      <c r="C330" s="108">
        <v>7.5</v>
      </c>
      <c r="D330" s="107">
        <v>4200</v>
      </c>
      <c r="E330" s="109">
        <v>13</v>
      </c>
      <c r="F330" s="110">
        <v>25</v>
      </c>
      <c r="G330" s="107">
        <v>350</v>
      </c>
      <c r="H330" s="109">
        <v>32</v>
      </c>
      <c r="I330" s="111">
        <f>ROUNDDOWN(($B330-2*$C330-2*$E330/10-$H330/10)/(($D$1+1)*$H330/10),0)+1</f>
        <v>16</v>
      </c>
      <c r="J330" s="62">
        <v>11</v>
      </c>
      <c r="K330" s="40" t="s">
        <v>30</v>
      </c>
      <c r="L330" s="63" t="str">
        <f>IF($J330=L$3,IF(L$3&gt;$I330,"-",ROUNDUP(Ld_cal($B330, $C330, $D330, $G330,$E330, $F330, $H330, L$3)*1.3*1.3,0)),"-")</f>
        <v>-</v>
      </c>
      <c r="M330" s="63" t="str">
        <f>IF($J330=M$3,IF(M$3&gt;$I330,"-",ROUNDUP(Ld_cal($B330, $C330, $D330, $G330,$E330, $F330, $H330, M$3)*1.3*1.3,0)),"-")</f>
        <v>-</v>
      </c>
      <c r="N330" s="63" t="str">
        <f>IF($J330=N$3,IF(N$3&gt;$I330,"-",ROUNDUP(Ld_cal($B330, $C330, $D330, $G330,$E330, $F330, $H330, N$3)*1.3*1.3,0)),"-")</f>
        <v>-</v>
      </c>
      <c r="O330" s="63" t="str">
        <f>IF($J330=O$3,IF(O$3&gt;$I330,"-",ROUNDUP(Ld_cal($B330, $C330, $D330, $G330,$E330, $F330, $H330, O$3)*1.3*1.3,0)),"-")</f>
        <v>-</v>
      </c>
      <c r="P330" s="63" t="str">
        <f>IF($J330=P$3,IF(P$3&gt;$I330,"-",ROUNDUP(Ld_cal($B330, $C330, $D330, $G330,$E330, $F330, $H330, P$3)*1.3*1.3,0)),"-")</f>
        <v>-</v>
      </c>
      <c r="Q330" s="63" t="str">
        <f>IF($J330=Q$3,IF(Q$3&gt;$I330,"-",ROUNDUP(Ld_cal($B330, $C330, $D330, $G330,$E330, $F330, $H330, Q$3)*1.3*1.3,0)),"-")</f>
        <v>-</v>
      </c>
      <c r="R330" s="63" t="str">
        <f>IF($J330=R$3,IF(R$3&gt;$I330,"-",ROUNDUP(Ld_cal($B330, $C330, $D330, $G330,$E330, $F330, $H330, R$3)*1.3*1.3,0)),"-")</f>
        <v>-</v>
      </c>
      <c r="S330" s="63" t="str">
        <f>IF($J330=S$3,IF(S$3&gt;$I330,"-",ROUNDUP(Ld_cal($B330, $C330, $D330, $G330,$E330, $F330, $H330, S$3)*1.3*1.3,0)),"-")</f>
        <v>-</v>
      </c>
      <c r="T330" s="63">
        <f>IF($J330=T$3,IF(T$3&gt;$I330,"-",ROUNDUP(Ld_cal($B330, $C330, $D330, $G330,$E330, $F330, $H330, T$3)*1.3*1.3,0)),"-")</f>
        <v>204</v>
      </c>
      <c r="U330" s="63" t="str">
        <f>IF($J330=U$3,IF(U$3&gt;$I330,"-",ROUNDUP(Ld_cal($B330, $C330, $D330, $G330,$E330, $F330, $H330, U$3)*1.3*1.3,0)),"-")</f>
        <v>-</v>
      </c>
      <c r="V330" s="63" t="str">
        <f>IF($J330=V$3,IF(V$3&gt;$I330,"-",ROUNDUP(Ld_cal($B330, $C330, $D330, $G330,$E330, $F330, $H330, V$3)*1.3*1.3,0)),"-")</f>
        <v>-</v>
      </c>
      <c r="W330" s="63" t="str">
        <f>IF($J330=W$3,IF(W$3&gt;$I330,"-",ROUNDUP(Ld_cal($B330, $C330, $D330, $G330,$E330, $F330, $H330, W$3)*1.3*1.3,0)),"-")</f>
        <v>-</v>
      </c>
      <c r="X330" s="63" t="str">
        <f>IF($J330=X$3,IF(X$3&gt;$I330,"-",ROUNDUP(Ld_cal($B330, $C330, $D330, $G330,$E330, $F330, $H330, X$3)*1.3*1.3,0)),"-")</f>
        <v>-</v>
      </c>
      <c r="Y330" s="63" t="str">
        <f>IF($J330=Y$3,IF(Y$3&gt;$I330,"-",ROUNDUP(Ld_cal($B330, $C330, $D330, $G330,$E330, $F330, $H330, Y$3)*1.3*1.3,0)),"-")</f>
        <v>-</v>
      </c>
      <c r="Z330" s="63" t="str">
        <f>IF($J330=Z$3,IF(Z$3&gt;$I330,"-",ROUNDUP(Ld_cal($B330, $C330, $D330, $G330,$E330, $F330, $H330, Z$3)*1.3*1.3,0)),"-")</f>
        <v>-</v>
      </c>
      <c r="AA330" s="63" t="str">
        <f>IF($J330=AA$3,IF(AA$3&gt;$I330,"-",ROUNDUP(Ld_cal($B330, $C330, $D330, $G330,$E330, $F330, $H330, AA$3)*1.3*1.3,0)),"-")</f>
        <v>-</v>
      </c>
      <c r="AB330" s="63" t="str">
        <f>IF($J330=AB$3,IF(AB$3&gt;$I330,"-",ROUNDUP(Ld_cal($B330, $C330, $D330, $G330,$E330, $F330, $H330, AB$3)*1.3*1.3,0)),"-")</f>
        <v>-</v>
      </c>
      <c r="AC330" s="63" t="str">
        <f>IF($J330=AC$3,IF(AC$3&gt;$I330,"-",ROUNDUP(Ld_cal($B330, $C330, $D330, $G330,$E330, $F330, $H330, AC$3)*1.3*1.3,0)),"-")</f>
        <v>-</v>
      </c>
      <c r="AD330" s="63">
        <f t="shared" ref="AD330" si="322">IF(J330&gt;I330,"依標準圖",MAX(L330:AC330))</f>
        <v>204</v>
      </c>
    </row>
    <row r="331" spans="1:30">
      <c r="A331" s="106"/>
      <c r="B331" s="107"/>
      <c r="C331" s="108"/>
      <c r="D331" s="107"/>
      <c r="E331" s="109"/>
      <c r="F331" s="110"/>
      <c r="G331" s="107"/>
      <c r="H331" s="109"/>
      <c r="I331" s="111"/>
      <c r="J331" s="62">
        <v>5</v>
      </c>
      <c r="K331" s="40" t="s">
        <v>29</v>
      </c>
      <c r="L331" s="63" t="str">
        <f>IF($J331=L$3,IF(L$3&gt;$I330,"-",ROUNDUP(Ld_cal($B330, $C330, $D330, $G330,$E330, $F330, $H330, L$3)*1.3,0)),"-")</f>
        <v>-</v>
      </c>
      <c r="M331" s="63" t="str">
        <f>IF($J331=M$3,IF(M$3&gt;$I330,"-",ROUNDUP(Ld_cal($B330, $C330, $D330, $G330,$E330, $F330, $H330, M$3)*1.3,0)),"-")</f>
        <v>-</v>
      </c>
      <c r="N331" s="63">
        <f>IF($J331=N$3,IF(N$3&gt;$I330,"-",ROUNDUP(Ld_cal($B330, $C330, $D330, $G330,$E330, $F330, $H330, N$3)*1.3,0)),"-")</f>
        <v>105</v>
      </c>
      <c r="O331" s="63" t="str">
        <f>IF($J331=O$3,IF(O$3&gt;$I330,"-",ROUNDUP(Ld_cal($B330, $C330, $D330, $G330,$E330, $F330, $H330, O$3)*1.3,0)),"-")</f>
        <v>-</v>
      </c>
      <c r="P331" s="63" t="str">
        <f>IF($J331=P$3,IF(P$3&gt;$I330,"-",ROUNDUP(Ld_cal($B330, $C330, $D330, $G330,$E330, $F330, $H330, P$3)*1.3,0)),"-")</f>
        <v>-</v>
      </c>
      <c r="Q331" s="63" t="str">
        <f>IF($J331=Q$3,IF(Q$3&gt;$I330,"-",ROUNDUP(Ld_cal($B330, $C330, $D330, $G330,$E330, $F330, $H330, Q$3)*1.3,0)),"-")</f>
        <v>-</v>
      </c>
      <c r="R331" s="63" t="str">
        <f>IF($J331=R$3,IF(R$3&gt;$I330,"-",ROUNDUP(Ld_cal($B330, $C330, $D330, $G330,$E330, $F330, $H330, R$3)*1.3,0)),"-")</f>
        <v>-</v>
      </c>
      <c r="S331" s="63" t="str">
        <f>IF($J331=S$3,IF(S$3&gt;$I330,"-",ROUNDUP(Ld_cal($B330, $C330, $D330, $G330,$E330, $F330, $H330, S$3)*1.3,0)),"-")</f>
        <v>-</v>
      </c>
      <c r="T331" s="63" t="str">
        <f>IF($J331=T$3,IF(T$3&gt;$I330,"-",ROUNDUP(Ld_cal($B330, $C330, $D330, $G330,$E330, $F330, $H330, T$3)*1.3,0)),"-")</f>
        <v>-</v>
      </c>
      <c r="U331" s="63" t="str">
        <f>IF($J331=U$3,IF(U$3&gt;$I330,"-",ROUNDUP(Ld_cal($B330, $C330, $D330, $G330,$E330, $F330, $H330, U$3)*1.3,0)),"-")</f>
        <v>-</v>
      </c>
      <c r="V331" s="63" t="str">
        <f>IF($J331=V$3,IF(V$3&gt;$I330,"-",ROUNDUP(Ld_cal($B330, $C330, $D330, $G330,$E330, $F330, $H330, V$3)*1.3,0)),"-")</f>
        <v>-</v>
      </c>
      <c r="W331" s="63" t="str">
        <f>IF($J331=W$3,IF(W$3&gt;$I330,"-",ROUNDUP(Ld_cal($B330, $C330, $D330, $G330,$E330, $F330, $H330, W$3)*1.3,0)),"-")</f>
        <v>-</v>
      </c>
      <c r="X331" s="63" t="str">
        <f>IF($J331=X$3,IF(X$3&gt;$I330,"-",ROUNDUP(Ld_cal($B330, $C330, $D330, $G330,$E330, $F330, $H330, X$3)*1.3,0)),"-")</f>
        <v>-</v>
      </c>
      <c r="Y331" s="63" t="str">
        <f>IF($J331=Y$3,IF(Y$3&gt;$I330,"-",ROUNDUP(Ld_cal($B330, $C330, $D330, $G330,$E330, $F330, $H330, Y$3)*1.3,0)),"-")</f>
        <v>-</v>
      </c>
      <c r="Z331" s="63" t="str">
        <f>IF($J331=Z$3,IF(Z$3&gt;$I330,"-",ROUNDUP(Ld_cal($B330, $C330, $D330, $G330,$E330, $F330, $H330, Z$3)*1.3,0)),"-")</f>
        <v>-</v>
      </c>
      <c r="AA331" s="63" t="str">
        <f>IF($J331=AA$3,IF(AA$3&gt;$I330,"-",ROUNDUP(Ld_cal($B330, $C330, $D330, $G330,$E330, $F330, $H330, AA$3)*1.3,0)),"-")</f>
        <v>-</v>
      </c>
      <c r="AB331" s="63" t="str">
        <f>IF($J331=AB$3,IF(AB$3&gt;$I330,"-",ROUNDUP(Ld_cal($B330, $C330, $D330, $G330,$E330, $F330, $H330, AB$3)*1.3,0)),"-")</f>
        <v>-</v>
      </c>
      <c r="AC331" s="63" t="str">
        <f>IF($J331=AC$3,IF(AC$3&gt;$I330,"-",ROUNDUP(Ld_cal($B330, $C330, $D330, $G330,$E330, $F330, $H330, AC$3)*1.3,0)),"-")</f>
        <v>-</v>
      </c>
      <c r="AD331" s="63">
        <f t="shared" ref="AD331" si="323">IF(J331&gt;I330,"依標準圖",MAX(L331:AC331))</f>
        <v>105</v>
      </c>
    </row>
    <row r="332" spans="1:30">
      <c r="A332" s="97" t="s">
        <v>210</v>
      </c>
      <c r="B332" s="99">
        <v>120</v>
      </c>
      <c r="C332" s="100">
        <v>7.5</v>
      </c>
      <c r="D332" s="101">
        <v>4200</v>
      </c>
      <c r="E332" s="102">
        <v>16</v>
      </c>
      <c r="F332" s="103">
        <v>10</v>
      </c>
      <c r="G332" s="101">
        <v>350</v>
      </c>
      <c r="H332" s="102">
        <v>32</v>
      </c>
      <c r="I332" s="104">
        <f>ROUNDDOWN(($B332-2*$C332-2*$E332/10-$H332/10)/(($D$1+1)*$H332/10),0)+1</f>
        <v>16</v>
      </c>
      <c r="J332" s="60">
        <v>9</v>
      </c>
      <c r="K332" s="64" t="s">
        <v>30</v>
      </c>
      <c r="L332" s="61" t="str">
        <f>IF($J332=L$3,IF(L$3&gt;$I332,"-",ROUNDUP(Ld_cal($B332, $C332, $D332, $G332,$E332, $F332, $H332, L$3)*1.3*1.3,0)),"-")</f>
        <v>-</v>
      </c>
      <c r="M332" s="61" t="str">
        <f>IF($J332=M$3,IF(M$3&gt;$I332,"-",ROUNDUP(Ld_cal($B332, $C332, $D332, $G332,$E332, $F332, $H332, M$3)*1.3*1.3,0)),"-")</f>
        <v>-</v>
      </c>
      <c r="N332" s="61" t="str">
        <f>IF($J332=N$3,IF(N$3&gt;$I332,"-",ROUNDUP(Ld_cal($B332, $C332, $D332, $G332,$E332, $F332, $H332, N$3)*1.3*1.3,0)),"-")</f>
        <v>-</v>
      </c>
      <c r="O332" s="61" t="str">
        <f>IF($J332=O$3,IF(O$3&gt;$I332,"-",ROUNDUP(Ld_cal($B332, $C332, $D332, $G332,$E332, $F332, $H332, O$3)*1.3*1.3,0)),"-")</f>
        <v>-</v>
      </c>
      <c r="P332" s="61" t="str">
        <f>IF($J332=P$3,IF(P$3&gt;$I332,"-",ROUNDUP(Ld_cal($B332, $C332, $D332, $G332,$E332, $F332, $H332, P$3)*1.3*1.3,0)),"-")</f>
        <v>-</v>
      </c>
      <c r="Q332" s="61" t="str">
        <f>IF($J332=Q$3,IF(Q$3&gt;$I332,"-",ROUNDUP(Ld_cal($B332, $C332, $D332, $G332,$E332, $F332, $H332, Q$3)*1.3*1.3,0)),"-")</f>
        <v>-</v>
      </c>
      <c r="R332" s="61">
        <f>IF($J332=R$3,IF(R$3&gt;$I332,"-",ROUNDUP(Ld_cal($B332, $C332, $D332, $G332,$E332, $F332, $H332, R$3)*1.3*1.3,0)),"-")</f>
        <v>137</v>
      </c>
      <c r="S332" s="61" t="str">
        <f>IF($J332=S$3,IF(S$3&gt;$I332,"-",ROUNDUP(Ld_cal($B332, $C332, $D332, $G332,$E332, $F332, $H332, S$3)*1.3*1.3,0)),"-")</f>
        <v>-</v>
      </c>
      <c r="T332" s="61" t="str">
        <f>IF($J332=T$3,IF(T$3&gt;$I332,"-",ROUNDUP(Ld_cal($B332, $C332, $D332, $G332,$E332, $F332, $H332, T$3)*1.3*1.3,0)),"-")</f>
        <v>-</v>
      </c>
      <c r="U332" s="61" t="str">
        <f>IF($J332=U$3,IF(U$3&gt;$I332,"-",ROUNDUP(Ld_cal($B332, $C332, $D332, $G332,$E332, $F332, $H332, U$3)*1.3*1.3,0)),"-")</f>
        <v>-</v>
      </c>
      <c r="V332" s="61" t="str">
        <f>IF($J332=V$3,IF(V$3&gt;$I332,"-",ROUNDUP(Ld_cal($B332, $C332, $D332, $G332,$E332, $F332, $H332, V$3)*1.3*1.3,0)),"-")</f>
        <v>-</v>
      </c>
      <c r="W332" s="61" t="str">
        <f>IF($J332=W$3,IF(W$3&gt;$I332,"-",ROUNDUP(Ld_cal($B332, $C332, $D332, $G332,$E332, $F332, $H332, W$3)*1.3*1.3,0)),"-")</f>
        <v>-</v>
      </c>
      <c r="X332" s="61" t="str">
        <f>IF($J332=X$3,IF(X$3&gt;$I332,"-",ROUNDUP(Ld_cal($B332, $C332, $D332, $G332,$E332, $F332, $H332, X$3)*1.3*1.3,0)),"-")</f>
        <v>-</v>
      </c>
      <c r="Y332" s="61" t="str">
        <f>IF($J332=Y$3,IF(Y$3&gt;$I332,"-",ROUNDUP(Ld_cal($B332, $C332, $D332, $G332,$E332, $F332, $H332, Y$3)*1.3*1.3,0)),"-")</f>
        <v>-</v>
      </c>
      <c r="Z332" s="61" t="str">
        <f>IF($J332=Z$3,IF(Z$3&gt;$I332,"-",ROUNDUP(Ld_cal($B332, $C332, $D332, $G332,$E332, $F332, $H332, Z$3)*1.3*1.3,0)),"-")</f>
        <v>-</v>
      </c>
      <c r="AA332" s="61" t="str">
        <f>IF($J332=AA$3,IF(AA$3&gt;$I332,"-",ROUNDUP(Ld_cal($B332, $C332, $D332, $G332,$E332, $F332, $H332, AA$3)*1.3*1.3,0)),"-")</f>
        <v>-</v>
      </c>
      <c r="AB332" s="61" t="str">
        <f>IF($J332=AB$3,IF(AB$3&gt;$I332,"-",ROUNDUP(Ld_cal($B332, $C332, $D332, $G332,$E332, $F332, $H332, AB$3)*1.3*1.3,0)),"-")</f>
        <v>-</v>
      </c>
      <c r="AC332" s="61" t="str">
        <f>IF($J332=AC$3,IF(AC$3&gt;$I332,"-",ROUNDUP(Ld_cal($B332, $C332, $D332, $G332,$E332, $F332, $H332, AC$3)*1.3*1.3,0)),"-")</f>
        <v>-</v>
      </c>
      <c r="AD332" s="61">
        <f t="shared" ref="AD332" si="324">IF(J332&gt;I332,"依標準圖",MAX(L332:AC332))</f>
        <v>137</v>
      </c>
    </row>
    <row r="333" spans="1:30">
      <c r="A333" s="98"/>
      <c r="B333" s="99"/>
      <c r="C333" s="100"/>
      <c r="D333" s="101"/>
      <c r="E333" s="102"/>
      <c r="F333" s="103"/>
      <c r="G333" s="101"/>
      <c r="H333" s="102"/>
      <c r="I333" s="104"/>
      <c r="J333" s="60">
        <v>12</v>
      </c>
      <c r="K333" s="64" t="s">
        <v>29</v>
      </c>
      <c r="L333" s="61" t="str">
        <f>IF($J333=L$3,IF(L$3&gt;$I332,"-",ROUNDUP(Ld_cal($B332, $C332, $D332, $G332,$E332, $F332, $H332, L$3)*1.3,0)),"-")</f>
        <v>-</v>
      </c>
      <c r="M333" s="61" t="str">
        <f>IF($J333=M$3,IF(M$3&gt;$I332,"-",ROUNDUP(Ld_cal($B332, $C332, $D332, $G332,$E332, $F332, $H332, M$3)*1.3,0)),"-")</f>
        <v>-</v>
      </c>
      <c r="N333" s="61" t="str">
        <f>IF($J333=N$3,IF(N$3&gt;$I332,"-",ROUNDUP(Ld_cal($B332, $C332, $D332, $G332,$E332, $F332, $H332, N$3)*1.3,0)),"-")</f>
        <v>-</v>
      </c>
      <c r="O333" s="61" t="str">
        <f>IF($J333=O$3,IF(O$3&gt;$I332,"-",ROUNDUP(Ld_cal($B332, $C332, $D332, $G332,$E332, $F332, $H332, O$3)*1.3,0)),"-")</f>
        <v>-</v>
      </c>
      <c r="P333" s="61" t="str">
        <f>IF($J333=P$3,IF(P$3&gt;$I332,"-",ROUNDUP(Ld_cal($B332, $C332, $D332, $G332,$E332, $F332, $H332, P$3)*1.3,0)),"-")</f>
        <v>-</v>
      </c>
      <c r="Q333" s="61" t="str">
        <f>IF($J333=Q$3,IF(Q$3&gt;$I332,"-",ROUNDUP(Ld_cal($B332, $C332, $D332, $G332,$E332, $F332, $H332, Q$3)*1.3,0)),"-")</f>
        <v>-</v>
      </c>
      <c r="R333" s="61" t="str">
        <f>IF($J333=R$3,IF(R$3&gt;$I332,"-",ROUNDUP(Ld_cal($B332, $C332, $D332, $G332,$E332, $F332, $H332, R$3)*1.3,0)),"-")</f>
        <v>-</v>
      </c>
      <c r="S333" s="61" t="str">
        <f>IF($J333=S$3,IF(S$3&gt;$I332,"-",ROUNDUP(Ld_cal($B332, $C332, $D332, $G332,$E332, $F332, $H332, S$3)*1.3,0)),"-")</f>
        <v>-</v>
      </c>
      <c r="T333" s="61" t="str">
        <f>IF($J333=T$3,IF(T$3&gt;$I332,"-",ROUNDUP(Ld_cal($B332, $C332, $D332, $G332,$E332, $F332, $H332, T$3)*1.3,0)),"-")</f>
        <v>-</v>
      </c>
      <c r="U333" s="61">
        <f>IF($J333=U$3,IF(U$3&gt;$I332,"-",ROUNDUP(Ld_cal($B332, $C332, $D332, $G332,$E332, $F332, $H332, U$3)*1.3,0)),"-")</f>
        <v>144</v>
      </c>
      <c r="V333" s="61" t="str">
        <f>IF($J333=V$3,IF(V$3&gt;$I332,"-",ROUNDUP(Ld_cal($B332, $C332, $D332, $G332,$E332, $F332, $H332, V$3)*1.3,0)),"-")</f>
        <v>-</v>
      </c>
      <c r="W333" s="61" t="str">
        <f>IF($J333=W$3,IF(W$3&gt;$I332,"-",ROUNDUP(Ld_cal($B332, $C332, $D332, $G332,$E332, $F332, $H332, W$3)*1.3,0)),"-")</f>
        <v>-</v>
      </c>
      <c r="X333" s="61" t="str">
        <f>IF($J333=X$3,IF(X$3&gt;$I332,"-",ROUNDUP(Ld_cal($B332, $C332, $D332, $G332,$E332, $F332, $H332, X$3)*1.3,0)),"-")</f>
        <v>-</v>
      </c>
      <c r="Y333" s="61" t="str">
        <f>IF($J333=Y$3,IF(Y$3&gt;$I332,"-",ROUNDUP(Ld_cal($B332, $C332, $D332, $G332,$E332, $F332, $H332, Y$3)*1.3,0)),"-")</f>
        <v>-</v>
      </c>
      <c r="Z333" s="61" t="str">
        <f>IF($J333=Z$3,IF(Z$3&gt;$I332,"-",ROUNDUP(Ld_cal($B332, $C332, $D332, $G332,$E332, $F332, $H332, Z$3)*1.3,0)),"-")</f>
        <v>-</v>
      </c>
      <c r="AA333" s="61" t="str">
        <f>IF($J333=AA$3,IF(AA$3&gt;$I332,"-",ROUNDUP(Ld_cal($B332, $C332, $D332, $G332,$E332, $F332, $H332, AA$3)*1.3,0)),"-")</f>
        <v>-</v>
      </c>
      <c r="AB333" s="61" t="str">
        <f>IF($J333=AB$3,IF(AB$3&gt;$I332,"-",ROUNDUP(Ld_cal($B332, $C332, $D332, $G332,$E332, $F332, $H332, AB$3)*1.3,0)),"-")</f>
        <v>-</v>
      </c>
      <c r="AC333" s="61" t="str">
        <f>IF($J333=AC$3,IF(AC$3&gt;$I332,"-",ROUNDUP(Ld_cal($B332, $C332, $D332, $G332,$E332, $F332, $H332, AC$3)*1.3,0)),"-")</f>
        <v>-</v>
      </c>
      <c r="AD333" s="61">
        <f t="shared" ref="AD333" si="325">IF(J333&gt;I332,"依標準圖",MAX(L333:AC333))</f>
        <v>144</v>
      </c>
    </row>
    <row r="334" spans="1:30">
      <c r="A334" s="105" t="s">
        <v>211</v>
      </c>
      <c r="B334" s="107">
        <v>120</v>
      </c>
      <c r="C334" s="108">
        <v>7.5</v>
      </c>
      <c r="D334" s="107">
        <v>4200</v>
      </c>
      <c r="E334" s="109">
        <v>16</v>
      </c>
      <c r="F334" s="110">
        <v>25</v>
      </c>
      <c r="G334" s="107">
        <v>350</v>
      </c>
      <c r="H334" s="109">
        <v>32</v>
      </c>
      <c r="I334" s="111">
        <f>ROUNDDOWN(($B334-2*$C334-2*$E334/10-$H334/10)/(($D$1+1)*$H334/10),0)+1</f>
        <v>16</v>
      </c>
      <c r="J334" s="62">
        <v>5</v>
      </c>
      <c r="K334" s="40" t="s">
        <v>30</v>
      </c>
      <c r="L334" s="63" t="str">
        <f>IF($J334=L$3,IF(L$3&gt;$I334,"-",ROUNDUP(Ld_cal($B334, $C334, $D334, $G334,$E334, $F334, $H334, L$3)*1.3*1.3,0)),"-")</f>
        <v>-</v>
      </c>
      <c r="M334" s="63" t="str">
        <f>IF($J334=M$3,IF(M$3&gt;$I334,"-",ROUNDUP(Ld_cal($B334, $C334, $D334, $G334,$E334, $F334, $H334, M$3)*1.3*1.3,0)),"-")</f>
        <v>-</v>
      </c>
      <c r="N334" s="63">
        <f>IF($J334=N$3,IF(N$3&gt;$I334,"-",ROUNDUP(Ld_cal($B334, $C334, $D334, $G334,$E334, $F334, $H334, N$3)*1.3*1.3,0)),"-")</f>
        <v>136</v>
      </c>
      <c r="O334" s="63" t="str">
        <f>IF($J334=O$3,IF(O$3&gt;$I334,"-",ROUNDUP(Ld_cal($B334, $C334, $D334, $G334,$E334, $F334, $H334, O$3)*1.3*1.3,0)),"-")</f>
        <v>-</v>
      </c>
      <c r="P334" s="63" t="str">
        <f>IF($J334=P$3,IF(P$3&gt;$I334,"-",ROUNDUP(Ld_cal($B334, $C334, $D334, $G334,$E334, $F334, $H334, P$3)*1.3*1.3,0)),"-")</f>
        <v>-</v>
      </c>
      <c r="Q334" s="63" t="str">
        <f>IF($J334=Q$3,IF(Q$3&gt;$I334,"-",ROUNDUP(Ld_cal($B334, $C334, $D334, $G334,$E334, $F334, $H334, Q$3)*1.3*1.3,0)),"-")</f>
        <v>-</v>
      </c>
      <c r="R334" s="63" t="str">
        <f>IF($J334=R$3,IF(R$3&gt;$I334,"-",ROUNDUP(Ld_cal($B334, $C334, $D334, $G334,$E334, $F334, $H334, R$3)*1.3*1.3,0)),"-")</f>
        <v>-</v>
      </c>
      <c r="S334" s="63" t="str">
        <f>IF($J334=S$3,IF(S$3&gt;$I334,"-",ROUNDUP(Ld_cal($B334, $C334, $D334, $G334,$E334, $F334, $H334, S$3)*1.3*1.3,0)),"-")</f>
        <v>-</v>
      </c>
      <c r="T334" s="63" t="str">
        <f>IF($J334=T$3,IF(T$3&gt;$I334,"-",ROUNDUP(Ld_cal($B334, $C334, $D334, $G334,$E334, $F334, $H334, T$3)*1.3*1.3,0)),"-")</f>
        <v>-</v>
      </c>
      <c r="U334" s="63" t="str">
        <f>IF($J334=U$3,IF(U$3&gt;$I334,"-",ROUNDUP(Ld_cal($B334, $C334, $D334, $G334,$E334, $F334, $H334, U$3)*1.3*1.3,0)),"-")</f>
        <v>-</v>
      </c>
      <c r="V334" s="63" t="str">
        <f>IF($J334=V$3,IF(V$3&gt;$I334,"-",ROUNDUP(Ld_cal($B334, $C334, $D334, $G334,$E334, $F334, $H334, V$3)*1.3*1.3,0)),"-")</f>
        <v>-</v>
      </c>
      <c r="W334" s="63" t="str">
        <f>IF($J334=W$3,IF(W$3&gt;$I334,"-",ROUNDUP(Ld_cal($B334, $C334, $D334, $G334,$E334, $F334, $H334, W$3)*1.3*1.3,0)),"-")</f>
        <v>-</v>
      </c>
      <c r="X334" s="63" t="str">
        <f>IF($J334=X$3,IF(X$3&gt;$I334,"-",ROUNDUP(Ld_cal($B334, $C334, $D334, $G334,$E334, $F334, $H334, X$3)*1.3*1.3,0)),"-")</f>
        <v>-</v>
      </c>
      <c r="Y334" s="63" t="str">
        <f>IF($J334=Y$3,IF(Y$3&gt;$I334,"-",ROUNDUP(Ld_cal($B334, $C334, $D334, $G334,$E334, $F334, $H334, Y$3)*1.3*1.3,0)),"-")</f>
        <v>-</v>
      </c>
      <c r="Z334" s="63" t="str">
        <f>IF($J334=Z$3,IF(Z$3&gt;$I334,"-",ROUNDUP(Ld_cal($B334, $C334, $D334, $G334,$E334, $F334, $H334, Z$3)*1.3*1.3,0)),"-")</f>
        <v>-</v>
      </c>
      <c r="AA334" s="63" t="str">
        <f>IF($J334=AA$3,IF(AA$3&gt;$I334,"-",ROUNDUP(Ld_cal($B334, $C334, $D334, $G334,$E334, $F334, $H334, AA$3)*1.3*1.3,0)),"-")</f>
        <v>-</v>
      </c>
      <c r="AB334" s="63" t="str">
        <f>IF($J334=AB$3,IF(AB$3&gt;$I334,"-",ROUNDUP(Ld_cal($B334, $C334, $D334, $G334,$E334, $F334, $H334, AB$3)*1.3*1.3,0)),"-")</f>
        <v>-</v>
      </c>
      <c r="AC334" s="63" t="str">
        <f>IF($J334=AC$3,IF(AC$3&gt;$I334,"-",ROUNDUP(Ld_cal($B334, $C334, $D334, $G334,$E334, $F334, $H334, AC$3)*1.3*1.3,0)),"-")</f>
        <v>-</v>
      </c>
      <c r="AD334" s="63">
        <f t="shared" ref="AD334" si="326">IF(J334&gt;I334,"依標準圖",MAX(L334:AC334))</f>
        <v>136</v>
      </c>
    </row>
    <row r="335" spans="1:30">
      <c r="A335" s="106"/>
      <c r="B335" s="107"/>
      <c r="C335" s="108"/>
      <c r="D335" s="107"/>
      <c r="E335" s="109"/>
      <c r="F335" s="110"/>
      <c r="G335" s="107"/>
      <c r="H335" s="109"/>
      <c r="I335" s="111"/>
      <c r="J335" s="62">
        <v>14</v>
      </c>
      <c r="K335" s="40" t="s">
        <v>29</v>
      </c>
      <c r="L335" s="63" t="str">
        <f>IF($J335=L$3,IF(L$3&gt;$I334,"-",ROUNDUP(Ld_cal($B334, $C334, $D334, $G334,$E334, $F334, $H334, L$3)*1.3,0)),"-")</f>
        <v>-</v>
      </c>
      <c r="M335" s="63" t="str">
        <f>IF($J335=M$3,IF(M$3&gt;$I334,"-",ROUNDUP(Ld_cal($B334, $C334, $D334, $G334,$E334, $F334, $H334, M$3)*1.3,0)),"-")</f>
        <v>-</v>
      </c>
      <c r="N335" s="63" t="str">
        <f>IF($J335=N$3,IF(N$3&gt;$I334,"-",ROUNDUP(Ld_cal($B334, $C334, $D334, $G334,$E334, $F334, $H334, N$3)*1.3,0)),"-")</f>
        <v>-</v>
      </c>
      <c r="O335" s="63" t="str">
        <f>IF($J335=O$3,IF(O$3&gt;$I334,"-",ROUNDUP(Ld_cal($B334, $C334, $D334, $G334,$E334, $F334, $H334, O$3)*1.3,0)),"-")</f>
        <v>-</v>
      </c>
      <c r="P335" s="63" t="str">
        <f>IF($J335=P$3,IF(P$3&gt;$I334,"-",ROUNDUP(Ld_cal($B334, $C334, $D334, $G334,$E334, $F334, $H334, P$3)*1.3,0)),"-")</f>
        <v>-</v>
      </c>
      <c r="Q335" s="63" t="str">
        <f>IF($J335=Q$3,IF(Q$3&gt;$I334,"-",ROUNDUP(Ld_cal($B334, $C334, $D334, $G334,$E334, $F334, $H334, Q$3)*1.3,0)),"-")</f>
        <v>-</v>
      </c>
      <c r="R335" s="63" t="str">
        <f>IF($J335=R$3,IF(R$3&gt;$I334,"-",ROUNDUP(Ld_cal($B334, $C334, $D334, $G334,$E334, $F334, $H334, R$3)*1.3,0)),"-")</f>
        <v>-</v>
      </c>
      <c r="S335" s="63" t="str">
        <f>IF($J335=S$3,IF(S$3&gt;$I334,"-",ROUNDUP(Ld_cal($B334, $C334, $D334, $G334,$E334, $F334, $H334, S$3)*1.3,0)),"-")</f>
        <v>-</v>
      </c>
      <c r="T335" s="63" t="str">
        <f>IF($J335=T$3,IF(T$3&gt;$I334,"-",ROUNDUP(Ld_cal($B334, $C334, $D334, $G334,$E334, $F334, $H334, T$3)*1.3,0)),"-")</f>
        <v>-</v>
      </c>
      <c r="U335" s="63" t="str">
        <f>IF($J335=U$3,IF(U$3&gt;$I334,"-",ROUNDUP(Ld_cal($B334, $C334, $D334, $G334,$E334, $F334, $H334, U$3)*1.3,0)),"-")</f>
        <v>-</v>
      </c>
      <c r="V335" s="63" t="str">
        <f>IF($J335=V$3,IF(V$3&gt;$I334,"-",ROUNDUP(Ld_cal($B334, $C334, $D334, $G334,$E334, $F334, $H334, V$3)*1.3,0)),"-")</f>
        <v>-</v>
      </c>
      <c r="W335" s="63">
        <f>IF($J335=W$3,IF(W$3&gt;$I334,"-",ROUNDUP(Ld_cal($B334, $C334, $D334, $G334,$E334, $F334, $H334, W$3)*1.3,0)),"-")</f>
        <v>197</v>
      </c>
      <c r="X335" s="63" t="str">
        <f>IF($J335=X$3,IF(X$3&gt;$I334,"-",ROUNDUP(Ld_cal($B334, $C334, $D334, $G334,$E334, $F334, $H334, X$3)*1.3,0)),"-")</f>
        <v>-</v>
      </c>
      <c r="Y335" s="63" t="str">
        <f>IF($J335=Y$3,IF(Y$3&gt;$I334,"-",ROUNDUP(Ld_cal($B334, $C334, $D334, $G334,$E334, $F334, $H334, Y$3)*1.3,0)),"-")</f>
        <v>-</v>
      </c>
      <c r="Z335" s="63" t="str">
        <f>IF($J335=Z$3,IF(Z$3&gt;$I334,"-",ROUNDUP(Ld_cal($B334, $C334, $D334, $G334,$E334, $F334, $H334, Z$3)*1.3,0)),"-")</f>
        <v>-</v>
      </c>
      <c r="AA335" s="63" t="str">
        <f>IF($J335=AA$3,IF(AA$3&gt;$I334,"-",ROUNDUP(Ld_cal($B334, $C334, $D334, $G334,$E334, $F334, $H334, AA$3)*1.3,0)),"-")</f>
        <v>-</v>
      </c>
      <c r="AB335" s="63" t="str">
        <f>IF($J335=AB$3,IF(AB$3&gt;$I334,"-",ROUNDUP(Ld_cal($B334, $C334, $D334, $G334,$E334, $F334, $H334, AB$3)*1.3,0)),"-")</f>
        <v>-</v>
      </c>
      <c r="AC335" s="63" t="str">
        <f>IF($J335=AC$3,IF(AC$3&gt;$I334,"-",ROUNDUP(Ld_cal($B334, $C334, $D334, $G334,$E334, $F334, $H334, AC$3)*1.3,0)),"-")</f>
        <v>-</v>
      </c>
      <c r="AD335" s="63">
        <f t="shared" ref="AD335" si="327">IF(J335&gt;I334,"依標準圖",MAX(L335:AC335))</f>
        <v>197</v>
      </c>
    </row>
    <row r="336" spans="1:30">
      <c r="A336" s="97" t="s">
        <v>212</v>
      </c>
      <c r="B336" s="99">
        <v>120</v>
      </c>
      <c r="C336" s="100">
        <v>7.5</v>
      </c>
      <c r="D336" s="101">
        <v>4200</v>
      </c>
      <c r="E336" s="102">
        <v>16</v>
      </c>
      <c r="F336" s="103">
        <v>9</v>
      </c>
      <c r="G336" s="101">
        <v>350</v>
      </c>
      <c r="H336" s="102">
        <v>32</v>
      </c>
      <c r="I336" s="104">
        <f>ROUNDDOWN(($B336-2*$C336-2*$E336/10-$H336/10)/(($D$1+1)*$H336/10),0)+1</f>
        <v>16</v>
      </c>
      <c r="J336" s="60">
        <v>14</v>
      </c>
      <c r="K336" s="64" t="s">
        <v>30</v>
      </c>
      <c r="L336" s="61" t="str">
        <f>IF($J336=L$3,IF(L$3&gt;$I336,"-",ROUNDUP(Ld_cal($B336, $C336, $D336, $G336,$E336, $F336, $H336, L$3)*1.3*1.3,0)),"-")</f>
        <v>-</v>
      </c>
      <c r="M336" s="61" t="str">
        <f>IF($J336=M$3,IF(M$3&gt;$I336,"-",ROUNDUP(Ld_cal($B336, $C336, $D336, $G336,$E336, $F336, $H336, M$3)*1.3*1.3,0)),"-")</f>
        <v>-</v>
      </c>
      <c r="N336" s="61" t="str">
        <f>IF($J336=N$3,IF(N$3&gt;$I336,"-",ROUNDUP(Ld_cal($B336, $C336, $D336, $G336,$E336, $F336, $H336, N$3)*1.3*1.3,0)),"-")</f>
        <v>-</v>
      </c>
      <c r="O336" s="61" t="str">
        <f>IF($J336=O$3,IF(O$3&gt;$I336,"-",ROUNDUP(Ld_cal($B336, $C336, $D336, $G336,$E336, $F336, $H336, O$3)*1.3*1.3,0)),"-")</f>
        <v>-</v>
      </c>
      <c r="P336" s="61" t="str">
        <f>IF($J336=P$3,IF(P$3&gt;$I336,"-",ROUNDUP(Ld_cal($B336, $C336, $D336, $G336,$E336, $F336, $H336, P$3)*1.3*1.3,0)),"-")</f>
        <v>-</v>
      </c>
      <c r="Q336" s="61" t="str">
        <f>IF($J336=Q$3,IF(Q$3&gt;$I336,"-",ROUNDUP(Ld_cal($B336, $C336, $D336, $G336,$E336, $F336, $H336, Q$3)*1.3*1.3,0)),"-")</f>
        <v>-</v>
      </c>
      <c r="R336" s="61" t="str">
        <f>IF($J336=R$3,IF(R$3&gt;$I336,"-",ROUNDUP(Ld_cal($B336, $C336, $D336, $G336,$E336, $F336, $H336, R$3)*1.3*1.3,0)),"-")</f>
        <v>-</v>
      </c>
      <c r="S336" s="61" t="str">
        <f>IF($J336=S$3,IF(S$3&gt;$I336,"-",ROUNDUP(Ld_cal($B336, $C336, $D336, $G336,$E336, $F336, $H336, S$3)*1.3*1.3,0)),"-")</f>
        <v>-</v>
      </c>
      <c r="T336" s="61" t="str">
        <f>IF($J336=T$3,IF(T$3&gt;$I336,"-",ROUNDUP(Ld_cal($B336, $C336, $D336, $G336,$E336, $F336, $H336, T$3)*1.3*1.3,0)),"-")</f>
        <v>-</v>
      </c>
      <c r="U336" s="61" t="str">
        <f>IF($J336=U$3,IF(U$3&gt;$I336,"-",ROUNDUP(Ld_cal($B336, $C336, $D336, $G336,$E336, $F336, $H336, U$3)*1.3*1.3,0)),"-")</f>
        <v>-</v>
      </c>
      <c r="V336" s="61" t="str">
        <f>IF($J336=V$3,IF(V$3&gt;$I336,"-",ROUNDUP(Ld_cal($B336, $C336, $D336, $G336,$E336, $F336, $H336, V$3)*1.3*1.3,0)),"-")</f>
        <v>-</v>
      </c>
      <c r="W336" s="61">
        <f>IF($J336=W$3,IF(W$3&gt;$I336,"-",ROUNDUP(Ld_cal($B336, $C336, $D336, $G336,$E336, $F336, $H336, W$3)*1.3*1.3,0)),"-")</f>
        <v>215</v>
      </c>
      <c r="X336" s="61" t="str">
        <f>IF($J336=X$3,IF(X$3&gt;$I336,"-",ROUNDUP(Ld_cal($B336, $C336, $D336, $G336,$E336, $F336, $H336, X$3)*1.3*1.3,0)),"-")</f>
        <v>-</v>
      </c>
      <c r="Y336" s="61" t="str">
        <f>IF($J336=Y$3,IF(Y$3&gt;$I336,"-",ROUNDUP(Ld_cal($B336, $C336, $D336, $G336,$E336, $F336, $H336, Y$3)*1.3*1.3,0)),"-")</f>
        <v>-</v>
      </c>
      <c r="Z336" s="61" t="str">
        <f>IF($J336=Z$3,IF(Z$3&gt;$I336,"-",ROUNDUP(Ld_cal($B336, $C336, $D336, $G336,$E336, $F336, $H336, Z$3)*1.3*1.3,0)),"-")</f>
        <v>-</v>
      </c>
      <c r="AA336" s="61" t="str">
        <f>IF($J336=AA$3,IF(AA$3&gt;$I336,"-",ROUNDUP(Ld_cal($B336, $C336, $D336, $G336,$E336, $F336, $H336, AA$3)*1.3*1.3,0)),"-")</f>
        <v>-</v>
      </c>
      <c r="AB336" s="61" t="str">
        <f>IF($J336=AB$3,IF(AB$3&gt;$I336,"-",ROUNDUP(Ld_cal($B336, $C336, $D336, $G336,$E336, $F336, $H336, AB$3)*1.3*1.3,0)),"-")</f>
        <v>-</v>
      </c>
      <c r="AC336" s="61" t="str">
        <f>IF($J336=AC$3,IF(AC$3&gt;$I336,"-",ROUNDUP(Ld_cal($B336, $C336, $D336, $G336,$E336, $F336, $H336, AC$3)*1.3*1.3,0)),"-")</f>
        <v>-</v>
      </c>
      <c r="AD336" s="61">
        <f t="shared" ref="AD336" si="328">IF(J336&gt;I336,"依標準圖",MAX(L336:AC336))</f>
        <v>215</v>
      </c>
    </row>
    <row r="337" spans="1:30">
      <c r="A337" s="98"/>
      <c r="B337" s="99"/>
      <c r="C337" s="100"/>
      <c r="D337" s="101"/>
      <c r="E337" s="102"/>
      <c r="F337" s="103"/>
      <c r="G337" s="101"/>
      <c r="H337" s="102"/>
      <c r="I337" s="104"/>
      <c r="J337" s="60">
        <v>14</v>
      </c>
      <c r="K337" s="64" t="s">
        <v>29</v>
      </c>
      <c r="L337" s="61" t="str">
        <f>IF($J337=L$3,IF(L$3&gt;$I336,"-",ROUNDUP(Ld_cal($B336, $C336, $D336, $G336,$E336, $F336, $H336, L$3)*1.3,0)),"-")</f>
        <v>-</v>
      </c>
      <c r="M337" s="61" t="str">
        <f>IF($J337=M$3,IF(M$3&gt;$I336,"-",ROUNDUP(Ld_cal($B336, $C336, $D336, $G336,$E336, $F336, $H336, M$3)*1.3,0)),"-")</f>
        <v>-</v>
      </c>
      <c r="N337" s="61" t="str">
        <f>IF($J337=N$3,IF(N$3&gt;$I336,"-",ROUNDUP(Ld_cal($B336, $C336, $D336, $G336,$E336, $F336, $H336, N$3)*1.3,0)),"-")</f>
        <v>-</v>
      </c>
      <c r="O337" s="61" t="str">
        <f>IF($J337=O$3,IF(O$3&gt;$I336,"-",ROUNDUP(Ld_cal($B336, $C336, $D336, $G336,$E336, $F336, $H336, O$3)*1.3,0)),"-")</f>
        <v>-</v>
      </c>
      <c r="P337" s="61" t="str">
        <f>IF($J337=P$3,IF(P$3&gt;$I336,"-",ROUNDUP(Ld_cal($B336, $C336, $D336, $G336,$E336, $F336, $H336, P$3)*1.3,0)),"-")</f>
        <v>-</v>
      </c>
      <c r="Q337" s="61" t="str">
        <f>IF($J337=Q$3,IF(Q$3&gt;$I336,"-",ROUNDUP(Ld_cal($B336, $C336, $D336, $G336,$E336, $F336, $H336, Q$3)*1.3,0)),"-")</f>
        <v>-</v>
      </c>
      <c r="R337" s="61" t="str">
        <f>IF($J337=R$3,IF(R$3&gt;$I336,"-",ROUNDUP(Ld_cal($B336, $C336, $D336, $G336,$E336, $F336, $H336, R$3)*1.3,0)),"-")</f>
        <v>-</v>
      </c>
      <c r="S337" s="61" t="str">
        <f>IF($J337=S$3,IF(S$3&gt;$I336,"-",ROUNDUP(Ld_cal($B336, $C336, $D336, $G336,$E336, $F336, $H336, S$3)*1.3,0)),"-")</f>
        <v>-</v>
      </c>
      <c r="T337" s="61" t="str">
        <f>IF($J337=T$3,IF(T$3&gt;$I336,"-",ROUNDUP(Ld_cal($B336, $C336, $D336, $G336,$E336, $F336, $H336, T$3)*1.3,0)),"-")</f>
        <v>-</v>
      </c>
      <c r="U337" s="61" t="str">
        <f>IF($J337=U$3,IF(U$3&gt;$I336,"-",ROUNDUP(Ld_cal($B336, $C336, $D336, $G336,$E336, $F336, $H336, U$3)*1.3,0)),"-")</f>
        <v>-</v>
      </c>
      <c r="V337" s="61" t="str">
        <f>IF($J337=V$3,IF(V$3&gt;$I336,"-",ROUNDUP(Ld_cal($B336, $C336, $D336, $G336,$E336, $F336, $H336, V$3)*1.3,0)),"-")</f>
        <v>-</v>
      </c>
      <c r="W337" s="61">
        <f>IF($J337=W$3,IF(W$3&gt;$I336,"-",ROUNDUP(Ld_cal($B336, $C336, $D336, $G336,$E336, $F336, $H336, W$3)*1.3,0)),"-")</f>
        <v>166</v>
      </c>
      <c r="X337" s="61" t="str">
        <f>IF($J337=X$3,IF(X$3&gt;$I336,"-",ROUNDUP(Ld_cal($B336, $C336, $D336, $G336,$E336, $F336, $H336, X$3)*1.3,0)),"-")</f>
        <v>-</v>
      </c>
      <c r="Y337" s="61" t="str">
        <f>IF($J337=Y$3,IF(Y$3&gt;$I336,"-",ROUNDUP(Ld_cal($B336, $C336, $D336, $G336,$E336, $F336, $H336, Y$3)*1.3,0)),"-")</f>
        <v>-</v>
      </c>
      <c r="Z337" s="61" t="str">
        <f>IF($J337=Z$3,IF(Z$3&gt;$I336,"-",ROUNDUP(Ld_cal($B336, $C336, $D336, $G336,$E336, $F336, $H336, Z$3)*1.3,0)),"-")</f>
        <v>-</v>
      </c>
      <c r="AA337" s="61" t="str">
        <f>IF($J337=AA$3,IF(AA$3&gt;$I336,"-",ROUNDUP(Ld_cal($B336, $C336, $D336, $G336,$E336, $F336, $H336, AA$3)*1.3,0)),"-")</f>
        <v>-</v>
      </c>
      <c r="AB337" s="61" t="str">
        <f>IF($J337=AB$3,IF(AB$3&gt;$I336,"-",ROUNDUP(Ld_cal($B336, $C336, $D336, $G336,$E336, $F336, $H336, AB$3)*1.3,0)),"-")</f>
        <v>-</v>
      </c>
      <c r="AC337" s="61" t="str">
        <f>IF($J337=AC$3,IF(AC$3&gt;$I336,"-",ROUNDUP(Ld_cal($B336, $C336, $D336, $G336,$E336, $F336, $H336, AC$3)*1.3,0)),"-")</f>
        <v>-</v>
      </c>
      <c r="AD337" s="61">
        <f t="shared" ref="AD337" si="329">IF(J337&gt;I336,"依標準圖",MAX(L337:AC337))</f>
        <v>166</v>
      </c>
    </row>
    <row r="338" spans="1:30">
      <c r="A338" s="105" t="s">
        <v>213</v>
      </c>
      <c r="B338" s="107">
        <v>120</v>
      </c>
      <c r="C338" s="108">
        <v>7.5</v>
      </c>
      <c r="D338" s="107">
        <v>4200</v>
      </c>
      <c r="E338" s="109">
        <v>13</v>
      </c>
      <c r="F338" s="110">
        <v>20</v>
      </c>
      <c r="G338" s="107">
        <v>350</v>
      </c>
      <c r="H338" s="109">
        <v>32</v>
      </c>
      <c r="I338" s="111">
        <f>ROUNDDOWN(($B338-2*$C338-2*$E338/10-$H338/10)/(($D$1+1)*$H338/10),0)+1</f>
        <v>16</v>
      </c>
      <c r="J338" s="62">
        <v>10</v>
      </c>
      <c r="K338" s="40" t="s">
        <v>30</v>
      </c>
      <c r="L338" s="63" t="str">
        <f>IF($J338=L$3,IF(L$3&gt;$I338,"-",ROUNDUP(Ld_cal($B338, $C338, $D338, $G338,$E338, $F338, $H338, L$3)*1.3*1.3,0)),"-")</f>
        <v>-</v>
      </c>
      <c r="M338" s="63" t="str">
        <f>IF($J338=M$3,IF(M$3&gt;$I338,"-",ROUNDUP(Ld_cal($B338, $C338, $D338, $G338,$E338, $F338, $H338, M$3)*1.3*1.3,0)),"-")</f>
        <v>-</v>
      </c>
      <c r="N338" s="63" t="str">
        <f>IF($J338=N$3,IF(N$3&gt;$I338,"-",ROUNDUP(Ld_cal($B338, $C338, $D338, $G338,$E338, $F338, $H338, N$3)*1.3*1.3,0)),"-")</f>
        <v>-</v>
      </c>
      <c r="O338" s="63" t="str">
        <f>IF($J338=O$3,IF(O$3&gt;$I338,"-",ROUNDUP(Ld_cal($B338, $C338, $D338, $G338,$E338, $F338, $H338, O$3)*1.3*1.3,0)),"-")</f>
        <v>-</v>
      </c>
      <c r="P338" s="63" t="str">
        <f>IF($J338=P$3,IF(P$3&gt;$I338,"-",ROUNDUP(Ld_cal($B338, $C338, $D338, $G338,$E338, $F338, $H338, P$3)*1.3*1.3,0)),"-")</f>
        <v>-</v>
      </c>
      <c r="Q338" s="63" t="str">
        <f>IF($J338=Q$3,IF(Q$3&gt;$I338,"-",ROUNDUP(Ld_cal($B338, $C338, $D338, $G338,$E338, $F338, $H338, Q$3)*1.3*1.3,0)),"-")</f>
        <v>-</v>
      </c>
      <c r="R338" s="63" t="str">
        <f>IF($J338=R$3,IF(R$3&gt;$I338,"-",ROUNDUP(Ld_cal($B338, $C338, $D338, $G338,$E338, $F338, $H338, R$3)*1.3*1.3,0)),"-")</f>
        <v>-</v>
      </c>
      <c r="S338" s="63">
        <f>IF($J338=S$3,IF(S$3&gt;$I338,"-",ROUNDUP(Ld_cal($B338, $C338, $D338, $G338,$E338, $F338, $H338, S$3)*1.3*1.3,0)),"-")</f>
        <v>181</v>
      </c>
      <c r="T338" s="63" t="str">
        <f>IF($J338=T$3,IF(T$3&gt;$I338,"-",ROUNDUP(Ld_cal($B338, $C338, $D338, $G338,$E338, $F338, $H338, T$3)*1.3*1.3,0)),"-")</f>
        <v>-</v>
      </c>
      <c r="U338" s="63" t="str">
        <f>IF($J338=U$3,IF(U$3&gt;$I338,"-",ROUNDUP(Ld_cal($B338, $C338, $D338, $G338,$E338, $F338, $H338, U$3)*1.3*1.3,0)),"-")</f>
        <v>-</v>
      </c>
      <c r="V338" s="63" t="str">
        <f>IF($J338=V$3,IF(V$3&gt;$I338,"-",ROUNDUP(Ld_cal($B338, $C338, $D338, $G338,$E338, $F338, $H338, V$3)*1.3*1.3,0)),"-")</f>
        <v>-</v>
      </c>
      <c r="W338" s="63" t="str">
        <f>IF($J338=W$3,IF(W$3&gt;$I338,"-",ROUNDUP(Ld_cal($B338, $C338, $D338, $G338,$E338, $F338, $H338, W$3)*1.3*1.3,0)),"-")</f>
        <v>-</v>
      </c>
      <c r="X338" s="63" t="str">
        <f>IF($J338=X$3,IF(X$3&gt;$I338,"-",ROUNDUP(Ld_cal($B338, $C338, $D338, $G338,$E338, $F338, $H338, X$3)*1.3*1.3,0)),"-")</f>
        <v>-</v>
      </c>
      <c r="Y338" s="63" t="str">
        <f>IF($J338=Y$3,IF(Y$3&gt;$I338,"-",ROUNDUP(Ld_cal($B338, $C338, $D338, $G338,$E338, $F338, $H338, Y$3)*1.3*1.3,0)),"-")</f>
        <v>-</v>
      </c>
      <c r="Z338" s="63" t="str">
        <f>IF($J338=Z$3,IF(Z$3&gt;$I338,"-",ROUNDUP(Ld_cal($B338, $C338, $D338, $G338,$E338, $F338, $H338, Z$3)*1.3*1.3,0)),"-")</f>
        <v>-</v>
      </c>
      <c r="AA338" s="63" t="str">
        <f>IF($J338=AA$3,IF(AA$3&gt;$I338,"-",ROUNDUP(Ld_cal($B338, $C338, $D338, $G338,$E338, $F338, $H338, AA$3)*1.3*1.3,0)),"-")</f>
        <v>-</v>
      </c>
      <c r="AB338" s="63" t="str">
        <f>IF($J338=AB$3,IF(AB$3&gt;$I338,"-",ROUNDUP(Ld_cal($B338, $C338, $D338, $G338,$E338, $F338, $H338, AB$3)*1.3*1.3,0)),"-")</f>
        <v>-</v>
      </c>
      <c r="AC338" s="63" t="str">
        <f>IF($J338=AC$3,IF(AC$3&gt;$I338,"-",ROUNDUP(Ld_cal($B338, $C338, $D338, $G338,$E338, $F338, $H338, AC$3)*1.3*1.3,0)),"-")</f>
        <v>-</v>
      </c>
      <c r="AD338" s="63">
        <f t="shared" ref="AD338" si="330">IF(J338&gt;I338,"依標準圖",MAX(L338:AC338))</f>
        <v>181</v>
      </c>
    </row>
    <row r="339" spans="1:30">
      <c r="A339" s="106"/>
      <c r="B339" s="107"/>
      <c r="C339" s="108"/>
      <c r="D339" s="107"/>
      <c r="E339" s="109"/>
      <c r="F339" s="110"/>
      <c r="G339" s="107"/>
      <c r="H339" s="109"/>
      <c r="I339" s="111"/>
      <c r="J339" s="62">
        <v>10</v>
      </c>
      <c r="K339" s="40" t="s">
        <v>29</v>
      </c>
      <c r="L339" s="63" t="str">
        <f>IF($J339=L$3,IF(L$3&gt;$I338,"-",ROUNDUP(Ld_cal($B338, $C338, $D338, $G338,$E338, $F338, $H338, L$3)*1.3,0)),"-")</f>
        <v>-</v>
      </c>
      <c r="M339" s="63" t="str">
        <f>IF($J339=M$3,IF(M$3&gt;$I338,"-",ROUNDUP(Ld_cal($B338, $C338, $D338, $G338,$E338, $F338, $H338, M$3)*1.3,0)),"-")</f>
        <v>-</v>
      </c>
      <c r="N339" s="63" t="str">
        <f>IF($J339=N$3,IF(N$3&gt;$I338,"-",ROUNDUP(Ld_cal($B338, $C338, $D338, $G338,$E338, $F338, $H338, N$3)*1.3,0)),"-")</f>
        <v>-</v>
      </c>
      <c r="O339" s="63" t="str">
        <f>IF($J339=O$3,IF(O$3&gt;$I338,"-",ROUNDUP(Ld_cal($B338, $C338, $D338, $G338,$E338, $F338, $H338, O$3)*1.3,0)),"-")</f>
        <v>-</v>
      </c>
      <c r="P339" s="63" t="str">
        <f>IF($J339=P$3,IF(P$3&gt;$I338,"-",ROUNDUP(Ld_cal($B338, $C338, $D338, $G338,$E338, $F338, $H338, P$3)*1.3,0)),"-")</f>
        <v>-</v>
      </c>
      <c r="Q339" s="63" t="str">
        <f>IF($J339=Q$3,IF(Q$3&gt;$I338,"-",ROUNDUP(Ld_cal($B338, $C338, $D338, $G338,$E338, $F338, $H338, Q$3)*1.3,0)),"-")</f>
        <v>-</v>
      </c>
      <c r="R339" s="63" t="str">
        <f>IF($J339=R$3,IF(R$3&gt;$I338,"-",ROUNDUP(Ld_cal($B338, $C338, $D338, $G338,$E338, $F338, $H338, R$3)*1.3,0)),"-")</f>
        <v>-</v>
      </c>
      <c r="S339" s="63">
        <f>IF($J339=S$3,IF(S$3&gt;$I338,"-",ROUNDUP(Ld_cal($B338, $C338, $D338, $G338,$E338, $F338, $H338, S$3)*1.3,0)),"-")</f>
        <v>139</v>
      </c>
      <c r="T339" s="63" t="str">
        <f>IF($J339=T$3,IF(T$3&gt;$I338,"-",ROUNDUP(Ld_cal($B338, $C338, $D338, $G338,$E338, $F338, $H338, T$3)*1.3,0)),"-")</f>
        <v>-</v>
      </c>
      <c r="U339" s="63" t="str">
        <f>IF($J339=U$3,IF(U$3&gt;$I338,"-",ROUNDUP(Ld_cal($B338, $C338, $D338, $G338,$E338, $F338, $H338, U$3)*1.3,0)),"-")</f>
        <v>-</v>
      </c>
      <c r="V339" s="63" t="str">
        <f>IF($J339=V$3,IF(V$3&gt;$I338,"-",ROUNDUP(Ld_cal($B338, $C338, $D338, $G338,$E338, $F338, $H338, V$3)*1.3,0)),"-")</f>
        <v>-</v>
      </c>
      <c r="W339" s="63" t="str">
        <f>IF($J339=W$3,IF(W$3&gt;$I338,"-",ROUNDUP(Ld_cal($B338, $C338, $D338, $G338,$E338, $F338, $H338, W$3)*1.3,0)),"-")</f>
        <v>-</v>
      </c>
      <c r="X339" s="63" t="str">
        <f>IF($J339=X$3,IF(X$3&gt;$I338,"-",ROUNDUP(Ld_cal($B338, $C338, $D338, $G338,$E338, $F338, $H338, X$3)*1.3,0)),"-")</f>
        <v>-</v>
      </c>
      <c r="Y339" s="63" t="str">
        <f>IF($J339=Y$3,IF(Y$3&gt;$I338,"-",ROUNDUP(Ld_cal($B338, $C338, $D338, $G338,$E338, $F338, $H338, Y$3)*1.3,0)),"-")</f>
        <v>-</v>
      </c>
      <c r="Z339" s="63" t="str">
        <f>IF($J339=Z$3,IF(Z$3&gt;$I338,"-",ROUNDUP(Ld_cal($B338, $C338, $D338, $G338,$E338, $F338, $H338, Z$3)*1.3,0)),"-")</f>
        <v>-</v>
      </c>
      <c r="AA339" s="63" t="str">
        <f>IF($J339=AA$3,IF(AA$3&gt;$I338,"-",ROUNDUP(Ld_cal($B338, $C338, $D338, $G338,$E338, $F338, $H338, AA$3)*1.3,0)),"-")</f>
        <v>-</v>
      </c>
      <c r="AB339" s="63" t="str">
        <f>IF($J339=AB$3,IF(AB$3&gt;$I338,"-",ROUNDUP(Ld_cal($B338, $C338, $D338, $G338,$E338, $F338, $H338, AB$3)*1.3,0)),"-")</f>
        <v>-</v>
      </c>
      <c r="AC339" s="63" t="str">
        <f>IF($J339=AC$3,IF(AC$3&gt;$I338,"-",ROUNDUP(Ld_cal($B338, $C338, $D338, $G338,$E338, $F338, $H338, AC$3)*1.3,0)),"-")</f>
        <v>-</v>
      </c>
      <c r="AD339" s="63">
        <f t="shared" ref="AD339" si="331">IF(J339&gt;I338,"依標準圖",MAX(L339:AC339))</f>
        <v>139</v>
      </c>
    </row>
    <row r="340" spans="1:30">
      <c r="A340" s="97" t="s">
        <v>214</v>
      </c>
      <c r="B340" s="99">
        <v>120</v>
      </c>
      <c r="C340" s="100">
        <v>7.5</v>
      </c>
      <c r="D340" s="101">
        <v>4200</v>
      </c>
      <c r="E340" s="102">
        <v>13</v>
      </c>
      <c r="F340" s="103">
        <v>10</v>
      </c>
      <c r="G340" s="101">
        <v>350</v>
      </c>
      <c r="H340" s="102">
        <v>32</v>
      </c>
      <c r="I340" s="104">
        <f>ROUNDDOWN(($B340-2*$C340-2*$E340/10-$H340/10)/(($D$1+1)*$H340/10),0)+1</f>
        <v>16</v>
      </c>
      <c r="J340" s="60">
        <v>11</v>
      </c>
      <c r="K340" s="64" t="s">
        <v>30</v>
      </c>
      <c r="L340" s="61" t="str">
        <f>IF($J340=L$3,IF(L$3&gt;$I340,"-",ROUNDUP(Ld_cal($B340, $C340, $D340, $G340,$E340, $F340, $H340, L$3)*1.3*1.3,0)),"-")</f>
        <v>-</v>
      </c>
      <c r="M340" s="61" t="str">
        <f>IF($J340=M$3,IF(M$3&gt;$I340,"-",ROUNDUP(Ld_cal($B340, $C340, $D340, $G340,$E340, $F340, $H340, M$3)*1.3*1.3,0)),"-")</f>
        <v>-</v>
      </c>
      <c r="N340" s="61" t="str">
        <f>IF($J340=N$3,IF(N$3&gt;$I340,"-",ROUNDUP(Ld_cal($B340, $C340, $D340, $G340,$E340, $F340, $H340, N$3)*1.3*1.3,0)),"-")</f>
        <v>-</v>
      </c>
      <c r="O340" s="61" t="str">
        <f>IF($J340=O$3,IF(O$3&gt;$I340,"-",ROUNDUP(Ld_cal($B340, $C340, $D340, $G340,$E340, $F340, $H340, O$3)*1.3*1.3,0)),"-")</f>
        <v>-</v>
      </c>
      <c r="P340" s="61" t="str">
        <f>IF($J340=P$3,IF(P$3&gt;$I340,"-",ROUNDUP(Ld_cal($B340, $C340, $D340, $G340,$E340, $F340, $H340, P$3)*1.3*1.3,0)),"-")</f>
        <v>-</v>
      </c>
      <c r="Q340" s="61" t="str">
        <f>IF($J340=Q$3,IF(Q$3&gt;$I340,"-",ROUNDUP(Ld_cal($B340, $C340, $D340, $G340,$E340, $F340, $H340, Q$3)*1.3*1.3,0)),"-")</f>
        <v>-</v>
      </c>
      <c r="R340" s="61" t="str">
        <f>IF($J340=R$3,IF(R$3&gt;$I340,"-",ROUNDUP(Ld_cal($B340, $C340, $D340, $G340,$E340, $F340, $H340, R$3)*1.3*1.3,0)),"-")</f>
        <v>-</v>
      </c>
      <c r="S340" s="61" t="str">
        <f>IF($J340=S$3,IF(S$3&gt;$I340,"-",ROUNDUP(Ld_cal($B340, $C340, $D340, $G340,$E340, $F340, $H340, S$3)*1.3*1.3,0)),"-")</f>
        <v>-</v>
      </c>
      <c r="T340" s="61">
        <f>IF($J340=T$3,IF(T$3&gt;$I340,"-",ROUNDUP(Ld_cal($B340, $C340, $D340, $G340,$E340, $F340, $H340, T$3)*1.3*1.3,0)),"-")</f>
        <v>184</v>
      </c>
      <c r="U340" s="61" t="str">
        <f>IF($J340=U$3,IF(U$3&gt;$I340,"-",ROUNDUP(Ld_cal($B340, $C340, $D340, $G340,$E340, $F340, $H340, U$3)*1.3*1.3,0)),"-")</f>
        <v>-</v>
      </c>
      <c r="V340" s="61" t="str">
        <f>IF($J340=V$3,IF(V$3&gt;$I340,"-",ROUNDUP(Ld_cal($B340, $C340, $D340, $G340,$E340, $F340, $H340, V$3)*1.3*1.3,0)),"-")</f>
        <v>-</v>
      </c>
      <c r="W340" s="61" t="str">
        <f>IF($J340=W$3,IF(W$3&gt;$I340,"-",ROUNDUP(Ld_cal($B340, $C340, $D340, $G340,$E340, $F340, $H340, W$3)*1.3*1.3,0)),"-")</f>
        <v>-</v>
      </c>
      <c r="X340" s="61" t="str">
        <f>IF($J340=X$3,IF(X$3&gt;$I340,"-",ROUNDUP(Ld_cal($B340, $C340, $D340, $G340,$E340, $F340, $H340, X$3)*1.3*1.3,0)),"-")</f>
        <v>-</v>
      </c>
      <c r="Y340" s="61" t="str">
        <f>IF($J340=Y$3,IF(Y$3&gt;$I340,"-",ROUNDUP(Ld_cal($B340, $C340, $D340, $G340,$E340, $F340, $H340, Y$3)*1.3*1.3,0)),"-")</f>
        <v>-</v>
      </c>
      <c r="Z340" s="61" t="str">
        <f>IF($J340=Z$3,IF(Z$3&gt;$I340,"-",ROUNDUP(Ld_cal($B340, $C340, $D340, $G340,$E340, $F340, $H340, Z$3)*1.3*1.3,0)),"-")</f>
        <v>-</v>
      </c>
      <c r="AA340" s="61" t="str">
        <f>IF($J340=AA$3,IF(AA$3&gt;$I340,"-",ROUNDUP(Ld_cal($B340, $C340, $D340, $G340,$E340, $F340, $H340, AA$3)*1.3*1.3,0)),"-")</f>
        <v>-</v>
      </c>
      <c r="AB340" s="61" t="str">
        <f>IF($J340=AB$3,IF(AB$3&gt;$I340,"-",ROUNDUP(Ld_cal($B340, $C340, $D340, $G340,$E340, $F340, $H340, AB$3)*1.3*1.3,0)),"-")</f>
        <v>-</v>
      </c>
      <c r="AC340" s="61" t="str">
        <f>IF($J340=AC$3,IF(AC$3&gt;$I340,"-",ROUNDUP(Ld_cal($B340, $C340, $D340, $G340,$E340, $F340, $H340, AC$3)*1.3*1.3,0)),"-")</f>
        <v>-</v>
      </c>
      <c r="AD340" s="61">
        <f t="shared" ref="AD340" si="332">IF(J340&gt;I340,"依標準圖",MAX(L340:AC340))</f>
        <v>184</v>
      </c>
    </row>
    <row r="341" spans="1:30">
      <c r="A341" s="98"/>
      <c r="B341" s="99"/>
      <c r="C341" s="100"/>
      <c r="D341" s="101"/>
      <c r="E341" s="102"/>
      <c r="F341" s="103"/>
      <c r="G341" s="101"/>
      <c r="H341" s="102"/>
      <c r="I341" s="104"/>
      <c r="J341" s="60">
        <v>8</v>
      </c>
      <c r="K341" s="64" t="s">
        <v>29</v>
      </c>
      <c r="L341" s="61" t="str">
        <f>IF($J341=L$3,IF(L$3&gt;$I340,"-",ROUNDUP(Ld_cal($B340, $C340, $D340, $G340,$E340, $F340, $H340, L$3)*1.3,0)),"-")</f>
        <v>-</v>
      </c>
      <c r="M341" s="61" t="str">
        <f>IF($J341=M$3,IF(M$3&gt;$I340,"-",ROUNDUP(Ld_cal($B340, $C340, $D340, $G340,$E340, $F340, $H340, M$3)*1.3,0)),"-")</f>
        <v>-</v>
      </c>
      <c r="N341" s="61" t="str">
        <f>IF($J341=N$3,IF(N$3&gt;$I340,"-",ROUNDUP(Ld_cal($B340, $C340, $D340, $G340,$E340, $F340, $H340, N$3)*1.3,0)),"-")</f>
        <v>-</v>
      </c>
      <c r="O341" s="61" t="str">
        <f>IF($J341=O$3,IF(O$3&gt;$I340,"-",ROUNDUP(Ld_cal($B340, $C340, $D340, $G340,$E340, $F340, $H340, O$3)*1.3,0)),"-")</f>
        <v>-</v>
      </c>
      <c r="P341" s="61" t="str">
        <f>IF($J341=P$3,IF(P$3&gt;$I340,"-",ROUNDUP(Ld_cal($B340, $C340, $D340, $G340,$E340, $F340, $H340, P$3)*1.3,0)),"-")</f>
        <v>-</v>
      </c>
      <c r="Q341" s="61">
        <f>IF($J341=Q$3,IF(Q$3&gt;$I340,"-",ROUNDUP(Ld_cal($B340, $C340, $D340, $G340,$E340, $F340, $H340, Q$3)*1.3,0)),"-")</f>
        <v>105</v>
      </c>
      <c r="R341" s="61" t="str">
        <f>IF($J341=R$3,IF(R$3&gt;$I340,"-",ROUNDUP(Ld_cal($B340, $C340, $D340, $G340,$E340, $F340, $H340, R$3)*1.3,0)),"-")</f>
        <v>-</v>
      </c>
      <c r="S341" s="61" t="str">
        <f>IF($J341=S$3,IF(S$3&gt;$I340,"-",ROUNDUP(Ld_cal($B340, $C340, $D340, $G340,$E340, $F340, $H340, S$3)*1.3,0)),"-")</f>
        <v>-</v>
      </c>
      <c r="T341" s="61" t="str">
        <f>IF($J341=T$3,IF(T$3&gt;$I340,"-",ROUNDUP(Ld_cal($B340, $C340, $D340, $G340,$E340, $F340, $H340, T$3)*1.3,0)),"-")</f>
        <v>-</v>
      </c>
      <c r="U341" s="61" t="str">
        <f>IF($J341=U$3,IF(U$3&gt;$I340,"-",ROUNDUP(Ld_cal($B340, $C340, $D340, $G340,$E340, $F340, $H340, U$3)*1.3,0)),"-")</f>
        <v>-</v>
      </c>
      <c r="V341" s="61" t="str">
        <f>IF($J341=V$3,IF(V$3&gt;$I340,"-",ROUNDUP(Ld_cal($B340, $C340, $D340, $G340,$E340, $F340, $H340, V$3)*1.3,0)),"-")</f>
        <v>-</v>
      </c>
      <c r="W341" s="61" t="str">
        <f>IF($J341=W$3,IF(W$3&gt;$I340,"-",ROUNDUP(Ld_cal($B340, $C340, $D340, $G340,$E340, $F340, $H340, W$3)*1.3,0)),"-")</f>
        <v>-</v>
      </c>
      <c r="X341" s="61" t="str">
        <f>IF($J341=X$3,IF(X$3&gt;$I340,"-",ROUNDUP(Ld_cal($B340, $C340, $D340, $G340,$E340, $F340, $H340, X$3)*1.3,0)),"-")</f>
        <v>-</v>
      </c>
      <c r="Y341" s="61" t="str">
        <f>IF($J341=Y$3,IF(Y$3&gt;$I340,"-",ROUNDUP(Ld_cal($B340, $C340, $D340, $G340,$E340, $F340, $H340, Y$3)*1.3,0)),"-")</f>
        <v>-</v>
      </c>
      <c r="Z341" s="61" t="str">
        <f>IF($J341=Z$3,IF(Z$3&gt;$I340,"-",ROUNDUP(Ld_cal($B340, $C340, $D340, $G340,$E340, $F340, $H340, Z$3)*1.3,0)),"-")</f>
        <v>-</v>
      </c>
      <c r="AA341" s="61" t="str">
        <f>IF($J341=AA$3,IF(AA$3&gt;$I340,"-",ROUNDUP(Ld_cal($B340, $C340, $D340, $G340,$E340, $F340, $H340, AA$3)*1.3,0)),"-")</f>
        <v>-</v>
      </c>
      <c r="AB341" s="61" t="str">
        <f>IF($J341=AB$3,IF(AB$3&gt;$I340,"-",ROUNDUP(Ld_cal($B340, $C340, $D340, $G340,$E340, $F340, $H340, AB$3)*1.3,0)),"-")</f>
        <v>-</v>
      </c>
      <c r="AC341" s="61" t="str">
        <f>IF($J341=AC$3,IF(AC$3&gt;$I340,"-",ROUNDUP(Ld_cal($B340, $C340, $D340, $G340,$E340, $F340, $H340, AC$3)*1.3,0)),"-")</f>
        <v>-</v>
      </c>
      <c r="AD341" s="61">
        <f t="shared" ref="AD341" si="333">IF(J341&gt;I340,"依標準圖",MAX(L341:AC341))</f>
        <v>105</v>
      </c>
    </row>
    <row r="342" spans="1:30">
      <c r="A342" s="105" t="s">
        <v>215</v>
      </c>
      <c r="B342" s="107">
        <v>120</v>
      </c>
      <c r="C342" s="108">
        <v>7.5</v>
      </c>
      <c r="D342" s="107">
        <v>4200</v>
      </c>
      <c r="E342" s="109">
        <v>16</v>
      </c>
      <c r="F342" s="110">
        <v>14</v>
      </c>
      <c r="G342" s="107">
        <v>350</v>
      </c>
      <c r="H342" s="109">
        <v>32</v>
      </c>
      <c r="I342" s="111">
        <f>ROUNDDOWN(($B342-2*$C342-2*$E342/10-$H342/10)/(($D$1+1)*$H342/10),0)+1</f>
        <v>16</v>
      </c>
      <c r="J342" s="62">
        <v>6</v>
      </c>
      <c r="K342" s="40" t="s">
        <v>30</v>
      </c>
      <c r="L342" s="63" t="str">
        <f>IF($J342=L$3,IF(L$3&gt;$I342,"-",ROUNDUP(Ld_cal($B342, $C342, $D342, $G342,$E342, $F342, $H342, L$3)*1.3*1.3,0)),"-")</f>
        <v>-</v>
      </c>
      <c r="M342" s="63" t="str">
        <f>IF($J342=M$3,IF(M$3&gt;$I342,"-",ROUNDUP(Ld_cal($B342, $C342, $D342, $G342,$E342, $F342, $H342, M$3)*1.3*1.3,0)),"-")</f>
        <v>-</v>
      </c>
      <c r="N342" s="63" t="str">
        <f>IF($J342=N$3,IF(N$3&gt;$I342,"-",ROUNDUP(Ld_cal($B342, $C342, $D342, $G342,$E342, $F342, $H342, N$3)*1.3*1.3,0)),"-")</f>
        <v>-</v>
      </c>
      <c r="O342" s="63">
        <f>IF($J342=O$3,IF(O$3&gt;$I342,"-",ROUNDUP(Ld_cal($B342, $C342, $D342, $G342,$E342, $F342, $H342, O$3)*1.3*1.3,0)),"-")</f>
        <v>136</v>
      </c>
      <c r="P342" s="63" t="str">
        <f>IF($J342=P$3,IF(P$3&gt;$I342,"-",ROUNDUP(Ld_cal($B342, $C342, $D342, $G342,$E342, $F342, $H342, P$3)*1.3*1.3,0)),"-")</f>
        <v>-</v>
      </c>
      <c r="Q342" s="63" t="str">
        <f>IF($J342=Q$3,IF(Q$3&gt;$I342,"-",ROUNDUP(Ld_cal($B342, $C342, $D342, $G342,$E342, $F342, $H342, Q$3)*1.3*1.3,0)),"-")</f>
        <v>-</v>
      </c>
      <c r="R342" s="63" t="str">
        <f>IF($J342=R$3,IF(R$3&gt;$I342,"-",ROUNDUP(Ld_cal($B342, $C342, $D342, $G342,$E342, $F342, $H342, R$3)*1.3*1.3,0)),"-")</f>
        <v>-</v>
      </c>
      <c r="S342" s="63" t="str">
        <f>IF($J342=S$3,IF(S$3&gt;$I342,"-",ROUNDUP(Ld_cal($B342, $C342, $D342, $G342,$E342, $F342, $H342, S$3)*1.3*1.3,0)),"-")</f>
        <v>-</v>
      </c>
      <c r="T342" s="63" t="str">
        <f>IF($J342=T$3,IF(T$3&gt;$I342,"-",ROUNDUP(Ld_cal($B342, $C342, $D342, $G342,$E342, $F342, $H342, T$3)*1.3*1.3,0)),"-")</f>
        <v>-</v>
      </c>
      <c r="U342" s="63" t="str">
        <f>IF($J342=U$3,IF(U$3&gt;$I342,"-",ROUNDUP(Ld_cal($B342, $C342, $D342, $G342,$E342, $F342, $H342, U$3)*1.3*1.3,0)),"-")</f>
        <v>-</v>
      </c>
      <c r="V342" s="63" t="str">
        <f>IF($J342=V$3,IF(V$3&gt;$I342,"-",ROUNDUP(Ld_cal($B342, $C342, $D342, $G342,$E342, $F342, $H342, V$3)*1.3*1.3,0)),"-")</f>
        <v>-</v>
      </c>
      <c r="W342" s="63" t="str">
        <f>IF($J342=W$3,IF(W$3&gt;$I342,"-",ROUNDUP(Ld_cal($B342, $C342, $D342, $G342,$E342, $F342, $H342, W$3)*1.3*1.3,0)),"-")</f>
        <v>-</v>
      </c>
      <c r="X342" s="63" t="str">
        <f>IF($J342=X$3,IF(X$3&gt;$I342,"-",ROUNDUP(Ld_cal($B342, $C342, $D342, $G342,$E342, $F342, $H342, X$3)*1.3*1.3,0)),"-")</f>
        <v>-</v>
      </c>
      <c r="Y342" s="63" t="str">
        <f>IF($J342=Y$3,IF(Y$3&gt;$I342,"-",ROUNDUP(Ld_cal($B342, $C342, $D342, $G342,$E342, $F342, $H342, Y$3)*1.3*1.3,0)),"-")</f>
        <v>-</v>
      </c>
      <c r="Z342" s="63" t="str">
        <f>IF($J342=Z$3,IF(Z$3&gt;$I342,"-",ROUNDUP(Ld_cal($B342, $C342, $D342, $G342,$E342, $F342, $H342, Z$3)*1.3*1.3,0)),"-")</f>
        <v>-</v>
      </c>
      <c r="AA342" s="63" t="str">
        <f>IF($J342=AA$3,IF(AA$3&gt;$I342,"-",ROUNDUP(Ld_cal($B342, $C342, $D342, $G342,$E342, $F342, $H342, AA$3)*1.3*1.3,0)),"-")</f>
        <v>-</v>
      </c>
      <c r="AB342" s="63" t="str">
        <f>IF($J342=AB$3,IF(AB$3&gt;$I342,"-",ROUNDUP(Ld_cal($B342, $C342, $D342, $G342,$E342, $F342, $H342, AB$3)*1.3*1.3,0)),"-")</f>
        <v>-</v>
      </c>
      <c r="AC342" s="63" t="str">
        <f>IF($J342=AC$3,IF(AC$3&gt;$I342,"-",ROUNDUP(Ld_cal($B342, $C342, $D342, $G342,$E342, $F342, $H342, AC$3)*1.3*1.3,0)),"-")</f>
        <v>-</v>
      </c>
      <c r="AD342" s="63">
        <f t="shared" ref="AD342" si="334">IF(J342&gt;I342,"依標準圖",MAX(L342:AC342))</f>
        <v>136</v>
      </c>
    </row>
    <row r="343" spans="1:30">
      <c r="A343" s="106"/>
      <c r="B343" s="107"/>
      <c r="C343" s="108"/>
      <c r="D343" s="107"/>
      <c r="E343" s="109"/>
      <c r="F343" s="110"/>
      <c r="G343" s="107"/>
      <c r="H343" s="109"/>
      <c r="I343" s="111"/>
      <c r="J343" s="62">
        <v>11</v>
      </c>
      <c r="K343" s="40" t="s">
        <v>29</v>
      </c>
      <c r="L343" s="63" t="str">
        <f>IF($J343=L$3,IF(L$3&gt;$I342,"-",ROUNDUP(Ld_cal($B342, $C342, $D342, $G342,$E342, $F342, $H342, L$3)*1.3,0)),"-")</f>
        <v>-</v>
      </c>
      <c r="M343" s="63" t="str">
        <f>IF($J343=M$3,IF(M$3&gt;$I342,"-",ROUNDUP(Ld_cal($B342, $C342, $D342, $G342,$E342, $F342, $H342, M$3)*1.3,0)),"-")</f>
        <v>-</v>
      </c>
      <c r="N343" s="63" t="str">
        <f>IF($J343=N$3,IF(N$3&gt;$I342,"-",ROUNDUP(Ld_cal($B342, $C342, $D342, $G342,$E342, $F342, $H342, N$3)*1.3,0)),"-")</f>
        <v>-</v>
      </c>
      <c r="O343" s="63" t="str">
        <f>IF($J343=O$3,IF(O$3&gt;$I342,"-",ROUNDUP(Ld_cal($B342, $C342, $D342, $G342,$E342, $F342, $H342, O$3)*1.3,0)),"-")</f>
        <v>-</v>
      </c>
      <c r="P343" s="63" t="str">
        <f>IF($J343=P$3,IF(P$3&gt;$I342,"-",ROUNDUP(Ld_cal($B342, $C342, $D342, $G342,$E342, $F342, $H342, P$3)*1.3,0)),"-")</f>
        <v>-</v>
      </c>
      <c r="Q343" s="63" t="str">
        <f>IF($J343=Q$3,IF(Q$3&gt;$I342,"-",ROUNDUP(Ld_cal($B342, $C342, $D342, $G342,$E342, $F342, $H342, Q$3)*1.3,0)),"-")</f>
        <v>-</v>
      </c>
      <c r="R343" s="63" t="str">
        <f>IF($J343=R$3,IF(R$3&gt;$I342,"-",ROUNDUP(Ld_cal($B342, $C342, $D342, $G342,$E342, $F342, $H342, R$3)*1.3,0)),"-")</f>
        <v>-</v>
      </c>
      <c r="S343" s="63" t="str">
        <f>IF($J343=S$3,IF(S$3&gt;$I342,"-",ROUNDUP(Ld_cal($B342, $C342, $D342, $G342,$E342, $F342, $H342, S$3)*1.3,0)),"-")</f>
        <v>-</v>
      </c>
      <c r="T343" s="63">
        <f>IF($J343=T$3,IF(T$3&gt;$I342,"-",ROUNDUP(Ld_cal($B342, $C342, $D342, $G342,$E342, $F342, $H342, T$3)*1.3,0)),"-")</f>
        <v>141</v>
      </c>
      <c r="U343" s="63" t="str">
        <f>IF($J343=U$3,IF(U$3&gt;$I342,"-",ROUNDUP(Ld_cal($B342, $C342, $D342, $G342,$E342, $F342, $H342, U$3)*1.3,0)),"-")</f>
        <v>-</v>
      </c>
      <c r="V343" s="63" t="str">
        <f>IF($J343=V$3,IF(V$3&gt;$I342,"-",ROUNDUP(Ld_cal($B342, $C342, $D342, $G342,$E342, $F342, $H342, V$3)*1.3,0)),"-")</f>
        <v>-</v>
      </c>
      <c r="W343" s="63" t="str">
        <f>IF($J343=W$3,IF(W$3&gt;$I342,"-",ROUNDUP(Ld_cal($B342, $C342, $D342, $G342,$E342, $F342, $H342, W$3)*1.3,0)),"-")</f>
        <v>-</v>
      </c>
      <c r="X343" s="63" t="str">
        <f>IF($J343=X$3,IF(X$3&gt;$I342,"-",ROUNDUP(Ld_cal($B342, $C342, $D342, $G342,$E342, $F342, $H342, X$3)*1.3,0)),"-")</f>
        <v>-</v>
      </c>
      <c r="Y343" s="63" t="str">
        <f>IF($J343=Y$3,IF(Y$3&gt;$I342,"-",ROUNDUP(Ld_cal($B342, $C342, $D342, $G342,$E342, $F342, $H342, Y$3)*1.3,0)),"-")</f>
        <v>-</v>
      </c>
      <c r="Z343" s="63" t="str">
        <f>IF($J343=Z$3,IF(Z$3&gt;$I342,"-",ROUNDUP(Ld_cal($B342, $C342, $D342, $G342,$E342, $F342, $H342, Z$3)*1.3,0)),"-")</f>
        <v>-</v>
      </c>
      <c r="AA343" s="63" t="str">
        <f>IF($J343=AA$3,IF(AA$3&gt;$I342,"-",ROUNDUP(Ld_cal($B342, $C342, $D342, $G342,$E342, $F342, $H342, AA$3)*1.3,0)),"-")</f>
        <v>-</v>
      </c>
      <c r="AB343" s="63" t="str">
        <f>IF($J343=AB$3,IF(AB$3&gt;$I342,"-",ROUNDUP(Ld_cal($B342, $C342, $D342, $G342,$E342, $F342, $H342, AB$3)*1.3,0)),"-")</f>
        <v>-</v>
      </c>
      <c r="AC343" s="63" t="str">
        <f>IF($J343=AC$3,IF(AC$3&gt;$I342,"-",ROUNDUP(Ld_cal($B342, $C342, $D342, $G342,$E342, $F342, $H342, AC$3)*1.3,0)),"-")</f>
        <v>-</v>
      </c>
      <c r="AD343" s="63">
        <f t="shared" ref="AD343" si="335">IF(J343&gt;I342,"依標準圖",MAX(L343:AC343))</f>
        <v>141</v>
      </c>
    </row>
    <row r="344" spans="1:30">
      <c r="A344" s="97" t="s">
        <v>216</v>
      </c>
      <c r="B344" s="99">
        <v>120</v>
      </c>
      <c r="C344" s="100">
        <v>7.5</v>
      </c>
      <c r="D344" s="101">
        <v>4200</v>
      </c>
      <c r="E344" s="102">
        <v>16</v>
      </c>
      <c r="F344" s="103">
        <v>25</v>
      </c>
      <c r="G344" s="101">
        <v>350</v>
      </c>
      <c r="H344" s="102">
        <v>32</v>
      </c>
      <c r="I344" s="104">
        <f>ROUNDDOWN(($B344-2*$C344-2*$E344/10-$H344/10)/(($D$1+1)*$H344/10),0)+1</f>
        <v>16</v>
      </c>
      <c r="J344" s="60">
        <v>5</v>
      </c>
      <c r="K344" s="64" t="s">
        <v>30</v>
      </c>
      <c r="L344" s="61" t="str">
        <f>IF($J344=L$3,IF(L$3&gt;$I344,"-",ROUNDUP(Ld_cal($B344, $C344, $D344, $G344,$E344, $F344, $H344, L$3)*1.3*1.3,0)),"-")</f>
        <v>-</v>
      </c>
      <c r="M344" s="61" t="str">
        <f>IF($J344=M$3,IF(M$3&gt;$I344,"-",ROUNDUP(Ld_cal($B344, $C344, $D344, $G344,$E344, $F344, $H344, M$3)*1.3*1.3,0)),"-")</f>
        <v>-</v>
      </c>
      <c r="N344" s="61">
        <f>IF($J344=N$3,IF(N$3&gt;$I344,"-",ROUNDUP(Ld_cal($B344, $C344, $D344, $G344,$E344, $F344, $H344, N$3)*1.3*1.3,0)),"-")</f>
        <v>136</v>
      </c>
      <c r="O344" s="61" t="str">
        <f>IF($J344=O$3,IF(O$3&gt;$I344,"-",ROUNDUP(Ld_cal($B344, $C344, $D344, $G344,$E344, $F344, $H344, O$3)*1.3*1.3,0)),"-")</f>
        <v>-</v>
      </c>
      <c r="P344" s="61" t="str">
        <f>IF($J344=P$3,IF(P$3&gt;$I344,"-",ROUNDUP(Ld_cal($B344, $C344, $D344, $G344,$E344, $F344, $H344, P$3)*1.3*1.3,0)),"-")</f>
        <v>-</v>
      </c>
      <c r="Q344" s="61" t="str">
        <f>IF($J344=Q$3,IF(Q$3&gt;$I344,"-",ROUNDUP(Ld_cal($B344, $C344, $D344, $G344,$E344, $F344, $H344, Q$3)*1.3*1.3,0)),"-")</f>
        <v>-</v>
      </c>
      <c r="R344" s="61" t="str">
        <f>IF($J344=R$3,IF(R$3&gt;$I344,"-",ROUNDUP(Ld_cal($B344, $C344, $D344, $G344,$E344, $F344, $H344, R$3)*1.3*1.3,0)),"-")</f>
        <v>-</v>
      </c>
      <c r="S344" s="61" t="str">
        <f>IF($J344=S$3,IF(S$3&gt;$I344,"-",ROUNDUP(Ld_cal($B344, $C344, $D344, $G344,$E344, $F344, $H344, S$3)*1.3*1.3,0)),"-")</f>
        <v>-</v>
      </c>
      <c r="T344" s="61" t="str">
        <f>IF($J344=T$3,IF(T$3&gt;$I344,"-",ROUNDUP(Ld_cal($B344, $C344, $D344, $G344,$E344, $F344, $H344, T$3)*1.3*1.3,0)),"-")</f>
        <v>-</v>
      </c>
      <c r="U344" s="61" t="str">
        <f>IF($J344=U$3,IF(U$3&gt;$I344,"-",ROUNDUP(Ld_cal($B344, $C344, $D344, $G344,$E344, $F344, $H344, U$3)*1.3*1.3,0)),"-")</f>
        <v>-</v>
      </c>
      <c r="V344" s="61" t="str">
        <f>IF($J344=V$3,IF(V$3&gt;$I344,"-",ROUNDUP(Ld_cal($B344, $C344, $D344, $G344,$E344, $F344, $H344, V$3)*1.3*1.3,0)),"-")</f>
        <v>-</v>
      </c>
      <c r="W344" s="61" t="str">
        <f>IF($J344=W$3,IF(W$3&gt;$I344,"-",ROUNDUP(Ld_cal($B344, $C344, $D344, $G344,$E344, $F344, $H344, W$3)*1.3*1.3,0)),"-")</f>
        <v>-</v>
      </c>
      <c r="X344" s="61" t="str">
        <f>IF($J344=X$3,IF(X$3&gt;$I344,"-",ROUNDUP(Ld_cal($B344, $C344, $D344, $G344,$E344, $F344, $H344, X$3)*1.3*1.3,0)),"-")</f>
        <v>-</v>
      </c>
      <c r="Y344" s="61" t="str">
        <f>IF($J344=Y$3,IF(Y$3&gt;$I344,"-",ROUNDUP(Ld_cal($B344, $C344, $D344, $G344,$E344, $F344, $H344, Y$3)*1.3*1.3,0)),"-")</f>
        <v>-</v>
      </c>
      <c r="Z344" s="61" t="str">
        <f>IF($J344=Z$3,IF(Z$3&gt;$I344,"-",ROUNDUP(Ld_cal($B344, $C344, $D344, $G344,$E344, $F344, $H344, Z$3)*1.3*1.3,0)),"-")</f>
        <v>-</v>
      </c>
      <c r="AA344" s="61" t="str">
        <f>IF($J344=AA$3,IF(AA$3&gt;$I344,"-",ROUNDUP(Ld_cal($B344, $C344, $D344, $G344,$E344, $F344, $H344, AA$3)*1.3*1.3,0)),"-")</f>
        <v>-</v>
      </c>
      <c r="AB344" s="61" t="str">
        <f>IF($J344=AB$3,IF(AB$3&gt;$I344,"-",ROUNDUP(Ld_cal($B344, $C344, $D344, $G344,$E344, $F344, $H344, AB$3)*1.3*1.3,0)),"-")</f>
        <v>-</v>
      </c>
      <c r="AC344" s="61" t="str">
        <f>IF($J344=AC$3,IF(AC$3&gt;$I344,"-",ROUNDUP(Ld_cal($B344, $C344, $D344, $G344,$E344, $F344, $H344, AC$3)*1.3*1.3,0)),"-")</f>
        <v>-</v>
      </c>
      <c r="AD344" s="61">
        <f t="shared" ref="AD344" si="336">IF(J344&gt;I344,"依標準圖",MAX(L344:AC344))</f>
        <v>136</v>
      </c>
    </row>
    <row r="345" spans="1:30">
      <c r="A345" s="98"/>
      <c r="B345" s="99"/>
      <c r="C345" s="100"/>
      <c r="D345" s="101"/>
      <c r="E345" s="102"/>
      <c r="F345" s="103"/>
      <c r="G345" s="101"/>
      <c r="H345" s="102"/>
      <c r="I345" s="104"/>
      <c r="J345" s="60">
        <v>14</v>
      </c>
      <c r="K345" s="64" t="s">
        <v>29</v>
      </c>
      <c r="L345" s="61" t="str">
        <f>IF($J345=L$3,IF(L$3&gt;$I344,"-",ROUNDUP(Ld_cal($B344, $C344, $D344, $G344,$E344, $F344, $H344, L$3)*1.3,0)),"-")</f>
        <v>-</v>
      </c>
      <c r="M345" s="61" t="str">
        <f>IF($J345=M$3,IF(M$3&gt;$I344,"-",ROUNDUP(Ld_cal($B344, $C344, $D344, $G344,$E344, $F344, $H344, M$3)*1.3,0)),"-")</f>
        <v>-</v>
      </c>
      <c r="N345" s="61" t="str">
        <f>IF($J345=N$3,IF(N$3&gt;$I344,"-",ROUNDUP(Ld_cal($B344, $C344, $D344, $G344,$E344, $F344, $H344, N$3)*1.3,0)),"-")</f>
        <v>-</v>
      </c>
      <c r="O345" s="61" t="str">
        <f>IF($J345=O$3,IF(O$3&gt;$I344,"-",ROUNDUP(Ld_cal($B344, $C344, $D344, $G344,$E344, $F344, $H344, O$3)*1.3,0)),"-")</f>
        <v>-</v>
      </c>
      <c r="P345" s="61" t="str">
        <f>IF($J345=P$3,IF(P$3&gt;$I344,"-",ROUNDUP(Ld_cal($B344, $C344, $D344, $G344,$E344, $F344, $H344, P$3)*1.3,0)),"-")</f>
        <v>-</v>
      </c>
      <c r="Q345" s="61" t="str">
        <f>IF($J345=Q$3,IF(Q$3&gt;$I344,"-",ROUNDUP(Ld_cal($B344, $C344, $D344, $G344,$E344, $F344, $H344, Q$3)*1.3,0)),"-")</f>
        <v>-</v>
      </c>
      <c r="R345" s="61" t="str">
        <f>IF($J345=R$3,IF(R$3&gt;$I344,"-",ROUNDUP(Ld_cal($B344, $C344, $D344, $G344,$E344, $F344, $H344, R$3)*1.3,0)),"-")</f>
        <v>-</v>
      </c>
      <c r="S345" s="61" t="str">
        <f>IF($J345=S$3,IF(S$3&gt;$I344,"-",ROUNDUP(Ld_cal($B344, $C344, $D344, $G344,$E344, $F344, $H344, S$3)*1.3,0)),"-")</f>
        <v>-</v>
      </c>
      <c r="T345" s="61" t="str">
        <f>IF($J345=T$3,IF(T$3&gt;$I344,"-",ROUNDUP(Ld_cal($B344, $C344, $D344, $G344,$E344, $F344, $H344, T$3)*1.3,0)),"-")</f>
        <v>-</v>
      </c>
      <c r="U345" s="61" t="str">
        <f>IF($J345=U$3,IF(U$3&gt;$I344,"-",ROUNDUP(Ld_cal($B344, $C344, $D344, $G344,$E344, $F344, $H344, U$3)*1.3,0)),"-")</f>
        <v>-</v>
      </c>
      <c r="V345" s="61" t="str">
        <f>IF($J345=V$3,IF(V$3&gt;$I344,"-",ROUNDUP(Ld_cal($B344, $C344, $D344, $G344,$E344, $F344, $H344, V$3)*1.3,0)),"-")</f>
        <v>-</v>
      </c>
      <c r="W345" s="61">
        <f>IF($J345=W$3,IF(W$3&gt;$I344,"-",ROUNDUP(Ld_cal($B344, $C344, $D344, $G344,$E344, $F344, $H344, W$3)*1.3,0)),"-")</f>
        <v>197</v>
      </c>
      <c r="X345" s="61" t="str">
        <f>IF($J345=X$3,IF(X$3&gt;$I344,"-",ROUNDUP(Ld_cal($B344, $C344, $D344, $G344,$E344, $F344, $H344, X$3)*1.3,0)),"-")</f>
        <v>-</v>
      </c>
      <c r="Y345" s="61" t="str">
        <f>IF($J345=Y$3,IF(Y$3&gt;$I344,"-",ROUNDUP(Ld_cal($B344, $C344, $D344, $G344,$E344, $F344, $H344, Y$3)*1.3,0)),"-")</f>
        <v>-</v>
      </c>
      <c r="Z345" s="61" t="str">
        <f>IF($J345=Z$3,IF(Z$3&gt;$I344,"-",ROUNDUP(Ld_cal($B344, $C344, $D344, $G344,$E344, $F344, $H344, Z$3)*1.3,0)),"-")</f>
        <v>-</v>
      </c>
      <c r="AA345" s="61" t="str">
        <f>IF($J345=AA$3,IF(AA$3&gt;$I344,"-",ROUNDUP(Ld_cal($B344, $C344, $D344, $G344,$E344, $F344, $H344, AA$3)*1.3,0)),"-")</f>
        <v>-</v>
      </c>
      <c r="AB345" s="61" t="str">
        <f>IF($J345=AB$3,IF(AB$3&gt;$I344,"-",ROUNDUP(Ld_cal($B344, $C344, $D344, $G344,$E344, $F344, $H344, AB$3)*1.3,0)),"-")</f>
        <v>-</v>
      </c>
      <c r="AC345" s="61" t="str">
        <f>IF($J345=AC$3,IF(AC$3&gt;$I344,"-",ROUNDUP(Ld_cal($B344, $C344, $D344, $G344,$E344, $F344, $H344, AC$3)*1.3,0)),"-")</f>
        <v>-</v>
      </c>
      <c r="AD345" s="61">
        <f t="shared" ref="AD345" si="337">IF(J345&gt;I344,"依標準圖",MAX(L345:AC345))</f>
        <v>197</v>
      </c>
    </row>
    <row r="346" spans="1:30">
      <c r="A346" s="105" t="s">
        <v>217</v>
      </c>
      <c r="B346" s="107">
        <v>150</v>
      </c>
      <c r="C346" s="108">
        <v>7.5</v>
      </c>
      <c r="D346" s="107">
        <v>4200</v>
      </c>
      <c r="E346" s="109">
        <v>16</v>
      </c>
      <c r="F346" s="110">
        <v>7</v>
      </c>
      <c r="G346" s="107">
        <v>350</v>
      </c>
      <c r="H346" s="109">
        <v>32</v>
      </c>
      <c r="I346" s="111">
        <f>ROUNDDOWN(($B346-2*$C346-2*$E346/10-$H346/10)/(($D$1+1)*$H346/10),0)+1</f>
        <v>21</v>
      </c>
      <c r="J346" s="62">
        <v>19</v>
      </c>
      <c r="K346" s="40" t="s">
        <v>30</v>
      </c>
      <c r="L346" s="63" t="str">
        <f>IF($J346=L$3,IF(L$3&gt;$I346,"-",ROUNDUP(Ld_cal($B346, $C346, $D346, $G346,$E346, $F346, $H346, L$3)*1.3*1.3,0)),"-")</f>
        <v>-</v>
      </c>
      <c r="M346" s="63" t="str">
        <f>IF($J346=M$3,IF(M$3&gt;$I346,"-",ROUNDUP(Ld_cal($B346, $C346, $D346, $G346,$E346, $F346, $H346, M$3)*1.3*1.3,0)),"-")</f>
        <v>-</v>
      </c>
      <c r="N346" s="63" t="str">
        <f>IF($J346=N$3,IF(N$3&gt;$I346,"-",ROUNDUP(Ld_cal($B346, $C346, $D346, $G346,$E346, $F346, $H346, N$3)*1.3*1.3,0)),"-")</f>
        <v>-</v>
      </c>
      <c r="O346" s="63" t="str">
        <f>IF($J346=O$3,IF(O$3&gt;$I346,"-",ROUNDUP(Ld_cal($B346, $C346, $D346, $G346,$E346, $F346, $H346, O$3)*1.3*1.3,0)),"-")</f>
        <v>-</v>
      </c>
      <c r="P346" s="63" t="str">
        <f>IF($J346=P$3,IF(P$3&gt;$I346,"-",ROUNDUP(Ld_cal($B346, $C346, $D346, $G346,$E346, $F346, $H346, P$3)*1.3*1.3,0)),"-")</f>
        <v>-</v>
      </c>
      <c r="Q346" s="63" t="str">
        <f>IF($J346=Q$3,IF(Q$3&gt;$I346,"-",ROUNDUP(Ld_cal($B346, $C346, $D346, $G346,$E346, $F346, $H346, Q$3)*1.3*1.3,0)),"-")</f>
        <v>-</v>
      </c>
      <c r="R346" s="63" t="str">
        <f>IF($J346=R$3,IF(R$3&gt;$I346,"-",ROUNDUP(Ld_cal($B346, $C346, $D346, $G346,$E346, $F346, $H346, R$3)*1.3*1.3,0)),"-")</f>
        <v>-</v>
      </c>
      <c r="S346" s="63" t="str">
        <f>IF($J346=S$3,IF(S$3&gt;$I346,"-",ROUNDUP(Ld_cal($B346, $C346, $D346, $G346,$E346, $F346, $H346, S$3)*1.3*1.3,0)),"-")</f>
        <v>-</v>
      </c>
      <c r="T346" s="63" t="str">
        <f>IF($J346=T$3,IF(T$3&gt;$I346,"-",ROUNDUP(Ld_cal($B346, $C346, $D346, $G346,$E346, $F346, $H346, T$3)*1.3*1.3,0)),"-")</f>
        <v>-</v>
      </c>
      <c r="U346" s="63" t="str">
        <f>IF($J346=U$3,IF(U$3&gt;$I346,"-",ROUNDUP(Ld_cal($B346, $C346, $D346, $G346,$E346, $F346, $H346, U$3)*1.3*1.3,0)),"-")</f>
        <v>-</v>
      </c>
      <c r="V346" s="63" t="str">
        <f>IF($J346=V$3,IF(V$3&gt;$I346,"-",ROUNDUP(Ld_cal($B346, $C346, $D346, $G346,$E346, $F346, $H346, V$3)*1.3*1.3,0)),"-")</f>
        <v>-</v>
      </c>
      <c r="W346" s="63" t="str">
        <f>IF($J346=W$3,IF(W$3&gt;$I346,"-",ROUNDUP(Ld_cal($B346, $C346, $D346, $G346,$E346, $F346, $H346, W$3)*1.3*1.3,0)),"-")</f>
        <v>-</v>
      </c>
      <c r="X346" s="63" t="str">
        <f>IF($J346=X$3,IF(X$3&gt;$I346,"-",ROUNDUP(Ld_cal($B346, $C346, $D346, $G346,$E346, $F346, $H346, X$3)*1.3*1.3,0)),"-")</f>
        <v>-</v>
      </c>
      <c r="Y346" s="63" t="str">
        <f>IF($J346=Y$3,IF(Y$3&gt;$I346,"-",ROUNDUP(Ld_cal($B346, $C346, $D346, $G346,$E346, $F346, $H346, Y$3)*1.3*1.3,0)),"-")</f>
        <v>-</v>
      </c>
      <c r="Z346" s="63" t="str">
        <f>IF($J346=Z$3,IF(Z$3&gt;$I346,"-",ROUNDUP(Ld_cal($B346, $C346, $D346, $G346,$E346, $F346, $H346, Z$3)*1.3*1.3,0)),"-")</f>
        <v>-</v>
      </c>
      <c r="AA346" s="63" t="str">
        <f>IF($J346=AA$3,IF(AA$3&gt;$I346,"-",ROUNDUP(Ld_cal($B346, $C346, $D346, $G346,$E346, $F346, $H346, AA$3)*1.3*1.3,0)),"-")</f>
        <v>-</v>
      </c>
      <c r="AB346" s="63">
        <f>IF($J346=AB$3,IF(AB$3&gt;$I346,"-",ROUNDUP(Ld_cal($B346, $C346, $D346, $G346,$E346, $F346, $H346, AB$3)*1.3*1.3,0)),"-")</f>
        <v>228</v>
      </c>
      <c r="AC346" s="63" t="str">
        <f>IF($J346=AC$3,IF(AC$3&gt;$I346,"-",ROUNDUP(Ld_cal($B346, $C346, $D346, $G346,$E346, $F346, $H346, AC$3)*1.3*1.3,0)),"-")</f>
        <v>-</v>
      </c>
      <c r="AD346" s="63">
        <f t="shared" ref="AD346" si="338">IF(J346&gt;I346,"依標準圖",MAX(L346:AC346))</f>
        <v>228</v>
      </c>
    </row>
    <row r="347" spans="1:30">
      <c r="A347" s="106"/>
      <c r="B347" s="107"/>
      <c r="C347" s="108"/>
      <c r="D347" s="107"/>
      <c r="E347" s="109"/>
      <c r="F347" s="110"/>
      <c r="G347" s="107"/>
      <c r="H347" s="109"/>
      <c r="I347" s="111"/>
      <c r="J347" s="62">
        <v>17</v>
      </c>
      <c r="K347" s="40" t="s">
        <v>29</v>
      </c>
      <c r="L347" s="63" t="str">
        <f>IF($J347=L$3,IF(L$3&gt;$I346,"-",ROUNDUP(Ld_cal($B346, $C346, $D346, $G346,$E346, $F346, $H346, L$3)*1.3,0)),"-")</f>
        <v>-</v>
      </c>
      <c r="M347" s="63" t="str">
        <f>IF($J347=M$3,IF(M$3&gt;$I346,"-",ROUNDUP(Ld_cal($B346, $C346, $D346, $G346,$E346, $F346, $H346, M$3)*1.3,0)),"-")</f>
        <v>-</v>
      </c>
      <c r="N347" s="63" t="str">
        <f>IF($J347=N$3,IF(N$3&gt;$I346,"-",ROUNDUP(Ld_cal($B346, $C346, $D346, $G346,$E346, $F346, $H346, N$3)*1.3,0)),"-")</f>
        <v>-</v>
      </c>
      <c r="O347" s="63" t="str">
        <f>IF($J347=O$3,IF(O$3&gt;$I346,"-",ROUNDUP(Ld_cal($B346, $C346, $D346, $G346,$E346, $F346, $H346, O$3)*1.3,0)),"-")</f>
        <v>-</v>
      </c>
      <c r="P347" s="63" t="str">
        <f>IF($J347=P$3,IF(P$3&gt;$I346,"-",ROUNDUP(Ld_cal($B346, $C346, $D346, $G346,$E346, $F346, $H346, P$3)*1.3,0)),"-")</f>
        <v>-</v>
      </c>
      <c r="Q347" s="63" t="str">
        <f>IF($J347=Q$3,IF(Q$3&gt;$I346,"-",ROUNDUP(Ld_cal($B346, $C346, $D346, $G346,$E346, $F346, $H346, Q$3)*1.3,0)),"-")</f>
        <v>-</v>
      </c>
      <c r="R347" s="63" t="str">
        <f>IF($J347=R$3,IF(R$3&gt;$I346,"-",ROUNDUP(Ld_cal($B346, $C346, $D346, $G346,$E346, $F346, $H346, R$3)*1.3,0)),"-")</f>
        <v>-</v>
      </c>
      <c r="S347" s="63" t="str">
        <f>IF($J347=S$3,IF(S$3&gt;$I346,"-",ROUNDUP(Ld_cal($B346, $C346, $D346, $G346,$E346, $F346, $H346, S$3)*1.3,0)),"-")</f>
        <v>-</v>
      </c>
      <c r="T347" s="63" t="str">
        <f>IF($J347=T$3,IF(T$3&gt;$I346,"-",ROUNDUP(Ld_cal($B346, $C346, $D346, $G346,$E346, $F346, $H346, T$3)*1.3,0)),"-")</f>
        <v>-</v>
      </c>
      <c r="U347" s="63" t="str">
        <f>IF($J347=U$3,IF(U$3&gt;$I346,"-",ROUNDUP(Ld_cal($B346, $C346, $D346, $G346,$E346, $F346, $H346, U$3)*1.3,0)),"-")</f>
        <v>-</v>
      </c>
      <c r="V347" s="63" t="str">
        <f>IF($J347=V$3,IF(V$3&gt;$I346,"-",ROUNDUP(Ld_cal($B346, $C346, $D346, $G346,$E346, $F346, $H346, V$3)*1.3,0)),"-")</f>
        <v>-</v>
      </c>
      <c r="W347" s="63" t="str">
        <f>IF($J347=W$3,IF(W$3&gt;$I346,"-",ROUNDUP(Ld_cal($B346, $C346, $D346, $G346,$E346, $F346, $H346, W$3)*1.3,0)),"-")</f>
        <v>-</v>
      </c>
      <c r="X347" s="63" t="str">
        <f>IF($J347=X$3,IF(X$3&gt;$I346,"-",ROUNDUP(Ld_cal($B346, $C346, $D346, $G346,$E346, $F346, $H346, X$3)*1.3,0)),"-")</f>
        <v>-</v>
      </c>
      <c r="Y347" s="63" t="str">
        <f>IF($J347=Y$3,IF(Y$3&gt;$I346,"-",ROUNDUP(Ld_cal($B346, $C346, $D346, $G346,$E346, $F346, $H346, Y$3)*1.3,0)),"-")</f>
        <v>-</v>
      </c>
      <c r="Z347" s="63">
        <f>IF($J347=Z$3,IF(Z$3&gt;$I346,"-",ROUNDUP(Ld_cal($B346, $C346, $D346, $G346,$E346, $F346, $H346, Z$3)*1.3,0)),"-")</f>
        <v>156</v>
      </c>
      <c r="AA347" s="63" t="str">
        <f>IF($J347=AA$3,IF(AA$3&gt;$I346,"-",ROUNDUP(Ld_cal($B346, $C346, $D346, $G346,$E346, $F346, $H346, AA$3)*1.3,0)),"-")</f>
        <v>-</v>
      </c>
      <c r="AB347" s="63" t="str">
        <f>IF($J347=AB$3,IF(AB$3&gt;$I346,"-",ROUNDUP(Ld_cal($B346, $C346, $D346, $G346,$E346, $F346, $H346, AB$3)*1.3,0)),"-")</f>
        <v>-</v>
      </c>
      <c r="AC347" s="63" t="str">
        <f>IF($J347=AC$3,IF(AC$3&gt;$I346,"-",ROUNDUP(Ld_cal($B346, $C346, $D346, $G346,$E346, $F346, $H346, AC$3)*1.3,0)),"-")</f>
        <v>-</v>
      </c>
      <c r="AD347" s="63">
        <f t="shared" ref="AD347" si="339">IF(J347&gt;I346,"依標準圖",MAX(L347:AC347))</f>
        <v>156</v>
      </c>
    </row>
    <row r="348" spans="1:30">
      <c r="A348" s="97" t="s">
        <v>218</v>
      </c>
      <c r="B348" s="99">
        <v>120</v>
      </c>
      <c r="C348" s="100">
        <v>7.5</v>
      </c>
      <c r="D348" s="101">
        <v>4200</v>
      </c>
      <c r="E348" s="102">
        <v>13</v>
      </c>
      <c r="F348" s="103">
        <v>20</v>
      </c>
      <c r="G348" s="101">
        <v>350</v>
      </c>
      <c r="H348" s="102">
        <v>32</v>
      </c>
      <c r="I348" s="104">
        <f>ROUNDDOWN(($B348-2*$C348-2*$E348/10-$H348/10)/(($D$1+1)*$H348/10),0)+1</f>
        <v>16</v>
      </c>
      <c r="J348" s="60">
        <v>10</v>
      </c>
      <c r="K348" s="64" t="s">
        <v>30</v>
      </c>
      <c r="L348" s="61" t="str">
        <f>IF($J348=L$3,IF(L$3&gt;$I348,"-",ROUNDUP(Ld_cal($B348, $C348, $D348, $G348,$E348, $F348, $H348, L$3)*1.3*1.3,0)),"-")</f>
        <v>-</v>
      </c>
      <c r="M348" s="61" t="str">
        <f>IF($J348=M$3,IF(M$3&gt;$I348,"-",ROUNDUP(Ld_cal($B348, $C348, $D348, $G348,$E348, $F348, $H348, M$3)*1.3*1.3,0)),"-")</f>
        <v>-</v>
      </c>
      <c r="N348" s="61" t="str">
        <f>IF($J348=N$3,IF(N$3&gt;$I348,"-",ROUNDUP(Ld_cal($B348, $C348, $D348, $G348,$E348, $F348, $H348, N$3)*1.3*1.3,0)),"-")</f>
        <v>-</v>
      </c>
      <c r="O348" s="61" t="str">
        <f>IF($J348=O$3,IF(O$3&gt;$I348,"-",ROUNDUP(Ld_cal($B348, $C348, $D348, $G348,$E348, $F348, $H348, O$3)*1.3*1.3,0)),"-")</f>
        <v>-</v>
      </c>
      <c r="P348" s="61" t="str">
        <f>IF($J348=P$3,IF(P$3&gt;$I348,"-",ROUNDUP(Ld_cal($B348, $C348, $D348, $G348,$E348, $F348, $H348, P$3)*1.3*1.3,0)),"-")</f>
        <v>-</v>
      </c>
      <c r="Q348" s="61" t="str">
        <f>IF($J348=Q$3,IF(Q$3&gt;$I348,"-",ROUNDUP(Ld_cal($B348, $C348, $D348, $G348,$E348, $F348, $H348, Q$3)*1.3*1.3,0)),"-")</f>
        <v>-</v>
      </c>
      <c r="R348" s="61" t="str">
        <f>IF($J348=R$3,IF(R$3&gt;$I348,"-",ROUNDUP(Ld_cal($B348, $C348, $D348, $G348,$E348, $F348, $H348, R$3)*1.3*1.3,0)),"-")</f>
        <v>-</v>
      </c>
      <c r="S348" s="61">
        <f>IF($J348=S$3,IF(S$3&gt;$I348,"-",ROUNDUP(Ld_cal($B348, $C348, $D348, $G348,$E348, $F348, $H348, S$3)*1.3*1.3,0)),"-")</f>
        <v>181</v>
      </c>
      <c r="T348" s="61" t="str">
        <f>IF($J348=T$3,IF(T$3&gt;$I348,"-",ROUNDUP(Ld_cal($B348, $C348, $D348, $G348,$E348, $F348, $H348, T$3)*1.3*1.3,0)),"-")</f>
        <v>-</v>
      </c>
      <c r="U348" s="61" t="str">
        <f>IF($J348=U$3,IF(U$3&gt;$I348,"-",ROUNDUP(Ld_cal($B348, $C348, $D348, $G348,$E348, $F348, $H348, U$3)*1.3*1.3,0)),"-")</f>
        <v>-</v>
      </c>
      <c r="V348" s="61" t="str">
        <f>IF($J348=V$3,IF(V$3&gt;$I348,"-",ROUNDUP(Ld_cal($B348, $C348, $D348, $G348,$E348, $F348, $H348, V$3)*1.3*1.3,0)),"-")</f>
        <v>-</v>
      </c>
      <c r="W348" s="61" t="str">
        <f>IF($J348=W$3,IF(W$3&gt;$I348,"-",ROUNDUP(Ld_cal($B348, $C348, $D348, $G348,$E348, $F348, $H348, W$3)*1.3*1.3,0)),"-")</f>
        <v>-</v>
      </c>
      <c r="X348" s="61" t="str">
        <f>IF($J348=X$3,IF(X$3&gt;$I348,"-",ROUNDUP(Ld_cal($B348, $C348, $D348, $G348,$E348, $F348, $H348, X$3)*1.3*1.3,0)),"-")</f>
        <v>-</v>
      </c>
      <c r="Y348" s="61" t="str">
        <f>IF($J348=Y$3,IF(Y$3&gt;$I348,"-",ROUNDUP(Ld_cal($B348, $C348, $D348, $G348,$E348, $F348, $H348, Y$3)*1.3*1.3,0)),"-")</f>
        <v>-</v>
      </c>
      <c r="Z348" s="61" t="str">
        <f>IF($J348=Z$3,IF(Z$3&gt;$I348,"-",ROUNDUP(Ld_cal($B348, $C348, $D348, $G348,$E348, $F348, $H348, Z$3)*1.3*1.3,0)),"-")</f>
        <v>-</v>
      </c>
      <c r="AA348" s="61" t="str">
        <f>IF($J348=AA$3,IF(AA$3&gt;$I348,"-",ROUNDUP(Ld_cal($B348, $C348, $D348, $G348,$E348, $F348, $H348, AA$3)*1.3*1.3,0)),"-")</f>
        <v>-</v>
      </c>
      <c r="AB348" s="61" t="str">
        <f>IF($J348=AB$3,IF(AB$3&gt;$I348,"-",ROUNDUP(Ld_cal($B348, $C348, $D348, $G348,$E348, $F348, $H348, AB$3)*1.3*1.3,0)),"-")</f>
        <v>-</v>
      </c>
      <c r="AC348" s="61" t="str">
        <f>IF($J348=AC$3,IF(AC$3&gt;$I348,"-",ROUNDUP(Ld_cal($B348, $C348, $D348, $G348,$E348, $F348, $H348, AC$3)*1.3*1.3,0)),"-")</f>
        <v>-</v>
      </c>
      <c r="AD348" s="61">
        <f t="shared" ref="AD348" si="340">IF(J348&gt;I348,"依標準圖",MAX(L348:AC348))</f>
        <v>181</v>
      </c>
    </row>
    <row r="349" spans="1:30">
      <c r="A349" s="98"/>
      <c r="B349" s="99"/>
      <c r="C349" s="100"/>
      <c r="D349" s="101"/>
      <c r="E349" s="102"/>
      <c r="F349" s="103"/>
      <c r="G349" s="101"/>
      <c r="H349" s="102"/>
      <c r="I349" s="104"/>
      <c r="J349" s="60">
        <v>11</v>
      </c>
      <c r="K349" s="64" t="s">
        <v>29</v>
      </c>
      <c r="L349" s="61" t="str">
        <f>IF($J349=L$3,IF(L$3&gt;$I348,"-",ROUNDUP(Ld_cal($B348, $C348, $D348, $G348,$E348, $F348, $H348, L$3)*1.3,0)),"-")</f>
        <v>-</v>
      </c>
      <c r="M349" s="61" t="str">
        <f>IF($J349=M$3,IF(M$3&gt;$I348,"-",ROUNDUP(Ld_cal($B348, $C348, $D348, $G348,$E348, $F348, $H348, M$3)*1.3,0)),"-")</f>
        <v>-</v>
      </c>
      <c r="N349" s="61" t="str">
        <f>IF($J349=N$3,IF(N$3&gt;$I348,"-",ROUNDUP(Ld_cal($B348, $C348, $D348, $G348,$E348, $F348, $H348, N$3)*1.3,0)),"-")</f>
        <v>-</v>
      </c>
      <c r="O349" s="61" t="str">
        <f>IF($J349=O$3,IF(O$3&gt;$I348,"-",ROUNDUP(Ld_cal($B348, $C348, $D348, $G348,$E348, $F348, $H348, O$3)*1.3,0)),"-")</f>
        <v>-</v>
      </c>
      <c r="P349" s="61" t="str">
        <f>IF($J349=P$3,IF(P$3&gt;$I348,"-",ROUNDUP(Ld_cal($B348, $C348, $D348, $G348,$E348, $F348, $H348, P$3)*1.3,0)),"-")</f>
        <v>-</v>
      </c>
      <c r="Q349" s="61" t="str">
        <f>IF($J349=Q$3,IF(Q$3&gt;$I348,"-",ROUNDUP(Ld_cal($B348, $C348, $D348, $G348,$E348, $F348, $H348, Q$3)*1.3,0)),"-")</f>
        <v>-</v>
      </c>
      <c r="R349" s="61" t="str">
        <f>IF($J349=R$3,IF(R$3&gt;$I348,"-",ROUNDUP(Ld_cal($B348, $C348, $D348, $G348,$E348, $F348, $H348, R$3)*1.3,0)),"-")</f>
        <v>-</v>
      </c>
      <c r="S349" s="61" t="str">
        <f>IF($J349=S$3,IF(S$3&gt;$I348,"-",ROUNDUP(Ld_cal($B348, $C348, $D348, $G348,$E348, $F348, $H348, S$3)*1.3,0)),"-")</f>
        <v>-</v>
      </c>
      <c r="T349" s="61">
        <f>IF($J349=T$3,IF(T$3&gt;$I348,"-",ROUNDUP(Ld_cal($B348, $C348, $D348, $G348,$E348, $F348, $H348, T$3)*1.3,0)),"-")</f>
        <v>154</v>
      </c>
      <c r="U349" s="61" t="str">
        <f>IF($J349=U$3,IF(U$3&gt;$I348,"-",ROUNDUP(Ld_cal($B348, $C348, $D348, $G348,$E348, $F348, $H348, U$3)*1.3,0)),"-")</f>
        <v>-</v>
      </c>
      <c r="V349" s="61" t="str">
        <f>IF($J349=V$3,IF(V$3&gt;$I348,"-",ROUNDUP(Ld_cal($B348, $C348, $D348, $G348,$E348, $F348, $H348, V$3)*1.3,0)),"-")</f>
        <v>-</v>
      </c>
      <c r="W349" s="61" t="str">
        <f>IF($J349=W$3,IF(W$3&gt;$I348,"-",ROUNDUP(Ld_cal($B348, $C348, $D348, $G348,$E348, $F348, $H348, W$3)*1.3,0)),"-")</f>
        <v>-</v>
      </c>
      <c r="X349" s="61" t="str">
        <f>IF($J349=X$3,IF(X$3&gt;$I348,"-",ROUNDUP(Ld_cal($B348, $C348, $D348, $G348,$E348, $F348, $H348, X$3)*1.3,0)),"-")</f>
        <v>-</v>
      </c>
      <c r="Y349" s="61" t="str">
        <f>IF($J349=Y$3,IF(Y$3&gt;$I348,"-",ROUNDUP(Ld_cal($B348, $C348, $D348, $G348,$E348, $F348, $H348, Y$3)*1.3,0)),"-")</f>
        <v>-</v>
      </c>
      <c r="Z349" s="61" t="str">
        <f>IF($J349=Z$3,IF(Z$3&gt;$I348,"-",ROUNDUP(Ld_cal($B348, $C348, $D348, $G348,$E348, $F348, $H348, Z$3)*1.3,0)),"-")</f>
        <v>-</v>
      </c>
      <c r="AA349" s="61" t="str">
        <f>IF($J349=AA$3,IF(AA$3&gt;$I348,"-",ROUNDUP(Ld_cal($B348, $C348, $D348, $G348,$E348, $F348, $H348, AA$3)*1.3,0)),"-")</f>
        <v>-</v>
      </c>
      <c r="AB349" s="61" t="str">
        <f>IF($J349=AB$3,IF(AB$3&gt;$I348,"-",ROUNDUP(Ld_cal($B348, $C348, $D348, $G348,$E348, $F348, $H348, AB$3)*1.3,0)),"-")</f>
        <v>-</v>
      </c>
      <c r="AC349" s="61" t="str">
        <f>IF($J349=AC$3,IF(AC$3&gt;$I348,"-",ROUNDUP(Ld_cal($B348, $C348, $D348, $G348,$E348, $F348, $H348, AC$3)*1.3,0)),"-")</f>
        <v>-</v>
      </c>
      <c r="AD349" s="61">
        <f t="shared" ref="AD349" si="341">IF(J349&gt;I348,"依標準圖",MAX(L349:AC349))</f>
        <v>154</v>
      </c>
    </row>
    <row r="350" spans="1:30">
      <c r="A350" s="105" t="s">
        <v>217</v>
      </c>
      <c r="B350" s="107">
        <v>150</v>
      </c>
      <c r="C350" s="108">
        <v>7.5</v>
      </c>
      <c r="D350" s="107">
        <v>4200</v>
      </c>
      <c r="E350" s="109">
        <v>16</v>
      </c>
      <c r="F350" s="110">
        <v>7</v>
      </c>
      <c r="G350" s="107">
        <v>350</v>
      </c>
      <c r="H350" s="109">
        <v>32</v>
      </c>
      <c r="I350" s="111">
        <f>ROUNDDOWN(($B350-2*$C350-2*$E350/10-$H350/10)/(($D$1+1)*$H350/10),0)+1</f>
        <v>21</v>
      </c>
      <c r="J350" s="62">
        <v>19</v>
      </c>
      <c r="K350" s="40" t="s">
        <v>30</v>
      </c>
      <c r="L350" s="63" t="str">
        <f>IF($J350=L$3,IF(L$3&gt;$I350,"-",ROUNDUP(Ld_cal($B350, $C350, $D350, $G350,$E350, $F350, $H350, L$3)*1.3*1.3,0)),"-")</f>
        <v>-</v>
      </c>
      <c r="M350" s="63" t="str">
        <f>IF($J350=M$3,IF(M$3&gt;$I350,"-",ROUNDUP(Ld_cal($B350, $C350, $D350, $G350,$E350, $F350, $H350, M$3)*1.3*1.3,0)),"-")</f>
        <v>-</v>
      </c>
      <c r="N350" s="63" t="str">
        <f>IF($J350=N$3,IF(N$3&gt;$I350,"-",ROUNDUP(Ld_cal($B350, $C350, $D350, $G350,$E350, $F350, $H350, N$3)*1.3*1.3,0)),"-")</f>
        <v>-</v>
      </c>
      <c r="O350" s="63" t="str">
        <f>IF($J350=O$3,IF(O$3&gt;$I350,"-",ROUNDUP(Ld_cal($B350, $C350, $D350, $G350,$E350, $F350, $H350, O$3)*1.3*1.3,0)),"-")</f>
        <v>-</v>
      </c>
      <c r="P350" s="63" t="str">
        <f>IF($J350=P$3,IF(P$3&gt;$I350,"-",ROUNDUP(Ld_cal($B350, $C350, $D350, $G350,$E350, $F350, $H350, P$3)*1.3*1.3,0)),"-")</f>
        <v>-</v>
      </c>
      <c r="Q350" s="63" t="str">
        <f>IF($J350=Q$3,IF(Q$3&gt;$I350,"-",ROUNDUP(Ld_cal($B350, $C350, $D350, $G350,$E350, $F350, $H350, Q$3)*1.3*1.3,0)),"-")</f>
        <v>-</v>
      </c>
      <c r="R350" s="63" t="str">
        <f>IF($J350=R$3,IF(R$3&gt;$I350,"-",ROUNDUP(Ld_cal($B350, $C350, $D350, $G350,$E350, $F350, $H350, R$3)*1.3*1.3,0)),"-")</f>
        <v>-</v>
      </c>
      <c r="S350" s="63" t="str">
        <f>IF($J350=S$3,IF(S$3&gt;$I350,"-",ROUNDUP(Ld_cal($B350, $C350, $D350, $G350,$E350, $F350, $H350, S$3)*1.3*1.3,0)),"-")</f>
        <v>-</v>
      </c>
      <c r="T350" s="63" t="str">
        <f>IF($J350=T$3,IF(T$3&gt;$I350,"-",ROUNDUP(Ld_cal($B350, $C350, $D350, $G350,$E350, $F350, $H350, T$3)*1.3*1.3,0)),"-")</f>
        <v>-</v>
      </c>
      <c r="U350" s="63" t="str">
        <f>IF($J350=U$3,IF(U$3&gt;$I350,"-",ROUNDUP(Ld_cal($B350, $C350, $D350, $G350,$E350, $F350, $H350, U$3)*1.3*1.3,0)),"-")</f>
        <v>-</v>
      </c>
      <c r="V350" s="63" t="str">
        <f>IF($J350=V$3,IF(V$3&gt;$I350,"-",ROUNDUP(Ld_cal($B350, $C350, $D350, $G350,$E350, $F350, $H350, V$3)*1.3*1.3,0)),"-")</f>
        <v>-</v>
      </c>
      <c r="W350" s="63" t="str">
        <f>IF($J350=W$3,IF(W$3&gt;$I350,"-",ROUNDUP(Ld_cal($B350, $C350, $D350, $G350,$E350, $F350, $H350, W$3)*1.3*1.3,0)),"-")</f>
        <v>-</v>
      </c>
      <c r="X350" s="63" t="str">
        <f>IF($J350=X$3,IF(X$3&gt;$I350,"-",ROUNDUP(Ld_cal($B350, $C350, $D350, $G350,$E350, $F350, $H350, X$3)*1.3*1.3,0)),"-")</f>
        <v>-</v>
      </c>
      <c r="Y350" s="63" t="str">
        <f>IF($J350=Y$3,IF(Y$3&gt;$I350,"-",ROUNDUP(Ld_cal($B350, $C350, $D350, $G350,$E350, $F350, $H350, Y$3)*1.3*1.3,0)),"-")</f>
        <v>-</v>
      </c>
      <c r="Z350" s="63" t="str">
        <f>IF($J350=Z$3,IF(Z$3&gt;$I350,"-",ROUNDUP(Ld_cal($B350, $C350, $D350, $G350,$E350, $F350, $H350, Z$3)*1.3*1.3,0)),"-")</f>
        <v>-</v>
      </c>
      <c r="AA350" s="63" t="str">
        <f>IF($J350=AA$3,IF(AA$3&gt;$I350,"-",ROUNDUP(Ld_cal($B350, $C350, $D350, $G350,$E350, $F350, $H350, AA$3)*1.3*1.3,0)),"-")</f>
        <v>-</v>
      </c>
      <c r="AB350" s="63">
        <f>IF($J350=AB$3,IF(AB$3&gt;$I350,"-",ROUNDUP(Ld_cal($B350, $C350, $D350, $G350,$E350, $F350, $H350, AB$3)*1.3*1.3,0)),"-")</f>
        <v>228</v>
      </c>
      <c r="AC350" s="63" t="str">
        <f>IF($J350=AC$3,IF(AC$3&gt;$I350,"-",ROUNDUP(Ld_cal($B350, $C350, $D350, $G350,$E350, $F350, $H350, AC$3)*1.3*1.3,0)),"-")</f>
        <v>-</v>
      </c>
      <c r="AD350" s="63">
        <f t="shared" ref="AD350" si="342">IF(J350&gt;I350,"依標準圖",MAX(L350:AC350))</f>
        <v>228</v>
      </c>
    </row>
    <row r="351" spans="1:30">
      <c r="A351" s="106"/>
      <c r="B351" s="107"/>
      <c r="C351" s="108"/>
      <c r="D351" s="107"/>
      <c r="E351" s="109"/>
      <c r="F351" s="110"/>
      <c r="G351" s="107"/>
      <c r="H351" s="109"/>
      <c r="I351" s="111"/>
      <c r="J351" s="62">
        <v>17</v>
      </c>
      <c r="K351" s="40" t="s">
        <v>29</v>
      </c>
      <c r="L351" s="63" t="str">
        <f>IF($J351=L$3,IF(L$3&gt;$I350,"-",ROUNDUP(Ld_cal($B350, $C350, $D350, $G350,$E350, $F350, $H350, L$3)*1.3,0)),"-")</f>
        <v>-</v>
      </c>
      <c r="M351" s="63" t="str">
        <f>IF($J351=M$3,IF(M$3&gt;$I350,"-",ROUNDUP(Ld_cal($B350, $C350, $D350, $G350,$E350, $F350, $H350, M$3)*1.3,0)),"-")</f>
        <v>-</v>
      </c>
      <c r="N351" s="63" t="str">
        <f>IF($J351=N$3,IF(N$3&gt;$I350,"-",ROUNDUP(Ld_cal($B350, $C350, $D350, $G350,$E350, $F350, $H350, N$3)*1.3,0)),"-")</f>
        <v>-</v>
      </c>
      <c r="O351" s="63" t="str">
        <f>IF($J351=O$3,IF(O$3&gt;$I350,"-",ROUNDUP(Ld_cal($B350, $C350, $D350, $G350,$E350, $F350, $H350, O$3)*1.3,0)),"-")</f>
        <v>-</v>
      </c>
      <c r="P351" s="63" t="str">
        <f>IF($J351=P$3,IF(P$3&gt;$I350,"-",ROUNDUP(Ld_cal($B350, $C350, $D350, $G350,$E350, $F350, $H350, P$3)*1.3,0)),"-")</f>
        <v>-</v>
      </c>
      <c r="Q351" s="63" t="str">
        <f>IF($J351=Q$3,IF(Q$3&gt;$I350,"-",ROUNDUP(Ld_cal($B350, $C350, $D350, $G350,$E350, $F350, $H350, Q$3)*1.3,0)),"-")</f>
        <v>-</v>
      </c>
      <c r="R351" s="63" t="str">
        <f>IF($J351=R$3,IF(R$3&gt;$I350,"-",ROUNDUP(Ld_cal($B350, $C350, $D350, $G350,$E350, $F350, $H350, R$3)*1.3,0)),"-")</f>
        <v>-</v>
      </c>
      <c r="S351" s="63" t="str">
        <f>IF($J351=S$3,IF(S$3&gt;$I350,"-",ROUNDUP(Ld_cal($B350, $C350, $D350, $G350,$E350, $F350, $H350, S$3)*1.3,0)),"-")</f>
        <v>-</v>
      </c>
      <c r="T351" s="63" t="str">
        <f>IF($J351=T$3,IF(T$3&gt;$I350,"-",ROUNDUP(Ld_cal($B350, $C350, $D350, $G350,$E350, $F350, $H350, T$3)*1.3,0)),"-")</f>
        <v>-</v>
      </c>
      <c r="U351" s="63" t="str">
        <f>IF($J351=U$3,IF(U$3&gt;$I350,"-",ROUNDUP(Ld_cal($B350, $C350, $D350, $G350,$E350, $F350, $H350, U$3)*1.3,0)),"-")</f>
        <v>-</v>
      </c>
      <c r="V351" s="63" t="str">
        <f>IF($J351=V$3,IF(V$3&gt;$I350,"-",ROUNDUP(Ld_cal($B350, $C350, $D350, $G350,$E350, $F350, $H350, V$3)*1.3,0)),"-")</f>
        <v>-</v>
      </c>
      <c r="W351" s="63" t="str">
        <f>IF($J351=W$3,IF(W$3&gt;$I350,"-",ROUNDUP(Ld_cal($B350, $C350, $D350, $G350,$E350, $F350, $H350, W$3)*1.3,0)),"-")</f>
        <v>-</v>
      </c>
      <c r="X351" s="63" t="str">
        <f>IF($J351=X$3,IF(X$3&gt;$I350,"-",ROUNDUP(Ld_cal($B350, $C350, $D350, $G350,$E350, $F350, $H350, X$3)*1.3,0)),"-")</f>
        <v>-</v>
      </c>
      <c r="Y351" s="63" t="str">
        <f>IF($J351=Y$3,IF(Y$3&gt;$I350,"-",ROUNDUP(Ld_cal($B350, $C350, $D350, $G350,$E350, $F350, $H350, Y$3)*1.3,0)),"-")</f>
        <v>-</v>
      </c>
      <c r="Z351" s="63">
        <f>IF($J351=Z$3,IF(Z$3&gt;$I350,"-",ROUNDUP(Ld_cal($B350, $C350, $D350, $G350,$E350, $F350, $H350, Z$3)*1.3,0)),"-")</f>
        <v>156</v>
      </c>
      <c r="AA351" s="63" t="str">
        <f>IF($J351=AA$3,IF(AA$3&gt;$I350,"-",ROUNDUP(Ld_cal($B350, $C350, $D350, $G350,$E350, $F350, $H350, AA$3)*1.3,0)),"-")</f>
        <v>-</v>
      </c>
      <c r="AB351" s="63" t="str">
        <f>IF($J351=AB$3,IF(AB$3&gt;$I350,"-",ROUNDUP(Ld_cal($B350, $C350, $D350, $G350,$E350, $F350, $H350, AB$3)*1.3,0)),"-")</f>
        <v>-</v>
      </c>
      <c r="AC351" s="63" t="str">
        <f>IF($J351=AC$3,IF(AC$3&gt;$I350,"-",ROUNDUP(Ld_cal($B350, $C350, $D350, $G350,$E350, $F350, $H350, AC$3)*1.3,0)),"-")</f>
        <v>-</v>
      </c>
      <c r="AD351" s="63">
        <f t="shared" ref="AD351" si="343">IF(J351&gt;I350,"依標準圖",MAX(L351:AC351))</f>
        <v>156</v>
      </c>
    </row>
    <row r="352" spans="1:30">
      <c r="A352" s="97" t="s">
        <v>218</v>
      </c>
      <c r="B352" s="99">
        <v>120</v>
      </c>
      <c r="C352" s="100">
        <v>7.5</v>
      </c>
      <c r="D352" s="101">
        <v>4200</v>
      </c>
      <c r="E352" s="102">
        <v>13</v>
      </c>
      <c r="F352" s="103">
        <v>20</v>
      </c>
      <c r="G352" s="101">
        <v>350</v>
      </c>
      <c r="H352" s="102">
        <v>32</v>
      </c>
      <c r="I352" s="104">
        <f>ROUNDDOWN(($B352-2*$C352-2*$E352/10-$H352/10)/(($D$1+1)*$H352/10),0)+1</f>
        <v>16</v>
      </c>
      <c r="J352" s="60">
        <v>10</v>
      </c>
      <c r="K352" s="64" t="s">
        <v>30</v>
      </c>
      <c r="L352" s="61" t="str">
        <f>IF($J352=L$3,IF(L$3&gt;$I352,"-",ROUNDUP(Ld_cal($B352, $C352, $D352, $G352,$E352, $F352, $H352, L$3)*1.3*1.3,0)),"-")</f>
        <v>-</v>
      </c>
      <c r="M352" s="61" t="str">
        <f>IF($J352=M$3,IF(M$3&gt;$I352,"-",ROUNDUP(Ld_cal($B352, $C352, $D352, $G352,$E352, $F352, $H352, M$3)*1.3*1.3,0)),"-")</f>
        <v>-</v>
      </c>
      <c r="N352" s="61" t="str">
        <f>IF($J352=N$3,IF(N$3&gt;$I352,"-",ROUNDUP(Ld_cal($B352, $C352, $D352, $G352,$E352, $F352, $H352, N$3)*1.3*1.3,0)),"-")</f>
        <v>-</v>
      </c>
      <c r="O352" s="61" t="str">
        <f>IF($J352=O$3,IF(O$3&gt;$I352,"-",ROUNDUP(Ld_cal($B352, $C352, $D352, $G352,$E352, $F352, $H352, O$3)*1.3*1.3,0)),"-")</f>
        <v>-</v>
      </c>
      <c r="P352" s="61" t="str">
        <f>IF($J352=P$3,IF(P$3&gt;$I352,"-",ROUNDUP(Ld_cal($B352, $C352, $D352, $G352,$E352, $F352, $H352, P$3)*1.3*1.3,0)),"-")</f>
        <v>-</v>
      </c>
      <c r="Q352" s="61" t="str">
        <f>IF($J352=Q$3,IF(Q$3&gt;$I352,"-",ROUNDUP(Ld_cal($B352, $C352, $D352, $G352,$E352, $F352, $H352, Q$3)*1.3*1.3,0)),"-")</f>
        <v>-</v>
      </c>
      <c r="R352" s="61" t="str">
        <f>IF($J352=R$3,IF(R$3&gt;$I352,"-",ROUNDUP(Ld_cal($B352, $C352, $D352, $G352,$E352, $F352, $H352, R$3)*1.3*1.3,0)),"-")</f>
        <v>-</v>
      </c>
      <c r="S352" s="61">
        <f>IF($J352=S$3,IF(S$3&gt;$I352,"-",ROUNDUP(Ld_cal($B352, $C352, $D352, $G352,$E352, $F352, $H352, S$3)*1.3*1.3,0)),"-")</f>
        <v>181</v>
      </c>
      <c r="T352" s="61" t="str">
        <f>IF($J352=T$3,IF(T$3&gt;$I352,"-",ROUNDUP(Ld_cal($B352, $C352, $D352, $G352,$E352, $F352, $H352, T$3)*1.3*1.3,0)),"-")</f>
        <v>-</v>
      </c>
      <c r="U352" s="61" t="str">
        <f>IF($J352=U$3,IF(U$3&gt;$I352,"-",ROUNDUP(Ld_cal($B352, $C352, $D352, $G352,$E352, $F352, $H352, U$3)*1.3*1.3,0)),"-")</f>
        <v>-</v>
      </c>
      <c r="V352" s="61" t="str">
        <f>IF($J352=V$3,IF(V$3&gt;$I352,"-",ROUNDUP(Ld_cal($B352, $C352, $D352, $G352,$E352, $F352, $H352, V$3)*1.3*1.3,0)),"-")</f>
        <v>-</v>
      </c>
      <c r="W352" s="61" t="str">
        <f>IF($J352=W$3,IF(W$3&gt;$I352,"-",ROUNDUP(Ld_cal($B352, $C352, $D352, $G352,$E352, $F352, $H352, W$3)*1.3*1.3,0)),"-")</f>
        <v>-</v>
      </c>
      <c r="X352" s="61" t="str">
        <f>IF($J352=X$3,IF(X$3&gt;$I352,"-",ROUNDUP(Ld_cal($B352, $C352, $D352, $G352,$E352, $F352, $H352, X$3)*1.3*1.3,0)),"-")</f>
        <v>-</v>
      </c>
      <c r="Y352" s="61" t="str">
        <f>IF($J352=Y$3,IF(Y$3&gt;$I352,"-",ROUNDUP(Ld_cal($B352, $C352, $D352, $G352,$E352, $F352, $H352, Y$3)*1.3*1.3,0)),"-")</f>
        <v>-</v>
      </c>
      <c r="Z352" s="61" t="str">
        <f>IF($J352=Z$3,IF(Z$3&gt;$I352,"-",ROUNDUP(Ld_cal($B352, $C352, $D352, $G352,$E352, $F352, $H352, Z$3)*1.3*1.3,0)),"-")</f>
        <v>-</v>
      </c>
      <c r="AA352" s="61" t="str">
        <f>IF($J352=AA$3,IF(AA$3&gt;$I352,"-",ROUNDUP(Ld_cal($B352, $C352, $D352, $G352,$E352, $F352, $H352, AA$3)*1.3*1.3,0)),"-")</f>
        <v>-</v>
      </c>
      <c r="AB352" s="61" t="str">
        <f>IF($J352=AB$3,IF(AB$3&gt;$I352,"-",ROUNDUP(Ld_cal($B352, $C352, $D352, $G352,$E352, $F352, $H352, AB$3)*1.3*1.3,0)),"-")</f>
        <v>-</v>
      </c>
      <c r="AC352" s="61" t="str">
        <f>IF($J352=AC$3,IF(AC$3&gt;$I352,"-",ROUNDUP(Ld_cal($B352, $C352, $D352, $G352,$E352, $F352, $H352, AC$3)*1.3*1.3,0)),"-")</f>
        <v>-</v>
      </c>
      <c r="AD352" s="61">
        <f t="shared" ref="AD352" si="344">IF(J352&gt;I352,"依標準圖",MAX(L352:AC352))</f>
        <v>181</v>
      </c>
    </row>
    <row r="353" spans="1:30">
      <c r="A353" s="98"/>
      <c r="B353" s="99"/>
      <c r="C353" s="100"/>
      <c r="D353" s="101"/>
      <c r="E353" s="102"/>
      <c r="F353" s="103"/>
      <c r="G353" s="101"/>
      <c r="H353" s="102"/>
      <c r="I353" s="104"/>
      <c r="J353" s="60">
        <v>11</v>
      </c>
      <c r="K353" s="64" t="s">
        <v>29</v>
      </c>
      <c r="L353" s="61" t="str">
        <f>IF($J353=L$3,IF(L$3&gt;$I352,"-",ROUNDUP(Ld_cal($B352, $C352, $D352, $G352,$E352, $F352, $H352, L$3)*1.3,0)),"-")</f>
        <v>-</v>
      </c>
      <c r="M353" s="61" t="str">
        <f>IF($J353=M$3,IF(M$3&gt;$I352,"-",ROUNDUP(Ld_cal($B352, $C352, $D352, $G352,$E352, $F352, $H352, M$3)*1.3,0)),"-")</f>
        <v>-</v>
      </c>
      <c r="N353" s="61" t="str">
        <f>IF($J353=N$3,IF(N$3&gt;$I352,"-",ROUNDUP(Ld_cal($B352, $C352, $D352, $G352,$E352, $F352, $H352, N$3)*1.3,0)),"-")</f>
        <v>-</v>
      </c>
      <c r="O353" s="61" t="str">
        <f>IF($J353=O$3,IF(O$3&gt;$I352,"-",ROUNDUP(Ld_cal($B352, $C352, $D352, $G352,$E352, $F352, $H352, O$3)*1.3,0)),"-")</f>
        <v>-</v>
      </c>
      <c r="P353" s="61" t="str">
        <f>IF($J353=P$3,IF(P$3&gt;$I352,"-",ROUNDUP(Ld_cal($B352, $C352, $D352, $G352,$E352, $F352, $H352, P$3)*1.3,0)),"-")</f>
        <v>-</v>
      </c>
      <c r="Q353" s="61" t="str">
        <f>IF($J353=Q$3,IF(Q$3&gt;$I352,"-",ROUNDUP(Ld_cal($B352, $C352, $D352, $G352,$E352, $F352, $H352, Q$3)*1.3,0)),"-")</f>
        <v>-</v>
      </c>
      <c r="R353" s="61" t="str">
        <f>IF($J353=R$3,IF(R$3&gt;$I352,"-",ROUNDUP(Ld_cal($B352, $C352, $D352, $G352,$E352, $F352, $H352, R$3)*1.3,0)),"-")</f>
        <v>-</v>
      </c>
      <c r="S353" s="61" t="str">
        <f>IF($J353=S$3,IF(S$3&gt;$I352,"-",ROUNDUP(Ld_cal($B352, $C352, $D352, $G352,$E352, $F352, $H352, S$3)*1.3,0)),"-")</f>
        <v>-</v>
      </c>
      <c r="T353" s="61">
        <f>IF($J353=T$3,IF(T$3&gt;$I352,"-",ROUNDUP(Ld_cal($B352, $C352, $D352, $G352,$E352, $F352, $H352, T$3)*1.3,0)),"-")</f>
        <v>154</v>
      </c>
      <c r="U353" s="61" t="str">
        <f>IF($J353=U$3,IF(U$3&gt;$I352,"-",ROUNDUP(Ld_cal($B352, $C352, $D352, $G352,$E352, $F352, $H352, U$3)*1.3,0)),"-")</f>
        <v>-</v>
      </c>
      <c r="V353" s="61" t="str">
        <f>IF($J353=V$3,IF(V$3&gt;$I352,"-",ROUNDUP(Ld_cal($B352, $C352, $D352, $G352,$E352, $F352, $H352, V$3)*1.3,0)),"-")</f>
        <v>-</v>
      </c>
      <c r="W353" s="61" t="str">
        <f>IF($J353=W$3,IF(W$3&gt;$I352,"-",ROUNDUP(Ld_cal($B352, $C352, $D352, $G352,$E352, $F352, $H352, W$3)*1.3,0)),"-")</f>
        <v>-</v>
      </c>
      <c r="X353" s="61" t="str">
        <f>IF($J353=X$3,IF(X$3&gt;$I352,"-",ROUNDUP(Ld_cal($B352, $C352, $D352, $G352,$E352, $F352, $H352, X$3)*1.3,0)),"-")</f>
        <v>-</v>
      </c>
      <c r="Y353" s="61" t="str">
        <f>IF($J353=Y$3,IF(Y$3&gt;$I352,"-",ROUNDUP(Ld_cal($B352, $C352, $D352, $G352,$E352, $F352, $H352, Y$3)*1.3,0)),"-")</f>
        <v>-</v>
      </c>
      <c r="Z353" s="61" t="str">
        <f>IF($J353=Z$3,IF(Z$3&gt;$I352,"-",ROUNDUP(Ld_cal($B352, $C352, $D352, $G352,$E352, $F352, $H352, Z$3)*1.3,0)),"-")</f>
        <v>-</v>
      </c>
      <c r="AA353" s="61" t="str">
        <f>IF($J353=AA$3,IF(AA$3&gt;$I352,"-",ROUNDUP(Ld_cal($B352, $C352, $D352, $G352,$E352, $F352, $H352, AA$3)*1.3,0)),"-")</f>
        <v>-</v>
      </c>
      <c r="AB353" s="61" t="str">
        <f>IF($J353=AB$3,IF(AB$3&gt;$I352,"-",ROUNDUP(Ld_cal($B352, $C352, $D352, $G352,$E352, $F352, $H352, AB$3)*1.3,0)),"-")</f>
        <v>-</v>
      </c>
      <c r="AC353" s="61" t="str">
        <f>IF($J353=AC$3,IF(AC$3&gt;$I352,"-",ROUNDUP(Ld_cal($B352, $C352, $D352, $G352,$E352, $F352, $H352, AC$3)*1.3,0)),"-")</f>
        <v>-</v>
      </c>
      <c r="AD353" s="61">
        <f t="shared" ref="AD353" si="345">IF(J353&gt;I352,"依標準圖",MAX(L353:AC353))</f>
        <v>154</v>
      </c>
    </row>
    <row r="354" spans="1:30">
      <c r="A354" s="105" t="s">
        <v>219</v>
      </c>
      <c r="B354" s="107">
        <v>120</v>
      </c>
      <c r="C354" s="108">
        <v>7.5</v>
      </c>
      <c r="D354" s="107">
        <v>4200</v>
      </c>
      <c r="E354" s="109">
        <v>16</v>
      </c>
      <c r="F354" s="110">
        <v>12</v>
      </c>
      <c r="G354" s="107">
        <v>350</v>
      </c>
      <c r="H354" s="109">
        <v>32</v>
      </c>
      <c r="I354" s="111">
        <f>ROUNDDOWN(($B354-2*$C354-2*$E354/10-$H354/10)/(($D$1+1)*$H354/10),0)+1</f>
        <v>16</v>
      </c>
      <c r="J354" s="62">
        <v>11</v>
      </c>
      <c r="K354" s="40" t="s">
        <v>30</v>
      </c>
      <c r="L354" s="63" t="str">
        <f>IF($J354=L$3,IF(L$3&gt;$I354,"-",ROUNDUP(Ld_cal($B354, $C354, $D354, $G354,$E354, $F354, $H354, L$3)*1.3*1.3,0)),"-")</f>
        <v>-</v>
      </c>
      <c r="M354" s="63" t="str">
        <f>IF($J354=M$3,IF(M$3&gt;$I354,"-",ROUNDUP(Ld_cal($B354, $C354, $D354, $G354,$E354, $F354, $H354, M$3)*1.3*1.3,0)),"-")</f>
        <v>-</v>
      </c>
      <c r="N354" s="63" t="str">
        <f>IF($J354=N$3,IF(N$3&gt;$I354,"-",ROUNDUP(Ld_cal($B354, $C354, $D354, $G354,$E354, $F354, $H354, N$3)*1.3*1.3,0)),"-")</f>
        <v>-</v>
      </c>
      <c r="O354" s="63" t="str">
        <f>IF($J354=O$3,IF(O$3&gt;$I354,"-",ROUNDUP(Ld_cal($B354, $C354, $D354, $G354,$E354, $F354, $H354, O$3)*1.3*1.3,0)),"-")</f>
        <v>-</v>
      </c>
      <c r="P354" s="63" t="str">
        <f>IF($J354=P$3,IF(P$3&gt;$I354,"-",ROUNDUP(Ld_cal($B354, $C354, $D354, $G354,$E354, $F354, $H354, P$3)*1.3*1.3,0)),"-")</f>
        <v>-</v>
      </c>
      <c r="Q354" s="63" t="str">
        <f>IF($J354=Q$3,IF(Q$3&gt;$I354,"-",ROUNDUP(Ld_cal($B354, $C354, $D354, $G354,$E354, $F354, $H354, Q$3)*1.3*1.3,0)),"-")</f>
        <v>-</v>
      </c>
      <c r="R354" s="63" t="str">
        <f>IF($J354=R$3,IF(R$3&gt;$I354,"-",ROUNDUP(Ld_cal($B354, $C354, $D354, $G354,$E354, $F354, $H354, R$3)*1.3*1.3,0)),"-")</f>
        <v>-</v>
      </c>
      <c r="S354" s="63" t="str">
        <f>IF($J354=S$3,IF(S$3&gt;$I354,"-",ROUNDUP(Ld_cal($B354, $C354, $D354, $G354,$E354, $F354, $H354, S$3)*1.3*1.3,0)),"-")</f>
        <v>-</v>
      </c>
      <c r="T354" s="63">
        <f>IF($J354=T$3,IF(T$3&gt;$I354,"-",ROUNDUP(Ld_cal($B354, $C354, $D354, $G354,$E354, $F354, $H354, T$3)*1.3*1.3,0)),"-")</f>
        <v>177</v>
      </c>
      <c r="U354" s="63" t="str">
        <f>IF($J354=U$3,IF(U$3&gt;$I354,"-",ROUNDUP(Ld_cal($B354, $C354, $D354, $G354,$E354, $F354, $H354, U$3)*1.3*1.3,0)),"-")</f>
        <v>-</v>
      </c>
      <c r="V354" s="63" t="str">
        <f>IF($J354=V$3,IF(V$3&gt;$I354,"-",ROUNDUP(Ld_cal($B354, $C354, $D354, $G354,$E354, $F354, $H354, V$3)*1.3*1.3,0)),"-")</f>
        <v>-</v>
      </c>
      <c r="W354" s="63" t="str">
        <f>IF($J354=W$3,IF(W$3&gt;$I354,"-",ROUNDUP(Ld_cal($B354, $C354, $D354, $G354,$E354, $F354, $H354, W$3)*1.3*1.3,0)),"-")</f>
        <v>-</v>
      </c>
      <c r="X354" s="63" t="str">
        <f>IF($J354=X$3,IF(X$3&gt;$I354,"-",ROUNDUP(Ld_cal($B354, $C354, $D354, $G354,$E354, $F354, $H354, X$3)*1.3*1.3,0)),"-")</f>
        <v>-</v>
      </c>
      <c r="Y354" s="63" t="str">
        <f>IF($J354=Y$3,IF(Y$3&gt;$I354,"-",ROUNDUP(Ld_cal($B354, $C354, $D354, $G354,$E354, $F354, $H354, Y$3)*1.3*1.3,0)),"-")</f>
        <v>-</v>
      </c>
      <c r="Z354" s="63" t="str">
        <f>IF($J354=Z$3,IF(Z$3&gt;$I354,"-",ROUNDUP(Ld_cal($B354, $C354, $D354, $G354,$E354, $F354, $H354, Z$3)*1.3*1.3,0)),"-")</f>
        <v>-</v>
      </c>
      <c r="AA354" s="63" t="str">
        <f>IF($J354=AA$3,IF(AA$3&gt;$I354,"-",ROUNDUP(Ld_cal($B354, $C354, $D354, $G354,$E354, $F354, $H354, AA$3)*1.3*1.3,0)),"-")</f>
        <v>-</v>
      </c>
      <c r="AB354" s="63" t="str">
        <f>IF($J354=AB$3,IF(AB$3&gt;$I354,"-",ROUNDUP(Ld_cal($B354, $C354, $D354, $G354,$E354, $F354, $H354, AB$3)*1.3*1.3,0)),"-")</f>
        <v>-</v>
      </c>
      <c r="AC354" s="63" t="str">
        <f>IF($J354=AC$3,IF(AC$3&gt;$I354,"-",ROUNDUP(Ld_cal($B354, $C354, $D354, $G354,$E354, $F354, $H354, AC$3)*1.3*1.3,0)),"-")</f>
        <v>-</v>
      </c>
      <c r="AD354" s="63">
        <f t="shared" ref="AD354" si="346">IF(J354&gt;I354,"依標準圖",MAX(L354:AC354))</f>
        <v>177</v>
      </c>
    </row>
    <row r="355" spans="1:30">
      <c r="A355" s="106"/>
      <c r="B355" s="107"/>
      <c r="C355" s="108"/>
      <c r="D355" s="107"/>
      <c r="E355" s="109"/>
      <c r="F355" s="110"/>
      <c r="G355" s="107"/>
      <c r="H355" s="109"/>
      <c r="I355" s="111"/>
      <c r="J355" s="62">
        <v>11</v>
      </c>
      <c r="K355" s="40" t="s">
        <v>29</v>
      </c>
      <c r="L355" s="63" t="str">
        <f>IF($J355=L$3,IF(L$3&gt;$I354,"-",ROUNDUP(Ld_cal($B354, $C354, $D354, $G354,$E354, $F354, $H354, L$3)*1.3,0)),"-")</f>
        <v>-</v>
      </c>
      <c r="M355" s="63" t="str">
        <f>IF($J355=M$3,IF(M$3&gt;$I354,"-",ROUNDUP(Ld_cal($B354, $C354, $D354, $G354,$E354, $F354, $H354, M$3)*1.3,0)),"-")</f>
        <v>-</v>
      </c>
      <c r="N355" s="63" t="str">
        <f>IF($J355=N$3,IF(N$3&gt;$I354,"-",ROUNDUP(Ld_cal($B354, $C354, $D354, $G354,$E354, $F354, $H354, N$3)*1.3,0)),"-")</f>
        <v>-</v>
      </c>
      <c r="O355" s="63" t="str">
        <f>IF($J355=O$3,IF(O$3&gt;$I354,"-",ROUNDUP(Ld_cal($B354, $C354, $D354, $G354,$E354, $F354, $H354, O$3)*1.3,0)),"-")</f>
        <v>-</v>
      </c>
      <c r="P355" s="63" t="str">
        <f>IF($J355=P$3,IF(P$3&gt;$I354,"-",ROUNDUP(Ld_cal($B354, $C354, $D354, $G354,$E354, $F354, $H354, P$3)*1.3,0)),"-")</f>
        <v>-</v>
      </c>
      <c r="Q355" s="63" t="str">
        <f>IF($J355=Q$3,IF(Q$3&gt;$I354,"-",ROUNDUP(Ld_cal($B354, $C354, $D354, $G354,$E354, $F354, $H354, Q$3)*1.3,0)),"-")</f>
        <v>-</v>
      </c>
      <c r="R355" s="63" t="str">
        <f>IF($J355=R$3,IF(R$3&gt;$I354,"-",ROUNDUP(Ld_cal($B354, $C354, $D354, $G354,$E354, $F354, $H354, R$3)*1.3,0)),"-")</f>
        <v>-</v>
      </c>
      <c r="S355" s="63" t="str">
        <f>IF($J355=S$3,IF(S$3&gt;$I354,"-",ROUNDUP(Ld_cal($B354, $C354, $D354, $G354,$E354, $F354, $H354, S$3)*1.3,0)),"-")</f>
        <v>-</v>
      </c>
      <c r="T355" s="63">
        <f>IF($J355=T$3,IF(T$3&gt;$I354,"-",ROUNDUP(Ld_cal($B354, $C354, $D354, $G354,$E354, $F354, $H354, T$3)*1.3,0)),"-")</f>
        <v>137</v>
      </c>
      <c r="U355" s="63" t="str">
        <f>IF($J355=U$3,IF(U$3&gt;$I354,"-",ROUNDUP(Ld_cal($B354, $C354, $D354, $G354,$E354, $F354, $H354, U$3)*1.3,0)),"-")</f>
        <v>-</v>
      </c>
      <c r="V355" s="63" t="str">
        <f>IF($J355=V$3,IF(V$3&gt;$I354,"-",ROUNDUP(Ld_cal($B354, $C354, $D354, $G354,$E354, $F354, $H354, V$3)*1.3,0)),"-")</f>
        <v>-</v>
      </c>
      <c r="W355" s="63" t="str">
        <f>IF($J355=W$3,IF(W$3&gt;$I354,"-",ROUNDUP(Ld_cal($B354, $C354, $D354, $G354,$E354, $F354, $H354, W$3)*1.3,0)),"-")</f>
        <v>-</v>
      </c>
      <c r="X355" s="63" t="str">
        <f>IF($J355=X$3,IF(X$3&gt;$I354,"-",ROUNDUP(Ld_cal($B354, $C354, $D354, $G354,$E354, $F354, $H354, X$3)*1.3,0)),"-")</f>
        <v>-</v>
      </c>
      <c r="Y355" s="63" t="str">
        <f>IF($J355=Y$3,IF(Y$3&gt;$I354,"-",ROUNDUP(Ld_cal($B354, $C354, $D354, $G354,$E354, $F354, $H354, Y$3)*1.3,0)),"-")</f>
        <v>-</v>
      </c>
      <c r="Z355" s="63" t="str">
        <f>IF($J355=Z$3,IF(Z$3&gt;$I354,"-",ROUNDUP(Ld_cal($B354, $C354, $D354, $G354,$E354, $F354, $H354, Z$3)*1.3,0)),"-")</f>
        <v>-</v>
      </c>
      <c r="AA355" s="63" t="str">
        <f>IF($J355=AA$3,IF(AA$3&gt;$I354,"-",ROUNDUP(Ld_cal($B354, $C354, $D354, $G354,$E354, $F354, $H354, AA$3)*1.3,0)),"-")</f>
        <v>-</v>
      </c>
      <c r="AB355" s="63" t="str">
        <f>IF($J355=AB$3,IF(AB$3&gt;$I354,"-",ROUNDUP(Ld_cal($B354, $C354, $D354, $G354,$E354, $F354, $H354, AB$3)*1.3,0)),"-")</f>
        <v>-</v>
      </c>
      <c r="AC355" s="63" t="str">
        <f>IF($J355=AC$3,IF(AC$3&gt;$I354,"-",ROUNDUP(Ld_cal($B354, $C354, $D354, $G354,$E354, $F354, $H354, AC$3)*1.3,0)),"-")</f>
        <v>-</v>
      </c>
      <c r="AD355" s="63">
        <f t="shared" ref="AD355" si="347">IF(J355&gt;I354,"依標準圖",MAX(L355:AC355))</f>
        <v>137</v>
      </c>
    </row>
    <row r="356" spans="1:30">
      <c r="A356" s="97" t="s">
        <v>220</v>
      </c>
      <c r="B356" s="99">
        <v>120</v>
      </c>
      <c r="C356" s="100">
        <v>7.5</v>
      </c>
      <c r="D356" s="101">
        <v>4200</v>
      </c>
      <c r="E356" s="102">
        <v>16</v>
      </c>
      <c r="F356" s="103">
        <v>14</v>
      </c>
      <c r="G356" s="101">
        <v>350</v>
      </c>
      <c r="H356" s="102">
        <v>32</v>
      </c>
      <c r="I356" s="104">
        <f>ROUNDDOWN(($B356-2*$C356-2*$E356/10-$H356/10)/(($D$1+1)*$H356/10),0)+1</f>
        <v>16</v>
      </c>
      <c r="J356" s="60">
        <v>6</v>
      </c>
      <c r="K356" s="64" t="s">
        <v>30</v>
      </c>
      <c r="L356" s="61" t="str">
        <f>IF($J356=L$3,IF(L$3&gt;$I356,"-",ROUNDUP(Ld_cal($B356, $C356, $D356, $G356,$E356, $F356, $H356, L$3)*1.3*1.3,0)),"-")</f>
        <v>-</v>
      </c>
      <c r="M356" s="61" t="str">
        <f>IF($J356=M$3,IF(M$3&gt;$I356,"-",ROUNDUP(Ld_cal($B356, $C356, $D356, $G356,$E356, $F356, $H356, M$3)*1.3*1.3,0)),"-")</f>
        <v>-</v>
      </c>
      <c r="N356" s="61" t="str">
        <f>IF($J356=N$3,IF(N$3&gt;$I356,"-",ROUNDUP(Ld_cal($B356, $C356, $D356, $G356,$E356, $F356, $H356, N$3)*1.3*1.3,0)),"-")</f>
        <v>-</v>
      </c>
      <c r="O356" s="61">
        <f>IF($J356=O$3,IF(O$3&gt;$I356,"-",ROUNDUP(Ld_cal($B356, $C356, $D356, $G356,$E356, $F356, $H356, O$3)*1.3*1.3,0)),"-")</f>
        <v>136</v>
      </c>
      <c r="P356" s="61" t="str">
        <f>IF($J356=P$3,IF(P$3&gt;$I356,"-",ROUNDUP(Ld_cal($B356, $C356, $D356, $G356,$E356, $F356, $H356, P$3)*1.3*1.3,0)),"-")</f>
        <v>-</v>
      </c>
      <c r="Q356" s="61" t="str">
        <f>IF($J356=Q$3,IF(Q$3&gt;$I356,"-",ROUNDUP(Ld_cal($B356, $C356, $D356, $G356,$E356, $F356, $H356, Q$3)*1.3*1.3,0)),"-")</f>
        <v>-</v>
      </c>
      <c r="R356" s="61" t="str">
        <f>IF($J356=R$3,IF(R$3&gt;$I356,"-",ROUNDUP(Ld_cal($B356, $C356, $D356, $G356,$E356, $F356, $H356, R$3)*1.3*1.3,0)),"-")</f>
        <v>-</v>
      </c>
      <c r="S356" s="61" t="str">
        <f>IF($J356=S$3,IF(S$3&gt;$I356,"-",ROUNDUP(Ld_cal($B356, $C356, $D356, $G356,$E356, $F356, $H356, S$3)*1.3*1.3,0)),"-")</f>
        <v>-</v>
      </c>
      <c r="T356" s="61" t="str">
        <f>IF($J356=T$3,IF(T$3&gt;$I356,"-",ROUNDUP(Ld_cal($B356, $C356, $D356, $G356,$E356, $F356, $H356, T$3)*1.3*1.3,0)),"-")</f>
        <v>-</v>
      </c>
      <c r="U356" s="61" t="str">
        <f>IF($J356=U$3,IF(U$3&gt;$I356,"-",ROUNDUP(Ld_cal($B356, $C356, $D356, $G356,$E356, $F356, $H356, U$3)*1.3*1.3,0)),"-")</f>
        <v>-</v>
      </c>
      <c r="V356" s="61" t="str">
        <f>IF($J356=V$3,IF(V$3&gt;$I356,"-",ROUNDUP(Ld_cal($B356, $C356, $D356, $G356,$E356, $F356, $H356, V$3)*1.3*1.3,0)),"-")</f>
        <v>-</v>
      </c>
      <c r="W356" s="61" t="str">
        <f>IF($J356=W$3,IF(W$3&gt;$I356,"-",ROUNDUP(Ld_cal($B356, $C356, $D356, $G356,$E356, $F356, $H356, W$3)*1.3*1.3,0)),"-")</f>
        <v>-</v>
      </c>
      <c r="X356" s="61" t="str">
        <f>IF($J356=X$3,IF(X$3&gt;$I356,"-",ROUNDUP(Ld_cal($B356, $C356, $D356, $G356,$E356, $F356, $H356, X$3)*1.3*1.3,0)),"-")</f>
        <v>-</v>
      </c>
      <c r="Y356" s="61" t="str">
        <f>IF($J356=Y$3,IF(Y$3&gt;$I356,"-",ROUNDUP(Ld_cal($B356, $C356, $D356, $G356,$E356, $F356, $H356, Y$3)*1.3*1.3,0)),"-")</f>
        <v>-</v>
      </c>
      <c r="Z356" s="61" t="str">
        <f>IF($J356=Z$3,IF(Z$3&gt;$I356,"-",ROUNDUP(Ld_cal($B356, $C356, $D356, $G356,$E356, $F356, $H356, Z$3)*1.3*1.3,0)),"-")</f>
        <v>-</v>
      </c>
      <c r="AA356" s="61" t="str">
        <f>IF($J356=AA$3,IF(AA$3&gt;$I356,"-",ROUNDUP(Ld_cal($B356, $C356, $D356, $G356,$E356, $F356, $H356, AA$3)*1.3*1.3,0)),"-")</f>
        <v>-</v>
      </c>
      <c r="AB356" s="61" t="str">
        <f>IF($J356=AB$3,IF(AB$3&gt;$I356,"-",ROUNDUP(Ld_cal($B356, $C356, $D356, $G356,$E356, $F356, $H356, AB$3)*1.3*1.3,0)),"-")</f>
        <v>-</v>
      </c>
      <c r="AC356" s="61" t="str">
        <f>IF($J356=AC$3,IF(AC$3&gt;$I356,"-",ROUNDUP(Ld_cal($B356, $C356, $D356, $G356,$E356, $F356, $H356, AC$3)*1.3*1.3,0)),"-")</f>
        <v>-</v>
      </c>
      <c r="AD356" s="61">
        <f t="shared" ref="AD356" si="348">IF(J356&gt;I356,"依標準圖",MAX(L356:AC356))</f>
        <v>136</v>
      </c>
    </row>
    <row r="357" spans="1:30">
      <c r="A357" s="98"/>
      <c r="B357" s="99"/>
      <c r="C357" s="100"/>
      <c r="D357" s="101"/>
      <c r="E357" s="102"/>
      <c r="F357" s="103"/>
      <c r="G357" s="101"/>
      <c r="H357" s="102"/>
      <c r="I357" s="104"/>
      <c r="J357" s="60">
        <v>12</v>
      </c>
      <c r="K357" s="64" t="s">
        <v>29</v>
      </c>
      <c r="L357" s="61" t="str">
        <f>IF($J357=L$3,IF(L$3&gt;$I356,"-",ROUNDUP(Ld_cal($B356, $C356, $D356, $G356,$E356, $F356, $H356, L$3)*1.3,0)),"-")</f>
        <v>-</v>
      </c>
      <c r="M357" s="61" t="str">
        <f>IF($J357=M$3,IF(M$3&gt;$I356,"-",ROUNDUP(Ld_cal($B356, $C356, $D356, $G356,$E356, $F356, $H356, M$3)*1.3,0)),"-")</f>
        <v>-</v>
      </c>
      <c r="N357" s="61" t="str">
        <f>IF($J357=N$3,IF(N$3&gt;$I356,"-",ROUNDUP(Ld_cal($B356, $C356, $D356, $G356,$E356, $F356, $H356, N$3)*1.3,0)),"-")</f>
        <v>-</v>
      </c>
      <c r="O357" s="61" t="str">
        <f>IF($J357=O$3,IF(O$3&gt;$I356,"-",ROUNDUP(Ld_cal($B356, $C356, $D356, $G356,$E356, $F356, $H356, O$3)*1.3,0)),"-")</f>
        <v>-</v>
      </c>
      <c r="P357" s="61" t="str">
        <f>IF($J357=P$3,IF(P$3&gt;$I356,"-",ROUNDUP(Ld_cal($B356, $C356, $D356, $G356,$E356, $F356, $H356, P$3)*1.3,0)),"-")</f>
        <v>-</v>
      </c>
      <c r="Q357" s="61" t="str">
        <f>IF($J357=Q$3,IF(Q$3&gt;$I356,"-",ROUNDUP(Ld_cal($B356, $C356, $D356, $G356,$E356, $F356, $H356, Q$3)*1.3,0)),"-")</f>
        <v>-</v>
      </c>
      <c r="R357" s="61" t="str">
        <f>IF($J357=R$3,IF(R$3&gt;$I356,"-",ROUNDUP(Ld_cal($B356, $C356, $D356, $G356,$E356, $F356, $H356, R$3)*1.3,0)),"-")</f>
        <v>-</v>
      </c>
      <c r="S357" s="61" t="str">
        <f>IF($J357=S$3,IF(S$3&gt;$I356,"-",ROUNDUP(Ld_cal($B356, $C356, $D356, $G356,$E356, $F356, $H356, S$3)*1.3,0)),"-")</f>
        <v>-</v>
      </c>
      <c r="T357" s="61" t="str">
        <f>IF($J357=T$3,IF(T$3&gt;$I356,"-",ROUNDUP(Ld_cal($B356, $C356, $D356, $G356,$E356, $F356, $H356, T$3)*1.3,0)),"-")</f>
        <v>-</v>
      </c>
      <c r="U357" s="61">
        <f>IF($J357=U$3,IF(U$3&gt;$I356,"-",ROUNDUP(Ld_cal($B356, $C356, $D356, $G356,$E356, $F356, $H356, U$3)*1.3,0)),"-")</f>
        <v>154</v>
      </c>
      <c r="V357" s="61" t="str">
        <f>IF($J357=V$3,IF(V$3&gt;$I356,"-",ROUNDUP(Ld_cal($B356, $C356, $D356, $G356,$E356, $F356, $H356, V$3)*1.3,0)),"-")</f>
        <v>-</v>
      </c>
      <c r="W357" s="61" t="str">
        <f>IF($J357=W$3,IF(W$3&gt;$I356,"-",ROUNDUP(Ld_cal($B356, $C356, $D356, $G356,$E356, $F356, $H356, W$3)*1.3,0)),"-")</f>
        <v>-</v>
      </c>
      <c r="X357" s="61" t="str">
        <f>IF($J357=X$3,IF(X$3&gt;$I356,"-",ROUNDUP(Ld_cal($B356, $C356, $D356, $G356,$E356, $F356, $H356, X$3)*1.3,0)),"-")</f>
        <v>-</v>
      </c>
      <c r="Y357" s="61" t="str">
        <f>IF($J357=Y$3,IF(Y$3&gt;$I356,"-",ROUNDUP(Ld_cal($B356, $C356, $D356, $G356,$E356, $F356, $H356, Y$3)*1.3,0)),"-")</f>
        <v>-</v>
      </c>
      <c r="Z357" s="61" t="str">
        <f>IF($J357=Z$3,IF(Z$3&gt;$I356,"-",ROUNDUP(Ld_cal($B356, $C356, $D356, $G356,$E356, $F356, $H356, Z$3)*1.3,0)),"-")</f>
        <v>-</v>
      </c>
      <c r="AA357" s="61" t="str">
        <f>IF($J357=AA$3,IF(AA$3&gt;$I356,"-",ROUNDUP(Ld_cal($B356, $C356, $D356, $G356,$E356, $F356, $H356, AA$3)*1.3,0)),"-")</f>
        <v>-</v>
      </c>
      <c r="AB357" s="61" t="str">
        <f>IF($J357=AB$3,IF(AB$3&gt;$I356,"-",ROUNDUP(Ld_cal($B356, $C356, $D356, $G356,$E356, $F356, $H356, AB$3)*1.3,0)),"-")</f>
        <v>-</v>
      </c>
      <c r="AC357" s="61" t="str">
        <f>IF($J357=AC$3,IF(AC$3&gt;$I356,"-",ROUNDUP(Ld_cal($B356, $C356, $D356, $G356,$E356, $F356, $H356, AC$3)*1.3,0)),"-")</f>
        <v>-</v>
      </c>
      <c r="AD357" s="61">
        <f t="shared" ref="AD357" si="349">IF(J357&gt;I356,"依標準圖",MAX(L357:AC357))</f>
        <v>154</v>
      </c>
    </row>
    <row r="358" spans="1:30">
      <c r="A358" s="105" t="s">
        <v>221</v>
      </c>
      <c r="B358" s="107">
        <v>120</v>
      </c>
      <c r="C358" s="108">
        <v>7.5</v>
      </c>
      <c r="D358" s="107">
        <v>4200</v>
      </c>
      <c r="E358" s="109">
        <v>16</v>
      </c>
      <c r="F358" s="110">
        <v>20</v>
      </c>
      <c r="G358" s="107">
        <v>350</v>
      </c>
      <c r="H358" s="109">
        <v>32</v>
      </c>
      <c r="I358" s="111">
        <f>ROUNDDOWN(($B358-2*$C358-2*$E358/10-$H358/10)/(($D$1+1)*$H358/10),0)+1</f>
        <v>16</v>
      </c>
      <c r="J358" s="62">
        <v>6</v>
      </c>
      <c r="K358" s="40" t="s">
        <v>30</v>
      </c>
      <c r="L358" s="63" t="str">
        <f>IF($J358=L$3,IF(L$3&gt;$I358,"-",ROUNDUP(Ld_cal($B358, $C358, $D358, $G358,$E358, $F358, $H358, L$3)*1.3*1.3,0)),"-")</f>
        <v>-</v>
      </c>
      <c r="M358" s="63" t="str">
        <f>IF($J358=M$3,IF(M$3&gt;$I358,"-",ROUNDUP(Ld_cal($B358, $C358, $D358, $G358,$E358, $F358, $H358, M$3)*1.3*1.3,0)),"-")</f>
        <v>-</v>
      </c>
      <c r="N358" s="63" t="str">
        <f>IF($J358=N$3,IF(N$3&gt;$I358,"-",ROUNDUP(Ld_cal($B358, $C358, $D358, $G358,$E358, $F358, $H358, N$3)*1.3*1.3,0)),"-")</f>
        <v>-</v>
      </c>
      <c r="O358" s="63">
        <f>IF($J358=O$3,IF(O$3&gt;$I358,"-",ROUNDUP(Ld_cal($B358, $C358, $D358, $G358,$E358, $F358, $H358, O$3)*1.3*1.3,0)),"-")</f>
        <v>136</v>
      </c>
      <c r="P358" s="63" t="str">
        <f>IF($J358=P$3,IF(P$3&gt;$I358,"-",ROUNDUP(Ld_cal($B358, $C358, $D358, $G358,$E358, $F358, $H358, P$3)*1.3*1.3,0)),"-")</f>
        <v>-</v>
      </c>
      <c r="Q358" s="63" t="str">
        <f>IF($J358=Q$3,IF(Q$3&gt;$I358,"-",ROUNDUP(Ld_cal($B358, $C358, $D358, $G358,$E358, $F358, $H358, Q$3)*1.3*1.3,0)),"-")</f>
        <v>-</v>
      </c>
      <c r="R358" s="63" t="str">
        <f>IF($J358=R$3,IF(R$3&gt;$I358,"-",ROUNDUP(Ld_cal($B358, $C358, $D358, $G358,$E358, $F358, $H358, R$3)*1.3*1.3,0)),"-")</f>
        <v>-</v>
      </c>
      <c r="S358" s="63" t="str">
        <f>IF($J358=S$3,IF(S$3&gt;$I358,"-",ROUNDUP(Ld_cal($B358, $C358, $D358, $G358,$E358, $F358, $H358, S$3)*1.3*1.3,0)),"-")</f>
        <v>-</v>
      </c>
      <c r="T358" s="63" t="str">
        <f>IF($J358=T$3,IF(T$3&gt;$I358,"-",ROUNDUP(Ld_cal($B358, $C358, $D358, $G358,$E358, $F358, $H358, T$3)*1.3*1.3,0)),"-")</f>
        <v>-</v>
      </c>
      <c r="U358" s="63" t="str">
        <f>IF($J358=U$3,IF(U$3&gt;$I358,"-",ROUNDUP(Ld_cal($B358, $C358, $D358, $G358,$E358, $F358, $H358, U$3)*1.3*1.3,0)),"-")</f>
        <v>-</v>
      </c>
      <c r="V358" s="63" t="str">
        <f>IF($J358=V$3,IF(V$3&gt;$I358,"-",ROUNDUP(Ld_cal($B358, $C358, $D358, $G358,$E358, $F358, $H358, V$3)*1.3*1.3,0)),"-")</f>
        <v>-</v>
      </c>
      <c r="W358" s="63" t="str">
        <f>IF($J358=W$3,IF(W$3&gt;$I358,"-",ROUNDUP(Ld_cal($B358, $C358, $D358, $G358,$E358, $F358, $H358, W$3)*1.3*1.3,0)),"-")</f>
        <v>-</v>
      </c>
      <c r="X358" s="63" t="str">
        <f>IF($J358=X$3,IF(X$3&gt;$I358,"-",ROUNDUP(Ld_cal($B358, $C358, $D358, $G358,$E358, $F358, $H358, X$3)*1.3*1.3,0)),"-")</f>
        <v>-</v>
      </c>
      <c r="Y358" s="63" t="str">
        <f>IF($J358=Y$3,IF(Y$3&gt;$I358,"-",ROUNDUP(Ld_cal($B358, $C358, $D358, $G358,$E358, $F358, $H358, Y$3)*1.3*1.3,0)),"-")</f>
        <v>-</v>
      </c>
      <c r="Z358" s="63" t="str">
        <f>IF($J358=Z$3,IF(Z$3&gt;$I358,"-",ROUNDUP(Ld_cal($B358, $C358, $D358, $G358,$E358, $F358, $H358, Z$3)*1.3*1.3,0)),"-")</f>
        <v>-</v>
      </c>
      <c r="AA358" s="63" t="str">
        <f>IF($J358=AA$3,IF(AA$3&gt;$I358,"-",ROUNDUP(Ld_cal($B358, $C358, $D358, $G358,$E358, $F358, $H358, AA$3)*1.3*1.3,0)),"-")</f>
        <v>-</v>
      </c>
      <c r="AB358" s="63" t="str">
        <f>IF($J358=AB$3,IF(AB$3&gt;$I358,"-",ROUNDUP(Ld_cal($B358, $C358, $D358, $G358,$E358, $F358, $H358, AB$3)*1.3*1.3,0)),"-")</f>
        <v>-</v>
      </c>
      <c r="AC358" s="63" t="str">
        <f>IF($J358=AC$3,IF(AC$3&gt;$I358,"-",ROUNDUP(Ld_cal($B358, $C358, $D358, $G358,$E358, $F358, $H358, AC$3)*1.3*1.3,0)),"-")</f>
        <v>-</v>
      </c>
      <c r="AD358" s="63">
        <f t="shared" ref="AD358" si="350">IF(J358&gt;I358,"依標準圖",MAX(L358:AC358))</f>
        <v>136</v>
      </c>
    </row>
    <row r="359" spans="1:30">
      <c r="A359" s="106"/>
      <c r="B359" s="107"/>
      <c r="C359" s="108"/>
      <c r="D359" s="107"/>
      <c r="E359" s="109"/>
      <c r="F359" s="110"/>
      <c r="G359" s="107"/>
      <c r="H359" s="109"/>
      <c r="I359" s="111"/>
      <c r="J359" s="62">
        <v>14</v>
      </c>
      <c r="K359" s="40" t="s">
        <v>29</v>
      </c>
      <c r="L359" s="63" t="str">
        <f>IF($J359=L$3,IF(L$3&gt;$I358,"-",ROUNDUP(Ld_cal($B358, $C358, $D358, $G358,$E358, $F358, $H358, L$3)*1.3,0)),"-")</f>
        <v>-</v>
      </c>
      <c r="M359" s="63" t="str">
        <f>IF($J359=M$3,IF(M$3&gt;$I358,"-",ROUNDUP(Ld_cal($B358, $C358, $D358, $G358,$E358, $F358, $H358, M$3)*1.3,0)),"-")</f>
        <v>-</v>
      </c>
      <c r="N359" s="63" t="str">
        <f>IF($J359=N$3,IF(N$3&gt;$I358,"-",ROUNDUP(Ld_cal($B358, $C358, $D358, $G358,$E358, $F358, $H358, N$3)*1.3,0)),"-")</f>
        <v>-</v>
      </c>
      <c r="O359" s="63" t="str">
        <f>IF($J359=O$3,IF(O$3&gt;$I358,"-",ROUNDUP(Ld_cal($B358, $C358, $D358, $G358,$E358, $F358, $H358, O$3)*1.3,0)),"-")</f>
        <v>-</v>
      </c>
      <c r="P359" s="63" t="str">
        <f>IF($J359=P$3,IF(P$3&gt;$I358,"-",ROUNDUP(Ld_cal($B358, $C358, $D358, $G358,$E358, $F358, $H358, P$3)*1.3,0)),"-")</f>
        <v>-</v>
      </c>
      <c r="Q359" s="63" t="str">
        <f>IF($J359=Q$3,IF(Q$3&gt;$I358,"-",ROUNDUP(Ld_cal($B358, $C358, $D358, $G358,$E358, $F358, $H358, Q$3)*1.3,0)),"-")</f>
        <v>-</v>
      </c>
      <c r="R359" s="63" t="str">
        <f>IF($J359=R$3,IF(R$3&gt;$I358,"-",ROUNDUP(Ld_cal($B358, $C358, $D358, $G358,$E358, $F358, $H358, R$3)*1.3,0)),"-")</f>
        <v>-</v>
      </c>
      <c r="S359" s="63" t="str">
        <f>IF($J359=S$3,IF(S$3&gt;$I358,"-",ROUNDUP(Ld_cal($B358, $C358, $D358, $G358,$E358, $F358, $H358, S$3)*1.3,0)),"-")</f>
        <v>-</v>
      </c>
      <c r="T359" s="63" t="str">
        <f>IF($J359=T$3,IF(T$3&gt;$I358,"-",ROUNDUP(Ld_cal($B358, $C358, $D358, $G358,$E358, $F358, $H358, T$3)*1.3,0)),"-")</f>
        <v>-</v>
      </c>
      <c r="U359" s="63" t="str">
        <f>IF($J359=U$3,IF(U$3&gt;$I358,"-",ROUNDUP(Ld_cal($B358, $C358, $D358, $G358,$E358, $F358, $H358, U$3)*1.3,0)),"-")</f>
        <v>-</v>
      </c>
      <c r="V359" s="63" t="str">
        <f>IF($J359=V$3,IF(V$3&gt;$I358,"-",ROUNDUP(Ld_cal($B358, $C358, $D358, $G358,$E358, $F358, $H358, V$3)*1.3,0)),"-")</f>
        <v>-</v>
      </c>
      <c r="W359" s="63">
        <f>IF($J359=W$3,IF(W$3&gt;$I358,"-",ROUNDUP(Ld_cal($B358, $C358, $D358, $G358,$E358, $F358, $H358, W$3)*1.3,0)),"-")</f>
        <v>192</v>
      </c>
      <c r="X359" s="63" t="str">
        <f>IF($J359=X$3,IF(X$3&gt;$I358,"-",ROUNDUP(Ld_cal($B358, $C358, $D358, $G358,$E358, $F358, $H358, X$3)*1.3,0)),"-")</f>
        <v>-</v>
      </c>
      <c r="Y359" s="63" t="str">
        <f>IF($J359=Y$3,IF(Y$3&gt;$I358,"-",ROUNDUP(Ld_cal($B358, $C358, $D358, $G358,$E358, $F358, $H358, Y$3)*1.3,0)),"-")</f>
        <v>-</v>
      </c>
      <c r="Z359" s="63" t="str">
        <f>IF($J359=Z$3,IF(Z$3&gt;$I358,"-",ROUNDUP(Ld_cal($B358, $C358, $D358, $G358,$E358, $F358, $H358, Z$3)*1.3,0)),"-")</f>
        <v>-</v>
      </c>
      <c r="AA359" s="63" t="str">
        <f>IF($J359=AA$3,IF(AA$3&gt;$I358,"-",ROUNDUP(Ld_cal($B358, $C358, $D358, $G358,$E358, $F358, $H358, AA$3)*1.3,0)),"-")</f>
        <v>-</v>
      </c>
      <c r="AB359" s="63" t="str">
        <f>IF($J359=AB$3,IF(AB$3&gt;$I358,"-",ROUNDUP(Ld_cal($B358, $C358, $D358, $G358,$E358, $F358, $H358, AB$3)*1.3,0)),"-")</f>
        <v>-</v>
      </c>
      <c r="AC359" s="63" t="str">
        <f>IF($J359=AC$3,IF(AC$3&gt;$I358,"-",ROUNDUP(Ld_cal($B358, $C358, $D358, $G358,$E358, $F358, $H358, AC$3)*1.3,0)),"-")</f>
        <v>-</v>
      </c>
      <c r="AD359" s="63">
        <f t="shared" ref="AD359" si="351">IF(J359&gt;I358,"依標準圖",MAX(L359:AC359))</f>
        <v>192</v>
      </c>
    </row>
    <row r="360" spans="1:30">
      <c r="A360" s="97" t="s">
        <v>222</v>
      </c>
      <c r="B360" s="99">
        <v>150</v>
      </c>
      <c r="C360" s="100">
        <v>7.5</v>
      </c>
      <c r="D360" s="101">
        <v>4200</v>
      </c>
      <c r="E360" s="102">
        <v>16</v>
      </c>
      <c r="F360" s="103">
        <v>7</v>
      </c>
      <c r="G360" s="101">
        <v>350</v>
      </c>
      <c r="H360" s="102">
        <v>32</v>
      </c>
      <c r="I360" s="104">
        <f>ROUNDDOWN(($B360-2*$C360-2*$E360/10-$H360/10)/(($D$1+1)*$H360/10),0)+1</f>
        <v>21</v>
      </c>
      <c r="J360" s="60">
        <v>19</v>
      </c>
      <c r="K360" s="64" t="s">
        <v>30</v>
      </c>
      <c r="L360" s="61" t="str">
        <f>IF($J360=L$3,IF(L$3&gt;$I360,"-",ROUNDUP(Ld_cal($B360, $C360, $D360, $G360,$E360, $F360, $H360, L$3)*1.3*1.3,0)),"-")</f>
        <v>-</v>
      </c>
      <c r="M360" s="61" t="str">
        <f>IF($J360=M$3,IF(M$3&gt;$I360,"-",ROUNDUP(Ld_cal($B360, $C360, $D360, $G360,$E360, $F360, $H360, M$3)*1.3*1.3,0)),"-")</f>
        <v>-</v>
      </c>
      <c r="N360" s="61" t="str">
        <f>IF($J360=N$3,IF(N$3&gt;$I360,"-",ROUNDUP(Ld_cal($B360, $C360, $D360, $G360,$E360, $F360, $H360, N$3)*1.3*1.3,0)),"-")</f>
        <v>-</v>
      </c>
      <c r="O360" s="61" t="str">
        <f>IF($J360=O$3,IF(O$3&gt;$I360,"-",ROUNDUP(Ld_cal($B360, $C360, $D360, $G360,$E360, $F360, $H360, O$3)*1.3*1.3,0)),"-")</f>
        <v>-</v>
      </c>
      <c r="P360" s="61" t="str">
        <f>IF($J360=P$3,IF(P$3&gt;$I360,"-",ROUNDUP(Ld_cal($B360, $C360, $D360, $G360,$E360, $F360, $H360, P$3)*1.3*1.3,0)),"-")</f>
        <v>-</v>
      </c>
      <c r="Q360" s="61" t="str">
        <f>IF($J360=Q$3,IF(Q$3&gt;$I360,"-",ROUNDUP(Ld_cal($B360, $C360, $D360, $G360,$E360, $F360, $H360, Q$3)*1.3*1.3,0)),"-")</f>
        <v>-</v>
      </c>
      <c r="R360" s="61" t="str">
        <f>IF($J360=R$3,IF(R$3&gt;$I360,"-",ROUNDUP(Ld_cal($B360, $C360, $D360, $G360,$E360, $F360, $H360, R$3)*1.3*1.3,0)),"-")</f>
        <v>-</v>
      </c>
      <c r="S360" s="61" t="str">
        <f>IF($J360=S$3,IF(S$3&gt;$I360,"-",ROUNDUP(Ld_cal($B360, $C360, $D360, $G360,$E360, $F360, $H360, S$3)*1.3*1.3,0)),"-")</f>
        <v>-</v>
      </c>
      <c r="T360" s="61" t="str">
        <f>IF($J360=T$3,IF(T$3&gt;$I360,"-",ROUNDUP(Ld_cal($B360, $C360, $D360, $G360,$E360, $F360, $H360, T$3)*1.3*1.3,0)),"-")</f>
        <v>-</v>
      </c>
      <c r="U360" s="61" t="str">
        <f>IF($J360=U$3,IF(U$3&gt;$I360,"-",ROUNDUP(Ld_cal($B360, $C360, $D360, $G360,$E360, $F360, $H360, U$3)*1.3*1.3,0)),"-")</f>
        <v>-</v>
      </c>
      <c r="V360" s="61" t="str">
        <f>IF($J360=V$3,IF(V$3&gt;$I360,"-",ROUNDUP(Ld_cal($B360, $C360, $D360, $G360,$E360, $F360, $H360, V$3)*1.3*1.3,0)),"-")</f>
        <v>-</v>
      </c>
      <c r="W360" s="61" t="str">
        <f>IF($J360=W$3,IF(W$3&gt;$I360,"-",ROUNDUP(Ld_cal($B360, $C360, $D360, $G360,$E360, $F360, $H360, W$3)*1.3*1.3,0)),"-")</f>
        <v>-</v>
      </c>
      <c r="X360" s="61" t="str">
        <f>IF($J360=X$3,IF(X$3&gt;$I360,"-",ROUNDUP(Ld_cal($B360, $C360, $D360, $G360,$E360, $F360, $H360, X$3)*1.3*1.3,0)),"-")</f>
        <v>-</v>
      </c>
      <c r="Y360" s="61" t="str">
        <f>IF($J360=Y$3,IF(Y$3&gt;$I360,"-",ROUNDUP(Ld_cal($B360, $C360, $D360, $G360,$E360, $F360, $H360, Y$3)*1.3*1.3,0)),"-")</f>
        <v>-</v>
      </c>
      <c r="Z360" s="61" t="str">
        <f>IF($J360=Z$3,IF(Z$3&gt;$I360,"-",ROUNDUP(Ld_cal($B360, $C360, $D360, $G360,$E360, $F360, $H360, Z$3)*1.3*1.3,0)),"-")</f>
        <v>-</v>
      </c>
      <c r="AA360" s="61" t="str">
        <f>IF($J360=AA$3,IF(AA$3&gt;$I360,"-",ROUNDUP(Ld_cal($B360, $C360, $D360, $G360,$E360, $F360, $H360, AA$3)*1.3*1.3,0)),"-")</f>
        <v>-</v>
      </c>
      <c r="AB360" s="61">
        <f>IF($J360=AB$3,IF(AB$3&gt;$I360,"-",ROUNDUP(Ld_cal($B360, $C360, $D360, $G360,$E360, $F360, $H360, AB$3)*1.3*1.3,0)),"-")</f>
        <v>228</v>
      </c>
      <c r="AC360" s="61" t="str">
        <f>IF($J360=AC$3,IF(AC$3&gt;$I360,"-",ROUNDUP(Ld_cal($B360, $C360, $D360, $G360,$E360, $F360, $H360, AC$3)*1.3*1.3,0)),"-")</f>
        <v>-</v>
      </c>
      <c r="AD360" s="61">
        <f t="shared" ref="AD360" si="352">IF(J360&gt;I360,"依標準圖",MAX(L360:AC360))</f>
        <v>228</v>
      </c>
    </row>
    <row r="361" spans="1:30">
      <c r="A361" s="98"/>
      <c r="B361" s="99"/>
      <c r="C361" s="100"/>
      <c r="D361" s="101"/>
      <c r="E361" s="102"/>
      <c r="F361" s="103"/>
      <c r="G361" s="101"/>
      <c r="H361" s="102"/>
      <c r="I361" s="104"/>
      <c r="J361" s="60">
        <v>18</v>
      </c>
      <c r="K361" s="64" t="s">
        <v>29</v>
      </c>
      <c r="L361" s="61" t="str">
        <f>IF($J361=L$3,IF(L$3&gt;$I360,"-",ROUNDUP(Ld_cal($B360, $C360, $D360, $G360,$E360, $F360, $H360, L$3)*1.3,0)),"-")</f>
        <v>-</v>
      </c>
      <c r="M361" s="61" t="str">
        <f>IF($J361=M$3,IF(M$3&gt;$I360,"-",ROUNDUP(Ld_cal($B360, $C360, $D360, $G360,$E360, $F360, $H360, M$3)*1.3,0)),"-")</f>
        <v>-</v>
      </c>
      <c r="N361" s="61" t="str">
        <f>IF($J361=N$3,IF(N$3&gt;$I360,"-",ROUNDUP(Ld_cal($B360, $C360, $D360, $G360,$E360, $F360, $H360, N$3)*1.3,0)),"-")</f>
        <v>-</v>
      </c>
      <c r="O361" s="61" t="str">
        <f>IF($J361=O$3,IF(O$3&gt;$I360,"-",ROUNDUP(Ld_cal($B360, $C360, $D360, $G360,$E360, $F360, $H360, O$3)*1.3,0)),"-")</f>
        <v>-</v>
      </c>
      <c r="P361" s="61" t="str">
        <f>IF($J361=P$3,IF(P$3&gt;$I360,"-",ROUNDUP(Ld_cal($B360, $C360, $D360, $G360,$E360, $F360, $H360, P$3)*1.3,0)),"-")</f>
        <v>-</v>
      </c>
      <c r="Q361" s="61" t="str">
        <f>IF($J361=Q$3,IF(Q$3&gt;$I360,"-",ROUNDUP(Ld_cal($B360, $C360, $D360, $G360,$E360, $F360, $H360, Q$3)*1.3,0)),"-")</f>
        <v>-</v>
      </c>
      <c r="R361" s="61" t="str">
        <f>IF($J361=R$3,IF(R$3&gt;$I360,"-",ROUNDUP(Ld_cal($B360, $C360, $D360, $G360,$E360, $F360, $H360, R$3)*1.3,0)),"-")</f>
        <v>-</v>
      </c>
      <c r="S361" s="61" t="str">
        <f>IF($J361=S$3,IF(S$3&gt;$I360,"-",ROUNDUP(Ld_cal($B360, $C360, $D360, $G360,$E360, $F360, $H360, S$3)*1.3,0)),"-")</f>
        <v>-</v>
      </c>
      <c r="T361" s="61" t="str">
        <f>IF($J361=T$3,IF(T$3&gt;$I360,"-",ROUNDUP(Ld_cal($B360, $C360, $D360, $G360,$E360, $F360, $H360, T$3)*1.3,0)),"-")</f>
        <v>-</v>
      </c>
      <c r="U361" s="61" t="str">
        <f>IF($J361=U$3,IF(U$3&gt;$I360,"-",ROUNDUP(Ld_cal($B360, $C360, $D360, $G360,$E360, $F360, $H360, U$3)*1.3,0)),"-")</f>
        <v>-</v>
      </c>
      <c r="V361" s="61" t="str">
        <f>IF($J361=V$3,IF(V$3&gt;$I360,"-",ROUNDUP(Ld_cal($B360, $C360, $D360, $G360,$E360, $F360, $H360, V$3)*1.3,0)),"-")</f>
        <v>-</v>
      </c>
      <c r="W361" s="61" t="str">
        <f>IF($J361=W$3,IF(W$3&gt;$I360,"-",ROUNDUP(Ld_cal($B360, $C360, $D360, $G360,$E360, $F360, $H360, W$3)*1.3,0)),"-")</f>
        <v>-</v>
      </c>
      <c r="X361" s="61" t="str">
        <f>IF($J361=X$3,IF(X$3&gt;$I360,"-",ROUNDUP(Ld_cal($B360, $C360, $D360, $G360,$E360, $F360, $H360, X$3)*1.3,0)),"-")</f>
        <v>-</v>
      </c>
      <c r="Y361" s="61" t="str">
        <f>IF($J361=Y$3,IF(Y$3&gt;$I360,"-",ROUNDUP(Ld_cal($B360, $C360, $D360, $G360,$E360, $F360, $H360, Y$3)*1.3,0)),"-")</f>
        <v>-</v>
      </c>
      <c r="Z361" s="61" t="str">
        <f>IF($J361=Z$3,IF(Z$3&gt;$I360,"-",ROUNDUP(Ld_cal($B360, $C360, $D360, $G360,$E360, $F360, $H360, Z$3)*1.3,0)),"-")</f>
        <v>-</v>
      </c>
      <c r="AA361" s="61">
        <f>IF($J361=AA$3,IF(AA$3&gt;$I360,"-",ROUNDUP(Ld_cal($B360, $C360, $D360, $G360,$E360, $F360, $H360, AA$3)*1.3,0)),"-")</f>
        <v>166</v>
      </c>
      <c r="AB361" s="61" t="str">
        <f>IF($J361=AB$3,IF(AB$3&gt;$I360,"-",ROUNDUP(Ld_cal($B360, $C360, $D360, $G360,$E360, $F360, $H360, AB$3)*1.3,0)),"-")</f>
        <v>-</v>
      </c>
      <c r="AC361" s="61" t="str">
        <f>IF($J361=AC$3,IF(AC$3&gt;$I360,"-",ROUNDUP(Ld_cal($B360, $C360, $D360, $G360,$E360, $F360, $H360, AC$3)*1.3,0)),"-")</f>
        <v>-</v>
      </c>
      <c r="AD361" s="61">
        <f t="shared" ref="AD361" si="353">IF(J361&gt;I360,"依標準圖",MAX(L361:AC361))</f>
        <v>166</v>
      </c>
    </row>
    <row r="362" spans="1:30">
      <c r="A362" s="105" t="s">
        <v>223</v>
      </c>
      <c r="B362" s="107">
        <v>120</v>
      </c>
      <c r="C362" s="108">
        <v>7.5</v>
      </c>
      <c r="D362" s="107">
        <v>4200</v>
      </c>
      <c r="E362" s="109">
        <v>13</v>
      </c>
      <c r="F362" s="110">
        <v>20</v>
      </c>
      <c r="G362" s="107">
        <v>350</v>
      </c>
      <c r="H362" s="109">
        <v>32</v>
      </c>
      <c r="I362" s="111">
        <f>ROUNDDOWN(($B362-2*$C362-2*$E362/10-$H362/10)/(($D$1+1)*$H362/10),0)+1</f>
        <v>16</v>
      </c>
      <c r="J362" s="62">
        <v>10</v>
      </c>
      <c r="K362" s="40" t="s">
        <v>30</v>
      </c>
      <c r="L362" s="63" t="str">
        <f>IF($J362=L$3,IF(L$3&gt;$I362,"-",ROUNDUP(Ld_cal($B362, $C362, $D362, $G362,$E362, $F362, $H362, L$3)*1.3*1.3,0)),"-")</f>
        <v>-</v>
      </c>
      <c r="M362" s="63" t="str">
        <f>IF($J362=M$3,IF(M$3&gt;$I362,"-",ROUNDUP(Ld_cal($B362, $C362, $D362, $G362,$E362, $F362, $H362, M$3)*1.3*1.3,0)),"-")</f>
        <v>-</v>
      </c>
      <c r="N362" s="63" t="str">
        <f>IF($J362=N$3,IF(N$3&gt;$I362,"-",ROUNDUP(Ld_cal($B362, $C362, $D362, $G362,$E362, $F362, $H362, N$3)*1.3*1.3,0)),"-")</f>
        <v>-</v>
      </c>
      <c r="O362" s="63" t="str">
        <f>IF($J362=O$3,IF(O$3&gt;$I362,"-",ROUNDUP(Ld_cal($B362, $C362, $D362, $G362,$E362, $F362, $H362, O$3)*1.3*1.3,0)),"-")</f>
        <v>-</v>
      </c>
      <c r="P362" s="63" t="str">
        <f>IF($J362=P$3,IF(P$3&gt;$I362,"-",ROUNDUP(Ld_cal($B362, $C362, $D362, $G362,$E362, $F362, $H362, P$3)*1.3*1.3,0)),"-")</f>
        <v>-</v>
      </c>
      <c r="Q362" s="63" t="str">
        <f>IF($J362=Q$3,IF(Q$3&gt;$I362,"-",ROUNDUP(Ld_cal($B362, $C362, $D362, $G362,$E362, $F362, $H362, Q$3)*1.3*1.3,0)),"-")</f>
        <v>-</v>
      </c>
      <c r="R362" s="63" t="str">
        <f>IF($J362=R$3,IF(R$3&gt;$I362,"-",ROUNDUP(Ld_cal($B362, $C362, $D362, $G362,$E362, $F362, $H362, R$3)*1.3*1.3,0)),"-")</f>
        <v>-</v>
      </c>
      <c r="S362" s="63">
        <f>IF($J362=S$3,IF(S$3&gt;$I362,"-",ROUNDUP(Ld_cal($B362, $C362, $D362, $G362,$E362, $F362, $H362, S$3)*1.3*1.3,0)),"-")</f>
        <v>181</v>
      </c>
      <c r="T362" s="63" t="str">
        <f>IF($J362=T$3,IF(T$3&gt;$I362,"-",ROUNDUP(Ld_cal($B362, $C362, $D362, $G362,$E362, $F362, $H362, T$3)*1.3*1.3,0)),"-")</f>
        <v>-</v>
      </c>
      <c r="U362" s="63" t="str">
        <f>IF($J362=U$3,IF(U$3&gt;$I362,"-",ROUNDUP(Ld_cal($B362, $C362, $D362, $G362,$E362, $F362, $H362, U$3)*1.3*1.3,0)),"-")</f>
        <v>-</v>
      </c>
      <c r="V362" s="63" t="str">
        <f>IF($J362=V$3,IF(V$3&gt;$I362,"-",ROUNDUP(Ld_cal($B362, $C362, $D362, $G362,$E362, $F362, $H362, V$3)*1.3*1.3,0)),"-")</f>
        <v>-</v>
      </c>
      <c r="W362" s="63" t="str">
        <f>IF($J362=W$3,IF(W$3&gt;$I362,"-",ROUNDUP(Ld_cal($B362, $C362, $D362, $G362,$E362, $F362, $H362, W$3)*1.3*1.3,0)),"-")</f>
        <v>-</v>
      </c>
      <c r="X362" s="63" t="str">
        <f>IF($J362=X$3,IF(X$3&gt;$I362,"-",ROUNDUP(Ld_cal($B362, $C362, $D362, $G362,$E362, $F362, $H362, X$3)*1.3*1.3,0)),"-")</f>
        <v>-</v>
      </c>
      <c r="Y362" s="63" t="str">
        <f>IF($J362=Y$3,IF(Y$3&gt;$I362,"-",ROUNDUP(Ld_cal($B362, $C362, $D362, $G362,$E362, $F362, $H362, Y$3)*1.3*1.3,0)),"-")</f>
        <v>-</v>
      </c>
      <c r="Z362" s="63" t="str">
        <f>IF($J362=Z$3,IF(Z$3&gt;$I362,"-",ROUNDUP(Ld_cal($B362, $C362, $D362, $G362,$E362, $F362, $H362, Z$3)*1.3*1.3,0)),"-")</f>
        <v>-</v>
      </c>
      <c r="AA362" s="63" t="str">
        <f>IF($J362=AA$3,IF(AA$3&gt;$I362,"-",ROUNDUP(Ld_cal($B362, $C362, $D362, $G362,$E362, $F362, $H362, AA$3)*1.3*1.3,0)),"-")</f>
        <v>-</v>
      </c>
      <c r="AB362" s="63" t="str">
        <f>IF($J362=AB$3,IF(AB$3&gt;$I362,"-",ROUNDUP(Ld_cal($B362, $C362, $D362, $G362,$E362, $F362, $H362, AB$3)*1.3*1.3,0)),"-")</f>
        <v>-</v>
      </c>
      <c r="AC362" s="63" t="str">
        <f>IF($J362=AC$3,IF(AC$3&gt;$I362,"-",ROUNDUP(Ld_cal($B362, $C362, $D362, $G362,$E362, $F362, $H362, AC$3)*1.3*1.3,0)),"-")</f>
        <v>-</v>
      </c>
      <c r="AD362" s="63">
        <f t="shared" ref="AD362" si="354">IF(J362&gt;I362,"依標準圖",MAX(L362:AC362))</f>
        <v>181</v>
      </c>
    </row>
    <row r="363" spans="1:30">
      <c r="A363" s="106"/>
      <c r="B363" s="107"/>
      <c r="C363" s="108"/>
      <c r="D363" s="107"/>
      <c r="E363" s="109"/>
      <c r="F363" s="110"/>
      <c r="G363" s="107"/>
      <c r="H363" s="109"/>
      <c r="I363" s="111"/>
      <c r="J363" s="62">
        <v>11</v>
      </c>
      <c r="K363" s="40" t="s">
        <v>29</v>
      </c>
      <c r="L363" s="63" t="str">
        <f>IF($J363=L$3,IF(L$3&gt;$I362,"-",ROUNDUP(Ld_cal($B362, $C362, $D362, $G362,$E362, $F362, $H362, L$3)*1.3,0)),"-")</f>
        <v>-</v>
      </c>
      <c r="M363" s="63" t="str">
        <f>IF($J363=M$3,IF(M$3&gt;$I362,"-",ROUNDUP(Ld_cal($B362, $C362, $D362, $G362,$E362, $F362, $H362, M$3)*1.3,0)),"-")</f>
        <v>-</v>
      </c>
      <c r="N363" s="63" t="str">
        <f>IF($J363=N$3,IF(N$3&gt;$I362,"-",ROUNDUP(Ld_cal($B362, $C362, $D362, $G362,$E362, $F362, $H362, N$3)*1.3,0)),"-")</f>
        <v>-</v>
      </c>
      <c r="O363" s="63" t="str">
        <f>IF($J363=O$3,IF(O$3&gt;$I362,"-",ROUNDUP(Ld_cal($B362, $C362, $D362, $G362,$E362, $F362, $H362, O$3)*1.3,0)),"-")</f>
        <v>-</v>
      </c>
      <c r="P363" s="63" t="str">
        <f>IF($J363=P$3,IF(P$3&gt;$I362,"-",ROUNDUP(Ld_cal($B362, $C362, $D362, $G362,$E362, $F362, $H362, P$3)*1.3,0)),"-")</f>
        <v>-</v>
      </c>
      <c r="Q363" s="63" t="str">
        <f>IF($J363=Q$3,IF(Q$3&gt;$I362,"-",ROUNDUP(Ld_cal($B362, $C362, $D362, $G362,$E362, $F362, $H362, Q$3)*1.3,0)),"-")</f>
        <v>-</v>
      </c>
      <c r="R363" s="63" t="str">
        <f>IF($J363=R$3,IF(R$3&gt;$I362,"-",ROUNDUP(Ld_cal($B362, $C362, $D362, $G362,$E362, $F362, $H362, R$3)*1.3,0)),"-")</f>
        <v>-</v>
      </c>
      <c r="S363" s="63" t="str">
        <f>IF($J363=S$3,IF(S$3&gt;$I362,"-",ROUNDUP(Ld_cal($B362, $C362, $D362, $G362,$E362, $F362, $H362, S$3)*1.3,0)),"-")</f>
        <v>-</v>
      </c>
      <c r="T363" s="63">
        <f>IF($J363=T$3,IF(T$3&gt;$I362,"-",ROUNDUP(Ld_cal($B362, $C362, $D362, $G362,$E362, $F362, $H362, T$3)*1.3,0)),"-")</f>
        <v>154</v>
      </c>
      <c r="U363" s="63" t="str">
        <f>IF($J363=U$3,IF(U$3&gt;$I362,"-",ROUNDUP(Ld_cal($B362, $C362, $D362, $G362,$E362, $F362, $H362, U$3)*1.3,0)),"-")</f>
        <v>-</v>
      </c>
      <c r="V363" s="63" t="str">
        <f>IF($J363=V$3,IF(V$3&gt;$I362,"-",ROUNDUP(Ld_cal($B362, $C362, $D362, $G362,$E362, $F362, $H362, V$3)*1.3,0)),"-")</f>
        <v>-</v>
      </c>
      <c r="W363" s="63" t="str">
        <f>IF($J363=W$3,IF(W$3&gt;$I362,"-",ROUNDUP(Ld_cal($B362, $C362, $D362, $G362,$E362, $F362, $H362, W$3)*1.3,0)),"-")</f>
        <v>-</v>
      </c>
      <c r="X363" s="63" t="str">
        <f>IF($J363=X$3,IF(X$3&gt;$I362,"-",ROUNDUP(Ld_cal($B362, $C362, $D362, $G362,$E362, $F362, $H362, X$3)*1.3,0)),"-")</f>
        <v>-</v>
      </c>
      <c r="Y363" s="63" t="str">
        <f>IF($J363=Y$3,IF(Y$3&gt;$I362,"-",ROUNDUP(Ld_cal($B362, $C362, $D362, $G362,$E362, $F362, $H362, Y$3)*1.3,0)),"-")</f>
        <v>-</v>
      </c>
      <c r="Z363" s="63" t="str">
        <f>IF($J363=Z$3,IF(Z$3&gt;$I362,"-",ROUNDUP(Ld_cal($B362, $C362, $D362, $G362,$E362, $F362, $H362, Z$3)*1.3,0)),"-")</f>
        <v>-</v>
      </c>
      <c r="AA363" s="63" t="str">
        <f>IF($J363=AA$3,IF(AA$3&gt;$I362,"-",ROUNDUP(Ld_cal($B362, $C362, $D362, $G362,$E362, $F362, $H362, AA$3)*1.3,0)),"-")</f>
        <v>-</v>
      </c>
      <c r="AB363" s="63" t="str">
        <f>IF($J363=AB$3,IF(AB$3&gt;$I362,"-",ROUNDUP(Ld_cal($B362, $C362, $D362, $G362,$E362, $F362, $H362, AB$3)*1.3,0)),"-")</f>
        <v>-</v>
      </c>
      <c r="AC363" s="63" t="str">
        <f>IF($J363=AC$3,IF(AC$3&gt;$I362,"-",ROUNDUP(Ld_cal($B362, $C362, $D362, $G362,$E362, $F362, $H362, AC$3)*1.3,0)),"-")</f>
        <v>-</v>
      </c>
      <c r="AD363" s="63">
        <f t="shared" ref="AD363" si="355">IF(J363&gt;I362,"依標準圖",MAX(L363:AC363))</f>
        <v>154</v>
      </c>
    </row>
    <row r="364" spans="1:30">
      <c r="A364" s="97" t="s">
        <v>224</v>
      </c>
      <c r="B364" s="99">
        <v>120</v>
      </c>
      <c r="C364" s="100">
        <v>7.5</v>
      </c>
      <c r="D364" s="101">
        <v>4200</v>
      </c>
      <c r="E364" s="102">
        <v>16</v>
      </c>
      <c r="F364" s="103">
        <v>12</v>
      </c>
      <c r="G364" s="101">
        <v>350</v>
      </c>
      <c r="H364" s="102">
        <v>32</v>
      </c>
      <c r="I364" s="104">
        <f>ROUNDDOWN(($B364-2*$C364-2*$E364/10-$H364/10)/(($D$1+1)*$H364/10),0)+1</f>
        <v>16</v>
      </c>
      <c r="J364" s="60">
        <v>11</v>
      </c>
      <c r="K364" s="64" t="s">
        <v>30</v>
      </c>
      <c r="L364" s="61" t="str">
        <f>IF($J364=L$3,IF(L$3&gt;$I364,"-",ROUNDUP(Ld_cal($B364, $C364, $D364, $G364,$E364, $F364, $H364, L$3)*1.3*1.3,0)),"-")</f>
        <v>-</v>
      </c>
      <c r="M364" s="61" t="str">
        <f>IF($J364=M$3,IF(M$3&gt;$I364,"-",ROUNDUP(Ld_cal($B364, $C364, $D364, $G364,$E364, $F364, $H364, M$3)*1.3*1.3,0)),"-")</f>
        <v>-</v>
      </c>
      <c r="N364" s="61" t="str">
        <f>IF($J364=N$3,IF(N$3&gt;$I364,"-",ROUNDUP(Ld_cal($B364, $C364, $D364, $G364,$E364, $F364, $H364, N$3)*1.3*1.3,0)),"-")</f>
        <v>-</v>
      </c>
      <c r="O364" s="61" t="str">
        <f>IF($J364=O$3,IF(O$3&gt;$I364,"-",ROUNDUP(Ld_cal($B364, $C364, $D364, $G364,$E364, $F364, $H364, O$3)*1.3*1.3,0)),"-")</f>
        <v>-</v>
      </c>
      <c r="P364" s="61" t="str">
        <f>IF($J364=P$3,IF(P$3&gt;$I364,"-",ROUNDUP(Ld_cal($B364, $C364, $D364, $G364,$E364, $F364, $H364, P$3)*1.3*1.3,0)),"-")</f>
        <v>-</v>
      </c>
      <c r="Q364" s="61" t="str">
        <f>IF($J364=Q$3,IF(Q$3&gt;$I364,"-",ROUNDUP(Ld_cal($B364, $C364, $D364, $G364,$E364, $F364, $H364, Q$3)*1.3*1.3,0)),"-")</f>
        <v>-</v>
      </c>
      <c r="R364" s="61" t="str">
        <f>IF($J364=R$3,IF(R$3&gt;$I364,"-",ROUNDUP(Ld_cal($B364, $C364, $D364, $G364,$E364, $F364, $H364, R$3)*1.3*1.3,0)),"-")</f>
        <v>-</v>
      </c>
      <c r="S364" s="61" t="str">
        <f>IF($J364=S$3,IF(S$3&gt;$I364,"-",ROUNDUP(Ld_cal($B364, $C364, $D364, $G364,$E364, $F364, $H364, S$3)*1.3*1.3,0)),"-")</f>
        <v>-</v>
      </c>
      <c r="T364" s="61">
        <f>IF($J364=T$3,IF(T$3&gt;$I364,"-",ROUNDUP(Ld_cal($B364, $C364, $D364, $G364,$E364, $F364, $H364, T$3)*1.3*1.3,0)),"-")</f>
        <v>177</v>
      </c>
      <c r="U364" s="61" t="str">
        <f>IF($J364=U$3,IF(U$3&gt;$I364,"-",ROUNDUP(Ld_cal($B364, $C364, $D364, $G364,$E364, $F364, $H364, U$3)*1.3*1.3,0)),"-")</f>
        <v>-</v>
      </c>
      <c r="V364" s="61" t="str">
        <f>IF($J364=V$3,IF(V$3&gt;$I364,"-",ROUNDUP(Ld_cal($B364, $C364, $D364, $G364,$E364, $F364, $H364, V$3)*1.3*1.3,0)),"-")</f>
        <v>-</v>
      </c>
      <c r="W364" s="61" t="str">
        <f>IF($J364=W$3,IF(W$3&gt;$I364,"-",ROUNDUP(Ld_cal($B364, $C364, $D364, $G364,$E364, $F364, $H364, W$3)*1.3*1.3,0)),"-")</f>
        <v>-</v>
      </c>
      <c r="X364" s="61" t="str">
        <f>IF($J364=X$3,IF(X$3&gt;$I364,"-",ROUNDUP(Ld_cal($B364, $C364, $D364, $G364,$E364, $F364, $H364, X$3)*1.3*1.3,0)),"-")</f>
        <v>-</v>
      </c>
      <c r="Y364" s="61" t="str">
        <f>IF($J364=Y$3,IF(Y$3&gt;$I364,"-",ROUNDUP(Ld_cal($B364, $C364, $D364, $G364,$E364, $F364, $H364, Y$3)*1.3*1.3,0)),"-")</f>
        <v>-</v>
      </c>
      <c r="Z364" s="61" t="str">
        <f>IF($J364=Z$3,IF(Z$3&gt;$I364,"-",ROUNDUP(Ld_cal($B364, $C364, $D364, $G364,$E364, $F364, $H364, Z$3)*1.3*1.3,0)),"-")</f>
        <v>-</v>
      </c>
      <c r="AA364" s="61" t="str">
        <f>IF($J364=AA$3,IF(AA$3&gt;$I364,"-",ROUNDUP(Ld_cal($B364, $C364, $D364, $G364,$E364, $F364, $H364, AA$3)*1.3*1.3,0)),"-")</f>
        <v>-</v>
      </c>
      <c r="AB364" s="61" t="str">
        <f>IF($J364=AB$3,IF(AB$3&gt;$I364,"-",ROUNDUP(Ld_cal($B364, $C364, $D364, $G364,$E364, $F364, $H364, AB$3)*1.3*1.3,0)),"-")</f>
        <v>-</v>
      </c>
      <c r="AC364" s="61" t="str">
        <f>IF($J364=AC$3,IF(AC$3&gt;$I364,"-",ROUNDUP(Ld_cal($B364, $C364, $D364, $G364,$E364, $F364, $H364, AC$3)*1.3*1.3,0)),"-")</f>
        <v>-</v>
      </c>
      <c r="AD364" s="61">
        <f t="shared" ref="AD364" si="356">IF(J364&gt;I364,"依標準圖",MAX(L364:AC364))</f>
        <v>177</v>
      </c>
    </row>
    <row r="365" spans="1:30">
      <c r="A365" s="98"/>
      <c r="B365" s="99"/>
      <c r="C365" s="100"/>
      <c r="D365" s="101"/>
      <c r="E365" s="102"/>
      <c r="F365" s="103"/>
      <c r="G365" s="101"/>
      <c r="H365" s="102"/>
      <c r="I365" s="104"/>
      <c r="J365" s="60">
        <v>11</v>
      </c>
      <c r="K365" s="64" t="s">
        <v>29</v>
      </c>
      <c r="L365" s="61" t="str">
        <f>IF($J365=L$3,IF(L$3&gt;$I364,"-",ROUNDUP(Ld_cal($B364, $C364, $D364, $G364,$E364, $F364, $H364, L$3)*1.3,0)),"-")</f>
        <v>-</v>
      </c>
      <c r="M365" s="61" t="str">
        <f>IF($J365=M$3,IF(M$3&gt;$I364,"-",ROUNDUP(Ld_cal($B364, $C364, $D364, $G364,$E364, $F364, $H364, M$3)*1.3,0)),"-")</f>
        <v>-</v>
      </c>
      <c r="N365" s="61" t="str">
        <f>IF($J365=N$3,IF(N$3&gt;$I364,"-",ROUNDUP(Ld_cal($B364, $C364, $D364, $G364,$E364, $F364, $H364, N$3)*1.3,0)),"-")</f>
        <v>-</v>
      </c>
      <c r="O365" s="61" t="str">
        <f>IF($J365=O$3,IF(O$3&gt;$I364,"-",ROUNDUP(Ld_cal($B364, $C364, $D364, $G364,$E364, $F364, $H364, O$3)*1.3,0)),"-")</f>
        <v>-</v>
      </c>
      <c r="P365" s="61" t="str">
        <f>IF($J365=P$3,IF(P$3&gt;$I364,"-",ROUNDUP(Ld_cal($B364, $C364, $D364, $G364,$E364, $F364, $H364, P$3)*1.3,0)),"-")</f>
        <v>-</v>
      </c>
      <c r="Q365" s="61" t="str">
        <f>IF($J365=Q$3,IF(Q$3&gt;$I364,"-",ROUNDUP(Ld_cal($B364, $C364, $D364, $G364,$E364, $F364, $H364, Q$3)*1.3,0)),"-")</f>
        <v>-</v>
      </c>
      <c r="R365" s="61" t="str">
        <f>IF($J365=R$3,IF(R$3&gt;$I364,"-",ROUNDUP(Ld_cal($B364, $C364, $D364, $G364,$E364, $F364, $H364, R$3)*1.3,0)),"-")</f>
        <v>-</v>
      </c>
      <c r="S365" s="61" t="str">
        <f>IF($J365=S$3,IF(S$3&gt;$I364,"-",ROUNDUP(Ld_cal($B364, $C364, $D364, $G364,$E364, $F364, $H364, S$3)*1.3,0)),"-")</f>
        <v>-</v>
      </c>
      <c r="T365" s="61">
        <f>IF($J365=T$3,IF(T$3&gt;$I364,"-",ROUNDUP(Ld_cal($B364, $C364, $D364, $G364,$E364, $F364, $H364, T$3)*1.3,0)),"-")</f>
        <v>137</v>
      </c>
      <c r="U365" s="61" t="str">
        <f>IF($J365=U$3,IF(U$3&gt;$I364,"-",ROUNDUP(Ld_cal($B364, $C364, $D364, $G364,$E364, $F364, $H364, U$3)*1.3,0)),"-")</f>
        <v>-</v>
      </c>
      <c r="V365" s="61" t="str">
        <f>IF($J365=V$3,IF(V$3&gt;$I364,"-",ROUNDUP(Ld_cal($B364, $C364, $D364, $G364,$E364, $F364, $H364, V$3)*1.3,0)),"-")</f>
        <v>-</v>
      </c>
      <c r="W365" s="61" t="str">
        <f>IF($J365=W$3,IF(W$3&gt;$I364,"-",ROUNDUP(Ld_cal($B364, $C364, $D364, $G364,$E364, $F364, $H364, W$3)*1.3,0)),"-")</f>
        <v>-</v>
      </c>
      <c r="X365" s="61" t="str">
        <f>IF($J365=X$3,IF(X$3&gt;$I364,"-",ROUNDUP(Ld_cal($B364, $C364, $D364, $G364,$E364, $F364, $H364, X$3)*1.3,0)),"-")</f>
        <v>-</v>
      </c>
      <c r="Y365" s="61" t="str">
        <f>IF($J365=Y$3,IF(Y$3&gt;$I364,"-",ROUNDUP(Ld_cal($B364, $C364, $D364, $G364,$E364, $F364, $H364, Y$3)*1.3,0)),"-")</f>
        <v>-</v>
      </c>
      <c r="Z365" s="61" t="str">
        <f>IF($J365=Z$3,IF(Z$3&gt;$I364,"-",ROUNDUP(Ld_cal($B364, $C364, $D364, $G364,$E364, $F364, $H364, Z$3)*1.3,0)),"-")</f>
        <v>-</v>
      </c>
      <c r="AA365" s="61" t="str">
        <f>IF($J365=AA$3,IF(AA$3&gt;$I364,"-",ROUNDUP(Ld_cal($B364, $C364, $D364, $G364,$E364, $F364, $H364, AA$3)*1.3,0)),"-")</f>
        <v>-</v>
      </c>
      <c r="AB365" s="61" t="str">
        <f>IF($J365=AB$3,IF(AB$3&gt;$I364,"-",ROUNDUP(Ld_cal($B364, $C364, $D364, $G364,$E364, $F364, $H364, AB$3)*1.3,0)),"-")</f>
        <v>-</v>
      </c>
      <c r="AC365" s="61" t="str">
        <f>IF($J365=AC$3,IF(AC$3&gt;$I364,"-",ROUNDUP(Ld_cal($B364, $C364, $D364, $G364,$E364, $F364, $H364, AC$3)*1.3,0)),"-")</f>
        <v>-</v>
      </c>
      <c r="AD365" s="61">
        <f t="shared" ref="AD365" si="357">IF(J365&gt;I364,"依標準圖",MAX(L365:AC365))</f>
        <v>137</v>
      </c>
    </row>
    <row r="366" spans="1:30">
      <c r="A366" s="105" t="s">
        <v>225</v>
      </c>
      <c r="B366" s="107">
        <v>120</v>
      </c>
      <c r="C366" s="108">
        <v>7.5</v>
      </c>
      <c r="D366" s="107">
        <v>4200</v>
      </c>
      <c r="E366" s="109">
        <v>16</v>
      </c>
      <c r="F366" s="110">
        <v>10</v>
      </c>
      <c r="G366" s="107">
        <v>350</v>
      </c>
      <c r="H366" s="109">
        <v>32</v>
      </c>
      <c r="I366" s="111">
        <f>ROUNDDOWN(($B366-2*$C366-2*$E366/10-$H366/10)/(($D$1+1)*$H366/10),0)+1</f>
        <v>16</v>
      </c>
      <c r="J366" s="62">
        <v>7</v>
      </c>
      <c r="K366" s="40" t="s">
        <v>30</v>
      </c>
      <c r="L366" s="63" t="str">
        <f>IF($J366=L$3,IF(L$3&gt;$I366,"-",ROUNDUP(Ld_cal($B366, $C366, $D366, $G366,$E366, $F366, $H366, L$3)*1.3*1.3,0)),"-")</f>
        <v>-</v>
      </c>
      <c r="M366" s="63" t="str">
        <f>IF($J366=M$3,IF(M$3&gt;$I366,"-",ROUNDUP(Ld_cal($B366, $C366, $D366, $G366,$E366, $F366, $H366, M$3)*1.3*1.3,0)),"-")</f>
        <v>-</v>
      </c>
      <c r="N366" s="63" t="str">
        <f>IF($J366=N$3,IF(N$3&gt;$I366,"-",ROUNDUP(Ld_cal($B366, $C366, $D366, $G366,$E366, $F366, $H366, N$3)*1.3*1.3,0)),"-")</f>
        <v>-</v>
      </c>
      <c r="O366" s="63" t="str">
        <f>IF($J366=O$3,IF(O$3&gt;$I366,"-",ROUNDUP(Ld_cal($B366, $C366, $D366, $G366,$E366, $F366, $H366, O$3)*1.3*1.3,0)),"-")</f>
        <v>-</v>
      </c>
      <c r="P366" s="63">
        <f>IF($J366=P$3,IF(P$3&gt;$I366,"-",ROUNDUP(Ld_cal($B366, $C366, $D366, $G366,$E366, $F366, $H366, P$3)*1.3*1.3,0)),"-")</f>
        <v>136</v>
      </c>
      <c r="Q366" s="63" t="str">
        <f>IF($J366=Q$3,IF(Q$3&gt;$I366,"-",ROUNDUP(Ld_cal($B366, $C366, $D366, $G366,$E366, $F366, $H366, Q$3)*1.3*1.3,0)),"-")</f>
        <v>-</v>
      </c>
      <c r="R366" s="63" t="str">
        <f>IF($J366=R$3,IF(R$3&gt;$I366,"-",ROUNDUP(Ld_cal($B366, $C366, $D366, $G366,$E366, $F366, $H366, R$3)*1.3*1.3,0)),"-")</f>
        <v>-</v>
      </c>
      <c r="S366" s="63" t="str">
        <f>IF($J366=S$3,IF(S$3&gt;$I366,"-",ROUNDUP(Ld_cal($B366, $C366, $D366, $G366,$E366, $F366, $H366, S$3)*1.3*1.3,0)),"-")</f>
        <v>-</v>
      </c>
      <c r="T366" s="63" t="str">
        <f>IF($J366=T$3,IF(T$3&gt;$I366,"-",ROUNDUP(Ld_cal($B366, $C366, $D366, $G366,$E366, $F366, $H366, T$3)*1.3*1.3,0)),"-")</f>
        <v>-</v>
      </c>
      <c r="U366" s="63" t="str">
        <f>IF($J366=U$3,IF(U$3&gt;$I366,"-",ROUNDUP(Ld_cal($B366, $C366, $D366, $G366,$E366, $F366, $H366, U$3)*1.3*1.3,0)),"-")</f>
        <v>-</v>
      </c>
      <c r="V366" s="63" t="str">
        <f>IF($J366=V$3,IF(V$3&gt;$I366,"-",ROUNDUP(Ld_cal($B366, $C366, $D366, $G366,$E366, $F366, $H366, V$3)*1.3*1.3,0)),"-")</f>
        <v>-</v>
      </c>
      <c r="W366" s="63" t="str">
        <f>IF($J366=W$3,IF(W$3&gt;$I366,"-",ROUNDUP(Ld_cal($B366, $C366, $D366, $G366,$E366, $F366, $H366, W$3)*1.3*1.3,0)),"-")</f>
        <v>-</v>
      </c>
      <c r="X366" s="63" t="str">
        <f>IF($J366=X$3,IF(X$3&gt;$I366,"-",ROUNDUP(Ld_cal($B366, $C366, $D366, $G366,$E366, $F366, $H366, X$3)*1.3*1.3,0)),"-")</f>
        <v>-</v>
      </c>
      <c r="Y366" s="63" t="str">
        <f>IF($J366=Y$3,IF(Y$3&gt;$I366,"-",ROUNDUP(Ld_cal($B366, $C366, $D366, $G366,$E366, $F366, $H366, Y$3)*1.3*1.3,0)),"-")</f>
        <v>-</v>
      </c>
      <c r="Z366" s="63" t="str">
        <f>IF($J366=Z$3,IF(Z$3&gt;$I366,"-",ROUNDUP(Ld_cal($B366, $C366, $D366, $G366,$E366, $F366, $H366, Z$3)*1.3*1.3,0)),"-")</f>
        <v>-</v>
      </c>
      <c r="AA366" s="63" t="str">
        <f>IF($J366=AA$3,IF(AA$3&gt;$I366,"-",ROUNDUP(Ld_cal($B366, $C366, $D366, $G366,$E366, $F366, $H366, AA$3)*1.3*1.3,0)),"-")</f>
        <v>-</v>
      </c>
      <c r="AB366" s="63" t="str">
        <f>IF($J366=AB$3,IF(AB$3&gt;$I366,"-",ROUNDUP(Ld_cal($B366, $C366, $D366, $G366,$E366, $F366, $H366, AB$3)*1.3*1.3,0)),"-")</f>
        <v>-</v>
      </c>
      <c r="AC366" s="63" t="str">
        <f>IF($J366=AC$3,IF(AC$3&gt;$I366,"-",ROUNDUP(Ld_cal($B366, $C366, $D366, $G366,$E366, $F366, $H366, AC$3)*1.3*1.3,0)),"-")</f>
        <v>-</v>
      </c>
      <c r="AD366" s="63">
        <f t="shared" ref="AD366" si="358">IF(J366&gt;I366,"依標準圖",MAX(L366:AC366))</f>
        <v>136</v>
      </c>
    </row>
    <row r="367" spans="1:30">
      <c r="A367" s="106"/>
      <c r="B367" s="107"/>
      <c r="C367" s="108"/>
      <c r="D367" s="107"/>
      <c r="E367" s="109"/>
      <c r="F367" s="110"/>
      <c r="G367" s="107"/>
      <c r="H367" s="109"/>
      <c r="I367" s="111"/>
      <c r="J367" s="62">
        <v>14</v>
      </c>
      <c r="K367" s="40" t="s">
        <v>29</v>
      </c>
      <c r="L367" s="63" t="str">
        <f>IF($J367=L$3,IF(L$3&gt;$I366,"-",ROUNDUP(Ld_cal($B366, $C366, $D366, $G366,$E366, $F366, $H366, L$3)*1.3,0)),"-")</f>
        <v>-</v>
      </c>
      <c r="M367" s="63" t="str">
        <f>IF($J367=M$3,IF(M$3&gt;$I366,"-",ROUNDUP(Ld_cal($B366, $C366, $D366, $G366,$E366, $F366, $H366, M$3)*1.3,0)),"-")</f>
        <v>-</v>
      </c>
      <c r="N367" s="63" t="str">
        <f>IF($J367=N$3,IF(N$3&gt;$I366,"-",ROUNDUP(Ld_cal($B366, $C366, $D366, $G366,$E366, $F366, $H366, N$3)*1.3,0)),"-")</f>
        <v>-</v>
      </c>
      <c r="O367" s="63" t="str">
        <f>IF($J367=O$3,IF(O$3&gt;$I366,"-",ROUNDUP(Ld_cal($B366, $C366, $D366, $G366,$E366, $F366, $H366, O$3)*1.3,0)),"-")</f>
        <v>-</v>
      </c>
      <c r="P367" s="63" t="str">
        <f>IF($J367=P$3,IF(P$3&gt;$I366,"-",ROUNDUP(Ld_cal($B366, $C366, $D366, $G366,$E366, $F366, $H366, P$3)*1.3,0)),"-")</f>
        <v>-</v>
      </c>
      <c r="Q367" s="63" t="str">
        <f>IF($J367=Q$3,IF(Q$3&gt;$I366,"-",ROUNDUP(Ld_cal($B366, $C366, $D366, $G366,$E366, $F366, $H366, Q$3)*1.3,0)),"-")</f>
        <v>-</v>
      </c>
      <c r="R367" s="63" t="str">
        <f>IF($J367=R$3,IF(R$3&gt;$I366,"-",ROUNDUP(Ld_cal($B366, $C366, $D366, $G366,$E366, $F366, $H366, R$3)*1.3,0)),"-")</f>
        <v>-</v>
      </c>
      <c r="S367" s="63" t="str">
        <f>IF($J367=S$3,IF(S$3&gt;$I366,"-",ROUNDUP(Ld_cal($B366, $C366, $D366, $G366,$E366, $F366, $H366, S$3)*1.3,0)),"-")</f>
        <v>-</v>
      </c>
      <c r="T367" s="63" t="str">
        <f>IF($J367=T$3,IF(T$3&gt;$I366,"-",ROUNDUP(Ld_cal($B366, $C366, $D366, $G366,$E366, $F366, $H366, T$3)*1.3,0)),"-")</f>
        <v>-</v>
      </c>
      <c r="U367" s="63" t="str">
        <f>IF($J367=U$3,IF(U$3&gt;$I366,"-",ROUNDUP(Ld_cal($B366, $C366, $D366, $G366,$E366, $F366, $H366, U$3)*1.3,0)),"-")</f>
        <v>-</v>
      </c>
      <c r="V367" s="63" t="str">
        <f>IF($J367=V$3,IF(V$3&gt;$I366,"-",ROUNDUP(Ld_cal($B366, $C366, $D366, $G366,$E366, $F366, $H366, V$3)*1.3,0)),"-")</f>
        <v>-</v>
      </c>
      <c r="W367" s="63">
        <f>IF($J367=W$3,IF(W$3&gt;$I366,"-",ROUNDUP(Ld_cal($B366, $C366, $D366, $G366,$E366, $F366, $H366, W$3)*1.3,0)),"-")</f>
        <v>170</v>
      </c>
      <c r="X367" s="63" t="str">
        <f>IF($J367=X$3,IF(X$3&gt;$I366,"-",ROUNDUP(Ld_cal($B366, $C366, $D366, $G366,$E366, $F366, $H366, X$3)*1.3,0)),"-")</f>
        <v>-</v>
      </c>
      <c r="Y367" s="63" t="str">
        <f>IF($J367=Y$3,IF(Y$3&gt;$I366,"-",ROUNDUP(Ld_cal($B366, $C366, $D366, $G366,$E366, $F366, $H366, Y$3)*1.3,0)),"-")</f>
        <v>-</v>
      </c>
      <c r="Z367" s="63" t="str">
        <f>IF($J367=Z$3,IF(Z$3&gt;$I366,"-",ROUNDUP(Ld_cal($B366, $C366, $D366, $G366,$E366, $F366, $H366, Z$3)*1.3,0)),"-")</f>
        <v>-</v>
      </c>
      <c r="AA367" s="63" t="str">
        <f>IF($J367=AA$3,IF(AA$3&gt;$I366,"-",ROUNDUP(Ld_cal($B366, $C366, $D366, $G366,$E366, $F366, $H366, AA$3)*1.3,0)),"-")</f>
        <v>-</v>
      </c>
      <c r="AB367" s="63" t="str">
        <f>IF($J367=AB$3,IF(AB$3&gt;$I366,"-",ROUNDUP(Ld_cal($B366, $C366, $D366, $G366,$E366, $F366, $H366, AB$3)*1.3,0)),"-")</f>
        <v>-</v>
      </c>
      <c r="AC367" s="63" t="str">
        <f>IF($J367=AC$3,IF(AC$3&gt;$I366,"-",ROUNDUP(Ld_cal($B366, $C366, $D366, $G366,$E366, $F366, $H366, AC$3)*1.3,0)),"-")</f>
        <v>-</v>
      </c>
      <c r="AD367" s="63">
        <f t="shared" ref="AD367" si="359">IF(J367&gt;I366,"依標準圖",MAX(L367:AC367))</f>
        <v>170</v>
      </c>
    </row>
    <row r="368" spans="1:30">
      <c r="A368" s="97" t="s">
        <v>226</v>
      </c>
      <c r="B368" s="99">
        <v>120</v>
      </c>
      <c r="C368" s="100">
        <v>7.5</v>
      </c>
      <c r="D368" s="101">
        <v>4200</v>
      </c>
      <c r="E368" s="102">
        <v>16</v>
      </c>
      <c r="F368" s="103">
        <v>12</v>
      </c>
      <c r="G368" s="101">
        <v>350</v>
      </c>
      <c r="H368" s="102">
        <v>32</v>
      </c>
      <c r="I368" s="104">
        <f>ROUNDDOWN(($B368-2*$C368-2*$E368/10-$H368/10)/(($D$1+1)*$H368/10),0)+1</f>
        <v>16</v>
      </c>
      <c r="J368" s="60">
        <v>6</v>
      </c>
      <c r="K368" s="64" t="s">
        <v>30</v>
      </c>
      <c r="L368" s="61" t="str">
        <f>IF($J368=L$3,IF(L$3&gt;$I368,"-",ROUNDUP(Ld_cal($B368, $C368, $D368, $G368,$E368, $F368, $H368, L$3)*1.3*1.3,0)),"-")</f>
        <v>-</v>
      </c>
      <c r="M368" s="61" t="str">
        <f>IF($J368=M$3,IF(M$3&gt;$I368,"-",ROUNDUP(Ld_cal($B368, $C368, $D368, $G368,$E368, $F368, $H368, M$3)*1.3*1.3,0)),"-")</f>
        <v>-</v>
      </c>
      <c r="N368" s="61" t="str">
        <f>IF($J368=N$3,IF(N$3&gt;$I368,"-",ROUNDUP(Ld_cal($B368, $C368, $D368, $G368,$E368, $F368, $H368, N$3)*1.3*1.3,0)),"-")</f>
        <v>-</v>
      </c>
      <c r="O368" s="61">
        <f>IF($J368=O$3,IF(O$3&gt;$I368,"-",ROUNDUP(Ld_cal($B368, $C368, $D368, $G368,$E368, $F368, $H368, O$3)*1.3*1.3,0)),"-")</f>
        <v>136</v>
      </c>
      <c r="P368" s="61" t="str">
        <f>IF($J368=P$3,IF(P$3&gt;$I368,"-",ROUNDUP(Ld_cal($B368, $C368, $D368, $G368,$E368, $F368, $H368, P$3)*1.3*1.3,0)),"-")</f>
        <v>-</v>
      </c>
      <c r="Q368" s="61" t="str">
        <f>IF($J368=Q$3,IF(Q$3&gt;$I368,"-",ROUNDUP(Ld_cal($B368, $C368, $D368, $G368,$E368, $F368, $H368, Q$3)*1.3*1.3,0)),"-")</f>
        <v>-</v>
      </c>
      <c r="R368" s="61" t="str">
        <f>IF($J368=R$3,IF(R$3&gt;$I368,"-",ROUNDUP(Ld_cal($B368, $C368, $D368, $G368,$E368, $F368, $H368, R$3)*1.3*1.3,0)),"-")</f>
        <v>-</v>
      </c>
      <c r="S368" s="61" t="str">
        <f>IF($J368=S$3,IF(S$3&gt;$I368,"-",ROUNDUP(Ld_cal($B368, $C368, $D368, $G368,$E368, $F368, $H368, S$3)*1.3*1.3,0)),"-")</f>
        <v>-</v>
      </c>
      <c r="T368" s="61" t="str">
        <f>IF($J368=T$3,IF(T$3&gt;$I368,"-",ROUNDUP(Ld_cal($B368, $C368, $D368, $G368,$E368, $F368, $H368, T$3)*1.3*1.3,0)),"-")</f>
        <v>-</v>
      </c>
      <c r="U368" s="61" t="str">
        <f>IF($J368=U$3,IF(U$3&gt;$I368,"-",ROUNDUP(Ld_cal($B368, $C368, $D368, $G368,$E368, $F368, $H368, U$3)*1.3*1.3,0)),"-")</f>
        <v>-</v>
      </c>
      <c r="V368" s="61" t="str">
        <f>IF($J368=V$3,IF(V$3&gt;$I368,"-",ROUNDUP(Ld_cal($B368, $C368, $D368, $G368,$E368, $F368, $H368, V$3)*1.3*1.3,0)),"-")</f>
        <v>-</v>
      </c>
      <c r="W368" s="61" t="str">
        <f>IF($J368=W$3,IF(W$3&gt;$I368,"-",ROUNDUP(Ld_cal($B368, $C368, $D368, $G368,$E368, $F368, $H368, W$3)*1.3*1.3,0)),"-")</f>
        <v>-</v>
      </c>
      <c r="X368" s="61" t="str">
        <f>IF($J368=X$3,IF(X$3&gt;$I368,"-",ROUNDUP(Ld_cal($B368, $C368, $D368, $G368,$E368, $F368, $H368, X$3)*1.3*1.3,0)),"-")</f>
        <v>-</v>
      </c>
      <c r="Y368" s="61" t="str">
        <f>IF($J368=Y$3,IF(Y$3&gt;$I368,"-",ROUNDUP(Ld_cal($B368, $C368, $D368, $G368,$E368, $F368, $H368, Y$3)*1.3*1.3,0)),"-")</f>
        <v>-</v>
      </c>
      <c r="Z368" s="61" t="str">
        <f>IF($J368=Z$3,IF(Z$3&gt;$I368,"-",ROUNDUP(Ld_cal($B368, $C368, $D368, $G368,$E368, $F368, $H368, Z$3)*1.3*1.3,0)),"-")</f>
        <v>-</v>
      </c>
      <c r="AA368" s="61" t="str">
        <f>IF($J368=AA$3,IF(AA$3&gt;$I368,"-",ROUNDUP(Ld_cal($B368, $C368, $D368, $G368,$E368, $F368, $H368, AA$3)*1.3*1.3,0)),"-")</f>
        <v>-</v>
      </c>
      <c r="AB368" s="61" t="str">
        <f>IF($J368=AB$3,IF(AB$3&gt;$I368,"-",ROUNDUP(Ld_cal($B368, $C368, $D368, $G368,$E368, $F368, $H368, AB$3)*1.3*1.3,0)),"-")</f>
        <v>-</v>
      </c>
      <c r="AC368" s="61" t="str">
        <f>IF($J368=AC$3,IF(AC$3&gt;$I368,"-",ROUNDUP(Ld_cal($B368, $C368, $D368, $G368,$E368, $F368, $H368, AC$3)*1.3*1.3,0)),"-")</f>
        <v>-</v>
      </c>
      <c r="AD368" s="61">
        <f t="shared" ref="AD368" si="360">IF(J368&gt;I368,"依標準圖",MAX(L368:AC368))</f>
        <v>136</v>
      </c>
    </row>
    <row r="369" spans="1:30">
      <c r="A369" s="98"/>
      <c r="B369" s="99"/>
      <c r="C369" s="100"/>
      <c r="D369" s="101"/>
      <c r="E369" s="102"/>
      <c r="F369" s="103"/>
      <c r="G369" s="101"/>
      <c r="H369" s="102"/>
      <c r="I369" s="104"/>
      <c r="J369" s="60">
        <v>14</v>
      </c>
      <c r="K369" s="64" t="s">
        <v>29</v>
      </c>
      <c r="L369" s="61" t="str">
        <f>IF($J369=L$3,IF(L$3&gt;$I368,"-",ROUNDUP(Ld_cal($B368, $C368, $D368, $G368,$E368, $F368, $H368, L$3)*1.3,0)),"-")</f>
        <v>-</v>
      </c>
      <c r="M369" s="61" t="str">
        <f>IF($J369=M$3,IF(M$3&gt;$I368,"-",ROUNDUP(Ld_cal($B368, $C368, $D368, $G368,$E368, $F368, $H368, M$3)*1.3,0)),"-")</f>
        <v>-</v>
      </c>
      <c r="N369" s="61" t="str">
        <f>IF($J369=N$3,IF(N$3&gt;$I368,"-",ROUNDUP(Ld_cal($B368, $C368, $D368, $G368,$E368, $F368, $H368, N$3)*1.3,0)),"-")</f>
        <v>-</v>
      </c>
      <c r="O369" s="61" t="str">
        <f>IF($J369=O$3,IF(O$3&gt;$I368,"-",ROUNDUP(Ld_cal($B368, $C368, $D368, $G368,$E368, $F368, $H368, O$3)*1.3,0)),"-")</f>
        <v>-</v>
      </c>
      <c r="P369" s="61" t="str">
        <f>IF($J369=P$3,IF(P$3&gt;$I368,"-",ROUNDUP(Ld_cal($B368, $C368, $D368, $G368,$E368, $F368, $H368, P$3)*1.3,0)),"-")</f>
        <v>-</v>
      </c>
      <c r="Q369" s="61" t="str">
        <f>IF($J369=Q$3,IF(Q$3&gt;$I368,"-",ROUNDUP(Ld_cal($B368, $C368, $D368, $G368,$E368, $F368, $H368, Q$3)*1.3,0)),"-")</f>
        <v>-</v>
      </c>
      <c r="R369" s="61" t="str">
        <f>IF($J369=R$3,IF(R$3&gt;$I368,"-",ROUNDUP(Ld_cal($B368, $C368, $D368, $G368,$E368, $F368, $H368, R$3)*1.3,0)),"-")</f>
        <v>-</v>
      </c>
      <c r="S369" s="61" t="str">
        <f>IF($J369=S$3,IF(S$3&gt;$I368,"-",ROUNDUP(Ld_cal($B368, $C368, $D368, $G368,$E368, $F368, $H368, S$3)*1.3,0)),"-")</f>
        <v>-</v>
      </c>
      <c r="T369" s="61" t="str">
        <f>IF($J369=T$3,IF(T$3&gt;$I368,"-",ROUNDUP(Ld_cal($B368, $C368, $D368, $G368,$E368, $F368, $H368, T$3)*1.3,0)),"-")</f>
        <v>-</v>
      </c>
      <c r="U369" s="61" t="str">
        <f>IF($J369=U$3,IF(U$3&gt;$I368,"-",ROUNDUP(Ld_cal($B368, $C368, $D368, $G368,$E368, $F368, $H368, U$3)*1.3,0)),"-")</f>
        <v>-</v>
      </c>
      <c r="V369" s="61" t="str">
        <f>IF($J369=V$3,IF(V$3&gt;$I368,"-",ROUNDUP(Ld_cal($B368, $C368, $D368, $G368,$E368, $F368, $H368, V$3)*1.3,0)),"-")</f>
        <v>-</v>
      </c>
      <c r="W369" s="61">
        <f>IF($J369=W$3,IF(W$3&gt;$I368,"-",ROUNDUP(Ld_cal($B368, $C368, $D368, $G368,$E368, $F368, $H368, W$3)*1.3,0)),"-")</f>
        <v>177</v>
      </c>
      <c r="X369" s="61" t="str">
        <f>IF($J369=X$3,IF(X$3&gt;$I368,"-",ROUNDUP(Ld_cal($B368, $C368, $D368, $G368,$E368, $F368, $H368, X$3)*1.3,0)),"-")</f>
        <v>-</v>
      </c>
      <c r="Y369" s="61" t="str">
        <f>IF($J369=Y$3,IF(Y$3&gt;$I368,"-",ROUNDUP(Ld_cal($B368, $C368, $D368, $G368,$E368, $F368, $H368, Y$3)*1.3,0)),"-")</f>
        <v>-</v>
      </c>
      <c r="Z369" s="61" t="str">
        <f>IF($J369=Z$3,IF(Z$3&gt;$I368,"-",ROUNDUP(Ld_cal($B368, $C368, $D368, $G368,$E368, $F368, $H368, Z$3)*1.3,0)),"-")</f>
        <v>-</v>
      </c>
      <c r="AA369" s="61" t="str">
        <f>IF($J369=AA$3,IF(AA$3&gt;$I368,"-",ROUNDUP(Ld_cal($B368, $C368, $D368, $G368,$E368, $F368, $H368, AA$3)*1.3,0)),"-")</f>
        <v>-</v>
      </c>
      <c r="AB369" s="61" t="str">
        <f>IF($J369=AB$3,IF(AB$3&gt;$I368,"-",ROUNDUP(Ld_cal($B368, $C368, $D368, $G368,$E368, $F368, $H368, AB$3)*1.3,0)),"-")</f>
        <v>-</v>
      </c>
      <c r="AC369" s="61" t="str">
        <f>IF($J369=AC$3,IF(AC$3&gt;$I368,"-",ROUNDUP(Ld_cal($B368, $C368, $D368, $G368,$E368, $F368, $H368, AC$3)*1.3,0)),"-")</f>
        <v>-</v>
      </c>
      <c r="AD369" s="61">
        <f t="shared" ref="AD369" si="361">IF(J369&gt;I368,"依標準圖",MAX(L369:AC369))</f>
        <v>177</v>
      </c>
    </row>
    <row r="370" spans="1:30">
      <c r="A370" s="105" t="s">
        <v>227</v>
      </c>
      <c r="B370" s="107">
        <v>150</v>
      </c>
      <c r="C370" s="108">
        <v>7.5</v>
      </c>
      <c r="D370" s="107">
        <v>4200</v>
      </c>
      <c r="E370" s="109">
        <v>16</v>
      </c>
      <c r="F370" s="110">
        <v>7</v>
      </c>
      <c r="G370" s="107">
        <v>350</v>
      </c>
      <c r="H370" s="109">
        <v>32</v>
      </c>
      <c r="I370" s="111">
        <f>ROUNDDOWN(($B370-2*$C370-2*$E370/10-$H370/10)/(($D$1+1)*$H370/10),0)+1</f>
        <v>21</v>
      </c>
      <c r="J370" s="62">
        <v>19</v>
      </c>
      <c r="K370" s="40" t="s">
        <v>30</v>
      </c>
      <c r="L370" s="63" t="str">
        <f>IF($J370=L$3,IF(L$3&gt;$I370,"-",ROUNDUP(Ld_cal($B370, $C370, $D370, $G370,$E370, $F370, $H370, L$3)*1.3*1.3,0)),"-")</f>
        <v>-</v>
      </c>
      <c r="M370" s="63" t="str">
        <f>IF($J370=M$3,IF(M$3&gt;$I370,"-",ROUNDUP(Ld_cal($B370, $C370, $D370, $G370,$E370, $F370, $H370, M$3)*1.3*1.3,0)),"-")</f>
        <v>-</v>
      </c>
      <c r="N370" s="63" t="str">
        <f>IF($J370=N$3,IF(N$3&gt;$I370,"-",ROUNDUP(Ld_cal($B370, $C370, $D370, $G370,$E370, $F370, $H370, N$3)*1.3*1.3,0)),"-")</f>
        <v>-</v>
      </c>
      <c r="O370" s="63" t="str">
        <f>IF($J370=O$3,IF(O$3&gt;$I370,"-",ROUNDUP(Ld_cal($B370, $C370, $D370, $G370,$E370, $F370, $H370, O$3)*1.3*1.3,0)),"-")</f>
        <v>-</v>
      </c>
      <c r="P370" s="63" t="str">
        <f>IF($J370=P$3,IF(P$3&gt;$I370,"-",ROUNDUP(Ld_cal($B370, $C370, $D370, $G370,$E370, $F370, $H370, P$3)*1.3*1.3,0)),"-")</f>
        <v>-</v>
      </c>
      <c r="Q370" s="63" t="str">
        <f>IF($J370=Q$3,IF(Q$3&gt;$I370,"-",ROUNDUP(Ld_cal($B370, $C370, $D370, $G370,$E370, $F370, $H370, Q$3)*1.3*1.3,0)),"-")</f>
        <v>-</v>
      </c>
      <c r="R370" s="63" t="str">
        <f>IF($J370=R$3,IF(R$3&gt;$I370,"-",ROUNDUP(Ld_cal($B370, $C370, $D370, $G370,$E370, $F370, $H370, R$3)*1.3*1.3,0)),"-")</f>
        <v>-</v>
      </c>
      <c r="S370" s="63" t="str">
        <f>IF($J370=S$3,IF(S$3&gt;$I370,"-",ROUNDUP(Ld_cal($B370, $C370, $D370, $G370,$E370, $F370, $H370, S$3)*1.3*1.3,0)),"-")</f>
        <v>-</v>
      </c>
      <c r="T370" s="63" t="str">
        <f>IF($J370=T$3,IF(T$3&gt;$I370,"-",ROUNDUP(Ld_cal($B370, $C370, $D370, $G370,$E370, $F370, $H370, T$3)*1.3*1.3,0)),"-")</f>
        <v>-</v>
      </c>
      <c r="U370" s="63" t="str">
        <f>IF($J370=U$3,IF(U$3&gt;$I370,"-",ROUNDUP(Ld_cal($B370, $C370, $D370, $G370,$E370, $F370, $H370, U$3)*1.3*1.3,0)),"-")</f>
        <v>-</v>
      </c>
      <c r="V370" s="63" t="str">
        <f>IF($J370=V$3,IF(V$3&gt;$I370,"-",ROUNDUP(Ld_cal($B370, $C370, $D370, $G370,$E370, $F370, $H370, V$3)*1.3*1.3,0)),"-")</f>
        <v>-</v>
      </c>
      <c r="W370" s="63" t="str">
        <f>IF($J370=W$3,IF(W$3&gt;$I370,"-",ROUNDUP(Ld_cal($B370, $C370, $D370, $G370,$E370, $F370, $H370, W$3)*1.3*1.3,0)),"-")</f>
        <v>-</v>
      </c>
      <c r="X370" s="63" t="str">
        <f>IF($J370=X$3,IF(X$3&gt;$I370,"-",ROUNDUP(Ld_cal($B370, $C370, $D370, $G370,$E370, $F370, $H370, X$3)*1.3*1.3,0)),"-")</f>
        <v>-</v>
      </c>
      <c r="Y370" s="63" t="str">
        <f>IF($J370=Y$3,IF(Y$3&gt;$I370,"-",ROUNDUP(Ld_cal($B370, $C370, $D370, $G370,$E370, $F370, $H370, Y$3)*1.3*1.3,0)),"-")</f>
        <v>-</v>
      </c>
      <c r="Z370" s="63" t="str">
        <f>IF($J370=Z$3,IF(Z$3&gt;$I370,"-",ROUNDUP(Ld_cal($B370, $C370, $D370, $G370,$E370, $F370, $H370, Z$3)*1.3*1.3,0)),"-")</f>
        <v>-</v>
      </c>
      <c r="AA370" s="63" t="str">
        <f>IF($J370=AA$3,IF(AA$3&gt;$I370,"-",ROUNDUP(Ld_cal($B370, $C370, $D370, $G370,$E370, $F370, $H370, AA$3)*1.3*1.3,0)),"-")</f>
        <v>-</v>
      </c>
      <c r="AB370" s="63">
        <f>IF($J370=AB$3,IF(AB$3&gt;$I370,"-",ROUNDUP(Ld_cal($B370, $C370, $D370, $G370,$E370, $F370, $H370, AB$3)*1.3*1.3,0)),"-")</f>
        <v>228</v>
      </c>
      <c r="AC370" s="63" t="str">
        <f>IF($J370=AC$3,IF(AC$3&gt;$I370,"-",ROUNDUP(Ld_cal($B370, $C370, $D370, $G370,$E370, $F370, $H370, AC$3)*1.3*1.3,0)),"-")</f>
        <v>-</v>
      </c>
      <c r="AD370" s="63">
        <f t="shared" ref="AD370" si="362">IF(J370&gt;I370,"依標準圖",MAX(L370:AC370))</f>
        <v>228</v>
      </c>
    </row>
    <row r="371" spans="1:30">
      <c r="A371" s="106"/>
      <c r="B371" s="107"/>
      <c r="C371" s="108"/>
      <c r="D371" s="107"/>
      <c r="E371" s="109"/>
      <c r="F371" s="110"/>
      <c r="G371" s="107"/>
      <c r="H371" s="109"/>
      <c r="I371" s="111"/>
      <c r="J371" s="62">
        <v>18</v>
      </c>
      <c r="K371" s="40" t="s">
        <v>29</v>
      </c>
      <c r="L371" s="63" t="str">
        <f>IF($J371=L$3,IF(L$3&gt;$I370,"-",ROUNDUP(Ld_cal($B370, $C370, $D370, $G370,$E370, $F370, $H370, L$3)*1.3,0)),"-")</f>
        <v>-</v>
      </c>
      <c r="M371" s="63" t="str">
        <f>IF($J371=M$3,IF(M$3&gt;$I370,"-",ROUNDUP(Ld_cal($B370, $C370, $D370, $G370,$E370, $F370, $H370, M$3)*1.3,0)),"-")</f>
        <v>-</v>
      </c>
      <c r="N371" s="63" t="str">
        <f>IF($J371=N$3,IF(N$3&gt;$I370,"-",ROUNDUP(Ld_cal($B370, $C370, $D370, $G370,$E370, $F370, $H370, N$3)*1.3,0)),"-")</f>
        <v>-</v>
      </c>
      <c r="O371" s="63" t="str">
        <f>IF($J371=O$3,IF(O$3&gt;$I370,"-",ROUNDUP(Ld_cal($B370, $C370, $D370, $G370,$E370, $F370, $H370, O$3)*1.3,0)),"-")</f>
        <v>-</v>
      </c>
      <c r="P371" s="63" t="str">
        <f>IF($J371=P$3,IF(P$3&gt;$I370,"-",ROUNDUP(Ld_cal($B370, $C370, $D370, $G370,$E370, $F370, $H370, P$3)*1.3,0)),"-")</f>
        <v>-</v>
      </c>
      <c r="Q371" s="63" t="str">
        <f>IF($J371=Q$3,IF(Q$3&gt;$I370,"-",ROUNDUP(Ld_cal($B370, $C370, $D370, $G370,$E370, $F370, $H370, Q$3)*1.3,0)),"-")</f>
        <v>-</v>
      </c>
      <c r="R371" s="63" t="str">
        <f>IF($J371=R$3,IF(R$3&gt;$I370,"-",ROUNDUP(Ld_cal($B370, $C370, $D370, $G370,$E370, $F370, $H370, R$3)*1.3,0)),"-")</f>
        <v>-</v>
      </c>
      <c r="S371" s="63" t="str">
        <f>IF($J371=S$3,IF(S$3&gt;$I370,"-",ROUNDUP(Ld_cal($B370, $C370, $D370, $G370,$E370, $F370, $H370, S$3)*1.3,0)),"-")</f>
        <v>-</v>
      </c>
      <c r="T371" s="63" t="str">
        <f>IF($J371=T$3,IF(T$3&gt;$I370,"-",ROUNDUP(Ld_cal($B370, $C370, $D370, $G370,$E370, $F370, $H370, T$3)*1.3,0)),"-")</f>
        <v>-</v>
      </c>
      <c r="U371" s="63" t="str">
        <f>IF($J371=U$3,IF(U$3&gt;$I370,"-",ROUNDUP(Ld_cal($B370, $C370, $D370, $G370,$E370, $F370, $H370, U$3)*1.3,0)),"-")</f>
        <v>-</v>
      </c>
      <c r="V371" s="63" t="str">
        <f>IF($J371=V$3,IF(V$3&gt;$I370,"-",ROUNDUP(Ld_cal($B370, $C370, $D370, $G370,$E370, $F370, $H370, V$3)*1.3,0)),"-")</f>
        <v>-</v>
      </c>
      <c r="W371" s="63" t="str">
        <f>IF($J371=W$3,IF(W$3&gt;$I370,"-",ROUNDUP(Ld_cal($B370, $C370, $D370, $G370,$E370, $F370, $H370, W$3)*1.3,0)),"-")</f>
        <v>-</v>
      </c>
      <c r="X371" s="63" t="str">
        <f>IF($J371=X$3,IF(X$3&gt;$I370,"-",ROUNDUP(Ld_cal($B370, $C370, $D370, $G370,$E370, $F370, $H370, X$3)*1.3,0)),"-")</f>
        <v>-</v>
      </c>
      <c r="Y371" s="63" t="str">
        <f>IF($J371=Y$3,IF(Y$3&gt;$I370,"-",ROUNDUP(Ld_cal($B370, $C370, $D370, $G370,$E370, $F370, $H370, Y$3)*1.3,0)),"-")</f>
        <v>-</v>
      </c>
      <c r="Z371" s="63" t="str">
        <f>IF($J371=Z$3,IF(Z$3&gt;$I370,"-",ROUNDUP(Ld_cal($B370, $C370, $D370, $G370,$E370, $F370, $H370, Z$3)*1.3,0)),"-")</f>
        <v>-</v>
      </c>
      <c r="AA371" s="63">
        <f>IF($J371=AA$3,IF(AA$3&gt;$I370,"-",ROUNDUP(Ld_cal($B370, $C370, $D370, $G370,$E370, $F370, $H370, AA$3)*1.3,0)),"-")</f>
        <v>166</v>
      </c>
      <c r="AB371" s="63" t="str">
        <f>IF($J371=AB$3,IF(AB$3&gt;$I370,"-",ROUNDUP(Ld_cal($B370, $C370, $D370, $G370,$E370, $F370, $H370, AB$3)*1.3,0)),"-")</f>
        <v>-</v>
      </c>
      <c r="AC371" s="63" t="str">
        <f>IF($J371=AC$3,IF(AC$3&gt;$I370,"-",ROUNDUP(Ld_cal($B370, $C370, $D370, $G370,$E370, $F370, $H370, AC$3)*1.3,0)),"-")</f>
        <v>-</v>
      </c>
      <c r="AD371" s="63">
        <f t="shared" ref="AD371" si="363">IF(J371&gt;I370,"依標準圖",MAX(L371:AC371))</f>
        <v>166</v>
      </c>
    </row>
    <row r="372" spans="1:30">
      <c r="A372" s="97" t="s">
        <v>228</v>
      </c>
      <c r="B372" s="99">
        <v>120</v>
      </c>
      <c r="C372" s="100">
        <v>7.5</v>
      </c>
      <c r="D372" s="101">
        <v>4200</v>
      </c>
      <c r="E372" s="102">
        <v>13</v>
      </c>
      <c r="F372" s="103">
        <v>20</v>
      </c>
      <c r="G372" s="101">
        <v>350</v>
      </c>
      <c r="H372" s="102">
        <v>32</v>
      </c>
      <c r="I372" s="104">
        <f>ROUNDDOWN(($B372-2*$C372-2*$E372/10-$H372/10)/(($D$1+1)*$H372/10),0)+1</f>
        <v>16</v>
      </c>
      <c r="J372" s="60">
        <v>10</v>
      </c>
      <c r="K372" s="64" t="s">
        <v>30</v>
      </c>
      <c r="L372" s="61" t="str">
        <f>IF($J372=L$3,IF(L$3&gt;$I372,"-",ROUNDUP(Ld_cal($B372, $C372, $D372, $G372,$E372, $F372, $H372, L$3)*1.3*1.3,0)),"-")</f>
        <v>-</v>
      </c>
      <c r="M372" s="61" t="str">
        <f>IF($J372=M$3,IF(M$3&gt;$I372,"-",ROUNDUP(Ld_cal($B372, $C372, $D372, $G372,$E372, $F372, $H372, M$3)*1.3*1.3,0)),"-")</f>
        <v>-</v>
      </c>
      <c r="N372" s="61" t="str">
        <f>IF($J372=N$3,IF(N$3&gt;$I372,"-",ROUNDUP(Ld_cal($B372, $C372, $D372, $G372,$E372, $F372, $H372, N$3)*1.3*1.3,0)),"-")</f>
        <v>-</v>
      </c>
      <c r="O372" s="61" t="str">
        <f>IF($J372=O$3,IF(O$3&gt;$I372,"-",ROUNDUP(Ld_cal($B372, $C372, $D372, $G372,$E372, $F372, $H372, O$3)*1.3*1.3,0)),"-")</f>
        <v>-</v>
      </c>
      <c r="P372" s="61" t="str">
        <f>IF($J372=P$3,IF(P$3&gt;$I372,"-",ROUNDUP(Ld_cal($B372, $C372, $D372, $G372,$E372, $F372, $H372, P$3)*1.3*1.3,0)),"-")</f>
        <v>-</v>
      </c>
      <c r="Q372" s="61" t="str">
        <f>IF($J372=Q$3,IF(Q$3&gt;$I372,"-",ROUNDUP(Ld_cal($B372, $C372, $D372, $G372,$E372, $F372, $H372, Q$3)*1.3*1.3,0)),"-")</f>
        <v>-</v>
      </c>
      <c r="R372" s="61" t="str">
        <f>IF($J372=R$3,IF(R$3&gt;$I372,"-",ROUNDUP(Ld_cal($B372, $C372, $D372, $G372,$E372, $F372, $H372, R$3)*1.3*1.3,0)),"-")</f>
        <v>-</v>
      </c>
      <c r="S372" s="61">
        <f>IF($J372=S$3,IF(S$3&gt;$I372,"-",ROUNDUP(Ld_cal($B372, $C372, $D372, $G372,$E372, $F372, $H372, S$3)*1.3*1.3,0)),"-")</f>
        <v>181</v>
      </c>
      <c r="T372" s="61" t="str">
        <f>IF($J372=T$3,IF(T$3&gt;$I372,"-",ROUNDUP(Ld_cal($B372, $C372, $D372, $G372,$E372, $F372, $H372, T$3)*1.3*1.3,0)),"-")</f>
        <v>-</v>
      </c>
      <c r="U372" s="61" t="str">
        <f>IF($J372=U$3,IF(U$3&gt;$I372,"-",ROUNDUP(Ld_cal($B372, $C372, $D372, $G372,$E372, $F372, $H372, U$3)*1.3*1.3,0)),"-")</f>
        <v>-</v>
      </c>
      <c r="V372" s="61" t="str">
        <f>IF($J372=V$3,IF(V$3&gt;$I372,"-",ROUNDUP(Ld_cal($B372, $C372, $D372, $G372,$E372, $F372, $H372, V$3)*1.3*1.3,0)),"-")</f>
        <v>-</v>
      </c>
      <c r="W372" s="61" t="str">
        <f>IF($J372=W$3,IF(W$3&gt;$I372,"-",ROUNDUP(Ld_cal($B372, $C372, $D372, $G372,$E372, $F372, $H372, W$3)*1.3*1.3,0)),"-")</f>
        <v>-</v>
      </c>
      <c r="X372" s="61" t="str">
        <f>IF($J372=X$3,IF(X$3&gt;$I372,"-",ROUNDUP(Ld_cal($B372, $C372, $D372, $G372,$E372, $F372, $H372, X$3)*1.3*1.3,0)),"-")</f>
        <v>-</v>
      </c>
      <c r="Y372" s="61" t="str">
        <f>IF($J372=Y$3,IF(Y$3&gt;$I372,"-",ROUNDUP(Ld_cal($B372, $C372, $D372, $G372,$E372, $F372, $H372, Y$3)*1.3*1.3,0)),"-")</f>
        <v>-</v>
      </c>
      <c r="Z372" s="61" t="str">
        <f>IF($J372=Z$3,IF(Z$3&gt;$I372,"-",ROUNDUP(Ld_cal($B372, $C372, $D372, $G372,$E372, $F372, $H372, Z$3)*1.3*1.3,0)),"-")</f>
        <v>-</v>
      </c>
      <c r="AA372" s="61" t="str">
        <f>IF($J372=AA$3,IF(AA$3&gt;$I372,"-",ROUNDUP(Ld_cal($B372, $C372, $D372, $G372,$E372, $F372, $H372, AA$3)*1.3*1.3,0)),"-")</f>
        <v>-</v>
      </c>
      <c r="AB372" s="61" t="str">
        <f>IF($J372=AB$3,IF(AB$3&gt;$I372,"-",ROUNDUP(Ld_cal($B372, $C372, $D372, $G372,$E372, $F372, $H372, AB$3)*1.3*1.3,0)),"-")</f>
        <v>-</v>
      </c>
      <c r="AC372" s="61" t="str">
        <f>IF($J372=AC$3,IF(AC$3&gt;$I372,"-",ROUNDUP(Ld_cal($B372, $C372, $D372, $G372,$E372, $F372, $H372, AC$3)*1.3*1.3,0)),"-")</f>
        <v>-</v>
      </c>
      <c r="AD372" s="61">
        <f t="shared" ref="AD372" si="364">IF(J372&gt;I372,"依標準圖",MAX(L372:AC372))</f>
        <v>181</v>
      </c>
    </row>
    <row r="373" spans="1:30">
      <c r="A373" s="98"/>
      <c r="B373" s="99"/>
      <c r="C373" s="100"/>
      <c r="D373" s="101"/>
      <c r="E373" s="102"/>
      <c r="F373" s="103"/>
      <c r="G373" s="101"/>
      <c r="H373" s="102"/>
      <c r="I373" s="104"/>
      <c r="J373" s="60">
        <v>12</v>
      </c>
      <c r="K373" s="64" t="s">
        <v>29</v>
      </c>
      <c r="L373" s="61" t="str">
        <f>IF($J373=L$3,IF(L$3&gt;$I372,"-",ROUNDUP(Ld_cal($B372, $C372, $D372, $G372,$E372, $F372, $H372, L$3)*1.3,0)),"-")</f>
        <v>-</v>
      </c>
      <c r="M373" s="61" t="str">
        <f>IF($J373=M$3,IF(M$3&gt;$I372,"-",ROUNDUP(Ld_cal($B372, $C372, $D372, $G372,$E372, $F372, $H372, M$3)*1.3,0)),"-")</f>
        <v>-</v>
      </c>
      <c r="N373" s="61" t="str">
        <f>IF($J373=N$3,IF(N$3&gt;$I372,"-",ROUNDUP(Ld_cal($B372, $C372, $D372, $G372,$E372, $F372, $H372, N$3)*1.3,0)),"-")</f>
        <v>-</v>
      </c>
      <c r="O373" s="61" t="str">
        <f>IF($J373=O$3,IF(O$3&gt;$I372,"-",ROUNDUP(Ld_cal($B372, $C372, $D372, $G372,$E372, $F372, $H372, O$3)*1.3,0)),"-")</f>
        <v>-</v>
      </c>
      <c r="P373" s="61" t="str">
        <f>IF($J373=P$3,IF(P$3&gt;$I372,"-",ROUNDUP(Ld_cal($B372, $C372, $D372, $G372,$E372, $F372, $H372, P$3)*1.3,0)),"-")</f>
        <v>-</v>
      </c>
      <c r="Q373" s="61" t="str">
        <f>IF($J373=Q$3,IF(Q$3&gt;$I372,"-",ROUNDUP(Ld_cal($B372, $C372, $D372, $G372,$E372, $F372, $H372, Q$3)*1.3,0)),"-")</f>
        <v>-</v>
      </c>
      <c r="R373" s="61" t="str">
        <f>IF($J373=R$3,IF(R$3&gt;$I372,"-",ROUNDUP(Ld_cal($B372, $C372, $D372, $G372,$E372, $F372, $H372, R$3)*1.3,0)),"-")</f>
        <v>-</v>
      </c>
      <c r="S373" s="61" t="str">
        <f>IF($J373=S$3,IF(S$3&gt;$I372,"-",ROUNDUP(Ld_cal($B372, $C372, $D372, $G372,$E372, $F372, $H372, S$3)*1.3,0)),"-")</f>
        <v>-</v>
      </c>
      <c r="T373" s="61" t="str">
        <f>IF($J373=T$3,IF(T$3&gt;$I372,"-",ROUNDUP(Ld_cal($B372, $C372, $D372, $G372,$E372, $F372, $H372, T$3)*1.3,0)),"-")</f>
        <v>-</v>
      </c>
      <c r="U373" s="61">
        <f>IF($J373=U$3,IF(U$3&gt;$I372,"-",ROUNDUP(Ld_cal($B372, $C372, $D372, $G372,$E372, $F372, $H372, U$3)*1.3,0)),"-")</f>
        <v>169</v>
      </c>
      <c r="V373" s="61" t="str">
        <f>IF($J373=V$3,IF(V$3&gt;$I372,"-",ROUNDUP(Ld_cal($B372, $C372, $D372, $G372,$E372, $F372, $H372, V$3)*1.3,0)),"-")</f>
        <v>-</v>
      </c>
      <c r="W373" s="61" t="str">
        <f>IF($J373=W$3,IF(W$3&gt;$I372,"-",ROUNDUP(Ld_cal($B372, $C372, $D372, $G372,$E372, $F372, $H372, W$3)*1.3,0)),"-")</f>
        <v>-</v>
      </c>
      <c r="X373" s="61" t="str">
        <f>IF($J373=X$3,IF(X$3&gt;$I372,"-",ROUNDUP(Ld_cal($B372, $C372, $D372, $G372,$E372, $F372, $H372, X$3)*1.3,0)),"-")</f>
        <v>-</v>
      </c>
      <c r="Y373" s="61" t="str">
        <f>IF($J373=Y$3,IF(Y$3&gt;$I372,"-",ROUNDUP(Ld_cal($B372, $C372, $D372, $G372,$E372, $F372, $H372, Y$3)*1.3,0)),"-")</f>
        <v>-</v>
      </c>
      <c r="Z373" s="61" t="str">
        <f>IF($J373=Z$3,IF(Z$3&gt;$I372,"-",ROUNDUP(Ld_cal($B372, $C372, $D372, $G372,$E372, $F372, $H372, Z$3)*1.3,0)),"-")</f>
        <v>-</v>
      </c>
      <c r="AA373" s="61" t="str">
        <f>IF($J373=AA$3,IF(AA$3&gt;$I372,"-",ROUNDUP(Ld_cal($B372, $C372, $D372, $G372,$E372, $F372, $H372, AA$3)*1.3,0)),"-")</f>
        <v>-</v>
      </c>
      <c r="AB373" s="61" t="str">
        <f>IF($J373=AB$3,IF(AB$3&gt;$I372,"-",ROUNDUP(Ld_cal($B372, $C372, $D372, $G372,$E372, $F372, $H372, AB$3)*1.3,0)),"-")</f>
        <v>-</v>
      </c>
      <c r="AC373" s="61" t="str">
        <f>IF($J373=AC$3,IF(AC$3&gt;$I372,"-",ROUNDUP(Ld_cal($B372, $C372, $D372, $G372,$E372, $F372, $H372, AC$3)*1.3,0)),"-")</f>
        <v>-</v>
      </c>
      <c r="AD373" s="61">
        <f t="shared" ref="AD373" si="365">IF(J373&gt;I372,"依標準圖",MAX(L373:AC373))</f>
        <v>169</v>
      </c>
    </row>
    <row r="374" spans="1:30">
      <c r="A374" s="105" t="s">
        <v>229</v>
      </c>
      <c r="B374" s="107">
        <v>120</v>
      </c>
      <c r="C374" s="108">
        <v>7.5</v>
      </c>
      <c r="D374" s="107">
        <v>4200</v>
      </c>
      <c r="E374" s="109">
        <v>16</v>
      </c>
      <c r="F374" s="110">
        <v>10</v>
      </c>
      <c r="G374" s="107">
        <v>350</v>
      </c>
      <c r="H374" s="109">
        <v>32</v>
      </c>
      <c r="I374" s="111">
        <f>ROUNDDOWN(($B374-2*$C374-2*$E374/10-$H374/10)/(($D$1+1)*$H374/10),0)+1</f>
        <v>16</v>
      </c>
      <c r="J374" s="62">
        <v>12</v>
      </c>
      <c r="K374" s="40" t="s">
        <v>30</v>
      </c>
      <c r="L374" s="63" t="str">
        <f>IF($J374=L$3,IF(L$3&gt;$I374,"-",ROUNDUP(Ld_cal($B374, $C374, $D374, $G374,$E374, $F374, $H374, L$3)*1.3*1.3,0)),"-")</f>
        <v>-</v>
      </c>
      <c r="M374" s="63" t="str">
        <f>IF($J374=M$3,IF(M$3&gt;$I374,"-",ROUNDUP(Ld_cal($B374, $C374, $D374, $G374,$E374, $F374, $H374, M$3)*1.3*1.3,0)),"-")</f>
        <v>-</v>
      </c>
      <c r="N374" s="63" t="str">
        <f>IF($J374=N$3,IF(N$3&gt;$I374,"-",ROUNDUP(Ld_cal($B374, $C374, $D374, $G374,$E374, $F374, $H374, N$3)*1.3*1.3,0)),"-")</f>
        <v>-</v>
      </c>
      <c r="O374" s="63" t="str">
        <f>IF($J374=O$3,IF(O$3&gt;$I374,"-",ROUNDUP(Ld_cal($B374, $C374, $D374, $G374,$E374, $F374, $H374, O$3)*1.3*1.3,0)),"-")</f>
        <v>-</v>
      </c>
      <c r="P374" s="63" t="str">
        <f>IF($J374=P$3,IF(P$3&gt;$I374,"-",ROUNDUP(Ld_cal($B374, $C374, $D374, $G374,$E374, $F374, $H374, P$3)*1.3*1.3,0)),"-")</f>
        <v>-</v>
      </c>
      <c r="Q374" s="63" t="str">
        <f>IF($J374=Q$3,IF(Q$3&gt;$I374,"-",ROUNDUP(Ld_cal($B374, $C374, $D374, $G374,$E374, $F374, $H374, Q$3)*1.3*1.3,0)),"-")</f>
        <v>-</v>
      </c>
      <c r="R374" s="63" t="str">
        <f>IF($J374=R$3,IF(R$3&gt;$I374,"-",ROUNDUP(Ld_cal($B374, $C374, $D374, $G374,$E374, $F374, $H374, R$3)*1.3*1.3,0)),"-")</f>
        <v>-</v>
      </c>
      <c r="S374" s="63" t="str">
        <f>IF($J374=S$3,IF(S$3&gt;$I374,"-",ROUNDUP(Ld_cal($B374, $C374, $D374, $G374,$E374, $F374, $H374, S$3)*1.3*1.3,0)),"-")</f>
        <v>-</v>
      </c>
      <c r="T374" s="63" t="str">
        <f>IF($J374=T$3,IF(T$3&gt;$I374,"-",ROUNDUP(Ld_cal($B374, $C374, $D374, $G374,$E374, $F374, $H374, T$3)*1.3*1.3,0)),"-")</f>
        <v>-</v>
      </c>
      <c r="U374" s="63">
        <f>IF($J374=U$3,IF(U$3&gt;$I374,"-",ROUNDUP(Ld_cal($B374, $C374, $D374, $G374,$E374, $F374, $H374, U$3)*1.3*1.3,0)),"-")</f>
        <v>187</v>
      </c>
      <c r="V374" s="63" t="str">
        <f>IF($J374=V$3,IF(V$3&gt;$I374,"-",ROUNDUP(Ld_cal($B374, $C374, $D374, $G374,$E374, $F374, $H374, V$3)*1.3*1.3,0)),"-")</f>
        <v>-</v>
      </c>
      <c r="W374" s="63" t="str">
        <f>IF($J374=W$3,IF(W$3&gt;$I374,"-",ROUNDUP(Ld_cal($B374, $C374, $D374, $G374,$E374, $F374, $H374, W$3)*1.3*1.3,0)),"-")</f>
        <v>-</v>
      </c>
      <c r="X374" s="63" t="str">
        <f>IF($J374=X$3,IF(X$3&gt;$I374,"-",ROUNDUP(Ld_cal($B374, $C374, $D374, $G374,$E374, $F374, $H374, X$3)*1.3*1.3,0)),"-")</f>
        <v>-</v>
      </c>
      <c r="Y374" s="63" t="str">
        <f>IF($J374=Y$3,IF(Y$3&gt;$I374,"-",ROUNDUP(Ld_cal($B374, $C374, $D374, $G374,$E374, $F374, $H374, Y$3)*1.3*1.3,0)),"-")</f>
        <v>-</v>
      </c>
      <c r="Z374" s="63" t="str">
        <f>IF($J374=Z$3,IF(Z$3&gt;$I374,"-",ROUNDUP(Ld_cal($B374, $C374, $D374, $G374,$E374, $F374, $H374, Z$3)*1.3*1.3,0)),"-")</f>
        <v>-</v>
      </c>
      <c r="AA374" s="63" t="str">
        <f>IF($J374=AA$3,IF(AA$3&gt;$I374,"-",ROUNDUP(Ld_cal($B374, $C374, $D374, $G374,$E374, $F374, $H374, AA$3)*1.3*1.3,0)),"-")</f>
        <v>-</v>
      </c>
      <c r="AB374" s="63" t="str">
        <f>IF($J374=AB$3,IF(AB$3&gt;$I374,"-",ROUNDUP(Ld_cal($B374, $C374, $D374, $G374,$E374, $F374, $H374, AB$3)*1.3*1.3,0)),"-")</f>
        <v>-</v>
      </c>
      <c r="AC374" s="63" t="str">
        <f>IF($J374=AC$3,IF(AC$3&gt;$I374,"-",ROUNDUP(Ld_cal($B374, $C374, $D374, $G374,$E374, $F374, $H374, AC$3)*1.3*1.3,0)),"-")</f>
        <v>-</v>
      </c>
      <c r="AD374" s="63">
        <f t="shared" ref="AD374" si="366">IF(J374&gt;I374,"依標準圖",MAX(L374:AC374))</f>
        <v>187</v>
      </c>
    </row>
    <row r="375" spans="1:30">
      <c r="A375" s="106"/>
      <c r="B375" s="107"/>
      <c r="C375" s="108"/>
      <c r="D375" s="107"/>
      <c r="E375" s="109"/>
      <c r="F375" s="110"/>
      <c r="G375" s="107"/>
      <c r="H375" s="109"/>
      <c r="I375" s="111"/>
      <c r="J375" s="62">
        <v>12</v>
      </c>
      <c r="K375" s="40" t="s">
        <v>29</v>
      </c>
      <c r="L375" s="63" t="str">
        <f>IF($J375=L$3,IF(L$3&gt;$I374,"-",ROUNDUP(Ld_cal($B374, $C374, $D374, $G374,$E374, $F374, $H374, L$3)*1.3,0)),"-")</f>
        <v>-</v>
      </c>
      <c r="M375" s="63" t="str">
        <f>IF($J375=M$3,IF(M$3&gt;$I374,"-",ROUNDUP(Ld_cal($B374, $C374, $D374, $G374,$E374, $F374, $H374, M$3)*1.3,0)),"-")</f>
        <v>-</v>
      </c>
      <c r="N375" s="63" t="str">
        <f>IF($J375=N$3,IF(N$3&gt;$I374,"-",ROUNDUP(Ld_cal($B374, $C374, $D374, $G374,$E374, $F374, $H374, N$3)*1.3,0)),"-")</f>
        <v>-</v>
      </c>
      <c r="O375" s="63" t="str">
        <f>IF($J375=O$3,IF(O$3&gt;$I374,"-",ROUNDUP(Ld_cal($B374, $C374, $D374, $G374,$E374, $F374, $H374, O$3)*1.3,0)),"-")</f>
        <v>-</v>
      </c>
      <c r="P375" s="63" t="str">
        <f>IF($J375=P$3,IF(P$3&gt;$I374,"-",ROUNDUP(Ld_cal($B374, $C374, $D374, $G374,$E374, $F374, $H374, P$3)*1.3,0)),"-")</f>
        <v>-</v>
      </c>
      <c r="Q375" s="63" t="str">
        <f>IF($J375=Q$3,IF(Q$3&gt;$I374,"-",ROUNDUP(Ld_cal($B374, $C374, $D374, $G374,$E374, $F374, $H374, Q$3)*1.3,0)),"-")</f>
        <v>-</v>
      </c>
      <c r="R375" s="63" t="str">
        <f>IF($J375=R$3,IF(R$3&gt;$I374,"-",ROUNDUP(Ld_cal($B374, $C374, $D374, $G374,$E374, $F374, $H374, R$3)*1.3,0)),"-")</f>
        <v>-</v>
      </c>
      <c r="S375" s="63" t="str">
        <f>IF($J375=S$3,IF(S$3&gt;$I374,"-",ROUNDUP(Ld_cal($B374, $C374, $D374, $G374,$E374, $F374, $H374, S$3)*1.3,0)),"-")</f>
        <v>-</v>
      </c>
      <c r="T375" s="63" t="str">
        <f>IF($J375=T$3,IF(T$3&gt;$I374,"-",ROUNDUP(Ld_cal($B374, $C374, $D374, $G374,$E374, $F374, $H374, T$3)*1.3,0)),"-")</f>
        <v>-</v>
      </c>
      <c r="U375" s="63">
        <f>IF($J375=U$3,IF(U$3&gt;$I374,"-",ROUNDUP(Ld_cal($B374, $C374, $D374, $G374,$E374, $F374, $H374, U$3)*1.3,0)),"-")</f>
        <v>144</v>
      </c>
      <c r="V375" s="63" t="str">
        <f>IF($J375=V$3,IF(V$3&gt;$I374,"-",ROUNDUP(Ld_cal($B374, $C374, $D374, $G374,$E374, $F374, $H374, V$3)*1.3,0)),"-")</f>
        <v>-</v>
      </c>
      <c r="W375" s="63" t="str">
        <f>IF($J375=W$3,IF(W$3&gt;$I374,"-",ROUNDUP(Ld_cal($B374, $C374, $D374, $G374,$E374, $F374, $H374, W$3)*1.3,0)),"-")</f>
        <v>-</v>
      </c>
      <c r="X375" s="63" t="str">
        <f>IF($J375=X$3,IF(X$3&gt;$I374,"-",ROUNDUP(Ld_cal($B374, $C374, $D374, $G374,$E374, $F374, $H374, X$3)*1.3,0)),"-")</f>
        <v>-</v>
      </c>
      <c r="Y375" s="63" t="str">
        <f>IF($J375=Y$3,IF(Y$3&gt;$I374,"-",ROUNDUP(Ld_cal($B374, $C374, $D374, $G374,$E374, $F374, $H374, Y$3)*1.3,0)),"-")</f>
        <v>-</v>
      </c>
      <c r="Z375" s="63" t="str">
        <f>IF($J375=Z$3,IF(Z$3&gt;$I374,"-",ROUNDUP(Ld_cal($B374, $C374, $D374, $G374,$E374, $F374, $H374, Z$3)*1.3,0)),"-")</f>
        <v>-</v>
      </c>
      <c r="AA375" s="63" t="str">
        <f>IF($J375=AA$3,IF(AA$3&gt;$I374,"-",ROUNDUP(Ld_cal($B374, $C374, $D374, $G374,$E374, $F374, $H374, AA$3)*1.3,0)),"-")</f>
        <v>-</v>
      </c>
      <c r="AB375" s="63" t="str">
        <f>IF($J375=AB$3,IF(AB$3&gt;$I374,"-",ROUNDUP(Ld_cal($B374, $C374, $D374, $G374,$E374, $F374, $H374, AB$3)*1.3,0)),"-")</f>
        <v>-</v>
      </c>
      <c r="AC375" s="63" t="str">
        <f>IF($J375=AC$3,IF(AC$3&gt;$I374,"-",ROUNDUP(Ld_cal($B374, $C374, $D374, $G374,$E374, $F374, $H374, AC$3)*1.3,0)),"-")</f>
        <v>-</v>
      </c>
      <c r="AD375" s="63">
        <f t="shared" ref="AD375" si="367">IF(J375&gt;I374,"依標準圖",MAX(L375:AC375))</f>
        <v>144</v>
      </c>
    </row>
    <row r="376" spans="1:30">
      <c r="A376" s="97" t="s">
        <v>230</v>
      </c>
      <c r="B376" s="99">
        <v>120</v>
      </c>
      <c r="C376" s="100">
        <v>7.5</v>
      </c>
      <c r="D376" s="101">
        <v>4200</v>
      </c>
      <c r="E376" s="102">
        <v>16</v>
      </c>
      <c r="F376" s="103">
        <v>6</v>
      </c>
      <c r="G376" s="101">
        <v>350</v>
      </c>
      <c r="H376" s="102">
        <v>32</v>
      </c>
      <c r="I376" s="104">
        <f>ROUNDDOWN(($B376-2*$C376-2*$E376/10-$H376/10)/(($D$1+1)*$H376/10),0)+1</f>
        <v>16</v>
      </c>
      <c r="J376" s="60">
        <v>10</v>
      </c>
      <c r="K376" s="64" t="s">
        <v>30</v>
      </c>
      <c r="L376" s="61" t="str">
        <f>IF($J376=L$3,IF(L$3&gt;$I376,"-",ROUNDUP(Ld_cal($B376, $C376, $D376, $G376,$E376, $F376, $H376, L$3)*1.3*1.3,0)),"-")</f>
        <v>-</v>
      </c>
      <c r="M376" s="61" t="str">
        <f>IF($J376=M$3,IF(M$3&gt;$I376,"-",ROUNDUP(Ld_cal($B376, $C376, $D376, $G376,$E376, $F376, $H376, M$3)*1.3*1.3,0)),"-")</f>
        <v>-</v>
      </c>
      <c r="N376" s="61" t="str">
        <f>IF($J376=N$3,IF(N$3&gt;$I376,"-",ROUNDUP(Ld_cal($B376, $C376, $D376, $G376,$E376, $F376, $H376, N$3)*1.3*1.3,0)),"-")</f>
        <v>-</v>
      </c>
      <c r="O376" s="61" t="str">
        <f>IF($J376=O$3,IF(O$3&gt;$I376,"-",ROUNDUP(Ld_cal($B376, $C376, $D376, $G376,$E376, $F376, $H376, O$3)*1.3*1.3,0)),"-")</f>
        <v>-</v>
      </c>
      <c r="P376" s="61" t="str">
        <f>IF($J376=P$3,IF(P$3&gt;$I376,"-",ROUNDUP(Ld_cal($B376, $C376, $D376, $G376,$E376, $F376, $H376, P$3)*1.3*1.3,0)),"-")</f>
        <v>-</v>
      </c>
      <c r="Q376" s="61" t="str">
        <f>IF($J376=Q$3,IF(Q$3&gt;$I376,"-",ROUNDUP(Ld_cal($B376, $C376, $D376, $G376,$E376, $F376, $H376, Q$3)*1.3*1.3,0)),"-")</f>
        <v>-</v>
      </c>
      <c r="R376" s="61" t="str">
        <f>IF($J376=R$3,IF(R$3&gt;$I376,"-",ROUNDUP(Ld_cal($B376, $C376, $D376, $G376,$E376, $F376, $H376, R$3)*1.3*1.3,0)),"-")</f>
        <v>-</v>
      </c>
      <c r="S376" s="61">
        <f>IF($J376=S$3,IF(S$3&gt;$I376,"-",ROUNDUP(Ld_cal($B376, $C376, $D376, $G376,$E376, $F376, $H376, S$3)*1.3*1.3,0)),"-")</f>
        <v>136</v>
      </c>
      <c r="T376" s="61" t="str">
        <f>IF($J376=T$3,IF(T$3&gt;$I376,"-",ROUNDUP(Ld_cal($B376, $C376, $D376, $G376,$E376, $F376, $H376, T$3)*1.3*1.3,0)),"-")</f>
        <v>-</v>
      </c>
      <c r="U376" s="61" t="str">
        <f>IF($J376=U$3,IF(U$3&gt;$I376,"-",ROUNDUP(Ld_cal($B376, $C376, $D376, $G376,$E376, $F376, $H376, U$3)*1.3*1.3,0)),"-")</f>
        <v>-</v>
      </c>
      <c r="V376" s="61" t="str">
        <f>IF($J376=V$3,IF(V$3&gt;$I376,"-",ROUNDUP(Ld_cal($B376, $C376, $D376, $G376,$E376, $F376, $H376, V$3)*1.3*1.3,0)),"-")</f>
        <v>-</v>
      </c>
      <c r="W376" s="61" t="str">
        <f>IF($J376=W$3,IF(W$3&gt;$I376,"-",ROUNDUP(Ld_cal($B376, $C376, $D376, $G376,$E376, $F376, $H376, W$3)*1.3*1.3,0)),"-")</f>
        <v>-</v>
      </c>
      <c r="X376" s="61" t="str">
        <f>IF($J376=X$3,IF(X$3&gt;$I376,"-",ROUNDUP(Ld_cal($B376, $C376, $D376, $G376,$E376, $F376, $H376, X$3)*1.3*1.3,0)),"-")</f>
        <v>-</v>
      </c>
      <c r="Y376" s="61" t="str">
        <f>IF($J376=Y$3,IF(Y$3&gt;$I376,"-",ROUNDUP(Ld_cal($B376, $C376, $D376, $G376,$E376, $F376, $H376, Y$3)*1.3*1.3,0)),"-")</f>
        <v>-</v>
      </c>
      <c r="Z376" s="61" t="str">
        <f>IF($J376=Z$3,IF(Z$3&gt;$I376,"-",ROUNDUP(Ld_cal($B376, $C376, $D376, $G376,$E376, $F376, $H376, Z$3)*1.3*1.3,0)),"-")</f>
        <v>-</v>
      </c>
      <c r="AA376" s="61" t="str">
        <f>IF($J376=AA$3,IF(AA$3&gt;$I376,"-",ROUNDUP(Ld_cal($B376, $C376, $D376, $G376,$E376, $F376, $H376, AA$3)*1.3*1.3,0)),"-")</f>
        <v>-</v>
      </c>
      <c r="AB376" s="61" t="str">
        <f>IF($J376=AB$3,IF(AB$3&gt;$I376,"-",ROUNDUP(Ld_cal($B376, $C376, $D376, $G376,$E376, $F376, $H376, AB$3)*1.3*1.3,0)),"-")</f>
        <v>-</v>
      </c>
      <c r="AC376" s="61" t="str">
        <f>IF($J376=AC$3,IF(AC$3&gt;$I376,"-",ROUNDUP(Ld_cal($B376, $C376, $D376, $G376,$E376, $F376, $H376, AC$3)*1.3*1.3,0)),"-")</f>
        <v>-</v>
      </c>
      <c r="AD376" s="61">
        <f t="shared" ref="AD376" si="368">IF(J376&gt;I376,"依標準圖",MAX(L376:AC376))</f>
        <v>136</v>
      </c>
    </row>
    <row r="377" spans="1:30">
      <c r="A377" s="98"/>
      <c r="B377" s="99"/>
      <c r="C377" s="100"/>
      <c r="D377" s="101"/>
      <c r="E377" s="102"/>
      <c r="F377" s="103"/>
      <c r="G377" s="101"/>
      <c r="H377" s="102"/>
      <c r="I377" s="104"/>
      <c r="J377" s="60">
        <v>16</v>
      </c>
      <c r="K377" s="64" t="s">
        <v>29</v>
      </c>
      <c r="L377" s="61" t="str">
        <f>IF($J377=L$3,IF(L$3&gt;$I376,"-",ROUNDUP(Ld_cal($B376, $C376, $D376, $G376,$E376, $F376, $H376, L$3)*1.3,0)),"-")</f>
        <v>-</v>
      </c>
      <c r="M377" s="61" t="str">
        <f>IF($J377=M$3,IF(M$3&gt;$I376,"-",ROUNDUP(Ld_cal($B376, $C376, $D376, $G376,$E376, $F376, $H376, M$3)*1.3,0)),"-")</f>
        <v>-</v>
      </c>
      <c r="N377" s="61" t="str">
        <f>IF($J377=N$3,IF(N$3&gt;$I376,"-",ROUNDUP(Ld_cal($B376, $C376, $D376, $G376,$E376, $F376, $H376, N$3)*1.3,0)),"-")</f>
        <v>-</v>
      </c>
      <c r="O377" s="61" t="str">
        <f>IF($J377=O$3,IF(O$3&gt;$I376,"-",ROUNDUP(Ld_cal($B376, $C376, $D376, $G376,$E376, $F376, $H376, O$3)*1.3,0)),"-")</f>
        <v>-</v>
      </c>
      <c r="P377" s="61" t="str">
        <f>IF($J377=P$3,IF(P$3&gt;$I376,"-",ROUNDUP(Ld_cal($B376, $C376, $D376, $G376,$E376, $F376, $H376, P$3)*1.3,0)),"-")</f>
        <v>-</v>
      </c>
      <c r="Q377" s="61" t="str">
        <f>IF($J377=Q$3,IF(Q$3&gt;$I376,"-",ROUNDUP(Ld_cal($B376, $C376, $D376, $G376,$E376, $F376, $H376, Q$3)*1.3,0)),"-")</f>
        <v>-</v>
      </c>
      <c r="R377" s="61" t="str">
        <f>IF($J377=R$3,IF(R$3&gt;$I376,"-",ROUNDUP(Ld_cal($B376, $C376, $D376, $G376,$E376, $F376, $H376, R$3)*1.3,0)),"-")</f>
        <v>-</v>
      </c>
      <c r="S377" s="61" t="str">
        <f>IF($J377=S$3,IF(S$3&gt;$I376,"-",ROUNDUP(Ld_cal($B376, $C376, $D376, $G376,$E376, $F376, $H376, S$3)*1.3,0)),"-")</f>
        <v>-</v>
      </c>
      <c r="T377" s="61" t="str">
        <f>IF($J377=T$3,IF(T$3&gt;$I376,"-",ROUNDUP(Ld_cal($B376, $C376, $D376, $G376,$E376, $F376, $H376, T$3)*1.3,0)),"-")</f>
        <v>-</v>
      </c>
      <c r="U377" s="61" t="str">
        <f>IF($J377=U$3,IF(U$3&gt;$I376,"-",ROUNDUP(Ld_cal($B376, $C376, $D376, $G376,$E376, $F376, $H376, U$3)*1.3,0)),"-")</f>
        <v>-</v>
      </c>
      <c r="V377" s="61" t="str">
        <f>IF($J377=V$3,IF(V$3&gt;$I376,"-",ROUNDUP(Ld_cal($B376, $C376, $D376, $G376,$E376, $F376, $H376, V$3)*1.3,0)),"-")</f>
        <v>-</v>
      </c>
      <c r="W377" s="61" t="str">
        <f>IF($J377=W$3,IF(W$3&gt;$I376,"-",ROUNDUP(Ld_cal($B376, $C376, $D376, $G376,$E376, $F376, $H376, W$3)*1.3,0)),"-")</f>
        <v>-</v>
      </c>
      <c r="X377" s="61" t="str">
        <f>IF($J377=X$3,IF(X$3&gt;$I376,"-",ROUNDUP(Ld_cal($B376, $C376, $D376, $G376,$E376, $F376, $H376, X$3)*1.3,0)),"-")</f>
        <v>-</v>
      </c>
      <c r="Y377" s="61">
        <f>IF($J377=Y$3,IF(Y$3&gt;$I376,"-",ROUNDUP(Ld_cal($B376, $C376, $D376, $G376,$E376, $F376, $H376, Y$3)*1.3,0)),"-")</f>
        <v>169</v>
      </c>
      <c r="Z377" s="61" t="str">
        <f>IF($J377=Z$3,IF(Z$3&gt;$I376,"-",ROUNDUP(Ld_cal($B376, $C376, $D376, $G376,$E376, $F376, $H376, Z$3)*1.3,0)),"-")</f>
        <v>-</v>
      </c>
      <c r="AA377" s="61" t="str">
        <f>IF($J377=AA$3,IF(AA$3&gt;$I376,"-",ROUNDUP(Ld_cal($B376, $C376, $D376, $G376,$E376, $F376, $H376, AA$3)*1.3,0)),"-")</f>
        <v>-</v>
      </c>
      <c r="AB377" s="61" t="str">
        <f>IF($J377=AB$3,IF(AB$3&gt;$I376,"-",ROUNDUP(Ld_cal($B376, $C376, $D376, $G376,$E376, $F376, $H376, AB$3)*1.3,0)),"-")</f>
        <v>-</v>
      </c>
      <c r="AC377" s="61" t="str">
        <f>IF($J377=AC$3,IF(AC$3&gt;$I376,"-",ROUNDUP(Ld_cal($B376, $C376, $D376, $G376,$E376, $F376, $H376, AC$3)*1.3,0)),"-")</f>
        <v>-</v>
      </c>
      <c r="AD377" s="61">
        <f t="shared" ref="AD377" si="369">IF(J377&gt;I376,"依標準圖",MAX(L377:AC377))</f>
        <v>169</v>
      </c>
    </row>
    <row r="378" spans="1:30">
      <c r="A378" s="105" t="s">
        <v>231</v>
      </c>
      <c r="B378" s="107">
        <v>120</v>
      </c>
      <c r="C378" s="108">
        <v>7.5</v>
      </c>
      <c r="D378" s="107">
        <v>4200</v>
      </c>
      <c r="E378" s="109">
        <v>16</v>
      </c>
      <c r="F378" s="110">
        <v>18</v>
      </c>
      <c r="G378" s="107">
        <v>350</v>
      </c>
      <c r="H378" s="109">
        <v>32</v>
      </c>
      <c r="I378" s="111">
        <f>ROUNDDOWN(($B378-2*$C378-2*$E378/10-$H378/10)/(($D$1+1)*$H378/10),0)+1</f>
        <v>16</v>
      </c>
      <c r="J378" s="62">
        <v>6</v>
      </c>
      <c r="K378" s="40" t="s">
        <v>30</v>
      </c>
      <c r="L378" s="63" t="str">
        <f>IF($J378=L$3,IF(L$3&gt;$I378,"-",ROUNDUP(Ld_cal($B378, $C378, $D378, $G378,$E378, $F378, $H378, L$3)*1.3*1.3,0)),"-")</f>
        <v>-</v>
      </c>
      <c r="M378" s="63" t="str">
        <f>IF($J378=M$3,IF(M$3&gt;$I378,"-",ROUNDUP(Ld_cal($B378, $C378, $D378, $G378,$E378, $F378, $H378, M$3)*1.3*1.3,0)),"-")</f>
        <v>-</v>
      </c>
      <c r="N378" s="63" t="str">
        <f>IF($J378=N$3,IF(N$3&gt;$I378,"-",ROUNDUP(Ld_cal($B378, $C378, $D378, $G378,$E378, $F378, $H378, N$3)*1.3*1.3,0)),"-")</f>
        <v>-</v>
      </c>
      <c r="O378" s="63">
        <f>IF($J378=O$3,IF(O$3&gt;$I378,"-",ROUNDUP(Ld_cal($B378, $C378, $D378, $G378,$E378, $F378, $H378, O$3)*1.3*1.3,0)),"-")</f>
        <v>136</v>
      </c>
      <c r="P378" s="63" t="str">
        <f>IF($J378=P$3,IF(P$3&gt;$I378,"-",ROUNDUP(Ld_cal($B378, $C378, $D378, $G378,$E378, $F378, $H378, P$3)*1.3*1.3,0)),"-")</f>
        <v>-</v>
      </c>
      <c r="Q378" s="63" t="str">
        <f>IF($J378=Q$3,IF(Q$3&gt;$I378,"-",ROUNDUP(Ld_cal($B378, $C378, $D378, $G378,$E378, $F378, $H378, Q$3)*1.3*1.3,0)),"-")</f>
        <v>-</v>
      </c>
      <c r="R378" s="63" t="str">
        <f>IF($J378=R$3,IF(R$3&gt;$I378,"-",ROUNDUP(Ld_cal($B378, $C378, $D378, $G378,$E378, $F378, $H378, R$3)*1.3*1.3,0)),"-")</f>
        <v>-</v>
      </c>
      <c r="S378" s="63" t="str">
        <f>IF($J378=S$3,IF(S$3&gt;$I378,"-",ROUNDUP(Ld_cal($B378, $C378, $D378, $G378,$E378, $F378, $H378, S$3)*1.3*1.3,0)),"-")</f>
        <v>-</v>
      </c>
      <c r="T378" s="63" t="str">
        <f>IF($J378=T$3,IF(T$3&gt;$I378,"-",ROUNDUP(Ld_cal($B378, $C378, $D378, $G378,$E378, $F378, $H378, T$3)*1.3*1.3,0)),"-")</f>
        <v>-</v>
      </c>
      <c r="U378" s="63" t="str">
        <f>IF($J378=U$3,IF(U$3&gt;$I378,"-",ROUNDUP(Ld_cal($B378, $C378, $D378, $G378,$E378, $F378, $H378, U$3)*1.3*1.3,0)),"-")</f>
        <v>-</v>
      </c>
      <c r="V378" s="63" t="str">
        <f>IF($J378=V$3,IF(V$3&gt;$I378,"-",ROUNDUP(Ld_cal($B378, $C378, $D378, $G378,$E378, $F378, $H378, V$3)*1.3*1.3,0)),"-")</f>
        <v>-</v>
      </c>
      <c r="W378" s="63" t="str">
        <f>IF($J378=W$3,IF(W$3&gt;$I378,"-",ROUNDUP(Ld_cal($B378, $C378, $D378, $G378,$E378, $F378, $H378, W$3)*1.3*1.3,0)),"-")</f>
        <v>-</v>
      </c>
      <c r="X378" s="63" t="str">
        <f>IF($J378=X$3,IF(X$3&gt;$I378,"-",ROUNDUP(Ld_cal($B378, $C378, $D378, $G378,$E378, $F378, $H378, X$3)*1.3*1.3,0)),"-")</f>
        <v>-</v>
      </c>
      <c r="Y378" s="63" t="str">
        <f>IF($J378=Y$3,IF(Y$3&gt;$I378,"-",ROUNDUP(Ld_cal($B378, $C378, $D378, $G378,$E378, $F378, $H378, Y$3)*1.3*1.3,0)),"-")</f>
        <v>-</v>
      </c>
      <c r="Z378" s="63" t="str">
        <f>IF($J378=Z$3,IF(Z$3&gt;$I378,"-",ROUNDUP(Ld_cal($B378, $C378, $D378, $G378,$E378, $F378, $H378, Z$3)*1.3*1.3,0)),"-")</f>
        <v>-</v>
      </c>
      <c r="AA378" s="63" t="str">
        <f>IF($J378=AA$3,IF(AA$3&gt;$I378,"-",ROUNDUP(Ld_cal($B378, $C378, $D378, $G378,$E378, $F378, $H378, AA$3)*1.3*1.3,0)),"-")</f>
        <v>-</v>
      </c>
      <c r="AB378" s="63" t="str">
        <f>IF($J378=AB$3,IF(AB$3&gt;$I378,"-",ROUNDUP(Ld_cal($B378, $C378, $D378, $G378,$E378, $F378, $H378, AB$3)*1.3*1.3,0)),"-")</f>
        <v>-</v>
      </c>
      <c r="AC378" s="63" t="str">
        <f>IF($J378=AC$3,IF(AC$3&gt;$I378,"-",ROUNDUP(Ld_cal($B378, $C378, $D378, $G378,$E378, $F378, $H378, AC$3)*1.3*1.3,0)),"-")</f>
        <v>-</v>
      </c>
      <c r="AD378" s="63">
        <f t="shared" ref="AD378" si="370">IF(J378&gt;I378,"依標準圖",MAX(L378:AC378))</f>
        <v>136</v>
      </c>
    </row>
    <row r="379" spans="1:30">
      <c r="A379" s="106"/>
      <c r="B379" s="107"/>
      <c r="C379" s="108"/>
      <c r="D379" s="107"/>
      <c r="E379" s="109"/>
      <c r="F379" s="110"/>
      <c r="G379" s="107"/>
      <c r="H379" s="109"/>
      <c r="I379" s="111"/>
      <c r="J379" s="62">
        <v>11</v>
      </c>
      <c r="K379" s="40" t="s">
        <v>29</v>
      </c>
      <c r="L379" s="63" t="str">
        <f>IF($J379=L$3,IF(L$3&gt;$I378,"-",ROUNDUP(Ld_cal($B378, $C378, $D378, $G378,$E378, $F378, $H378, L$3)*1.3,0)),"-")</f>
        <v>-</v>
      </c>
      <c r="M379" s="63" t="str">
        <f>IF($J379=M$3,IF(M$3&gt;$I378,"-",ROUNDUP(Ld_cal($B378, $C378, $D378, $G378,$E378, $F378, $H378, M$3)*1.3,0)),"-")</f>
        <v>-</v>
      </c>
      <c r="N379" s="63" t="str">
        <f>IF($J379=N$3,IF(N$3&gt;$I378,"-",ROUNDUP(Ld_cal($B378, $C378, $D378, $G378,$E378, $F378, $H378, N$3)*1.3,0)),"-")</f>
        <v>-</v>
      </c>
      <c r="O379" s="63" t="str">
        <f>IF($J379=O$3,IF(O$3&gt;$I378,"-",ROUNDUP(Ld_cal($B378, $C378, $D378, $G378,$E378, $F378, $H378, O$3)*1.3,0)),"-")</f>
        <v>-</v>
      </c>
      <c r="P379" s="63" t="str">
        <f>IF($J379=P$3,IF(P$3&gt;$I378,"-",ROUNDUP(Ld_cal($B378, $C378, $D378, $G378,$E378, $F378, $H378, P$3)*1.3,0)),"-")</f>
        <v>-</v>
      </c>
      <c r="Q379" s="63" t="str">
        <f>IF($J379=Q$3,IF(Q$3&gt;$I378,"-",ROUNDUP(Ld_cal($B378, $C378, $D378, $G378,$E378, $F378, $H378, Q$3)*1.3,0)),"-")</f>
        <v>-</v>
      </c>
      <c r="R379" s="63" t="str">
        <f>IF($J379=R$3,IF(R$3&gt;$I378,"-",ROUNDUP(Ld_cal($B378, $C378, $D378, $G378,$E378, $F378, $H378, R$3)*1.3,0)),"-")</f>
        <v>-</v>
      </c>
      <c r="S379" s="63" t="str">
        <f>IF($J379=S$3,IF(S$3&gt;$I378,"-",ROUNDUP(Ld_cal($B378, $C378, $D378, $G378,$E378, $F378, $H378, S$3)*1.3,0)),"-")</f>
        <v>-</v>
      </c>
      <c r="T379" s="63">
        <f>IF($J379=T$3,IF(T$3&gt;$I378,"-",ROUNDUP(Ld_cal($B378, $C378, $D378, $G378,$E378, $F378, $H378, T$3)*1.3,0)),"-")</f>
        <v>146</v>
      </c>
      <c r="U379" s="63" t="str">
        <f>IF($J379=U$3,IF(U$3&gt;$I378,"-",ROUNDUP(Ld_cal($B378, $C378, $D378, $G378,$E378, $F378, $H378, U$3)*1.3,0)),"-")</f>
        <v>-</v>
      </c>
      <c r="V379" s="63" t="str">
        <f>IF($J379=V$3,IF(V$3&gt;$I378,"-",ROUNDUP(Ld_cal($B378, $C378, $D378, $G378,$E378, $F378, $H378, V$3)*1.3,0)),"-")</f>
        <v>-</v>
      </c>
      <c r="W379" s="63" t="str">
        <f>IF($J379=W$3,IF(W$3&gt;$I378,"-",ROUNDUP(Ld_cal($B378, $C378, $D378, $G378,$E378, $F378, $H378, W$3)*1.3,0)),"-")</f>
        <v>-</v>
      </c>
      <c r="X379" s="63" t="str">
        <f>IF($J379=X$3,IF(X$3&gt;$I378,"-",ROUNDUP(Ld_cal($B378, $C378, $D378, $G378,$E378, $F378, $H378, X$3)*1.3,0)),"-")</f>
        <v>-</v>
      </c>
      <c r="Y379" s="63" t="str">
        <f>IF($J379=Y$3,IF(Y$3&gt;$I378,"-",ROUNDUP(Ld_cal($B378, $C378, $D378, $G378,$E378, $F378, $H378, Y$3)*1.3,0)),"-")</f>
        <v>-</v>
      </c>
      <c r="Z379" s="63" t="str">
        <f>IF($J379=Z$3,IF(Z$3&gt;$I378,"-",ROUNDUP(Ld_cal($B378, $C378, $D378, $G378,$E378, $F378, $H378, Z$3)*1.3,0)),"-")</f>
        <v>-</v>
      </c>
      <c r="AA379" s="63" t="str">
        <f>IF($J379=AA$3,IF(AA$3&gt;$I378,"-",ROUNDUP(Ld_cal($B378, $C378, $D378, $G378,$E378, $F378, $H378, AA$3)*1.3,0)),"-")</f>
        <v>-</v>
      </c>
      <c r="AB379" s="63" t="str">
        <f>IF($J379=AB$3,IF(AB$3&gt;$I378,"-",ROUNDUP(Ld_cal($B378, $C378, $D378, $G378,$E378, $F378, $H378, AB$3)*1.3,0)),"-")</f>
        <v>-</v>
      </c>
      <c r="AC379" s="63" t="str">
        <f>IF($J379=AC$3,IF(AC$3&gt;$I378,"-",ROUNDUP(Ld_cal($B378, $C378, $D378, $G378,$E378, $F378, $H378, AC$3)*1.3,0)),"-")</f>
        <v>-</v>
      </c>
      <c r="AD379" s="63">
        <f t="shared" ref="AD379" si="371">IF(J379&gt;I378,"依標準圖",MAX(L379:AC379))</f>
        <v>146</v>
      </c>
    </row>
    <row r="380" spans="1:30">
      <c r="A380" s="97" t="s">
        <v>232</v>
      </c>
      <c r="B380" s="99">
        <v>150</v>
      </c>
      <c r="C380" s="100">
        <v>7.5</v>
      </c>
      <c r="D380" s="101">
        <v>4200</v>
      </c>
      <c r="E380" s="102">
        <v>16</v>
      </c>
      <c r="F380" s="103">
        <v>6</v>
      </c>
      <c r="G380" s="101">
        <v>350</v>
      </c>
      <c r="H380" s="102">
        <v>32</v>
      </c>
      <c r="I380" s="104">
        <f>ROUNDDOWN(($B380-2*$C380-2*$E380/10-$H380/10)/(($D$1+1)*$H380/10),0)+1</f>
        <v>21</v>
      </c>
      <c r="J380" s="60">
        <v>19</v>
      </c>
      <c r="K380" s="64" t="s">
        <v>30</v>
      </c>
      <c r="L380" s="61" t="str">
        <f>IF($J380=L$3,IF(L$3&gt;$I380,"-",ROUNDUP(Ld_cal($B380, $C380, $D380, $G380,$E380, $F380, $H380, L$3)*1.3*1.3,0)),"-")</f>
        <v>-</v>
      </c>
      <c r="M380" s="61" t="str">
        <f>IF($J380=M$3,IF(M$3&gt;$I380,"-",ROUNDUP(Ld_cal($B380, $C380, $D380, $G380,$E380, $F380, $H380, M$3)*1.3*1.3,0)),"-")</f>
        <v>-</v>
      </c>
      <c r="N380" s="61" t="str">
        <f>IF($J380=N$3,IF(N$3&gt;$I380,"-",ROUNDUP(Ld_cal($B380, $C380, $D380, $G380,$E380, $F380, $H380, N$3)*1.3*1.3,0)),"-")</f>
        <v>-</v>
      </c>
      <c r="O380" s="61" t="str">
        <f>IF($J380=O$3,IF(O$3&gt;$I380,"-",ROUNDUP(Ld_cal($B380, $C380, $D380, $G380,$E380, $F380, $H380, O$3)*1.3*1.3,0)),"-")</f>
        <v>-</v>
      </c>
      <c r="P380" s="61" t="str">
        <f>IF($J380=P$3,IF(P$3&gt;$I380,"-",ROUNDUP(Ld_cal($B380, $C380, $D380, $G380,$E380, $F380, $H380, P$3)*1.3*1.3,0)),"-")</f>
        <v>-</v>
      </c>
      <c r="Q380" s="61" t="str">
        <f>IF($J380=Q$3,IF(Q$3&gt;$I380,"-",ROUNDUP(Ld_cal($B380, $C380, $D380, $G380,$E380, $F380, $H380, Q$3)*1.3*1.3,0)),"-")</f>
        <v>-</v>
      </c>
      <c r="R380" s="61" t="str">
        <f>IF($J380=R$3,IF(R$3&gt;$I380,"-",ROUNDUP(Ld_cal($B380, $C380, $D380, $G380,$E380, $F380, $H380, R$3)*1.3*1.3,0)),"-")</f>
        <v>-</v>
      </c>
      <c r="S380" s="61" t="str">
        <f>IF($J380=S$3,IF(S$3&gt;$I380,"-",ROUNDUP(Ld_cal($B380, $C380, $D380, $G380,$E380, $F380, $H380, S$3)*1.3*1.3,0)),"-")</f>
        <v>-</v>
      </c>
      <c r="T380" s="61" t="str">
        <f>IF($J380=T$3,IF(T$3&gt;$I380,"-",ROUNDUP(Ld_cal($B380, $C380, $D380, $G380,$E380, $F380, $H380, T$3)*1.3*1.3,0)),"-")</f>
        <v>-</v>
      </c>
      <c r="U380" s="61" t="str">
        <f>IF($J380=U$3,IF(U$3&gt;$I380,"-",ROUNDUP(Ld_cal($B380, $C380, $D380, $G380,$E380, $F380, $H380, U$3)*1.3*1.3,0)),"-")</f>
        <v>-</v>
      </c>
      <c r="V380" s="61" t="str">
        <f>IF($J380=V$3,IF(V$3&gt;$I380,"-",ROUNDUP(Ld_cal($B380, $C380, $D380, $G380,$E380, $F380, $H380, V$3)*1.3*1.3,0)),"-")</f>
        <v>-</v>
      </c>
      <c r="W380" s="61" t="str">
        <f>IF($J380=W$3,IF(W$3&gt;$I380,"-",ROUNDUP(Ld_cal($B380, $C380, $D380, $G380,$E380, $F380, $H380, W$3)*1.3*1.3,0)),"-")</f>
        <v>-</v>
      </c>
      <c r="X380" s="61" t="str">
        <f>IF($J380=X$3,IF(X$3&gt;$I380,"-",ROUNDUP(Ld_cal($B380, $C380, $D380, $G380,$E380, $F380, $H380, X$3)*1.3*1.3,0)),"-")</f>
        <v>-</v>
      </c>
      <c r="Y380" s="61" t="str">
        <f>IF($J380=Y$3,IF(Y$3&gt;$I380,"-",ROUNDUP(Ld_cal($B380, $C380, $D380, $G380,$E380, $F380, $H380, Y$3)*1.3*1.3,0)),"-")</f>
        <v>-</v>
      </c>
      <c r="Z380" s="61" t="str">
        <f>IF($J380=Z$3,IF(Z$3&gt;$I380,"-",ROUNDUP(Ld_cal($B380, $C380, $D380, $G380,$E380, $F380, $H380, Z$3)*1.3*1.3,0)),"-")</f>
        <v>-</v>
      </c>
      <c r="AA380" s="61" t="str">
        <f>IF($J380=AA$3,IF(AA$3&gt;$I380,"-",ROUNDUP(Ld_cal($B380, $C380, $D380, $G380,$E380, $F380, $H380, AA$3)*1.3*1.3,0)),"-")</f>
        <v>-</v>
      </c>
      <c r="AB380" s="61">
        <f>IF($J380=AB$3,IF(AB$3&gt;$I380,"-",ROUNDUP(Ld_cal($B380, $C380, $D380, $G380,$E380, $F380, $H380, AB$3)*1.3*1.3,0)),"-")</f>
        <v>219</v>
      </c>
      <c r="AC380" s="61" t="str">
        <f>IF($J380=AC$3,IF(AC$3&gt;$I380,"-",ROUNDUP(Ld_cal($B380, $C380, $D380, $G380,$E380, $F380, $H380, AC$3)*1.3*1.3,0)),"-")</f>
        <v>-</v>
      </c>
      <c r="AD380" s="61">
        <f t="shared" ref="AD380" si="372">IF(J380&gt;I380,"依標準圖",MAX(L380:AC380))</f>
        <v>219</v>
      </c>
    </row>
    <row r="381" spans="1:30">
      <c r="A381" s="98"/>
      <c r="B381" s="99"/>
      <c r="C381" s="100"/>
      <c r="D381" s="101"/>
      <c r="E381" s="102"/>
      <c r="F381" s="103"/>
      <c r="G381" s="101"/>
      <c r="H381" s="102"/>
      <c r="I381" s="104"/>
      <c r="J381" s="60">
        <v>19</v>
      </c>
      <c r="K381" s="64" t="s">
        <v>29</v>
      </c>
      <c r="L381" s="61" t="str">
        <f>IF($J381=L$3,IF(L$3&gt;$I380,"-",ROUNDUP(Ld_cal($B380, $C380, $D380, $G380,$E380, $F380, $H380, L$3)*1.3,0)),"-")</f>
        <v>-</v>
      </c>
      <c r="M381" s="61" t="str">
        <f>IF($J381=M$3,IF(M$3&gt;$I380,"-",ROUNDUP(Ld_cal($B380, $C380, $D380, $G380,$E380, $F380, $H380, M$3)*1.3,0)),"-")</f>
        <v>-</v>
      </c>
      <c r="N381" s="61" t="str">
        <f>IF($J381=N$3,IF(N$3&gt;$I380,"-",ROUNDUP(Ld_cal($B380, $C380, $D380, $G380,$E380, $F380, $H380, N$3)*1.3,0)),"-")</f>
        <v>-</v>
      </c>
      <c r="O381" s="61" t="str">
        <f>IF($J381=O$3,IF(O$3&gt;$I380,"-",ROUNDUP(Ld_cal($B380, $C380, $D380, $G380,$E380, $F380, $H380, O$3)*1.3,0)),"-")</f>
        <v>-</v>
      </c>
      <c r="P381" s="61" t="str">
        <f>IF($J381=P$3,IF(P$3&gt;$I380,"-",ROUNDUP(Ld_cal($B380, $C380, $D380, $G380,$E380, $F380, $H380, P$3)*1.3,0)),"-")</f>
        <v>-</v>
      </c>
      <c r="Q381" s="61" t="str">
        <f>IF($J381=Q$3,IF(Q$3&gt;$I380,"-",ROUNDUP(Ld_cal($B380, $C380, $D380, $G380,$E380, $F380, $H380, Q$3)*1.3,0)),"-")</f>
        <v>-</v>
      </c>
      <c r="R381" s="61" t="str">
        <f>IF($J381=R$3,IF(R$3&gt;$I380,"-",ROUNDUP(Ld_cal($B380, $C380, $D380, $G380,$E380, $F380, $H380, R$3)*1.3,0)),"-")</f>
        <v>-</v>
      </c>
      <c r="S381" s="61" t="str">
        <f>IF($J381=S$3,IF(S$3&gt;$I380,"-",ROUNDUP(Ld_cal($B380, $C380, $D380, $G380,$E380, $F380, $H380, S$3)*1.3,0)),"-")</f>
        <v>-</v>
      </c>
      <c r="T381" s="61" t="str">
        <f>IF($J381=T$3,IF(T$3&gt;$I380,"-",ROUNDUP(Ld_cal($B380, $C380, $D380, $G380,$E380, $F380, $H380, T$3)*1.3,0)),"-")</f>
        <v>-</v>
      </c>
      <c r="U381" s="61" t="str">
        <f>IF($J381=U$3,IF(U$3&gt;$I380,"-",ROUNDUP(Ld_cal($B380, $C380, $D380, $G380,$E380, $F380, $H380, U$3)*1.3,0)),"-")</f>
        <v>-</v>
      </c>
      <c r="V381" s="61" t="str">
        <f>IF($J381=V$3,IF(V$3&gt;$I380,"-",ROUNDUP(Ld_cal($B380, $C380, $D380, $G380,$E380, $F380, $H380, V$3)*1.3,0)),"-")</f>
        <v>-</v>
      </c>
      <c r="W381" s="61" t="str">
        <f>IF($J381=W$3,IF(W$3&gt;$I380,"-",ROUNDUP(Ld_cal($B380, $C380, $D380, $G380,$E380, $F380, $H380, W$3)*1.3,0)),"-")</f>
        <v>-</v>
      </c>
      <c r="X381" s="61" t="str">
        <f>IF($J381=X$3,IF(X$3&gt;$I380,"-",ROUNDUP(Ld_cal($B380, $C380, $D380, $G380,$E380, $F380, $H380, X$3)*1.3,0)),"-")</f>
        <v>-</v>
      </c>
      <c r="Y381" s="61" t="str">
        <f>IF($J381=Y$3,IF(Y$3&gt;$I380,"-",ROUNDUP(Ld_cal($B380, $C380, $D380, $G380,$E380, $F380, $H380, Y$3)*1.3,0)),"-")</f>
        <v>-</v>
      </c>
      <c r="Z381" s="61" t="str">
        <f>IF($J381=Z$3,IF(Z$3&gt;$I380,"-",ROUNDUP(Ld_cal($B380, $C380, $D380, $G380,$E380, $F380, $H380, Z$3)*1.3,0)),"-")</f>
        <v>-</v>
      </c>
      <c r="AA381" s="61" t="str">
        <f>IF($J381=AA$3,IF(AA$3&gt;$I380,"-",ROUNDUP(Ld_cal($B380, $C380, $D380, $G380,$E380, $F380, $H380, AA$3)*1.3,0)),"-")</f>
        <v>-</v>
      </c>
      <c r="AB381" s="61">
        <f>IF($J381=AB$3,IF(AB$3&gt;$I380,"-",ROUNDUP(Ld_cal($B380, $C380, $D380, $G380,$E380, $F380, $H380, AB$3)*1.3,0)),"-")</f>
        <v>168</v>
      </c>
      <c r="AC381" s="61" t="str">
        <f>IF($J381=AC$3,IF(AC$3&gt;$I380,"-",ROUNDUP(Ld_cal($B380, $C380, $D380, $G380,$E380, $F380, $H380, AC$3)*1.3,0)),"-")</f>
        <v>-</v>
      </c>
      <c r="AD381" s="61">
        <f t="shared" ref="AD381" si="373">IF(J381&gt;I380,"依標準圖",MAX(L381:AC381))</f>
        <v>168</v>
      </c>
    </row>
    <row r="382" spans="1:30">
      <c r="A382" s="105" t="s">
        <v>233</v>
      </c>
      <c r="B382" s="107">
        <v>120</v>
      </c>
      <c r="C382" s="108">
        <v>7.5</v>
      </c>
      <c r="D382" s="107">
        <v>4200</v>
      </c>
      <c r="E382" s="109">
        <v>13</v>
      </c>
      <c r="F382" s="110">
        <v>20</v>
      </c>
      <c r="G382" s="107">
        <v>350</v>
      </c>
      <c r="H382" s="109">
        <v>32</v>
      </c>
      <c r="I382" s="111">
        <f>ROUNDDOWN(($B382-2*$C382-2*$E382/10-$H382/10)/(($D$1+1)*$H382/10),0)+1</f>
        <v>16</v>
      </c>
      <c r="J382" s="62">
        <v>11</v>
      </c>
      <c r="K382" s="40" t="s">
        <v>30</v>
      </c>
      <c r="L382" s="63" t="str">
        <f>IF($J382=L$3,IF(L$3&gt;$I382,"-",ROUNDUP(Ld_cal($B382, $C382, $D382, $G382,$E382, $F382, $H382, L$3)*1.3*1.3,0)),"-")</f>
        <v>-</v>
      </c>
      <c r="M382" s="63" t="str">
        <f>IF($J382=M$3,IF(M$3&gt;$I382,"-",ROUNDUP(Ld_cal($B382, $C382, $D382, $G382,$E382, $F382, $H382, M$3)*1.3*1.3,0)),"-")</f>
        <v>-</v>
      </c>
      <c r="N382" s="63" t="str">
        <f>IF($J382=N$3,IF(N$3&gt;$I382,"-",ROUNDUP(Ld_cal($B382, $C382, $D382, $G382,$E382, $F382, $H382, N$3)*1.3*1.3,0)),"-")</f>
        <v>-</v>
      </c>
      <c r="O382" s="63" t="str">
        <f>IF($J382=O$3,IF(O$3&gt;$I382,"-",ROUNDUP(Ld_cal($B382, $C382, $D382, $G382,$E382, $F382, $H382, O$3)*1.3*1.3,0)),"-")</f>
        <v>-</v>
      </c>
      <c r="P382" s="63" t="str">
        <f>IF($J382=P$3,IF(P$3&gt;$I382,"-",ROUNDUP(Ld_cal($B382, $C382, $D382, $G382,$E382, $F382, $H382, P$3)*1.3*1.3,0)),"-")</f>
        <v>-</v>
      </c>
      <c r="Q382" s="63" t="str">
        <f>IF($J382=Q$3,IF(Q$3&gt;$I382,"-",ROUNDUP(Ld_cal($B382, $C382, $D382, $G382,$E382, $F382, $H382, Q$3)*1.3*1.3,0)),"-")</f>
        <v>-</v>
      </c>
      <c r="R382" s="63" t="str">
        <f>IF($J382=R$3,IF(R$3&gt;$I382,"-",ROUNDUP(Ld_cal($B382, $C382, $D382, $G382,$E382, $F382, $H382, R$3)*1.3*1.3,0)),"-")</f>
        <v>-</v>
      </c>
      <c r="S382" s="63" t="str">
        <f>IF($J382=S$3,IF(S$3&gt;$I382,"-",ROUNDUP(Ld_cal($B382, $C382, $D382, $G382,$E382, $F382, $H382, S$3)*1.3*1.3,0)),"-")</f>
        <v>-</v>
      </c>
      <c r="T382" s="63">
        <f>IF($J382=T$3,IF(T$3&gt;$I382,"-",ROUNDUP(Ld_cal($B382, $C382, $D382, $G382,$E382, $F382, $H382, T$3)*1.3*1.3,0)),"-")</f>
        <v>200</v>
      </c>
      <c r="U382" s="63" t="str">
        <f>IF($J382=U$3,IF(U$3&gt;$I382,"-",ROUNDUP(Ld_cal($B382, $C382, $D382, $G382,$E382, $F382, $H382, U$3)*1.3*1.3,0)),"-")</f>
        <v>-</v>
      </c>
      <c r="V382" s="63" t="str">
        <f>IF($J382=V$3,IF(V$3&gt;$I382,"-",ROUNDUP(Ld_cal($B382, $C382, $D382, $G382,$E382, $F382, $H382, V$3)*1.3*1.3,0)),"-")</f>
        <v>-</v>
      </c>
      <c r="W382" s="63" t="str">
        <f>IF($J382=W$3,IF(W$3&gt;$I382,"-",ROUNDUP(Ld_cal($B382, $C382, $D382, $G382,$E382, $F382, $H382, W$3)*1.3*1.3,0)),"-")</f>
        <v>-</v>
      </c>
      <c r="X382" s="63" t="str">
        <f>IF($J382=X$3,IF(X$3&gt;$I382,"-",ROUNDUP(Ld_cal($B382, $C382, $D382, $G382,$E382, $F382, $H382, X$3)*1.3*1.3,0)),"-")</f>
        <v>-</v>
      </c>
      <c r="Y382" s="63" t="str">
        <f>IF($J382=Y$3,IF(Y$3&gt;$I382,"-",ROUNDUP(Ld_cal($B382, $C382, $D382, $G382,$E382, $F382, $H382, Y$3)*1.3*1.3,0)),"-")</f>
        <v>-</v>
      </c>
      <c r="Z382" s="63" t="str">
        <f>IF($J382=Z$3,IF(Z$3&gt;$I382,"-",ROUNDUP(Ld_cal($B382, $C382, $D382, $G382,$E382, $F382, $H382, Z$3)*1.3*1.3,0)),"-")</f>
        <v>-</v>
      </c>
      <c r="AA382" s="63" t="str">
        <f>IF($J382=AA$3,IF(AA$3&gt;$I382,"-",ROUNDUP(Ld_cal($B382, $C382, $D382, $G382,$E382, $F382, $H382, AA$3)*1.3*1.3,0)),"-")</f>
        <v>-</v>
      </c>
      <c r="AB382" s="63" t="str">
        <f>IF($J382=AB$3,IF(AB$3&gt;$I382,"-",ROUNDUP(Ld_cal($B382, $C382, $D382, $G382,$E382, $F382, $H382, AB$3)*1.3*1.3,0)),"-")</f>
        <v>-</v>
      </c>
      <c r="AC382" s="63" t="str">
        <f>IF($J382=AC$3,IF(AC$3&gt;$I382,"-",ROUNDUP(Ld_cal($B382, $C382, $D382, $G382,$E382, $F382, $H382, AC$3)*1.3*1.3,0)),"-")</f>
        <v>-</v>
      </c>
      <c r="AD382" s="63">
        <f t="shared" ref="AD382" si="374">IF(J382&gt;I382,"依標準圖",MAX(L382:AC382))</f>
        <v>200</v>
      </c>
    </row>
    <row r="383" spans="1:30">
      <c r="A383" s="106"/>
      <c r="B383" s="107"/>
      <c r="C383" s="108"/>
      <c r="D383" s="107"/>
      <c r="E383" s="109"/>
      <c r="F383" s="110"/>
      <c r="G383" s="107"/>
      <c r="H383" s="109"/>
      <c r="I383" s="111"/>
      <c r="J383" s="62">
        <v>12</v>
      </c>
      <c r="K383" s="40" t="s">
        <v>29</v>
      </c>
      <c r="L383" s="63" t="str">
        <f>IF($J383=L$3,IF(L$3&gt;$I382,"-",ROUNDUP(Ld_cal($B382, $C382, $D382, $G382,$E382, $F382, $H382, L$3)*1.3,0)),"-")</f>
        <v>-</v>
      </c>
      <c r="M383" s="63" t="str">
        <f>IF($J383=M$3,IF(M$3&gt;$I382,"-",ROUNDUP(Ld_cal($B382, $C382, $D382, $G382,$E382, $F382, $H382, M$3)*1.3,0)),"-")</f>
        <v>-</v>
      </c>
      <c r="N383" s="63" t="str">
        <f>IF($J383=N$3,IF(N$3&gt;$I382,"-",ROUNDUP(Ld_cal($B382, $C382, $D382, $G382,$E382, $F382, $H382, N$3)*1.3,0)),"-")</f>
        <v>-</v>
      </c>
      <c r="O383" s="63" t="str">
        <f>IF($J383=O$3,IF(O$3&gt;$I382,"-",ROUNDUP(Ld_cal($B382, $C382, $D382, $G382,$E382, $F382, $H382, O$3)*1.3,0)),"-")</f>
        <v>-</v>
      </c>
      <c r="P383" s="63" t="str">
        <f>IF($J383=P$3,IF(P$3&gt;$I382,"-",ROUNDUP(Ld_cal($B382, $C382, $D382, $G382,$E382, $F382, $H382, P$3)*1.3,0)),"-")</f>
        <v>-</v>
      </c>
      <c r="Q383" s="63" t="str">
        <f>IF($J383=Q$3,IF(Q$3&gt;$I382,"-",ROUNDUP(Ld_cal($B382, $C382, $D382, $G382,$E382, $F382, $H382, Q$3)*1.3,0)),"-")</f>
        <v>-</v>
      </c>
      <c r="R383" s="63" t="str">
        <f>IF($J383=R$3,IF(R$3&gt;$I382,"-",ROUNDUP(Ld_cal($B382, $C382, $D382, $G382,$E382, $F382, $H382, R$3)*1.3,0)),"-")</f>
        <v>-</v>
      </c>
      <c r="S383" s="63" t="str">
        <f>IF($J383=S$3,IF(S$3&gt;$I382,"-",ROUNDUP(Ld_cal($B382, $C382, $D382, $G382,$E382, $F382, $H382, S$3)*1.3,0)),"-")</f>
        <v>-</v>
      </c>
      <c r="T383" s="63" t="str">
        <f>IF($J383=T$3,IF(T$3&gt;$I382,"-",ROUNDUP(Ld_cal($B382, $C382, $D382, $G382,$E382, $F382, $H382, T$3)*1.3,0)),"-")</f>
        <v>-</v>
      </c>
      <c r="U383" s="63">
        <f>IF($J383=U$3,IF(U$3&gt;$I382,"-",ROUNDUP(Ld_cal($B382, $C382, $D382, $G382,$E382, $F382, $H382, U$3)*1.3,0)),"-")</f>
        <v>169</v>
      </c>
      <c r="V383" s="63" t="str">
        <f>IF($J383=V$3,IF(V$3&gt;$I382,"-",ROUNDUP(Ld_cal($B382, $C382, $D382, $G382,$E382, $F382, $H382, V$3)*1.3,0)),"-")</f>
        <v>-</v>
      </c>
      <c r="W383" s="63" t="str">
        <f>IF($J383=W$3,IF(W$3&gt;$I382,"-",ROUNDUP(Ld_cal($B382, $C382, $D382, $G382,$E382, $F382, $H382, W$3)*1.3,0)),"-")</f>
        <v>-</v>
      </c>
      <c r="X383" s="63" t="str">
        <f>IF($J383=X$3,IF(X$3&gt;$I382,"-",ROUNDUP(Ld_cal($B382, $C382, $D382, $G382,$E382, $F382, $H382, X$3)*1.3,0)),"-")</f>
        <v>-</v>
      </c>
      <c r="Y383" s="63" t="str">
        <f>IF($J383=Y$3,IF(Y$3&gt;$I382,"-",ROUNDUP(Ld_cal($B382, $C382, $D382, $G382,$E382, $F382, $H382, Y$3)*1.3,0)),"-")</f>
        <v>-</v>
      </c>
      <c r="Z383" s="63" t="str">
        <f>IF($J383=Z$3,IF(Z$3&gt;$I382,"-",ROUNDUP(Ld_cal($B382, $C382, $D382, $G382,$E382, $F382, $H382, Z$3)*1.3,0)),"-")</f>
        <v>-</v>
      </c>
      <c r="AA383" s="63" t="str">
        <f>IF($J383=AA$3,IF(AA$3&gt;$I382,"-",ROUNDUP(Ld_cal($B382, $C382, $D382, $G382,$E382, $F382, $H382, AA$3)*1.3,0)),"-")</f>
        <v>-</v>
      </c>
      <c r="AB383" s="63" t="str">
        <f>IF($J383=AB$3,IF(AB$3&gt;$I382,"-",ROUNDUP(Ld_cal($B382, $C382, $D382, $G382,$E382, $F382, $H382, AB$3)*1.3,0)),"-")</f>
        <v>-</v>
      </c>
      <c r="AC383" s="63" t="str">
        <f>IF($J383=AC$3,IF(AC$3&gt;$I382,"-",ROUNDUP(Ld_cal($B382, $C382, $D382, $G382,$E382, $F382, $H382, AC$3)*1.3,0)),"-")</f>
        <v>-</v>
      </c>
      <c r="AD383" s="63">
        <f t="shared" ref="AD383" si="375">IF(J383&gt;I382,"依標準圖",MAX(L383:AC383))</f>
        <v>169</v>
      </c>
    </row>
    <row r="384" spans="1:30">
      <c r="A384" s="97" t="s">
        <v>234</v>
      </c>
      <c r="B384" s="99">
        <v>120</v>
      </c>
      <c r="C384" s="100">
        <v>7.5</v>
      </c>
      <c r="D384" s="101">
        <v>4200</v>
      </c>
      <c r="E384" s="102">
        <v>16</v>
      </c>
      <c r="F384" s="103">
        <v>12</v>
      </c>
      <c r="G384" s="101">
        <v>350</v>
      </c>
      <c r="H384" s="102">
        <v>32</v>
      </c>
      <c r="I384" s="104">
        <f>ROUNDDOWN(($B384-2*$C384-2*$E384/10-$H384/10)/(($D$1+1)*$H384/10),0)+1</f>
        <v>16</v>
      </c>
      <c r="J384" s="60">
        <v>11</v>
      </c>
      <c r="K384" s="64" t="s">
        <v>30</v>
      </c>
      <c r="L384" s="61" t="str">
        <f>IF($J384=L$3,IF(L$3&gt;$I384,"-",ROUNDUP(Ld_cal($B384, $C384, $D384, $G384,$E384, $F384, $H384, L$3)*1.3*1.3,0)),"-")</f>
        <v>-</v>
      </c>
      <c r="M384" s="61" t="str">
        <f>IF($J384=M$3,IF(M$3&gt;$I384,"-",ROUNDUP(Ld_cal($B384, $C384, $D384, $G384,$E384, $F384, $H384, M$3)*1.3*1.3,0)),"-")</f>
        <v>-</v>
      </c>
      <c r="N384" s="61" t="str">
        <f>IF($J384=N$3,IF(N$3&gt;$I384,"-",ROUNDUP(Ld_cal($B384, $C384, $D384, $G384,$E384, $F384, $H384, N$3)*1.3*1.3,0)),"-")</f>
        <v>-</v>
      </c>
      <c r="O384" s="61" t="str">
        <f>IF($J384=O$3,IF(O$3&gt;$I384,"-",ROUNDUP(Ld_cal($B384, $C384, $D384, $G384,$E384, $F384, $H384, O$3)*1.3*1.3,0)),"-")</f>
        <v>-</v>
      </c>
      <c r="P384" s="61" t="str">
        <f>IF($J384=P$3,IF(P$3&gt;$I384,"-",ROUNDUP(Ld_cal($B384, $C384, $D384, $G384,$E384, $F384, $H384, P$3)*1.3*1.3,0)),"-")</f>
        <v>-</v>
      </c>
      <c r="Q384" s="61" t="str">
        <f>IF($J384=Q$3,IF(Q$3&gt;$I384,"-",ROUNDUP(Ld_cal($B384, $C384, $D384, $G384,$E384, $F384, $H384, Q$3)*1.3*1.3,0)),"-")</f>
        <v>-</v>
      </c>
      <c r="R384" s="61" t="str">
        <f>IF($J384=R$3,IF(R$3&gt;$I384,"-",ROUNDUP(Ld_cal($B384, $C384, $D384, $G384,$E384, $F384, $H384, R$3)*1.3*1.3,0)),"-")</f>
        <v>-</v>
      </c>
      <c r="S384" s="61" t="str">
        <f>IF($J384=S$3,IF(S$3&gt;$I384,"-",ROUNDUP(Ld_cal($B384, $C384, $D384, $G384,$E384, $F384, $H384, S$3)*1.3*1.3,0)),"-")</f>
        <v>-</v>
      </c>
      <c r="T384" s="61">
        <f>IF($J384=T$3,IF(T$3&gt;$I384,"-",ROUNDUP(Ld_cal($B384, $C384, $D384, $G384,$E384, $F384, $H384, T$3)*1.3*1.3,0)),"-")</f>
        <v>177</v>
      </c>
      <c r="U384" s="61" t="str">
        <f>IF($J384=U$3,IF(U$3&gt;$I384,"-",ROUNDUP(Ld_cal($B384, $C384, $D384, $G384,$E384, $F384, $H384, U$3)*1.3*1.3,0)),"-")</f>
        <v>-</v>
      </c>
      <c r="V384" s="61" t="str">
        <f>IF($J384=V$3,IF(V$3&gt;$I384,"-",ROUNDUP(Ld_cal($B384, $C384, $D384, $G384,$E384, $F384, $H384, V$3)*1.3*1.3,0)),"-")</f>
        <v>-</v>
      </c>
      <c r="W384" s="61" t="str">
        <f>IF($J384=W$3,IF(W$3&gt;$I384,"-",ROUNDUP(Ld_cal($B384, $C384, $D384, $G384,$E384, $F384, $H384, W$3)*1.3*1.3,0)),"-")</f>
        <v>-</v>
      </c>
      <c r="X384" s="61" t="str">
        <f>IF($J384=X$3,IF(X$3&gt;$I384,"-",ROUNDUP(Ld_cal($B384, $C384, $D384, $G384,$E384, $F384, $H384, X$3)*1.3*1.3,0)),"-")</f>
        <v>-</v>
      </c>
      <c r="Y384" s="61" t="str">
        <f>IF($J384=Y$3,IF(Y$3&gt;$I384,"-",ROUNDUP(Ld_cal($B384, $C384, $D384, $G384,$E384, $F384, $H384, Y$3)*1.3*1.3,0)),"-")</f>
        <v>-</v>
      </c>
      <c r="Z384" s="61" t="str">
        <f>IF($J384=Z$3,IF(Z$3&gt;$I384,"-",ROUNDUP(Ld_cal($B384, $C384, $D384, $G384,$E384, $F384, $H384, Z$3)*1.3*1.3,0)),"-")</f>
        <v>-</v>
      </c>
      <c r="AA384" s="61" t="str">
        <f>IF($J384=AA$3,IF(AA$3&gt;$I384,"-",ROUNDUP(Ld_cal($B384, $C384, $D384, $G384,$E384, $F384, $H384, AA$3)*1.3*1.3,0)),"-")</f>
        <v>-</v>
      </c>
      <c r="AB384" s="61" t="str">
        <f>IF($J384=AB$3,IF(AB$3&gt;$I384,"-",ROUNDUP(Ld_cal($B384, $C384, $D384, $G384,$E384, $F384, $H384, AB$3)*1.3*1.3,0)),"-")</f>
        <v>-</v>
      </c>
      <c r="AC384" s="61" t="str">
        <f>IF($J384=AC$3,IF(AC$3&gt;$I384,"-",ROUNDUP(Ld_cal($B384, $C384, $D384, $G384,$E384, $F384, $H384, AC$3)*1.3*1.3,0)),"-")</f>
        <v>-</v>
      </c>
      <c r="AD384" s="61">
        <f t="shared" ref="AD384" si="376">IF(J384&gt;I384,"依標準圖",MAX(L384:AC384))</f>
        <v>177</v>
      </c>
    </row>
    <row r="385" spans="1:30">
      <c r="A385" s="98"/>
      <c r="B385" s="99"/>
      <c r="C385" s="100"/>
      <c r="D385" s="101"/>
      <c r="E385" s="102"/>
      <c r="F385" s="103"/>
      <c r="G385" s="101"/>
      <c r="H385" s="102"/>
      <c r="I385" s="104"/>
      <c r="J385" s="60">
        <v>12</v>
      </c>
      <c r="K385" s="64" t="s">
        <v>29</v>
      </c>
      <c r="L385" s="61" t="str">
        <f>IF($J385=L$3,IF(L$3&gt;$I384,"-",ROUNDUP(Ld_cal($B384, $C384, $D384, $G384,$E384, $F384, $H384, L$3)*1.3,0)),"-")</f>
        <v>-</v>
      </c>
      <c r="M385" s="61" t="str">
        <f>IF($J385=M$3,IF(M$3&gt;$I384,"-",ROUNDUP(Ld_cal($B384, $C384, $D384, $G384,$E384, $F384, $H384, M$3)*1.3,0)),"-")</f>
        <v>-</v>
      </c>
      <c r="N385" s="61" t="str">
        <f>IF($J385=N$3,IF(N$3&gt;$I384,"-",ROUNDUP(Ld_cal($B384, $C384, $D384, $G384,$E384, $F384, $H384, N$3)*1.3,0)),"-")</f>
        <v>-</v>
      </c>
      <c r="O385" s="61" t="str">
        <f>IF($J385=O$3,IF(O$3&gt;$I384,"-",ROUNDUP(Ld_cal($B384, $C384, $D384, $G384,$E384, $F384, $H384, O$3)*1.3,0)),"-")</f>
        <v>-</v>
      </c>
      <c r="P385" s="61" t="str">
        <f>IF($J385=P$3,IF(P$3&gt;$I384,"-",ROUNDUP(Ld_cal($B384, $C384, $D384, $G384,$E384, $F384, $H384, P$3)*1.3,0)),"-")</f>
        <v>-</v>
      </c>
      <c r="Q385" s="61" t="str">
        <f>IF($J385=Q$3,IF(Q$3&gt;$I384,"-",ROUNDUP(Ld_cal($B384, $C384, $D384, $G384,$E384, $F384, $H384, Q$3)*1.3,0)),"-")</f>
        <v>-</v>
      </c>
      <c r="R385" s="61" t="str">
        <f>IF($J385=R$3,IF(R$3&gt;$I384,"-",ROUNDUP(Ld_cal($B384, $C384, $D384, $G384,$E384, $F384, $H384, R$3)*1.3,0)),"-")</f>
        <v>-</v>
      </c>
      <c r="S385" s="61" t="str">
        <f>IF($J385=S$3,IF(S$3&gt;$I384,"-",ROUNDUP(Ld_cal($B384, $C384, $D384, $G384,$E384, $F384, $H384, S$3)*1.3,0)),"-")</f>
        <v>-</v>
      </c>
      <c r="T385" s="61" t="str">
        <f>IF($J385=T$3,IF(T$3&gt;$I384,"-",ROUNDUP(Ld_cal($B384, $C384, $D384, $G384,$E384, $F384, $H384, T$3)*1.3,0)),"-")</f>
        <v>-</v>
      </c>
      <c r="U385" s="61">
        <f>IF($J385=U$3,IF(U$3&gt;$I384,"-",ROUNDUP(Ld_cal($B384, $C384, $D384, $G384,$E384, $F384, $H384, U$3)*1.3,0)),"-")</f>
        <v>150</v>
      </c>
      <c r="V385" s="61" t="str">
        <f>IF($J385=V$3,IF(V$3&gt;$I384,"-",ROUNDUP(Ld_cal($B384, $C384, $D384, $G384,$E384, $F384, $H384, V$3)*1.3,0)),"-")</f>
        <v>-</v>
      </c>
      <c r="W385" s="61" t="str">
        <f>IF($J385=W$3,IF(W$3&gt;$I384,"-",ROUNDUP(Ld_cal($B384, $C384, $D384, $G384,$E384, $F384, $H384, W$3)*1.3,0)),"-")</f>
        <v>-</v>
      </c>
      <c r="X385" s="61" t="str">
        <f>IF($J385=X$3,IF(X$3&gt;$I384,"-",ROUNDUP(Ld_cal($B384, $C384, $D384, $G384,$E384, $F384, $H384, X$3)*1.3,0)),"-")</f>
        <v>-</v>
      </c>
      <c r="Y385" s="61" t="str">
        <f>IF($J385=Y$3,IF(Y$3&gt;$I384,"-",ROUNDUP(Ld_cal($B384, $C384, $D384, $G384,$E384, $F384, $H384, Y$3)*1.3,0)),"-")</f>
        <v>-</v>
      </c>
      <c r="Z385" s="61" t="str">
        <f>IF($J385=Z$3,IF(Z$3&gt;$I384,"-",ROUNDUP(Ld_cal($B384, $C384, $D384, $G384,$E384, $F384, $H384, Z$3)*1.3,0)),"-")</f>
        <v>-</v>
      </c>
      <c r="AA385" s="61" t="str">
        <f>IF($J385=AA$3,IF(AA$3&gt;$I384,"-",ROUNDUP(Ld_cal($B384, $C384, $D384, $G384,$E384, $F384, $H384, AA$3)*1.3,0)),"-")</f>
        <v>-</v>
      </c>
      <c r="AB385" s="61" t="str">
        <f>IF($J385=AB$3,IF(AB$3&gt;$I384,"-",ROUNDUP(Ld_cal($B384, $C384, $D384, $G384,$E384, $F384, $H384, AB$3)*1.3,0)),"-")</f>
        <v>-</v>
      </c>
      <c r="AC385" s="61" t="str">
        <f>IF($J385=AC$3,IF(AC$3&gt;$I384,"-",ROUNDUP(Ld_cal($B384, $C384, $D384, $G384,$E384, $F384, $H384, AC$3)*1.3,0)),"-")</f>
        <v>-</v>
      </c>
      <c r="AD385" s="61">
        <f t="shared" ref="AD385" si="377">IF(J385&gt;I384,"依標準圖",MAX(L385:AC385))</f>
        <v>150</v>
      </c>
    </row>
    <row r="386" spans="1:30">
      <c r="A386" s="105" t="s">
        <v>235</v>
      </c>
      <c r="B386" s="107">
        <v>75</v>
      </c>
      <c r="C386" s="108">
        <v>7.5</v>
      </c>
      <c r="D386" s="107">
        <v>4200</v>
      </c>
      <c r="E386" s="109">
        <v>16</v>
      </c>
      <c r="F386" s="110">
        <v>10</v>
      </c>
      <c r="G386" s="107">
        <v>350</v>
      </c>
      <c r="H386" s="109">
        <v>32</v>
      </c>
      <c r="I386" s="111">
        <f>ROUNDDOWN(($B386-2*$C386-2*$E386/10-$H386/10)/(($D$1+1)*$H386/10),0)+1</f>
        <v>9</v>
      </c>
      <c r="J386" s="62">
        <v>7</v>
      </c>
      <c r="K386" s="40" t="s">
        <v>30</v>
      </c>
      <c r="L386" s="63" t="str">
        <f>IF($J386=L$3,IF(L$3&gt;$I386,"-",ROUNDUP(Ld_cal($B386, $C386, $D386, $G386,$E386, $F386, $H386, L$3)*1.3*1.3,0)),"-")</f>
        <v>-</v>
      </c>
      <c r="M386" s="63" t="str">
        <f>IF($J386=M$3,IF(M$3&gt;$I386,"-",ROUNDUP(Ld_cal($B386, $C386, $D386, $G386,$E386, $F386, $H386, M$3)*1.3*1.3,0)),"-")</f>
        <v>-</v>
      </c>
      <c r="N386" s="63" t="str">
        <f>IF($J386=N$3,IF(N$3&gt;$I386,"-",ROUNDUP(Ld_cal($B386, $C386, $D386, $G386,$E386, $F386, $H386, N$3)*1.3*1.3,0)),"-")</f>
        <v>-</v>
      </c>
      <c r="O386" s="63" t="str">
        <f>IF($J386=O$3,IF(O$3&gt;$I386,"-",ROUNDUP(Ld_cal($B386, $C386, $D386, $G386,$E386, $F386, $H386, O$3)*1.3*1.3,0)),"-")</f>
        <v>-</v>
      </c>
      <c r="P386" s="63">
        <f>IF($J386=P$3,IF(P$3&gt;$I386,"-",ROUNDUP(Ld_cal($B386, $C386, $D386, $G386,$E386, $F386, $H386, P$3)*1.3*1.3,0)),"-")</f>
        <v>161</v>
      </c>
      <c r="Q386" s="63" t="str">
        <f>IF($J386=Q$3,IF(Q$3&gt;$I386,"-",ROUNDUP(Ld_cal($B386, $C386, $D386, $G386,$E386, $F386, $H386, Q$3)*1.3*1.3,0)),"-")</f>
        <v>-</v>
      </c>
      <c r="R386" s="63" t="str">
        <f>IF($J386=R$3,IF(R$3&gt;$I386,"-",ROUNDUP(Ld_cal($B386, $C386, $D386, $G386,$E386, $F386, $H386, R$3)*1.3*1.3,0)),"-")</f>
        <v>-</v>
      </c>
      <c r="S386" s="63" t="str">
        <f>IF($J386=S$3,IF(S$3&gt;$I386,"-",ROUNDUP(Ld_cal($B386, $C386, $D386, $G386,$E386, $F386, $H386, S$3)*1.3*1.3,0)),"-")</f>
        <v>-</v>
      </c>
      <c r="T386" s="63" t="str">
        <f>IF($J386=T$3,IF(T$3&gt;$I386,"-",ROUNDUP(Ld_cal($B386, $C386, $D386, $G386,$E386, $F386, $H386, T$3)*1.3*1.3,0)),"-")</f>
        <v>-</v>
      </c>
      <c r="U386" s="63" t="str">
        <f>IF($J386=U$3,IF(U$3&gt;$I386,"-",ROUNDUP(Ld_cal($B386, $C386, $D386, $G386,$E386, $F386, $H386, U$3)*1.3*1.3,0)),"-")</f>
        <v>-</v>
      </c>
      <c r="V386" s="63" t="str">
        <f>IF($J386=V$3,IF(V$3&gt;$I386,"-",ROUNDUP(Ld_cal($B386, $C386, $D386, $G386,$E386, $F386, $H386, V$3)*1.3*1.3,0)),"-")</f>
        <v>-</v>
      </c>
      <c r="W386" s="63" t="str">
        <f>IF($J386=W$3,IF(W$3&gt;$I386,"-",ROUNDUP(Ld_cal($B386, $C386, $D386, $G386,$E386, $F386, $H386, W$3)*1.3*1.3,0)),"-")</f>
        <v>-</v>
      </c>
      <c r="X386" s="63" t="str">
        <f>IF($J386=X$3,IF(X$3&gt;$I386,"-",ROUNDUP(Ld_cal($B386, $C386, $D386, $G386,$E386, $F386, $H386, X$3)*1.3*1.3,0)),"-")</f>
        <v>-</v>
      </c>
      <c r="Y386" s="63" t="str">
        <f>IF($J386=Y$3,IF(Y$3&gt;$I386,"-",ROUNDUP(Ld_cal($B386, $C386, $D386, $G386,$E386, $F386, $H386, Y$3)*1.3*1.3,0)),"-")</f>
        <v>-</v>
      </c>
      <c r="Z386" s="63" t="str">
        <f>IF($J386=Z$3,IF(Z$3&gt;$I386,"-",ROUNDUP(Ld_cal($B386, $C386, $D386, $G386,$E386, $F386, $H386, Z$3)*1.3*1.3,0)),"-")</f>
        <v>-</v>
      </c>
      <c r="AA386" s="63" t="str">
        <f>IF($J386=AA$3,IF(AA$3&gt;$I386,"-",ROUNDUP(Ld_cal($B386, $C386, $D386, $G386,$E386, $F386, $H386, AA$3)*1.3*1.3,0)),"-")</f>
        <v>-</v>
      </c>
      <c r="AB386" s="63" t="str">
        <f>IF($J386=AB$3,IF(AB$3&gt;$I386,"-",ROUNDUP(Ld_cal($B386, $C386, $D386, $G386,$E386, $F386, $H386, AB$3)*1.3*1.3,0)),"-")</f>
        <v>-</v>
      </c>
      <c r="AC386" s="63" t="str">
        <f>IF($J386=AC$3,IF(AC$3&gt;$I386,"-",ROUNDUP(Ld_cal($B386, $C386, $D386, $G386,$E386, $F386, $H386, AC$3)*1.3*1.3,0)),"-")</f>
        <v>-</v>
      </c>
      <c r="AD386" s="63">
        <f t="shared" ref="AD386" si="378">IF(J386&gt;I386,"依標準圖",MAX(L386:AC386))</f>
        <v>161</v>
      </c>
    </row>
    <row r="387" spans="1:30">
      <c r="A387" s="106"/>
      <c r="B387" s="107"/>
      <c r="C387" s="108"/>
      <c r="D387" s="107"/>
      <c r="E387" s="109"/>
      <c r="F387" s="110"/>
      <c r="G387" s="107"/>
      <c r="H387" s="109"/>
      <c r="I387" s="111"/>
      <c r="J387" s="62">
        <v>10</v>
      </c>
      <c r="K387" s="40" t="s">
        <v>29</v>
      </c>
      <c r="L387" s="63" t="str">
        <f>IF($J387=L$3,IF(L$3&gt;$I386,"-",ROUNDUP(Ld_cal($B386, $C386, $D386, $G386,$E386, $F386, $H386, L$3)*1.3,0)),"-")</f>
        <v>-</v>
      </c>
      <c r="M387" s="63" t="str">
        <f>IF($J387=M$3,IF(M$3&gt;$I386,"-",ROUNDUP(Ld_cal($B386, $C386, $D386, $G386,$E386, $F386, $H386, M$3)*1.3,0)),"-")</f>
        <v>-</v>
      </c>
      <c r="N387" s="63" t="str">
        <f>IF($J387=N$3,IF(N$3&gt;$I386,"-",ROUNDUP(Ld_cal($B386, $C386, $D386, $G386,$E386, $F386, $H386, N$3)*1.3,0)),"-")</f>
        <v>-</v>
      </c>
      <c r="O387" s="63" t="str">
        <f>IF($J387=O$3,IF(O$3&gt;$I386,"-",ROUNDUP(Ld_cal($B386, $C386, $D386, $G386,$E386, $F386, $H386, O$3)*1.3,0)),"-")</f>
        <v>-</v>
      </c>
      <c r="P387" s="63" t="str">
        <f>IF($J387=P$3,IF(P$3&gt;$I386,"-",ROUNDUP(Ld_cal($B386, $C386, $D386, $G386,$E386, $F386, $H386, P$3)*1.3,0)),"-")</f>
        <v>-</v>
      </c>
      <c r="Q387" s="63" t="str">
        <f>IF($J387=Q$3,IF(Q$3&gt;$I386,"-",ROUNDUP(Ld_cal($B386, $C386, $D386, $G386,$E386, $F386, $H386, Q$3)*1.3,0)),"-")</f>
        <v>-</v>
      </c>
      <c r="R387" s="63" t="str">
        <f>IF($J387=R$3,IF(R$3&gt;$I386,"-",ROUNDUP(Ld_cal($B386, $C386, $D386, $G386,$E386, $F386, $H386, R$3)*1.3,0)),"-")</f>
        <v>-</v>
      </c>
      <c r="S387" s="63" t="str">
        <f>IF($J387=S$3,IF(S$3&gt;$I386,"-",ROUNDUP(Ld_cal($B386, $C386, $D386, $G386,$E386, $F386, $H386, S$3)*1.3,0)),"-")</f>
        <v>-</v>
      </c>
      <c r="T387" s="63" t="str">
        <f>IF($J387=T$3,IF(T$3&gt;$I386,"-",ROUNDUP(Ld_cal($B386, $C386, $D386, $G386,$E386, $F386, $H386, T$3)*1.3,0)),"-")</f>
        <v>-</v>
      </c>
      <c r="U387" s="63" t="str">
        <f>IF($J387=U$3,IF(U$3&gt;$I386,"-",ROUNDUP(Ld_cal($B386, $C386, $D386, $G386,$E386, $F386, $H386, U$3)*1.3,0)),"-")</f>
        <v>-</v>
      </c>
      <c r="V387" s="63" t="str">
        <f>IF($J387=V$3,IF(V$3&gt;$I386,"-",ROUNDUP(Ld_cal($B386, $C386, $D386, $G386,$E386, $F386, $H386, V$3)*1.3,0)),"-")</f>
        <v>-</v>
      </c>
      <c r="W387" s="63" t="str">
        <f>IF($J387=W$3,IF(W$3&gt;$I386,"-",ROUNDUP(Ld_cal($B386, $C386, $D386, $G386,$E386, $F386, $H386, W$3)*1.3,0)),"-")</f>
        <v>-</v>
      </c>
      <c r="X387" s="63" t="str">
        <f>IF($J387=X$3,IF(X$3&gt;$I386,"-",ROUNDUP(Ld_cal($B386, $C386, $D386, $G386,$E386, $F386, $H386, X$3)*1.3,0)),"-")</f>
        <v>-</v>
      </c>
      <c r="Y387" s="63" t="str">
        <f>IF($J387=Y$3,IF(Y$3&gt;$I386,"-",ROUNDUP(Ld_cal($B386, $C386, $D386, $G386,$E386, $F386, $H386, Y$3)*1.3,0)),"-")</f>
        <v>-</v>
      </c>
      <c r="Z387" s="63" t="str">
        <f>IF($J387=Z$3,IF(Z$3&gt;$I386,"-",ROUNDUP(Ld_cal($B386, $C386, $D386, $G386,$E386, $F386, $H386, Z$3)*1.3,0)),"-")</f>
        <v>-</v>
      </c>
      <c r="AA387" s="63" t="str">
        <f>IF($J387=AA$3,IF(AA$3&gt;$I386,"-",ROUNDUP(Ld_cal($B386, $C386, $D386, $G386,$E386, $F386, $H386, AA$3)*1.3,0)),"-")</f>
        <v>-</v>
      </c>
      <c r="AB387" s="63" t="str">
        <f>IF($J387=AB$3,IF(AB$3&gt;$I386,"-",ROUNDUP(Ld_cal($B386, $C386, $D386, $G386,$E386, $F386, $H386, AB$3)*1.3,0)),"-")</f>
        <v>-</v>
      </c>
      <c r="AC387" s="63" t="str">
        <f>IF($J387=AC$3,IF(AC$3&gt;$I386,"-",ROUNDUP(Ld_cal($B386, $C386, $D386, $G386,$E386, $F386, $H386, AC$3)*1.3,0)),"-")</f>
        <v>-</v>
      </c>
      <c r="AD387" s="63" t="str">
        <f t="shared" ref="AD387" si="379">IF(J387&gt;I386,"依標準圖",MAX(L387:AC387))</f>
        <v>依標準圖</v>
      </c>
    </row>
    <row r="388" spans="1:30">
      <c r="A388" s="97" t="s">
        <v>236</v>
      </c>
      <c r="B388" s="99">
        <v>150</v>
      </c>
      <c r="C388" s="100">
        <v>7.5</v>
      </c>
      <c r="D388" s="101">
        <v>4200</v>
      </c>
      <c r="E388" s="102">
        <v>16</v>
      </c>
      <c r="F388" s="103">
        <v>9</v>
      </c>
      <c r="G388" s="101">
        <v>350</v>
      </c>
      <c r="H388" s="102">
        <v>32</v>
      </c>
      <c r="I388" s="104">
        <f>ROUNDDOWN(($B388-2*$C388-2*$E388/10-$H388/10)/(($D$1+1)*$H388/10),0)+1</f>
        <v>21</v>
      </c>
      <c r="J388" s="60">
        <v>9</v>
      </c>
      <c r="K388" s="64" t="s">
        <v>30</v>
      </c>
      <c r="L388" s="61" t="str">
        <f>IF($J388=L$3,IF(L$3&gt;$I388,"-",ROUNDUP(Ld_cal($B388, $C388, $D388, $G388,$E388, $F388, $H388, L$3)*1.3*1.3,0)),"-")</f>
        <v>-</v>
      </c>
      <c r="M388" s="61" t="str">
        <f>IF($J388=M$3,IF(M$3&gt;$I388,"-",ROUNDUP(Ld_cal($B388, $C388, $D388, $G388,$E388, $F388, $H388, M$3)*1.3*1.3,0)),"-")</f>
        <v>-</v>
      </c>
      <c r="N388" s="61" t="str">
        <f>IF($J388=N$3,IF(N$3&gt;$I388,"-",ROUNDUP(Ld_cal($B388, $C388, $D388, $G388,$E388, $F388, $H388, N$3)*1.3*1.3,0)),"-")</f>
        <v>-</v>
      </c>
      <c r="O388" s="61" t="str">
        <f>IF($J388=O$3,IF(O$3&gt;$I388,"-",ROUNDUP(Ld_cal($B388, $C388, $D388, $G388,$E388, $F388, $H388, O$3)*1.3*1.3,0)),"-")</f>
        <v>-</v>
      </c>
      <c r="P388" s="61" t="str">
        <f>IF($J388=P$3,IF(P$3&gt;$I388,"-",ROUNDUP(Ld_cal($B388, $C388, $D388, $G388,$E388, $F388, $H388, P$3)*1.3*1.3,0)),"-")</f>
        <v>-</v>
      </c>
      <c r="Q388" s="61" t="str">
        <f>IF($J388=Q$3,IF(Q$3&gt;$I388,"-",ROUNDUP(Ld_cal($B388, $C388, $D388, $G388,$E388, $F388, $H388, Q$3)*1.3*1.3,0)),"-")</f>
        <v>-</v>
      </c>
      <c r="R388" s="61">
        <f>IF($J388=R$3,IF(R$3&gt;$I388,"-",ROUNDUP(Ld_cal($B388, $C388, $D388, $G388,$E388, $F388, $H388, R$3)*1.3*1.3,0)),"-")</f>
        <v>136</v>
      </c>
      <c r="S388" s="61" t="str">
        <f>IF($J388=S$3,IF(S$3&gt;$I388,"-",ROUNDUP(Ld_cal($B388, $C388, $D388, $G388,$E388, $F388, $H388, S$3)*1.3*1.3,0)),"-")</f>
        <v>-</v>
      </c>
      <c r="T388" s="61" t="str">
        <f>IF($J388=T$3,IF(T$3&gt;$I388,"-",ROUNDUP(Ld_cal($B388, $C388, $D388, $G388,$E388, $F388, $H388, T$3)*1.3*1.3,0)),"-")</f>
        <v>-</v>
      </c>
      <c r="U388" s="61" t="str">
        <f>IF($J388=U$3,IF(U$3&gt;$I388,"-",ROUNDUP(Ld_cal($B388, $C388, $D388, $G388,$E388, $F388, $H388, U$3)*1.3*1.3,0)),"-")</f>
        <v>-</v>
      </c>
      <c r="V388" s="61" t="str">
        <f>IF($J388=V$3,IF(V$3&gt;$I388,"-",ROUNDUP(Ld_cal($B388, $C388, $D388, $G388,$E388, $F388, $H388, V$3)*1.3*1.3,0)),"-")</f>
        <v>-</v>
      </c>
      <c r="W388" s="61" t="str">
        <f>IF($J388=W$3,IF(W$3&gt;$I388,"-",ROUNDUP(Ld_cal($B388, $C388, $D388, $G388,$E388, $F388, $H388, W$3)*1.3*1.3,0)),"-")</f>
        <v>-</v>
      </c>
      <c r="X388" s="61" t="str">
        <f>IF($J388=X$3,IF(X$3&gt;$I388,"-",ROUNDUP(Ld_cal($B388, $C388, $D388, $G388,$E388, $F388, $H388, X$3)*1.3*1.3,0)),"-")</f>
        <v>-</v>
      </c>
      <c r="Y388" s="61" t="str">
        <f>IF($J388=Y$3,IF(Y$3&gt;$I388,"-",ROUNDUP(Ld_cal($B388, $C388, $D388, $G388,$E388, $F388, $H388, Y$3)*1.3*1.3,0)),"-")</f>
        <v>-</v>
      </c>
      <c r="Z388" s="61" t="str">
        <f>IF($J388=Z$3,IF(Z$3&gt;$I388,"-",ROUNDUP(Ld_cal($B388, $C388, $D388, $G388,$E388, $F388, $H388, Z$3)*1.3*1.3,0)),"-")</f>
        <v>-</v>
      </c>
      <c r="AA388" s="61" t="str">
        <f>IF($J388=AA$3,IF(AA$3&gt;$I388,"-",ROUNDUP(Ld_cal($B388, $C388, $D388, $G388,$E388, $F388, $H388, AA$3)*1.3*1.3,0)),"-")</f>
        <v>-</v>
      </c>
      <c r="AB388" s="61" t="str">
        <f>IF($J388=AB$3,IF(AB$3&gt;$I388,"-",ROUNDUP(Ld_cal($B388, $C388, $D388, $G388,$E388, $F388, $H388, AB$3)*1.3*1.3,0)),"-")</f>
        <v>-</v>
      </c>
      <c r="AC388" s="61" t="str">
        <f>IF($J388=AC$3,IF(AC$3&gt;$I388,"-",ROUNDUP(Ld_cal($B388, $C388, $D388, $G388,$E388, $F388, $H388, AC$3)*1.3*1.3,0)),"-")</f>
        <v>-</v>
      </c>
      <c r="AD388" s="61">
        <f t="shared" ref="AD388" si="380">IF(J388&gt;I388,"依標準圖",MAX(L388:AC388))</f>
        <v>136</v>
      </c>
    </row>
    <row r="389" spans="1:30">
      <c r="A389" s="98"/>
      <c r="B389" s="99"/>
      <c r="C389" s="100"/>
      <c r="D389" s="101"/>
      <c r="E389" s="102"/>
      <c r="F389" s="103"/>
      <c r="G389" s="101"/>
      <c r="H389" s="102"/>
      <c r="I389" s="104"/>
      <c r="J389" s="60">
        <v>16</v>
      </c>
      <c r="K389" s="64" t="s">
        <v>29</v>
      </c>
      <c r="L389" s="61" t="str">
        <f>IF($J389=L$3,IF(L$3&gt;$I388,"-",ROUNDUP(Ld_cal($B388, $C388, $D388, $G388,$E388, $F388, $H388, L$3)*1.3,0)),"-")</f>
        <v>-</v>
      </c>
      <c r="M389" s="61" t="str">
        <f>IF($J389=M$3,IF(M$3&gt;$I388,"-",ROUNDUP(Ld_cal($B388, $C388, $D388, $G388,$E388, $F388, $H388, M$3)*1.3,0)),"-")</f>
        <v>-</v>
      </c>
      <c r="N389" s="61" t="str">
        <f>IF($J389=N$3,IF(N$3&gt;$I388,"-",ROUNDUP(Ld_cal($B388, $C388, $D388, $G388,$E388, $F388, $H388, N$3)*1.3,0)),"-")</f>
        <v>-</v>
      </c>
      <c r="O389" s="61" t="str">
        <f>IF($J389=O$3,IF(O$3&gt;$I388,"-",ROUNDUP(Ld_cal($B388, $C388, $D388, $G388,$E388, $F388, $H388, O$3)*1.3,0)),"-")</f>
        <v>-</v>
      </c>
      <c r="P389" s="61" t="str">
        <f>IF($J389=P$3,IF(P$3&gt;$I388,"-",ROUNDUP(Ld_cal($B388, $C388, $D388, $G388,$E388, $F388, $H388, P$3)*1.3,0)),"-")</f>
        <v>-</v>
      </c>
      <c r="Q389" s="61" t="str">
        <f>IF($J389=Q$3,IF(Q$3&gt;$I388,"-",ROUNDUP(Ld_cal($B388, $C388, $D388, $G388,$E388, $F388, $H388, Q$3)*1.3,0)),"-")</f>
        <v>-</v>
      </c>
      <c r="R389" s="61" t="str">
        <f>IF($J389=R$3,IF(R$3&gt;$I388,"-",ROUNDUP(Ld_cal($B388, $C388, $D388, $G388,$E388, $F388, $H388, R$3)*1.3,0)),"-")</f>
        <v>-</v>
      </c>
      <c r="S389" s="61" t="str">
        <f>IF($J389=S$3,IF(S$3&gt;$I388,"-",ROUNDUP(Ld_cal($B388, $C388, $D388, $G388,$E388, $F388, $H388, S$3)*1.3,0)),"-")</f>
        <v>-</v>
      </c>
      <c r="T389" s="61" t="str">
        <f>IF($J389=T$3,IF(T$3&gt;$I388,"-",ROUNDUP(Ld_cal($B388, $C388, $D388, $G388,$E388, $F388, $H388, T$3)*1.3,0)),"-")</f>
        <v>-</v>
      </c>
      <c r="U389" s="61" t="str">
        <f>IF($J389=U$3,IF(U$3&gt;$I388,"-",ROUNDUP(Ld_cal($B388, $C388, $D388, $G388,$E388, $F388, $H388, U$3)*1.3,0)),"-")</f>
        <v>-</v>
      </c>
      <c r="V389" s="61" t="str">
        <f>IF($J389=V$3,IF(V$3&gt;$I388,"-",ROUNDUP(Ld_cal($B388, $C388, $D388, $G388,$E388, $F388, $H388, V$3)*1.3,0)),"-")</f>
        <v>-</v>
      </c>
      <c r="W389" s="61" t="str">
        <f>IF($J389=W$3,IF(W$3&gt;$I388,"-",ROUNDUP(Ld_cal($B388, $C388, $D388, $G388,$E388, $F388, $H388, W$3)*1.3,0)),"-")</f>
        <v>-</v>
      </c>
      <c r="X389" s="61" t="str">
        <f>IF($J389=X$3,IF(X$3&gt;$I388,"-",ROUNDUP(Ld_cal($B388, $C388, $D388, $G388,$E388, $F388, $H388, X$3)*1.3,0)),"-")</f>
        <v>-</v>
      </c>
      <c r="Y389" s="61">
        <f>IF($J389=Y$3,IF(Y$3&gt;$I388,"-",ROUNDUP(Ld_cal($B388, $C388, $D388, $G388,$E388, $F388, $H388, Y$3)*1.3,0)),"-")</f>
        <v>155</v>
      </c>
      <c r="Z389" s="61" t="str">
        <f>IF($J389=Z$3,IF(Z$3&gt;$I388,"-",ROUNDUP(Ld_cal($B388, $C388, $D388, $G388,$E388, $F388, $H388, Z$3)*1.3,0)),"-")</f>
        <v>-</v>
      </c>
      <c r="AA389" s="61" t="str">
        <f>IF($J389=AA$3,IF(AA$3&gt;$I388,"-",ROUNDUP(Ld_cal($B388, $C388, $D388, $G388,$E388, $F388, $H388, AA$3)*1.3,0)),"-")</f>
        <v>-</v>
      </c>
      <c r="AB389" s="61" t="str">
        <f>IF($J389=AB$3,IF(AB$3&gt;$I388,"-",ROUNDUP(Ld_cal($B388, $C388, $D388, $G388,$E388, $F388, $H388, AB$3)*1.3,0)),"-")</f>
        <v>-</v>
      </c>
      <c r="AC389" s="61" t="str">
        <f>IF($J389=AC$3,IF(AC$3&gt;$I388,"-",ROUNDUP(Ld_cal($B388, $C388, $D388, $G388,$E388, $F388, $H388, AC$3)*1.3,0)),"-")</f>
        <v>-</v>
      </c>
      <c r="AD389" s="61">
        <f t="shared" ref="AD389" si="381">IF(J389&gt;I388,"依標準圖",MAX(L389:AC389))</f>
        <v>155</v>
      </c>
    </row>
    <row r="390" spans="1:30">
      <c r="A390" s="105" t="s">
        <v>237</v>
      </c>
      <c r="B390" s="107">
        <v>150</v>
      </c>
      <c r="C390" s="108">
        <v>7.5</v>
      </c>
      <c r="D390" s="107">
        <v>4200</v>
      </c>
      <c r="E390" s="109">
        <v>16</v>
      </c>
      <c r="F390" s="110">
        <v>7</v>
      </c>
      <c r="G390" s="107">
        <v>350</v>
      </c>
      <c r="H390" s="109">
        <v>32</v>
      </c>
      <c r="I390" s="111">
        <f>ROUNDDOWN(($B390-2*$C390-2*$E390/10-$H390/10)/(($D$1+1)*$H390/10),0)+1</f>
        <v>21</v>
      </c>
      <c r="J390" s="62">
        <v>19</v>
      </c>
      <c r="K390" s="40" t="s">
        <v>30</v>
      </c>
      <c r="L390" s="63" t="str">
        <f>IF($J390=L$3,IF(L$3&gt;$I390,"-",ROUNDUP(Ld_cal($B390, $C390, $D390, $G390,$E390, $F390, $H390, L$3)*1.3*1.3,0)),"-")</f>
        <v>-</v>
      </c>
      <c r="M390" s="63" t="str">
        <f>IF($J390=M$3,IF(M$3&gt;$I390,"-",ROUNDUP(Ld_cal($B390, $C390, $D390, $G390,$E390, $F390, $H390, M$3)*1.3*1.3,0)),"-")</f>
        <v>-</v>
      </c>
      <c r="N390" s="63" t="str">
        <f>IF($J390=N$3,IF(N$3&gt;$I390,"-",ROUNDUP(Ld_cal($B390, $C390, $D390, $G390,$E390, $F390, $H390, N$3)*1.3*1.3,0)),"-")</f>
        <v>-</v>
      </c>
      <c r="O390" s="63" t="str">
        <f>IF($J390=O$3,IF(O$3&gt;$I390,"-",ROUNDUP(Ld_cal($B390, $C390, $D390, $G390,$E390, $F390, $H390, O$3)*1.3*1.3,0)),"-")</f>
        <v>-</v>
      </c>
      <c r="P390" s="63" t="str">
        <f>IF($J390=P$3,IF(P$3&gt;$I390,"-",ROUNDUP(Ld_cal($B390, $C390, $D390, $G390,$E390, $F390, $H390, P$3)*1.3*1.3,0)),"-")</f>
        <v>-</v>
      </c>
      <c r="Q390" s="63" t="str">
        <f>IF($J390=Q$3,IF(Q$3&gt;$I390,"-",ROUNDUP(Ld_cal($B390, $C390, $D390, $G390,$E390, $F390, $H390, Q$3)*1.3*1.3,0)),"-")</f>
        <v>-</v>
      </c>
      <c r="R390" s="63" t="str">
        <f>IF($J390=R$3,IF(R$3&gt;$I390,"-",ROUNDUP(Ld_cal($B390, $C390, $D390, $G390,$E390, $F390, $H390, R$3)*1.3*1.3,0)),"-")</f>
        <v>-</v>
      </c>
      <c r="S390" s="63" t="str">
        <f>IF($J390=S$3,IF(S$3&gt;$I390,"-",ROUNDUP(Ld_cal($B390, $C390, $D390, $G390,$E390, $F390, $H390, S$3)*1.3*1.3,0)),"-")</f>
        <v>-</v>
      </c>
      <c r="T390" s="63" t="str">
        <f>IF($J390=T$3,IF(T$3&gt;$I390,"-",ROUNDUP(Ld_cal($B390, $C390, $D390, $G390,$E390, $F390, $H390, T$3)*1.3*1.3,0)),"-")</f>
        <v>-</v>
      </c>
      <c r="U390" s="63" t="str">
        <f>IF($J390=U$3,IF(U$3&gt;$I390,"-",ROUNDUP(Ld_cal($B390, $C390, $D390, $G390,$E390, $F390, $H390, U$3)*1.3*1.3,0)),"-")</f>
        <v>-</v>
      </c>
      <c r="V390" s="63" t="str">
        <f>IF($J390=V$3,IF(V$3&gt;$I390,"-",ROUNDUP(Ld_cal($B390, $C390, $D390, $G390,$E390, $F390, $H390, V$3)*1.3*1.3,0)),"-")</f>
        <v>-</v>
      </c>
      <c r="W390" s="63" t="str">
        <f>IF($J390=W$3,IF(W$3&gt;$I390,"-",ROUNDUP(Ld_cal($B390, $C390, $D390, $G390,$E390, $F390, $H390, W$3)*1.3*1.3,0)),"-")</f>
        <v>-</v>
      </c>
      <c r="X390" s="63" t="str">
        <f>IF($J390=X$3,IF(X$3&gt;$I390,"-",ROUNDUP(Ld_cal($B390, $C390, $D390, $G390,$E390, $F390, $H390, X$3)*1.3*1.3,0)),"-")</f>
        <v>-</v>
      </c>
      <c r="Y390" s="63" t="str">
        <f>IF($J390=Y$3,IF(Y$3&gt;$I390,"-",ROUNDUP(Ld_cal($B390, $C390, $D390, $G390,$E390, $F390, $H390, Y$3)*1.3*1.3,0)),"-")</f>
        <v>-</v>
      </c>
      <c r="Z390" s="63" t="str">
        <f>IF($J390=Z$3,IF(Z$3&gt;$I390,"-",ROUNDUP(Ld_cal($B390, $C390, $D390, $G390,$E390, $F390, $H390, Z$3)*1.3*1.3,0)),"-")</f>
        <v>-</v>
      </c>
      <c r="AA390" s="63" t="str">
        <f>IF($J390=AA$3,IF(AA$3&gt;$I390,"-",ROUNDUP(Ld_cal($B390, $C390, $D390, $G390,$E390, $F390, $H390, AA$3)*1.3*1.3,0)),"-")</f>
        <v>-</v>
      </c>
      <c r="AB390" s="63">
        <f>IF($J390=AB$3,IF(AB$3&gt;$I390,"-",ROUNDUP(Ld_cal($B390, $C390, $D390, $G390,$E390, $F390, $H390, AB$3)*1.3*1.3,0)),"-")</f>
        <v>228</v>
      </c>
      <c r="AC390" s="63" t="str">
        <f>IF($J390=AC$3,IF(AC$3&gt;$I390,"-",ROUNDUP(Ld_cal($B390, $C390, $D390, $G390,$E390, $F390, $H390, AC$3)*1.3*1.3,0)),"-")</f>
        <v>-</v>
      </c>
      <c r="AD390" s="63">
        <f t="shared" ref="AD390" si="382">IF(J390&gt;I390,"依標準圖",MAX(L390:AC390))</f>
        <v>228</v>
      </c>
    </row>
    <row r="391" spans="1:30">
      <c r="A391" s="106"/>
      <c r="B391" s="107"/>
      <c r="C391" s="108"/>
      <c r="D391" s="107"/>
      <c r="E391" s="109"/>
      <c r="F391" s="110"/>
      <c r="G391" s="107"/>
      <c r="H391" s="109"/>
      <c r="I391" s="111"/>
      <c r="J391" s="62">
        <v>16</v>
      </c>
      <c r="K391" s="40" t="s">
        <v>29</v>
      </c>
      <c r="L391" s="63" t="str">
        <f>IF($J391=L$3,IF(L$3&gt;$I390,"-",ROUNDUP(Ld_cal($B390, $C390, $D390, $G390,$E390, $F390, $H390, L$3)*1.3,0)),"-")</f>
        <v>-</v>
      </c>
      <c r="M391" s="63" t="str">
        <f>IF($J391=M$3,IF(M$3&gt;$I390,"-",ROUNDUP(Ld_cal($B390, $C390, $D390, $G390,$E390, $F390, $H390, M$3)*1.3,0)),"-")</f>
        <v>-</v>
      </c>
      <c r="N391" s="63" t="str">
        <f>IF($J391=N$3,IF(N$3&gt;$I390,"-",ROUNDUP(Ld_cal($B390, $C390, $D390, $G390,$E390, $F390, $H390, N$3)*1.3,0)),"-")</f>
        <v>-</v>
      </c>
      <c r="O391" s="63" t="str">
        <f>IF($J391=O$3,IF(O$3&gt;$I390,"-",ROUNDUP(Ld_cal($B390, $C390, $D390, $G390,$E390, $F390, $H390, O$3)*1.3,0)),"-")</f>
        <v>-</v>
      </c>
      <c r="P391" s="63" t="str">
        <f>IF($J391=P$3,IF(P$3&gt;$I390,"-",ROUNDUP(Ld_cal($B390, $C390, $D390, $G390,$E390, $F390, $H390, P$3)*1.3,0)),"-")</f>
        <v>-</v>
      </c>
      <c r="Q391" s="63" t="str">
        <f>IF($J391=Q$3,IF(Q$3&gt;$I390,"-",ROUNDUP(Ld_cal($B390, $C390, $D390, $G390,$E390, $F390, $H390, Q$3)*1.3,0)),"-")</f>
        <v>-</v>
      </c>
      <c r="R391" s="63" t="str">
        <f>IF($J391=R$3,IF(R$3&gt;$I390,"-",ROUNDUP(Ld_cal($B390, $C390, $D390, $G390,$E390, $F390, $H390, R$3)*1.3,0)),"-")</f>
        <v>-</v>
      </c>
      <c r="S391" s="63" t="str">
        <f>IF($J391=S$3,IF(S$3&gt;$I390,"-",ROUNDUP(Ld_cal($B390, $C390, $D390, $G390,$E390, $F390, $H390, S$3)*1.3,0)),"-")</f>
        <v>-</v>
      </c>
      <c r="T391" s="63" t="str">
        <f>IF($J391=T$3,IF(T$3&gt;$I390,"-",ROUNDUP(Ld_cal($B390, $C390, $D390, $G390,$E390, $F390, $H390, T$3)*1.3,0)),"-")</f>
        <v>-</v>
      </c>
      <c r="U391" s="63" t="str">
        <f>IF($J391=U$3,IF(U$3&gt;$I390,"-",ROUNDUP(Ld_cal($B390, $C390, $D390, $G390,$E390, $F390, $H390, U$3)*1.3,0)),"-")</f>
        <v>-</v>
      </c>
      <c r="V391" s="63" t="str">
        <f>IF($J391=V$3,IF(V$3&gt;$I390,"-",ROUNDUP(Ld_cal($B390, $C390, $D390, $G390,$E390, $F390, $H390, V$3)*1.3,0)),"-")</f>
        <v>-</v>
      </c>
      <c r="W391" s="63" t="str">
        <f>IF($J391=W$3,IF(W$3&gt;$I390,"-",ROUNDUP(Ld_cal($B390, $C390, $D390, $G390,$E390, $F390, $H390, W$3)*1.3,0)),"-")</f>
        <v>-</v>
      </c>
      <c r="X391" s="63" t="str">
        <f>IF($J391=X$3,IF(X$3&gt;$I390,"-",ROUNDUP(Ld_cal($B390, $C390, $D390, $G390,$E390, $F390, $H390, X$3)*1.3,0)),"-")</f>
        <v>-</v>
      </c>
      <c r="Y391" s="63">
        <f>IF($J391=Y$3,IF(Y$3&gt;$I390,"-",ROUNDUP(Ld_cal($B390, $C390, $D390, $G390,$E390, $F390, $H390, Y$3)*1.3,0)),"-")</f>
        <v>147</v>
      </c>
      <c r="Z391" s="63" t="str">
        <f>IF($J391=Z$3,IF(Z$3&gt;$I390,"-",ROUNDUP(Ld_cal($B390, $C390, $D390, $G390,$E390, $F390, $H390, Z$3)*1.3,0)),"-")</f>
        <v>-</v>
      </c>
      <c r="AA391" s="63" t="str">
        <f>IF($J391=AA$3,IF(AA$3&gt;$I390,"-",ROUNDUP(Ld_cal($B390, $C390, $D390, $G390,$E390, $F390, $H390, AA$3)*1.3,0)),"-")</f>
        <v>-</v>
      </c>
      <c r="AB391" s="63" t="str">
        <f>IF($J391=AB$3,IF(AB$3&gt;$I390,"-",ROUNDUP(Ld_cal($B390, $C390, $D390, $G390,$E390, $F390, $H390, AB$3)*1.3,0)),"-")</f>
        <v>-</v>
      </c>
      <c r="AC391" s="63" t="str">
        <f>IF($J391=AC$3,IF(AC$3&gt;$I390,"-",ROUNDUP(Ld_cal($B390, $C390, $D390, $G390,$E390, $F390, $H390, AC$3)*1.3,0)),"-")</f>
        <v>-</v>
      </c>
      <c r="AD391" s="63">
        <f t="shared" ref="AD391" si="383">IF(J391&gt;I390,"依標準圖",MAX(L391:AC391))</f>
        <v>147</v>
      </c>
    </row>
    <row r="392" spans="1:30">
      <c r="A392" s="97" t="s">
        <v>238</v>
      </c>
      <c r="B392" s="99">
        <v>120</v>
      </c>
      <c r="C392" s="100">
        <v>7.5</v>
      </c>
      <c r="D392" s="101">
        <v>4200</v>
      </c>
      <c r="E392" s="102">
        <v>13</v>
      </c>
      <c r="F392" s="103">
        <v>20</v>
      </c>
      <c r="G392" s="101">
        <v>350</v>
      </c>
      <c r="H392" s="102">
        <v>32</v>
      </c>
      <c r="I392" s="104">
        <f>ROUNDDOWN(($B392-2*$C392-2*$E392/10-$H392/10)/(($D$1+1)*$H392/10),0)+1</f>
        <v>16</v>
      </c>
      <c r="J392" s="60">
        <v>10</v>
      </c>
      <c r="K392" s="64" t="s">
        <v>30</v>
      </c>
      <c r="L392" s="61" t="str">
        <f>IF($J392=L$3,IF(L$3&gt;$I392,"-",ROUNDUP(Ld_cal($B392, $C392, $D392, $G392,$E392, $F392, $H392, L$3)*1.3*1.3,0)),"-")</f>
        <v>-</v>
      </c>
      <c r="M392" s="61" t="str">
        <f>IF($J392=M$3,IF(M$3&gt;$I392,"-",ROUNDUP(Ld_cal($B392, $C392, $D392, $G392,$E392, $F392, $H392, M$3)*1.3*1.3,0)),"-")</f>
        <v>-</v>
      </c>
      <c r="N392" s="61" t="str">
        <f>IF($J392=N$3,IF(N$3&gt;$I392,"-",ROUNDUP(Ld_cal($B392, $C392, $D392, $G392,$E392, $F392, $H392, N$3)*1.3*1.3,0)),"-")</f>
        <v>-</v>
      </c>
      <c r="O392" s="61" t="str">
        <f>IF($J392=O$3,IF(O$3&gt;$I392,"-",ROUNDUP(Ld_cal($B392, $C392, $D392, $G392,$E392, $F392, $H392, O$3)*1.3*1.3,0)),"-")</f>
        <v>-</v>
      </c>
      <c r="P392" s="61" t="str">
        <f>IF($J392=P$3,IF(P$3&gt;$I392,"-",ROUNDUP(Ld_cal($B392, $C392, $D392, $G392,$E392, $F392, $H392, P$3)*1.3*1.3,0)),"-")</f>
        <v>-</v>
      </c>
      <c r="Q392" s="61" t="str">
        <f>IF($J392=Q$3,IF(Q$3&gt;$I392,"-",ROUNDUP(Ld_cal($B392, $C392, $D392, $G392,$E392, $F392, $H392, Q$3)*1.3*1.3,0)),"-")</f>
        <v>-</v>
      </c>
      <c r="R392" s="61" t="str">
        <f>IF($J392=R$3,IF(R$3&gt;$I392,"-",ROUNDUP(Ld_cal($B392, $C392, $D392, $G392,$E392, $F392, $H392, R$3)*1.3*1.3,0)),"-")</f>
        <v>-</v>
      </c>
      <c r="S392" s="61">
        <f>IF($J392=S$3,IF(S$3&gt;$I392,"-",ROUNDUP(Ld_cal($B392, $C392, $D392, $G392,$E392, $F392, $H392, S$3)*1.3*1.3,0)),"-")</f>
        <v>181</v>
      </c>
      <c r="T392" s="61" t="str">
        <f>IF($J392=T$3,IF(T$3&gt;$I392,"-",ROUNDUP(Ld_cal($B392, $C392, $D392, $G392,$E392, $F392, $H392, T$3)*1.3*1.3,0)),"-")</f>
        <v>-</v>
      </c>
      <c r="U392" s="61" t="str">
        <f>IF($J392=U$3,IF(U$3&gt;$I392,"-",ROUNDUP(Ld_cal($B392, $C392, $D392, $G392,$E392, $F392, $H392, U$3)*1.3*1.3,0)),"-")</f>
        <v>-</v>
      </c>
      <c r="V392" s="61" t="str">
        <f>IF($J392=V$3,IF(V$3&gt;$I392,"-",ROUNDUP(Ld_cal($B392, $C392, $D392, $G392,$E392, $F392, $H392, V$3)*1.3*1.3,0)),"-")</f>
        <v>-</v>
      </c>
      <c r="W392" s="61" t="str">
        <f>IF($J392=W$3,IF(W$3&gt;$I392,"-",ROUNDUP(Ld_cal($B392, $C392, $D392, $G392,$E392, $F392, $H392, W$3)*1.3*1.3,0)),"-")</f>
        <v>-</v>
      </c>
      <c r="X392" s="61" t="str">
        <f>IF($J392=X$3,IF(X$3&gt;$I392,"-",ROUNDUP(Ld_cal($B392, $C392, $D392, $G392,$E392, $F392, $H392, X$3)*1.3*1.3,0)),"-")</f>
        <v>-</v>
      </c>
      <c r="Y392" s="61" t="str">
        <f>IF($J392=Y$3,IF(Y$3&gt;$I392,"-",ROUNDUP(Ld_cal($B392, $C392, $D392, $G392,$E392, $F392, $H392, Y$3)*1.3*1.3,0)),"-")</f>
        <v>-</v>
      </c>
      <c r="Z392" s="61" t="str">
        <f>IF($J392=Z$3,IF(Z$3&gt;$I392,"-",ROUNDUP(Ld_cal($B392, $C392, $D392, $G392,$E392, $F392, $H392, Z$3)*1.3*1.3,0)),"-")</f>
        <v>-</v>
      </c>
      <c r="AA392" s="61" t="str">
        <f>IF($J392=AA$3,IF(AA$3&gt;$I392,"-",ROUNDUP(Ld_cal($B392, $C392, $D392, $G392,$E392, $F392, $H392, AA$3)*1.3*1.3,0)),"-")</f>
        <v>-</v>
      </c>
      <c r="AB392" s="61" t="str">
        <f>IF($J392=AB$3,IF(AB$3&gt;$I392,"-",ROUNDUP(Ld_cal($B392, $C392, $D392, $G392,$E392, $F392, $H392, AB$3)*1.3*1.3,0)),"-")</f>
        <v>-</v>
      </c>
      <c r="AC392" s="61" t="str">
        <f>IF($J392=AC$3,IF(AC$3&gt;$I392,"-",ROUNDUP(Ld_cal($B392, $C392, $D392, $G392,$E392, $F392, $H392, AC$3)*1.3*1.3,0)),"-")</f>
        <v>-</v>
      </c>
      <c r="AD392" s="61">
        <f t="shared" ref="AD392" si="384">IF(J392&gt;I392,"依標準圖",MAX(L392:AC392))</f>
        <v>181</v>
      </c>
    </row>
    <row r="393" spans="1:30">
      <c r="A393" s="98"/>
      <c r="B393" s="99"/>
      <c r="C393" s="100"/>
      <c r="D393" s="101"/>
      <c r="E393" s="102"/>
      <c r="F393" s="103"/>
      <c r="G393" s="101"/>
      <c r="H393" s="102"/>
      <c r="I393" s="104"/>
      <c r="J393" s="60">
        <v>10</v>
      </c>
      <c r="K393" s="64" t="s">
        <v>29</v>
      </c>
      <c r="L393" s="61" t="str">
        <f>IF($J393=L$3,IF(L$3&gt;$I392,"-",ROUNDUP(Ld_cal($B392, $C392, $D392, $G392,$E392, $F392, $H392, L$3)*1.3,0)),"-")</f>
        <v>-</v>
      </c>
      <c r="M393" s="61" t="str">
        <f>IF($J393=M$3,IF(M$3&gt;$I392,"-",ROUNDUP(Ld_cal($B392, $C392, $D392, $G392,$E392, $F392, $H392, M$3)*1.3,0)),"-")</f>
        <v>-</v>
      </c>
      <c r="N393" s="61" t="str">
        <f>IF($J393=N$3,IF(N$3&gt;$I392,"-",ROUNDUP(Ld_cal($B392, $C392, $D392, $G392,$E392, $F392, $H392, N$3)*1.3,0)),"-")</f>
        <v>-</v>
      </c>
      <c r="O393" s="61" t="str">
        <f>IF($J393=O$3,IF(O$3&gt;$I392,"-",ROUNDUP(Ld_cal($B392, $C392, $D392, $G392,$E392, $F392, $H392, O$3)*1.3,0)),"-")</f>
        <v>-</v>
      </c>
      <c r="P393" s="61" t="str">
        <f>IF($J393=P$3,IF(P$3&gt;$I392,"-",ROUNDUP(Ld_cal($B392, $C392, $D392, $G392,$E392, $F392, $H392, P$3)*1.3,0)),"-")</f>
        <v>-</v>
      </c>
      <c r="Q393" s="61" t="str">
        <f>IF($J393=Q$3,IF(Q$3&gt;$I392,"-",ROUNDUP(Ld_cal($B392, $C392, $D392, $G392,$E392, $F392, $H392, Q$3)*1.3,0)),"-")</f>
        <v>-</v>
      </c>
      <c r="R393" s="61" t="str">
        <f>IF($J393=R$3,IF(R$3&gt;$I392,"-",ROUNDUP(Ld_cal($B392, $C392, $D392, $G392,$E392, $F392, $H392, R$3)*1.3,0)),"-")</f>
        <v>-</v>
      </c>
      <c r="S393" s="61">
        <f>IF($J393=S$3,IF(S$3&gt;$I392,"-",ROUNDUP(Ld_cal($B392, $C392, $D392, $G392,$E392, $F392, $H392, S$3)*1.3,0)),"-")</f>
        <v>139</v>
      </c>
      <c r="T393" s="61" t="str">
        <f>IF($J393=T$3,IF(T$3&gt;$I392,"-",ROUNDUP(Ld_cal($B392, $C392, $D392, $G392,$E392, $F392, $H392, T$3)*1.3,0)),"-")</f>
        <v>-</v>
      </c>
      <c r="U393" s="61" t="str">
        <f>IF($J393=U$3,IF(U$3&gt;$I392,"-",ROUNDUP(Ld_cal($B392, $C392, $D392, $G392,$E392, $F392, $H392, U$3)*1.3,0)),"-")</f>
        <v>-</v>
      </c>
      <c r="V393" s="61" t="str">
        <f>IF($J393=V$3,IF(V$3&gt;$I392,"-",ROUNDUP(Ld_cal($B392, $C392, $D392, $G392,$E392, $F392, $H392, V$3)*1.3,0)),"-")</f>
        <v>-</v>
      </c>
      <c r="W393" s="61" t="str">
        <f>IF($J393=W$3,IF(W$3&gt;$I392,"-",ROUNDUP(Ld_cal($B392, $C392, $D392, $G392,$E392, $F392, $H392, W$3)*1.3,0)),"-")</f>
        <v>-</v>
      </c>
      <c r="X393" s="61" t="str">
        <f>IF($J393=X$3,IF(X$3&gt;$I392,"-",ROUNDUP(Ld_cal($B392, $C392, $D392, $G392,$E392, $F392, $H392, X$3)*1.3,0)),"-")</f>
        <v>-</v>
      </c>
      <c r="Y393" s="61" t="str">
        <f>IF($J393=Y$3,IF(Y$3&gt;$I392,"-",ROUNDUP(Ld_cal($B392, $C392, $D392, $G392,$E392, $F392, $H392, Y$3)*1.3,0)),"-")</f>
        <v>-</v>
      </c>
      <c r="Z393" s="61" t="str">
        <f>IF($J393=Z$3,IF(Z$3&gt;$I392,"-",ROUNDUP(Ld_cal($B392, $C392, $D392, $G392,$E392, $F392, $H392, Z$3)*1.3,0)),"-")</f>
        <v>-</v>
      </c>
      <c r="AA393" s="61" t="str">
        <f>IF($J393=AA$3,IF(AA$3&gt;$I392,"-",ROUNDUP(Ld_cal($B392, $C392, $D392, $G392,$E392, $F392, $H392, AA$3)*1.3,0)),"-")</f>
        <v>-</v>
      </c>
      <c r="AB393" s="61" t="str">
        <f>IF($J393=AB$3,IF(AB$3&gt;$I392,"-",ROUNDUP(Ld_cal($B392, $C392, $D392, $G392,$E392, $F392, $H392, AB$3)*1.3,0)),"-")</f>
        <v>-</v>
      </c>
      <c r="AC393" s="61" t="str">
        <f>IF($J393=AC$3,IF(AC$3&gt;$I392,"-",ROUNDUP(Ld_cal($B392, $C392, $D392, $G392,$E392, $F392, $H392, AC$3)*1.3,0)),"-")</f>
        <v>-</v>
      </c>
      <c r="AD393" s="61">
        <f t="shared" ref="AD393" si="385">IF(J393&gt;I392,"依標準圖",MAX(L393:AC393))</f>
        <v>139</v>
      </c>
    </row>
    <row r="394" spans="1:30">
      <c r="A394" s="105" t="s">
        <v>239</v>
      </c>
      <c r="B394" s="107">
        <v>120</v>
      </c>
      <c r="C394" s="108">
        <v>7.5</v>
      </c>
      <c r="D394" s="107">
        <v>4200</v>
      </c>
      <c r="E394" s="109">
        <v>13</v>
      </c>
      <c r="F394" s="110">
        <v>10</v>
      </c>
      <c r="G394" s="107">
        <v>350</v>
      </c>
      <c r="H394" s="109">
        <v>32</v>
      </c>
      <c r="I394" s="111">
        <f>ROUNDDOWN(($B394-2*$C394-2*$E394/10-$H394/10)/(($D$1+1)*$H394/10),0)+1</f>
        <v>16</v>
      </c>
      <c r="J394" s="62">
        <v>11</v>
      </c>
      <c r="K394" s="40" t="s">
        <v>30</v>
      </c>
      <c r="L394" s="63" t="str">
        <f>IF($J394=L$3,IF(L$3&gt;$I394,"-",ROUNDUP(Ld_cal($B394, $C394, $D394, $G394,$E394, $F394, $H394, L$3)*1.3*1.3,0)),"-")</f>
        <v>-</v>
      </c>
      <c r="M394" s="63" t="str">
        <f>IF($J394=M$3,IF(M$3&gt;$I394,"-",ROUNDUP(Ld_cal($B394, $C394, $D394, $G394,$E394, $F394, $H394, M$3)*1.3*1.3,0)),"-")</f>
        <v>-</v>
      </c>
      <c r="N394" s="63" t="str">
        <f>IF($J394=N$3,IF(N$3&gt;$I394,"-",ROUNDUP(Ld_cal($B394, $C394, $D394, $G394,$E394, $F394, $H394, N$3)*1.3*1.3,0)),"-")</f>
        <v>-</v>
      </c>
      <c r="O394" s="63" t="str">
        <f>IF($J394=O$3,IF(O$3&gt;$I394,"-",ROUNDUP(Ld_cal($B394, $C394, $D394, $G394,$E394, $F394, $H394, O$3)*1.3*1.3,0)),"-")</f>
        <v>-</v>
      </c>
      <c r="P394" s="63" t="str">
        <f>IF($J394=P$3,IF(P$3&gt;$I394,"-",ROUNDUP(Ld_cal($B394, $C394, $D394, $G394,$E394, $F394, $H394, P$3)*1.3*1.3,0)),"-")</f>
        <v>-</v>
      </c>
      <c r="Q394" s="63" t="str">
        <f>IF($J394=Q$3,IF(Q$3&gt;$I394,"-",ROUNDUP(Ld_cal($B394, $C394, $D394, $G394,$E394, $F394, $H394, Q$3)*1.3*1.3,0)),"-")</f>
        <v>-</v>
      </c>
      <c r="R394" s="63" t="str">
        <f>IF($J394=R$3,IF(R$3&gt;$I394,"-",ROUNDUP(Ld_cal($B394, $C394, $D394, $G394,$E394, $F394, $H394, R$3)*1.3*1.3,0)),"-")</f>
        <v>-</v>
      </c>
      <c r="S394" s="63" t="str">
        <f>IF($J394=S$3,IF(S$3&gt;$I394,"-",ROUNDUP(Ld_cal($B394, $C394, $D394, $G394,$E394, $F394, $H394, S$3)*1.3*1.3,0)),"-")</f>
        <v>-</v>
      </c>
      <c r="T394" s="63">
        <f>IF($J394=T$3,IF(T$3&gt;$I394,"-",ROUNDUP(Ld_cal($B394, $C394, $D394, $G394,$E394, $F394, $H394, T$3)*1.3*1.3,0)),"-")</f>
        <v>184</v>
      </c>
      <c r="U394" s="63" t="str">
        <f>IF($J394=U$3,IF(U$3&gt;$I394,"-",ROUNDUP(Ld_cal($B394, $C394, $D394, $G394,$E394, $F394, $H394, U$3)*1.3*1.3,0)),"-")</f>
        <v>-</v>
      </c>
      <c r="V394" s="63" t="str">
        <f>IF($J394=V$3,IF(V$3&gt;$I394,"-",ROUNDUP(Ld_cal($B394, $C394, $D394, $G394,$E394, $F394, $H394, V$3)*1.3*1.3,0)),"-")</f>
        <v>-</v>
      </c>
      <c r="W394" s="63" t="str">
        <f>IF($J394=W$3,IF(W$3&gt;$I394,"-",ROUNDUP(Ld_cal($B394, $C394, $D394, $G394,$E394, $F394, $H394, W$3)*1.3*1.3,0)),"-")</f>
        <v>-</v>
      </c>
      <c r="X394" s="63" t="str">
        <f>IF($J394=X$3,IF(X$3&gt;$I394,"-",ROUNDUP(Ld_cal($B394, $C394, $D394, $G394,$E394, $F394, $H394, X$3)*1.3*1.3,0)),"-")</f>
        <v>-</v>
      </c>
      <c r="Y394" s="63" t="str">
        <f>IF($J394=Y$3,IF(Y$3&gt;$I394,"-",ROUNDUP(Ld_cal($B394, $C394, $D394, $G394,$E394, $F394, $H394, Y$3)*1.3*1.3,0)),"-")</f>
        <v>-</v>
      </c>
      <c r="Z394" s="63" t="str">
        <f>IF($J394=Z$3,IF(Z$3&gt;$I394,"-",ROUNDUP(Ld_cal($B394, $C394, $D394, $G394,$E394, $F394, $H394, Z$3)*1.3*1.3,0)),"-")</f>
        <v>-</v>
      </c>
      <c r="AA394" s="63" t="str">
        <f>IF($J394=AA$3,IF(AA$3&gt;$I394,"-",ROUNDUP(Ld_cal($B394, $C394, $D394, $G394,$E394, $F394, $H394, AA$3)*1.3*1.3,0)),"-")</f>
        <v>-</v>
      </c>
      <c r="AB394" s="63" t="str">
        <f>IF($J394=AB$3,IF(AB$3&gt;$I394,"-",ROUNDUP(Ld_cal($B394, $C394, $D394, $G394,$E394, $F394, $H394, AB$3)*1.3*1.3,0)),"-")</f>
        <v>-</v>
      </c>
      <c r="AC394" s="63" t="str">
        <f>IF($J394=AC$3,IF(AC$3&gt;$I394,"-",ROUNDUP(Ld_cal($B394, $C394, $D394, $G394,$E394, $F394, $H394, AC$3)*1.3*1.3,0)),"-")</f>
        <v>-</v>
      </c>
      <c r="AD394" s="63">
        <f t="shared" ref="AD394" si="386">IF(J394&gt;I394,"依標準圖",MAX(L394:AC394))</f>
        <v>184</v>
      </c>
    </row>
    <row r="395" spans="1:30">
      <c r="A395" s="106"/>
      <c r="B395" s="107"/>
      <c r="C395" s="108"/>
      <c r="D395" s="107"/>
      <c r="E395" s="109"/>
      <c r="F395" s="110"/>
      <c r="G395" s="107"/>
      <c r="H395" s="109"/>
      <c r="I395" s="111"/>
      <c r="J395" s="62">
        <v>8</v>
      </c>
      <c r="K395" s="40" t="s">
        <v>29</v>
      </c>
      <c r="L395" s="63" t="str">
        <f>IF($J395=L$3,IF(L$3&gt;$I394,"-",ROUNDUP(Ld_cal($B394, $C394, $D394, $G394,$E394, $F394, $H394, L$3)*1.3,0)),"-")</f>
        <v>-</v>
      </c>
      <c r="M395" s="63" t="str">
        <f>IF($J395=M$3,IF(M$3&gt;$I394,"-",ROUNDUP(Ld_cal($B394, $C394, $D394, $G394,$E394, $F394, $H394, M$3)*1.3,0)),"-")</f>
        <v>-</v>
      </c>
      <c r="N395" s="63" t="str">
        <f>IF($J395=N$3,IF(N$3&gt;$I394,"-",ROUNDUP(Ld_cal($B394, $C394, $D394, $G394,$E394, $F394, $H394, N$3)*1.3,0)),"-")</f>
        <v>-</v>
      </c>
      <c r="O395" s="63" t="str">
        <f>IF($J395=O$3,IF(O$3&gt;$I394,"-",ROUNDUP(Ld_cal($B394, $C394, $D394, $G394,$E394, $F394, $H394, O$3)*1.3,0)),"-")</f>
        <v>-</v>
      </c>
      <c r="P395" s="63" t="str">
        <f>IF($J395=P$3,IF(P$3&gt;$I394,"-",ROUNDUP(Ld_cal($B394, $C394, $D394, $G394,$E394, $F394, $H394, P$3)*1.3,0)),"-")</f>
        <v>-</v>
      </c>
      <c r="Q395" s="63">
        <f>IF($J395=Q$3,IF(Q$3&gt;$I394,"-",ROUNDUP(Ld_cal($B394, $C394, $D394, $G394,$E394, $F394, $H394, Q$3)*1.3,0)),"-")</f>
        <v>105</v>
      </c>
      <c r="R395" s="63" t="str">
        <f>IF($J395=R$3,IF(R$3&gt;$I394,"-",ROUNDUP(Ld_cal($B394, $C394, $D394, $G394,$E394, $F394, $H394, R$3)*1.3,0)),"-")</f>
        <v>-</v>
      </c>
      <c r="S395" s="63" t="str">
        <f>IF($J395=S$3,IF(S$3&gt;$I394,"-",ROUNDUP(Ld_cal($B394, $C394, $D394, $G394,$E394, $F394, $H394, S$3)*1.3,0)),"-")</f>
        <v>-</v>
      </c>
      <c r="T395" s="63" t="str">
        <f>IF($J395=T$3,IF(T$3&gt;$I394,"-",ROUNDUP(Ld_cal($B394, $C394, $D394, $G394,$E394, $F394, $H394, T$3)*1.3,0)),"-")</f>
        <v>-</v>
      </c>
      <c r="U395" s="63" t="str">
        <f>IF($J395=U$3,IF(U$3&gt;$I394,"-",ROUNDUP(Ld_cal($B394, $C394, $D394, $G394,$E394, $F394, $H394, U$3)*1.3,0)),"-")</f>
        <v>-</v>
      </c>
      <c r="V395" s="63" t="str">
        <f>IF($J395=V$3,IF(V$3&gt;$I394,"-",ROUNDUP(Ld_cal($B394, $C394, $D394, $G394,$E394, $F394, $H394, V$3)*1.3,0)),"-")</f>
        <v>-</v>
      </c>
      <c r="W395" s="63" t="str">
        <f>IF($J395=W$3,IF(W$3&gt;$I394,"-",ROUNDUP(Ld_cal($B394, $C394, $D394, $G394,$E394, $F394, $H394, W$3)*1.3,0)),"-")</f>
        <v>-</v>
      </c>
      <c r="X395" s="63" t="str">
        <f>IF($J395=X$3,IF(X$3&gt;$I394,"-",ROUNDUP(Ld_cal($B394, $C394, $D394, $G394,$E394, $F394, $H394, X$3)*1.3,0)),"-")</f>
        <v>-</v>
      </c>
      <c r="Y395" s="63" t="str">
        <f>IF($J395=Y$3,IF(Y$3&gt;$I394,"-",ROUNDUP(Ld_cal($B394, $C394, $D394, $G394,$E394, $F394, $H394, Y$3)*1.3,0)),"-")</f>
        <v>-</v>
      </c>
      <c r="Z395" s="63" t="str">
        <f>IF($J395=Z$3,IF(Z$3&gt;$I394,"-",ROUNDUP(Ld_cal($B394, $C394, $D394, $G394,$E394, $F394, $H394, Z$3)*1.3,0)),"-")</f>
        <v>-</v>
      </c>
      <c r="AA395" s="63" t="str">
        <f>IF($J395=AA$3,IF(AA$3&gt;$I394,"-",ROUNDUP(Ld_cal($B394, $C394, $D394, $G394,$E394, $F394, $H394, AA$3)*1.3,0)),"-")</f>
        <v>-</v>
      </c>
      <c r="AB395" s="63" t="str">
        <f>IF($J395=AB$3,IF(AB$3&gt;$I394,"-",ROUNDUP(Ld_cal($B394, $C394, $D394, $G394,$E394, $F394, $H394, AB$3)*1.3,0)),"-")</f>
        <v>-</v>
      </c>
      <c r="AC395" s="63" t="str">
        <f>IF($J395=AC$3,IF(AC$3&gt;$I394,"-",ROUNDUP(Ld_cal($B394, $C394, $D394, $G394,$E394, $F394, $H394, AC$3)*1.3,0)),"-")</f>
        <v>-</v>
      </c>
      <c r="AD395" s="63">
        <f t="shared" ref="AD395" si="387">IF(J395&gt;I394,"依標準圖",MAX(L395:AC395))</f>
        <v>105</v>
      </c>
    </row>
    <row r="396" spans="1:30">
      <c r="A396" s="97" t="s">
        <v>240</v>
      </c>
      <c r="B396" s="99">
        <v>120</v>
      </c>
      <c r="C396" s="100">
        <v>7.5</v>
      </c>
      <c r="D396" s="101">
        <v>4200</v>
      </c>
      <c r="E396" s="102">
        <v>16</v>
      </c>
      <c r="F396" s="103">
        <v>14</v>
      </c>
      <c r="G396" s="101">
        <v>350</v>
      </c>
      <c r="H396" s="102">
        <v>32</v>
      </c>
      <c r="I396" s="104">
        <f>ROUNDDOWN(($B396-2*$C396-2*$E396/10-$H396/10)/(($D$1+1)*$H396/10),0)+1</f>
        <v>16</v>
      </c>
      <c r="J396" s="60">
        <v>10</v>
      </c>
      <c r="K396" s="64" t="s">
        <v>30</v>
      </c>
      <c r="L396" s="61" t="str">
        <f>IF($J396=L$3,IF(L$3&gt;$I396,"-",ROUNDUP(Ld_cal($B396, $C396, $D396, $G396,$E396, $F396, $H396, L$3)*1.3*1.3,0)),"-")</f>
        <v>-</v>
      </c>
      <c r="M396" s="61" t="str">
        <f>IF($J396=M$3,IF(M$3&gt;$I396,"-",ROUNDUP(Ld_cal($B396, $C396, $D396, $G396,$E396, $F396, $H396, M$3)*1.3*1.3,0)),"-")</f>
        <v>-</v>
      </c>
      <c r="N396" s="61" t="str">
        <f>IF($J396=N$3,IF(N$3&gt;$I396,"-",ROUNDUP(Ld_cal($B396, $C396, $D396, $G396,$E396, $F396, $H396, N$3)*1.3*1.3,0)),"-")</f>
        <v>-</v>
      </c>
      <c r="O396" s="61" t="str">
        <f>IF($J396=O$3,IF(O$3&gt;$I396,"-",ROUNDUP(Ld_cal($B396, $C396, $D396, $G396,$E396, $F396, $H396, O$3)*1.3*1.3,0)),"-")</f>
        <v>-</v>
      </c>
      <c r="P396" s="61" t="str">
        <f>IF($J396=P$3,IF(P$3&gt;$I396,"-",ROUNDUP(Ld_cal($B396, $C396, $D396, $G396,$E396, $F396, $H396, P$3)*1.3*1.3,0)),"-")</f>
        <v>-</v>
      </c>
      <c r="Q396" s="61" t="str">
        <f>IF($J396=Q$3,IF(Q$3&gt;$I396,"-",ROUNDUP(Ld_cal($B396, $C396, $D396, $G396,$E396, $F396, $H396, Q$3)*1.3*1.3,0)),"-")</f>
        <v>-</v>
      </c>
      <c r="R396" s="61" t="str">
        <f>IF($J396=R$3,IF(R$3&gt;$I396,"-",ROUNDUP(Ld_cal($B396, $C396, $D396, $G396,$E396, $F396, $H396, R$3)*1.3*1.3,0)),"-")</f>
        <v>-</v>
      </c>
      <c r="S396" s="61">
        <f>IF($J396=S$3,IF(S$3&gt;$I396,"-",ROUNDUP(Ld_cal($B396, $C396, $D396, $G396,$E396, $F396, $H396, S$3)*1.3*1.3,0)),"-")</f>
        <v>165</v>
      </c>
      <c r="T396" s="61" t="str">
        <f>IF($J396=T$3,IF(T$3&gt;$I396,"-",ROUNDUP(Ld_cal($B396, $C396, $D396, $G396,$E396, $F396, $H396, T$3)*1.3*1.3,0)),"-")</f>
        <v>-</v>
      </c>
      <c r="U396" s="61" t="str">
        <f>IF($J396=U$3,IF(U$3&gt;$I396,"-",ROUNDUP(Ld_cal($B396, $C396, $D396, $G396,$E396, $F396, $H396, U$3)*1.3*1.3,0)),"-")</f>
        <v>-</v>
      </c>
      <c r="V396" s="61" t="str">
        <f>IF($J396=V$3,IF(V$3&gt;$I396,"-",ROUNDUP(Ld_cal($B396, $C396, $D396, $G396,$E396, $F396, $H396, V$3)*1.3*1.3,0)),"-")</f>
        <v>-</v>
      </c>
      <c r="W396" s="61" t="str">
        <f>IF($J396=W$3,IF(W$3&gt;$I396,"-",ROUNDUP(Ld_cal($B396, $C396, $D396, $G396,$E396, $F396, $H396, W$3)*1.3*1.3,0)),"-")</f>
        <v>-</v>
      </c>
      <c r="X396" s="61" t="str">
        <f>IF($J396=X$3,IF(X$3&gt;$I396,"-",ROUNDUP(Ld_cal($B396, $C396, $D396, $G396,$E396, $F396, $H396, X$3)*1.3*1.3,0)),"-")</f>
        <v>-</v>
      </c>
      <c r="Y396" s="61" t="str">
        <f>IF($J396=Y$3,IF(Y$3&gt;$I396,"-",ROUNDUP(Ld_cal($B396, $C396, $D396, $G396,$E396, $F396, $H396, Y$3)*1.3*1.3,0)),"-")</f>
        <v>-</v>
      </c>
      <c r="Z396" s="61" t="str">
        <f>IF($J396=Z$3,IF(Z$3&gt;$I396,"-",ROUNDUP(Ld_cal($B396, $C396, $D396, $G396,$E396, $F396, $H396, Z$3)*1.3*1.3,0)),"-")</f>
        <v>-</v>
      </c>
      <c r="AA396" s="61" t="str">
        <f>IF($J396=AA$3,IF(AA$3&gt;$I396,"-",ROUNDUP(Ld_cal($B396, $C396, $D396, $G396,$E396, $F396, $H396, AA$3)*1.3*1.3,0)),"-")</f>
        <v>-</v>
      </c>
      <c r="AB396" s="61" t="str">
        <f>IF($J396=AB$3,IF(AB$3&gt;$I396,"-",ROUNDUP(Ld_cal($B396, $C396, $D396, $G396,$E396, $F396, $H396, AB$3)*1.3*1.3,0)),"-")</f>
        <v>-</v>
      </c>
      <c r="AC396" s="61" t="str">
        <f>IF($J396=AC$3,IF(AC$3&gt;$I396,"-",ROUNDUP(Ld_cal($B396, $C396, $D396, $G396,$E396, $F396, $H396, AC$3)*1.3*1.3,0)),"-")</f>
        <v>-</v>
      </c>
      <c r="AD396" s="61">
        <f t="shared" ref="AD396" si="388">IF(J396&gt;I396,"依標準圖",MAX(L396:AC396))</f>
        <v>165</v>
      </c>
    </row>
    <row r="397" spans="1:30">
      <c r="A397" s="98"/>
      <c r="B397" s="99"/>
      <c r="C397" s="100"/>
      <c r="D397" s="101"/>
      <c r="E397" s="102"/>
      <c r="F397" s="103"/>
      <c r="G397" s="101"/>
      <c r="H397" s="102"/>
      <c r="I397" s="104"/>
      <c r="J397" s="60">
        <v>11</v>
      </c>
      <c r="K397" s="64" t="s">
        <v>29</v>
      </c>
      <c r="L397" s="61" t="str">
        <f>IF($J397=L$3,IF(L$3&gt;$I396,"-",ROUNDUP(Ld_cal($B396, $C396, $D396, $G396,$E396, $F396, $H396, L$3)*1.3,0)),"-")</f>
        <v>-</v>
      </c>
      <c r="M397" s="61" t="str">
        <f>IF($J397=M$3,IF(M$3&gt;$I396,"-",ROUNDUP(Ld_cal($B396, $C396, $D396, $G396,$E396, $F396, $H396, M$3)*1.3,0)),"-")</f>
        <v>-</v>
      </c>
      <c r="N397" s="61" t="str">
        <f>IF($J397=N$3,IF(N$3&gt;$I396,"-",ROUNDUP(Ld_cal($B396, $C396, $D396, $G396,$E396, $F396, $H396, N$3)*1.3,0)),"-")</f>
        <v>-</v>
      </c>
      <c r="O397" s="61" t="str">
        <f>IF($J397=O$3,IF(O$3&gt;$I396,"-",ROUNDUP(Ld_cal($B396, $C396, $D396, $G396,$E396, $F396, $H396, O$3)*1.3,0)),"-")</f>
        <v>-</v>
      </c>
      <c r="P397" s="61" t="str">
        <f>IF($J397=P$3,IF(P$3&gt;$I396,"-",ROUNDUP(Ld_cal($B396, $C396, $D396, $G396,$E396, $F396, $H396, P$3)*1.3,0)),"-")</f>
        <v>-</v>
      </c>
      <c r="Q397" s="61" t="str">
        <f>IF($J397=Q$3,IF(Q$3&gt;$I396,"-",ROUNDUP(Ld_cal($B396, $C396, $D396, $G396,$E396, $F396, $H396, Q$3)*1.3,0)),"-")</f>
        <v>-</v>
      </c>
      <c r="R397" s="61" t="str">
        <f>IF($J397=R$3,IF(R$3&gt;$I396,"-",ROUNDUP(Ld_cal($B396, $C396, $D396, $G396,$E396, $F396, $H396, R$3)*1.3,0)),"-")</f>
        <v>-</v>
      </c>
      <c r="S397" s="61" t="str">
        <f>IF($J397=S$3,IF(S$3&gt;$I396,"-",ROUNDUP(Ld_cal($B396, $C396, $D396, $G396,$E396, $F396, $H396, S$3)*1.3,0)),"-")</f>
        <v>-</v>
      </c>
      <c r="T397" s="61">
        <f>IF($J397=T$3,IF(T$3&gt;$I396,"-",ROUNDUP(Ld_cal($B396, $C396, $D396, $G396,$E396, $F396, $H396, T$3)*1.3,0)),"-")</f>
        <v>141</v>
      </c>
      <c r="U397" s="61" t="str">
        <f>IF($J397=U$3,IF(U$3&gt;$I396,"-",ROUNDUP(Ld_cal($B396, $C396, $D396, $G396,$E396, $F396, $H396, U$3)*1.3,0)),"-")</f>
        <v>-</v>
      </c>
      <c r="V397" s="61" t="str">
        <f>IF($J397=V$3,IF(V$3&gt;$I396,"-",ROUNDUP(Ld_cal($B396, $C396, $D396, $G396,$E396, $F396, $H396, V$3)*1.3,0)),"-")</f>
        <v>-</v>
      </c>
      <c r="W397" s="61" t="str">
        <f>IF($J397=W$3,IF(W$3&gt;$I396,"-",ROUNDUP(Ld_cal($B396, $C396, $D396, $G396,$E396, $F396, $H396, W$3)*1.3,0)),"-")</f>
        <v>-</v>
      </c>
      <c r="X397" s="61" t="str">
        <f>IF($J397=X$3,IF(X$3&gt;$I396,"-",ROUNDUP(Ld_cal($B396, $C396, $D396, $G396,$E396, $F396, $H396, X$3)*1.3,0)),"-")</f>
        <v>-</v>
      </c>
      <c r="Y397" s="61" t="str">
        <f>IF($J397=Y$3,IF(Y$3&gt;$I396,"-",ROUNDUP(Ld_cal($B396, $C396, $D396, $G396,$E396, $F396, $H396, Y$3)*1.3,0)),"-")</f>
        <v>-</v>
      </c>
      <c r="Z397" s="61" t="str">
        <f>IF($J397=Z$3,IF(Z$3&gt;$I396,"-",ROUNDUP(Ld_cal($B396, $C396, $D396, $G396,$E396, $F396, $H396, Z$3)*1.3,0)),"-")</f>
        <v>-</v>
      </c>
      <c r="AA397" s="61" t="str">
        <f>IF($J397=AA$3,IF(AA$3&gt;$I396,"-",ROUNDUP(Ld_cal($B396, $C396, $D396, $G396,$E396, $F396, $H396, AA$3)*1.3,0)),"-")</f>
        <v>-</v>
      </c>
      <c r="AB397" s="61" t="str">
        <f>IF($J397=AB$3,IF(AB$3&gt;$I396,"-",ROUNDUP(Ld_cal($B396, $C396, $D396, $G396,$E396, $F396, $H396, AB$3)*1.3,0)),"-")</f>
        <v>-</v>
      </c>
      <c r="AC397" s="61" t="str">
        <f>IF($J397=AC$3,IF(AC$3&gt;$I396,"-",ROUNDUP(Ld_cal($B396, $C396, $D396, $G396,$E396, $F396, $H396, AC$3)*1.3,0)),"-")</f>
        <v>-</v>
      </c>
      <c r="AD397" s="61">
        <f t="shared" ref="AD397" si="389">IF(J397&gt;I396,"依標準圖",MAX(L397:AC397))</f>
        <v>141</v>
      </c>
    </row>
    <row r="398" spans="1:30">
      <c r="A398" s="105" t="s">
        <v>241</v>
      </c>
      <c r="B398" s="107">
        <v>120</v>
      </c>
      <c r="C398" s="108">
        <v>7.5</v>
      </c>
      <c r="D398" s="107">
        <v>4200</v>
      </c>
      <c r="E398" s="109">
        <v>16</v>
      </c>
      <c r="F398" s="110">
        <v>9</v>
      </c>
      <c r="G398" s="107">
        <v>350</v>
      </c>
      <c r="H398" s="109">
        <v>32</v>
      </c>
      <c r="I398" s="111">
        <f>ROUNDDOWN(($B398-2*$C398-2*$E398/10-$H398/10)/(($D$1+1)*$H398/10),0)+1</f>
        <v>16</v>
      </c>
      <c r="J398" s="62">
        <v>8</v>
      </c>
      <c r="K398" s="40" t="s">
        <v>30</v>
      </c>
      <c r="L398" s="63" t="str">
        <f>IF($J398=L$3,IF(L$3&gt;$I398,"-",ROUNDUP(Ld_cal($B398, $C398, $D398, $G398,$E398, $F398, $H398, L$3)*1.3*1.3,0)),"-")</f>
        <v>-</v>
      </c>
      <c r="M398" s="63" t="str">
        <f>IF($J398=M$3,IF(M$3&gt;$I398,"-",ROUNDUP(Ld_cal($B398, $C398, $D398, $G398,$E398, $F398, $H398, M$3)*1.3*1.3,0)),"-")</f>
        <v>-</v>
      </c>
      <c r="N398" s="63" t="str">
        <f>IF($J398=N$3,IF(N$3&gt;$I398,"-",ROUNDUP(Ld_cal($B398, $C398, $D398, $G398,$E398, $F398, $H398, N$3)*1.3*1.3,0)),"-")</f>
        <v>-</v>
      </c>
      <c r="O398" s="63" t="str">
        <f>IF($J398=O$3,IF(O$3&gt;$I398,"-",ROUNDUP(Ld_cal($B398, $C398, $D398, $G398,$E398, $F398, $H398, O$3)*1.3*1.3,0)),"-")</f>
        <v>-</v>
      </c>
      <c r="P398" s="63" t="str">
        <f>IF($J398=P$3,IF(P$3&gt;$I398,"-",ROUNDUP(Ld_cal($B398, $C398, $D398, $G398,$E398, $F398, $H398, P$3)*1.3*1.3,0)),"-")</f>
        <v>-</v>
      </c>
      <c r="Q398" s="63">
        <f>IF($J398=Q$3,IF(Q$3&gt;$I398,"-",ROUNDUP(Ld_cal($B398, $C398, $D398, $G398,$E398, $F398, $H398, Q$3)*1.3*1.3,0)),"-")</f>
        <v>136</v>
      </c>
      <c r="R398" s="63" t="str">
        <f>IF($J398=R$3,IF(R$3&gt;$I398,"-",ROUNDUP(Ld_cal($B398, $C398, $D398, $G398,$E398, $F398, $H398, R$3)*1.3*1.3,0)),"-")</f>
        <v>-</v>
      </c>
      <c r="S398" s="63" t="str">
        <f>IF($J398=S$3,IF(S$3&gt;$I398,"-",ROUNDUP(Ld_cal($B398, $C398, $D398, $G398,$E398, $F398, $H398, S$3)*1.3*1.3,0)),"-")</f>
        <v>-</v>
      </c>
      <c r="T398" s="63" t="str">
        <f>IF($J398=T$3,IF(T$3&gt;$I398,"-",ROUNDUP(Ld_cal($B398, $C398, $D398, $G398,$E398, $F398, $H398, T$3)*1.3*1.3,0)),"-")</f>
        <v>-</v>
      </c>
      <c r="U398" s="63" t="str">
        <f>IF($J398=U$3,IF(U$3&gt;$I398,"-",ROUNDUP(Ld_cal($B398, $C398, $D398, $G398,$E398, $F398, $H398, U$3)*1.3*1.3,0)),"-")</f>
        <v>-</v>
      </c>
      <c r="V398" s="63" t="str">
        <f>IF($J398=V$3,IF(V$3&gt;$I398,"-",ROUNDUP(Ld_cal($B398, $C398, $D398, $G398,$E398, $F398, $H398, V$3)*1.3*1.3,0)),"-")</f>
        <v>-</v>
      </c>
      <c r="W398" s="63" t="str">
        <f>IF($J398=W$3,IF(W$3&gt;$I398,"-",ROUNDUP(Ld_cal($B398, $C398, $D398, $G398,$E398, $F398, $H398, W$3)*1.3*1.3,0)),"-")</f>
        <v>-</v>
      </c>
      <c r="X398" s="63" t="str">
        <f>IF($J398=X$3,IF(X$3&gt;$I398,"-",ROUNDUP(Ld_cal($B398, $C398, $D398, $G398,$E398, $F398, $H398, X$3)*1.3*1.3,0)),"-")</f>
        <v>-</v>
      </c>
      <c r="Y398" s="63" t="str">
        <f>IF($J398=Y$3,IF(Y$3&gt;$I398,"-",ROUNDUP(Ld_cal($B398, $C398, $D398, $G398,$E398, $F398, $H398, Y$3)*1.3*1.3,0)),"-")</f>
        <v>-</v>
      </c>
      <c r="Z398" s="63" t="str">
        <f>IF($J398=Z$3,IF(Z$3&gt;$I398,"-",ROUNDUP(Ld_cal($B398, $C398, $D398, $G398,$E398, $F398, $H398, Z$3)*1.3*1.3,0)),"-")</f>
        <v>-</v>
      </c>
      <c r="AA398" s="63" t="str">
        <f>IF($J398=AA$3,IF(AA$3&gt;$I398,"-",ROUNDUP(Ld_cal($B398, $C398, $D398, $G398,$E398, $F398, $H398, AA$3)*1.3*1.3,0)),"-")</f>
        <v>-</v>
      </c>
      <c r="AB398" s="63" t="str">
        <f>IF($J398=AB$3,IF(AB$3&gt;$I398,"-",ROUNDUP(Ld_cal($B398, $C398, $D398, $G398,$E398, $F398, $H398, AB$3)*1.3*1.3,0)),"-")</f>
        <v>-</v>
      </c>
      <c r="AC398" s="63" t="str">
        <f>IF($J398=AC$3,IF(AC$3&gt;$I398,"-",ROUNDUP(Ld_cal($B398, $C398, $D398, $G398,$E398, $F398, $H398, AC$3)*1.3*1.3,0)),"-")</f>
        <v>-</v>
      </c>
      <c r="AD398" s="63">
        <f t="shared" ref="AD398" si="390">IF(J398&gt;I398,"依標準圖",MAX(L398:AC398))</f>
        <v>136</v>
      </c>
    </row>
    <row r="399" spans="1:30">
      <c r="A399" s="106"/>
      <c r="B399" s="107"/>
      <c r="C399" s="108"/>
      <c r="D399" s="107"/>
      <c r="E399" s="109"/>
      <c r="F399" s="110"/>
      <c r="G399" s="107"/>
      <c r="H399" s="109"/>
      <c r="I399" s="111"/>
      <c r="J399" s="62">
        <v>16</v>
      </c>
      <c r="K399" s="40" t="s">
        <v>29</v>
      </c>
      <c r="L399" s="63" t="str">
        <f>IF($J399=L$3,IF(L$3&gt;$I398,"-",ROUNDUP(Ld_cal($B398, $C398, $D398, $G398,$E398, $F398, $H398, L$3)*1.3,0)),"-")</f>
        <v>-</v>
      </c>
      <c r="M399" s="63" t="str">
        <f>IF($J399=M$3,IF(M$3&gt;$I398,"-",ROUNDUP(Ld_cal($B398, $C398, $D398, $G398,$E398, $F398, $H398, M$3)*1.3,0)),"-")</f>
        <v>-</v>
      </c>
      <c r="N399" s="63" t="str">
        <f>IF($J399=N$3,IF(N$3&gt;$I398,"-",ROUNDUP(Ld_cal($B398, $C398, $D398, $G398,$E398, $F398, $H398, N$3)*1.3,0)),"-")</f>
        <v>-</v>
      </c>
      <c r="O399" s="63" t="str">
        <f>IF($J399=O$3,IF(O$3&gt;$I398,"-",ROUNDUP(Ld_cal($B398, $C398, $D398, $G398,$E398, $F398, $H398, O$3)*1.3,0)),"-")</f>
        <v>-</v>
      </c>
      <c r="P399" s="63" t="str">
        <f>IF($J399=P$3,IF(P$3&gt;$I398,"-",ROUNDUP(Ld_cal($B398, $C398, $D398, $G398,$E398, $F398, $H398, P$3)*1.3,0)),"-")</f>
        <v>-</v>
      </c>
      <c r="Q399" s="63" t="str">
        <f>IF($J399=Q$3,IF(Q$3&gt;$I398,"-",ROUNDUP(Ld_cal($B398, $C398, $D398, $G398,$E398, $F398, $H398, Q$3)*1.3,0)),"-")</f>
        <v>-</v>
      </c>
      <c r="R399" s="63" t="str">
        <f>IF($J399=R$3,IF(R$3&gt;$I398,"-",ROUNDUP(Ld_cal($B398, $C398, $D398, $G398,$E398, $F398, $H398, R$3)*1.3,0)),"-")</f>
        <v>-</v>
      </c>
      <c r="S399" s="63" t="str">
        <f>IF($J399=S$3,IF(S$3&gt;$I398,"-",ROUNDUP(Ld_cal($B398, $C398, $D398, $G398,$E398, $F398, $H398, S$3)*1.3,0)),"-")</f>
        <v>-</v>
      </c>
      <c r="T399" s="63" t="str">
        <f>IF($J399=T$3,IF(T$3&gt;$I398,"-",ROUNDUP(Ld_cal($B398, $C398, $D398, $G398,$E398, $F398, $H398, T$3)*1.3,0)),"-")</f>
        <v>-</v>
      </c>
      <c r="U399" s="63" t="str">
        <f>IF($J399=U$3,IF(U$3&gt;$I398,"-",ROUNDUP(Ld_cal($B398, $C398, $D398, $G398,$E398, $F398, $H398, U$3)*1.3,0)),"-")</f>
        <v>-</v>
      </c>
      <c r="V399" s="63" t="str">
        <f>IF($J399=V$3,IF(V$3&gt;$I398,"-",ROUNDUP(Ld_cal($B398, $C398, $D398, $G398,$E398, $F398, $H398, V$3)*1.3,0)),"-")</f>
        <v>-</v>
      </c>
      <c r="W399" s="63" t="str">
        <f>IF($J399=W$3,IF(W$3&gt;$I398,"-",ROUNDUP(Ld_cal($B398, $C398, $D398, $G398,$E398, $F398, $H398, W$3)*1.3,0)),"-")</f>
        <v>-</v>
      </c>
      <c r="X399" s="63" t="str">
        <f>IF($J399=X$3,IF(X$3&gt;$I398,"-",ROUNDUP(Ld_cal($B398, $C398, $D398, $G398,$E398, $F398, $H398, X$3)*1.3,0)),"-")</f>
        <v>-</v>
      </c>
      <c r="Y399" s="63">
        <f>IF($J399=Y$3,IF(Y$3&gt;$I398,"-",ROUNDUP(Ld_cal($B398, $C398, $D398, $G398,$E398, $F398, $H398, Y$3)*1.3,0)),"-")</f>
        <v>191</v>
      </c>
      <c r="Z399" s="63" t="str">
        <f>IF($J399=Z$3,IF(Z$3&gt;$I398,"-",ROUNDUP(Ld_cal($B398, $C398, $D398, $G398,$E398, $F398, $H398, Z$3)*1.3,0)),"-")</f>
        <v>-</v>
      </c>
      <c r="AA399" s="63" t="str">
        <f>IF($J399=AA$3,IF(AA$3&gt;$I398,"-",ROUNDUP(Ld_cal($B398, $C398, $D398, $G398,$E398, $F398, $H398, AA$3)*1.3,0)),"-")</f>
        <v>-</v>
      </c>
      <c r="AB399" s="63" t="str">
        <f>IF($J399=AB$3,IF(AB$3&gt;$I398,"-",ROUNDUP(Ld_cal($B398, $C398, $D398, $G398,$E398, $F398, $H398, AB$3)*1.3,0)),"-")</f>
        <v>-</v>
      </c>
      <c r="AC399" s="63" t="str">
        <f>IF($J399=AC$3,IF(AC$3&gt;$I398,"-",ROUNDUP(Ld_cal($B398, $C398, $D398, $G398,$E398, $F398, $H398, AC$3)*1.3,0)),"-")</f>
        <v>-</v>
      </c>
      <c r="AD399" s="63">
        <f t="shared" ref="AD399" si="391">IF(J399&gt;I398,"依標準圖",MAX(L399:AC399))</f>
        <v>191</v>
      </c>
    </row>
    <row r="400" spans="1:30">
      <c r="A400" s="97" t="s">
        <v>242</v>
      </c>
      <c r="B400" s="99">
        <v>120</v>
      </c>
      <c r="C400" s="100">
        <v>7.5</v>
      </c>
      <c r="D400" s="101">
        <v>4200</v>
      </c>
      <c r="E400" s="102">
        <v>16</v>
      </c>
      <c r="F400" s="103">
        <v>7</v>
      </c>
      <c r="G400" s="101">
        <v>350</v>
      </c>
      <c r="H400" s="102">
        <v>32</v>
      </c>
      <c r="I400" s="104">
        <f>ROUNDDOWN(($B400-2*$C400-2*$E400/10-$H400/10)/(($D$1+1)*$H400/10),0)+1</f>
        <v>16</v>
      </c>
      <c r="J400" s="60">
        <v>16</v>
      </c>
      <c r="K400" s="64" t="s">
        <v>30</v>
      </c>
      <c r="L400" s="61" t="str">
        <f>IF($J400=L$3,IF(L$3&gt;$I400,"-",ROUNDUP(Ld_cal($B400, $C400, $D400, $G400,$E400, $F400, $H400, L$3)*1.3*1.3,0)),"-")</f>
        <v>-</v>
      </c>
      <c r="M400" s="61" t="str">
        <f>IF($J400=M$3,IF(M$3&gt;$I400,"-",ROUNDUP(Ld_cal($B400, $C400, $D400, $G400,$E400, $F400, $H400, M$3)*1.3*1.3,0)),"-")</f>
        <v>-</v>
      </c>
      <c r="N400" s="61" t="str">
        <f>IF($J400=N$3,IF(N$3&gt;$I400,"-",ROUNDUP(Ld_cal($B400, $C400, $D400, $G400,$E400, $F400, $H400, N$3)*1.3*1.3,0)),"-")</f>
        <v>-</v>
      </c>
      <c r="O400" s="61" t="str">
        <f>IF($J400=O$3,IF(O$3&gt;$I400,"-",ROUNDUP(Ld_cal($B400, $C400, $D400, $G400,$E400, $F400, $H400, O$3)*1.3*1.3,0)),"-")</f>
        <v>-</v>
      </c>
      <c r="P400" s="61" t="str">
        <f>IF($J400=P$3,IF(P$3&gt;$I400,"-",ROUNDUP(Ld_cal($B400, $C400, $D400, $G400,$E400, $F400, $H400, P$3)*1.3*1.3,0)),"-")</f>
        <v>-</v>
      </c>
      <c r="Q400" s="61" t="str">
        <f>IF($J400=Q$3,IF(Q$3&gt;$I400,"-",ROUNDUP(Ld_cal($B400, $C400, $D400, $G400,$E400, $F400, $H400, Q$3)*1.3*1.3,0)),"-")</f>
        <v>-</v>
      </c>
      <c r="R400" s="61" t="str">
        <f>IF($J400=R$3,IF(R$3&gt;$I400,"-",ROUNDUP(Ld_cal($B400, $C400, $D400, $G400,$E400, $F400, $H400, R$3)*1.3*1.3,0)),"-")</f>
        <v>-</v>
      </c>
      <c r="S400" s="61" t="str">
        <f>IF($J400=S$3,IF(S$3&gt;$I400,"-",ROUNDUP(Ld_cal($B400, $C400, $D400, $G400,$E400, $F400, $H400, S$3)*1.3*1.3,0)),"-")</f>
        <v>-</v>
      </c>
      <c r="T400" s="61" t="str">
        <f>IF($J400=T$3,IF(T$3&gt;$I400,"-",ROUNDUP(Ld_cal($B400, $C400, $D400, $G400,$E400, $F400, $H400, T$3)*1.3*1.3,0)),"-")</f>
        <v>-</v>
      </c>
      <c r="U400" s="61" t="str">
        <f>IF($J400=U$3,IF(U$3&gt;$I400,"-",ROUNDUP(Ld_cal($B400, $C400, $D400, $G400,$E400, $F400, $H400, U$3)*1.3*1.3,0)),"-")</f>
        <v>-</v>
      </c>
      <c r="V400" s="61" t="str">
        <f>IF($J400=V$3,IF(V$3&gt;$I400,"-",ROUNDUP(Ld_cal($B400, $C400, $D400, $G400,$E400, $F400, $H400, V$3)*1.3*1.3,0)),"-")</f>
        <v>-</v>
      </c>
      <c r="W400" s="61" t="str">
        <f>IF($J400=W$3,IF(W$3&gt;$I400,"-",ROUNDUP(Ld_cal($B400, $C400, $D400, $G400,$E400, $F400, $H400, W$3)*1.3*1.3,0)),"-")</f>
        <v>-</v>
      </c>
      <c r="X400" s="61" t="str">
        <f>IF($J400=X$3,IF(X$3&gt;$I400,"-",ROUNDUP(Ld_cal($B400, $C400, $D400, $G400,$E400, $F400, $H400, X$3)*1.3*1.3,0)),"-")</f>
        <v>-</v>
      </c>
      <c r="Y400" s="61">
        <f>IF($J400=Y$3,IF(Y$3&gt;$I400,"-",ROUNDUP(Ld_cal($B400, $C400, $D400, $G400,$E400, $F400, $H400, Y$3)*1.3*1.3,0)),"-")</f>
        <v>231</v>
      </c>
      <c r="Z400" s="61" t="str">
        <f>IF($J400=Z$3,IF(Z$3&gt;$I400,"-",ROUNDUP(Ld_cal($B400, $C400, $D400, $G400,$E400, $F400, $H400, Z$3)*1.3*1.3,0)),"-")</f>
        <v>-</v>
      </c>
      <c r="AA400" s="61" t="str">
        <f>IF($J400=AA$3,IF(AA$3&gt;$I400,"-",ROUNDUP(Ld_cal($B400, $C400, $D400, $G400,$E400, $F400, $H400, AA$3)*1.3*1.3,0)),"-")</f>
        <v>-</v>
      </c>
      <c r="AB400" s="61" t="str">
        <f>IF($J400=AB$3,IF(AB$3&gt;$I400,"-",ROUNDUP(Ld_cal($B400, $C400, $D400, $G400,$E400, $F400, $H400, AB$3)*1.3*1.3,0)),"-")</f>
        <v>-</v>
      </c>
      <c r="AC400" s="61" t="str">
        <f>IF($J400=AC$3,IF(AC$3&gt;$I400,"-",ROUNDUP(Ld_cal($B400, $C400, $D400, $G400,$E400, $F400, $H400, AC$3)*1.3*1.3,0)),"-")</f>
        <v>-</v>
      </c>
      <c r="AD400" s="61">
        <f t="shared" ref="AD400" si="392">IF(J400&gt;I400,"依標準圖",MAX(L400:AC400))</f>
        <v>231</v>
      </c>
    </row>
    <row r="401" spans="1:30">
      <c r="A401" s="98"/>
      <c r="B401" s="99"/>
      <c r="C401" s="100"/>
      <c r="D401" s="101"/>
      <c r="E401" s="102"/>
      <c r="F401" s="103"/>
      <c r="G401" s="101"/>
      <c r="H401" s="102"/>
      <c r="I401" s="104"/>
      <c r="J401" s="60">
        <v>16</v>
      </c>
      <c r="K401" s="64" t="s">
        <v>29</v>
      </c>
      <c r="L401" s="61" t="str">
        <f>IF($J401=L$3,IF(L$3&gt;$I400,"-",ROUNDUP(Ld_cal($B400, $C400, $D400, $G400,$E400, $F400, $H400, L$3)*1.3,0)),"-")</f>
        <v>-</v>
      </c>
      <c r="M401" s="61" t="str">
        <f>IF($J401=M$3,IF(M$3&gt;$I400,"-",ROUNDUP(Ld_cal($B400, $C400, $D400, $G400,$E400, $F400, $H400, M$3)*1.3,0)),"-")</f>
        <v>-</v>
      </c>
      <c r="N401" s="61" t="str">
        <f>IF($J401=N$3,IF(N$3&gt;$I400,"-",ROUNDUP(Ld_cal($B400, $C400, $D400, $G400,$E400, $F400, $H400, N$3)*1.3,0)),"-")</f>
        <v>-</v>
      </c>
      <c r="O401" s="61" t="str">
        <f>IF($J401=O$3,IF(O$3&gt;$I400,"-",ROUNDUP(Ld_cal($B400, $C400, $D400, $G400,$E400, $F400, $H400, O$3)*1.3,0)),"-")</f>
        <v>-</v>
      </c>
      <c r="P401" s="61" t="str">
        <f>IF($J401=P$3,IF(P$3&gt;$I400,"-",ROUNDUP(Ld_cal($B400, $C400, $D400, $G400,$E400, $F400, $H400, P$3)*1.3,0)),"-")</f>
        <v>-</v>
      </c>
      <c r="Q401" s="61" t="str">
        <f>IF($J401=Q$3,IF(Q$3&gt;$I400,"-",ROUNDUP(Ld_cal($B400, $C400, $D400, $G400,$E400, $F400, $H400, Q$3)*1.3,0)),"-")</f>
        <v>-</v>
      </c>
      <c r="R401" s="61" t="str">
        <f>IF($J401=R$3,IF(R$3&gt;$I400,"-",ROUNDUP(Ld_cal($B400, $C400, $D400, $G400,$E400, $F400, $H400, R$3)*1.3,0)),"-")</f>
        <v>-</v>
      </c>
      <c r="S401" s="61" t="str">
        <f>IF($J401=S$3,IF(S$3&gt;$I400,"-",ROUNDUP(Ld_cal($B400, $C400, $D400, $G400,$E400, $F400, $H400, S$3)*1.3,0)),"-")</f>
        <v>-</v>
      </c>
      <c r="T401" s="61" t="str">
        <f>IF($J401=T$3,IF(T$3&gt;$I400,"-",ROUNDUP(Ld_cal($B400, $C400, $D400, $G400,$E400, $F400, $H400, T$3)*1.3,0)),"-")</f>
        <v>-</v>
      </c>
      <c r="U401" s="61" t="str">
        <f>IF($J401=U$3,IF(U$3&gt;$I400,"-",ROUNDUP(Ld_cal($B400, $C400, $D400, $G400,$E400, $F400, $H400, U$3)*1.3,0)),"-")</f>
        <v>-</v>
      </c>
      <c r="V401" s="61" t="str">
        <f>IF($J401=V$3,IF(V$3&gt;$I400,"-",ROUNDUP(Ld_cal($B400, $C400, $D400, $G400,$E400, $F400, $H400, V$3)*1.3,0)),"-")</f>
        <v>-</v>
      </c>
      <c r="W401" s="61" t="str">
        <f>IF($J401=W$3,IF(W$3&gt;$I400,"-",ROUNDUP(Ld_cal($B400, $C400, $D400, $G400,$E400, $F400, $H400, W$3)*1.3,0)),"-")</f>
        <v>-</v>
      </c>
      <c r="X401" s="61" t="str">
        <f>IF($J401=X$3,IF(X$3&gt;$I400,"-",ROUNDUP(Ld_cal($B400, $C400, $D400, $G400,$E400, $F400, $H400, X$3)*1.3,0)),"-")</f>
        <v>-</v>
      </c>
      <c r="Y401" s="61">
        <f>IF($J401=Y$3,IF(Y$3&gt;$I400,"-",ROUNDUP(Ld_cal($B400, $C400, $D400, $G400,$E400, $F400, $H400, Y$3)*1.3,0)),"-")</f>
        <v>178</v>
      </c>
      <c r="Z401" s="61" t="str">
        <f>IF($J401=Z$3,IF(Z$3&gt;$I400,"-",ROUNDUP(Ld_cal($B400, $C400, $D400, $G400,$E400, $F400, $H400, Z$3)*1.3,0)),"-")</f>
        <v>-</v>
      </c>
      <c r="AA401" s="61" t="str">
        <f>IF($J401=AA$3,IF(AA$3&gt;$I400,"-",ROUNDUP(Ld_cal($B400, $C400, $D400, $G400,$E400, $F400, $H400, AA$3)*1.3,0)),"-")</f>
        <v>-</v>
      </c>
      <c r="AB401" s="61" t="str">
        <f>IF($J401=AB$3,IF(AB$3&gt;$I400,"-",ROUNDUP(Ld_cal($B400, $C400, $D400, $G400,$E400, $F400, $H400, AB$3)*1.3,0)),"-")</f>
        <v>-</v>
      </c>
      <c r="AC401" s="61" t="str">
        <f>IF($J401=AC$3,IF(AC$3&gt;$I400,"-",ROUNDUP(Ld_cal($B400, $C400, $D400, $G400,$E400, $F400, $H400, AC$3)*1.3,0)),"-")</f>
        <v>-</v>
      </c>
      <c r="AD401" s="61">
        <f t="shared" ref="AD401" si="393">IF(J401&gt;I400,"依標準圖",MAX(L401:AC401))</f>
        <v>178</v>
      </c>
    </row>
    <row r="402" spans="1:30">
      <c r="A402" s="105" t="s">
        <v>243</v>
      </c>
      <c r="B402" s="107">
        <v>120</v>
      </c>
      <c r="C402" s="108">
        <v>7.5</v>
      </c>
      <c r="D402" s="107">
        <v>4200</v>
      </c>
      <c r="E402" s="109">
        <v>13</v>
      </c>
      <c r="F402" s="110">
        <v>20</v>
      </c>
      <c r="G402" s="107">
        <v>350</v>
      </c>
      <c r="H402" s="109">
        <v>32</v>
      </c>
      <c r="I402" s="111">
        <f>ROUNDDOWN(($B402-2*$C402-2*$E402/10-$H402/10)/(($D$1+1)*$H402/10),0)+1</f>
        <v>16</v>
      </c>
      <c r="J402" s="62">
        <v>7</v>
      </c>
      <c r="K402" s="40" t="s">
        <v>30</v>
      </c>
      <c r="L402" s="63" t="str">
        <f>IF($J402=L$3,IF(L$3&gt;$I402,"-",ROUNDUP(Ld_cal($B402, $C402, $D402, $G402,$E402, $F402, $H402, L$3)*1.3*1.3,0)),"-")</f>
        <v>-</v>
      </c>
      <c r="M402" s="63" t="str">
        <f>IF($J402=M$3,IF(M$3&gt;$I402,"-",ROUNDUP(Ld_cal($B402, $C402, $D402, $G402,$E402, $F402, $H402, M$3)*1.3*1.3,0)),"-")</f>
        <v>-</v>
      </c>
      <c r="N402" s="63" t="str">
        <f>IF($J402=N$3,IF(N$3&gt;$I402,"-",ROUNDUP(Ld_cal($B402, $C402, $D402, $G402,$E402, $F402, $H402, N$3)*1.3*1.3,0)),"-")</f>
        <v>-</v>
      </c>
      <c r="O402" s="63" t="str">
        <f>IF($J402=O$3,IF(O$3&gt;$I402,"-",ROUNDUP(Ld_cal($B402, $C402, $D402, $G402,$E402, $F402, $H402, O$3)*1.3*1.3,0)),"-")</f>
        <v>-</v>
      </c>
      <c r="P402" s="63">
        <f>IF($J402=P$3,IF(P$3&gt;$I402,"-",ROUNDUP(Ld_cal($B402, $C402, $D402, $G402,$E402, $F402, $H402, P$3)*1.3*1.3,0)),"-")</f>
        <v>136</v>
      </c>
      <c r="Q402" s="63" t="str">
        <f>IF($J402=Q$3,IF(Q$3&gt;$I402,"-",ROUNDUP(Ld_cal($B402, $C402, $D402, $G402,$E402, $F402, $H402, Q$3)*1.3*1.3,0)),"-")</f>
        <v>-</v>
      </c>
      <c r="R402" s="63" t="str">
        <f>IF($J402=R$3,IF(R$3&gt;$I402,"-",ROUNDUP(Ld_cal($B402, $C402, $D402, $G402,$E402, $F402, $H402, R$3)*1.3*1.3,0)),"-")</f>
        <v>-</v>
      </c>
      <c r="S402" s="63" t="str">
        <f>IF($J402=S$3,IF(S$3&gt;$I402,"-",ROUNDUP(Ld_cal($B402, $C402, $D402, $G402,$E402, $F402, $H402, S$3)*1.3*1.3,0)),"-")</f>
        <v>-</v>
      </c>
      <c r="T402" s="63" t="str">
        <f>IF($J402=T$3,IF(T$3&gt;$I402,"-",ROUNDUP(Ld_cal($B402, $C402, $D402, $G402,$E402, $F402, $H402, T$3)*1.3*1.3,0)),"-")</f>
        <v>-</v>
      </c>
      <c r="U402" s="63" t="str">
        <f>IF($J402=U$3,IF(U$3&gt;$I402,"-",ROUNDUP(Ld_cal($B402, $C402, $D402, $G402,$E402, $F402, $H402, U$3)*1.3*1.3,0)),"-")</f>
        <v>-</v>
      </c>
      <c r="V402" s="63" t="str">
        <f>IF($J402=V$3,IF(V$3&gt;$I402,"-",ROUNDUP(Ld_cal($B402, $C402, $D402, $G402,$E402, $F402, $H402, V$3)*1.3*1.3,0)),"-")</f>
        <v>-</v>
      </c>
      <c r="W402" s="63" t="str">
        <f>IF($J402=W$3,IF(W$3&gt;$I402,"-",ROUNDUP(Ld_cal($B402, $C402, $D402, $G402,$E402, $F402, $H402, W$3)*1.3*1.3,0)),"-")</f>
        <v>-</v>
      </c>
      <c r="X402" s="63" t="str">
        <f>IF($J402=X$3,IF(X$3&gt;$I402,"-",ROUNDUP(Ld_cal($B402, $C402, $D402, $G402,$E402, $F402, $H402, X$3)*1.3*1.3,0)),"-")</f>
        <v>-</v>
      </c>
      <c r="Y402" s="63" t="str">
        <f>IF($J402=Y$3,IF(Y$3&gt;$I402,"-",ROUNDUP(Ld_cal($B402, $C402, $D402, $G402,$E402, $F402, $H402, Y$3)*1.3*1.3,0)),"-")</f>
        <v>-</v>
      </c>
      <c r="Z402" s="63" t="str">
        <f>IF($J402=Z$3,IF(Z$3&gt;$I402,"-",ROUNDUP(Ld_cal($B402, $C402, $D402, $G402,$E402, $F402, $H402, Z$3)*1.3*1.3,0)),"-")</f>
        <v>-</v>
      </c>
      <c r="AA402" s="63" t="str">
        <f>IF($J402=AA$3,IF(AA$3&gt;$I402,"-",ROUNDUP(Ld_cal($B402, $C402, $D402, $G402,$E402, $F402, $H402, AA$3)*1.3*1.3,0)),"-")</f>
        <v>-</v>
      </c>
      <c r="AB402" s="63" t="str">
        <f>IF($J402=AB$3,IF(AB$3&gt;$I402,"-",ROUNDUP(Ld_cal($B402, $C402, $D402, $G402,$E402, $F402, $H402, AB$3)*1.3*1.3,0)),"-")</f>
        <v>-</v>
      </c>
      <c r="AC402" s="63" t="str">
        <f>IF($J402=AC$3,IF(AC$3&gt;$I402,"-",ROUNDUP(Ld_cal($B402, $C402, $D402, $G402,$E402, $F402, $H402, AC$3)*1.3*1.3,0)),"-")</f>
        <v>-</v>
      </c>
      <c r="AD402" s="63">
        <f t="shared" ref="AD402" si="394">IF(J402&gt;I402,"依標準圖",MAX(L402:AC402))</f>
        <v>136</v>
      </c>
    </row>
    <row r="403" spans="1:30">
      <c r="A403" s="106"/>
      <c r="B403" s="107"/>
      <c r="C403" s="108"/>
      <c r="D403" s="107"/>
      <c r="E403" s="109"/>
      <c r="F403" s="110"/>
      <c r="G403" s="107"/>
      <c r="H403" s="109"/>
      <c r="I403" s="111"/>
      <c r="J403" s="62">
        <v>10</v>
      </c>
      <c r="K403" s="40" t="s">
        <v>29</v>
      </c>
      <c r="L403" s="63" t="str">
        <f>IF($J403=L$3,IF(L$3&gt;$I402,"-",ROUNDUP(Ld_cal($B402, $C402, $D402, $G402,$E402, $F402, $H402, L$3)*1.3,0)),"-")</f>
        <v>-</v>
      </c>
      <c r="M403" s="63" t="str">
        <f>IF($J403=M$3,IF(M$3&gt;$I402,"-",ROUNDUP(Ld_cal($B402, $C402, $D402, $G402,$E402, $F402, $H402, M$3)*1.3,0)),"-")</f>
        <v>-</v>
      </c>
      <c r="N403" s="63" t="str">
        <f>IF($J403=N$3,IF(N$3&gt;$I402,"-",ROUNDUP(Ld_cal($B402, $C402, $D402, $G402,$E402, $F402, $H402, N$3)*1.3,0)),"-")</f>
        <v>-</v>
      </c>
      <c r="O403" s="63" t="str">
        <f>IF($J403=O$3,IF(O$3&gt;$I402,"-",ROUNDUP(Ld_cal($B402, $C402, $D402, $G402,$E402, $F402, $H402, O$3)*1.3,0)),"-")</f>
        <v>-</v>
      </c>
      <c r="P403" s="63" t="str">
        <f>IF($J403=P$3,IF(P$3&gt;$I402,"-",ROUNDUP(Ld_cal($B402, $C402, $D402, $G402,$E402, $F402, $H402, P$3)*1.3,0)),"-")</f>
        <v>-</v>
      </c>
      <c r="Q403" s="63" t="str">
        <f>IF($J403=Q$3,IF(Q$3&gt;$I402,"-",ROUNDUP(Ld_cal($B402, $C402, $D402, $G402,$E402, $F402, $H402, Q$3)*1.3,0)),"-")</f>
        <v>-</v>
      </c>
      <c r="R403" s="63" t="str">
        <f>IF($J403=R$3,IF(R$3&gt;$I402,"-",ROUNDUP(Ld_cal($B402, $C402, $D402, $G402,$E402, $F402, $H402, R$3)*1.3,0)),"-")</f>
        <v>-</v>
      </c>
      <c r="S403" s="63">
        <f>IF($J403=S$3,IF(S$3&gt;$I402,"-",ROUNDUP(Ld_cal($B402, $C402, $D402, $G402,$E402, $F402, $H402, S$3)*1.3,0)),"-")</f>
        <v>139</v>
      </c>
      <c r="T403" s="63" t="str">
        <f>IF($J403=T$3,IF(T$3&gt;$I402,"-",ROUNDUP(Ld_cal($B402, $C402, $D402, $G402,$E402, $F402, $H402, T$3)*1.3,0)),"-")</f>
        <v>-</v>
      </c>
      <c r="U403" s="63" t="str">
        <f>IF($J403=U$3,IF(U$3&gt;$I402,"-",ROUNDUP(Ld_cal($B402, $C402, $D402, $G402,$E402, $F402, $H402, U$3)*1.3,0)),"-")</f>
        <v>-</v>
      </c>
      <c r="V403" s="63" t="str">
        <f>IF($J403=V$3,IF(V$3&gt;$I402,"-",ROUNDUP(Ld_cal($B402, $C402, $D402, $G402,$E402, $F402, $H402, V$3)*1.3,0)),"-")</f>
        <v>-</v>
      </c>
      <c r="W403" s="63" t="str">
        <f>IF($J403=W$3,IF(W$3&gt;$I402,"-",ROUNDUP(Ld_cal($B402, $C402, $D402, $G402,$E402, $F402, $H402, W$3)*1.3,0)),"-")</f>
        <v>-</v>
      </c>
      <c r="X403" s="63" t="str">
        <f>IF($J403=X$3,IF(X$3&gt;$I402,"-",ROUNDUP(Ld_cal($B402, $C402, $D402, $G402,$E402, $F402, $H402, X$3)*1.3,0)),"-")</f>
        <v>-</v>
      </c>
      <c r="Y403" s="63" t="str">
        <f>IF($J403=Y$3,IF(Y$3&gt;$I402,"-",ROUNDUP(Ld_cal($B402, $C402, $D402, $G402,$E402, $F402, $H402, Y$3)*1.3,0)),"-")</f>
        <v>-</v>
      </c>
      <c r="Z403" s="63" t="str">
        <f>IF($J403=Z$3,IF(Z$3&gt;$I402,"-",ROUNDUP(Ld_cal($B402, $C402, $D402, $G402,$E402, $F402, $H402, Z$3)*1.3,0)),"-")</f>
        <v>-</v>
      </c>
      <c r="AA403" s="63" t="str">
        <f>IF($J403=AA$3,IF(AA$3&gt;$I402,"-",ROUNDUP(Ld_cal($B402, $C402, $D402, $G402,$E402, $F402, $H402, AA$3)*1.3,0)),"-")</f>
        <v>-</v>
      </c>
      <c r="AB403" s="63" t="str">
        <f>IF($J403=AB$3,IF(AB$3&gt;$I402,"-",ROUNDUP(Ld_cal($B402, $C402, $D402, $G402,$E402, $F402, $H402, AB$3)*1.3,0)),"-")</f>
        <v>-</v>
      </c>
      <c r="AC403" s="63" t="str">
        <f>IF($J403=AC$3,IF(AC$3&gt;$I402,"-",ROUNDUP(Ld_cal($B402, $C402, $D402, $G402,$E402, $F402, $H402, AC$3)*1.3,0)),"-")</f>
        <v>-</v>
      </c>
      <c r="AD403" s="63">
        <f t="shared" ref="AD403" si="395">IF(J403&gt;I402,"依標準圖",MAX(L403:AC403))</f>
        <v>139</v>
      </c>
    </row>
    <row r="404" spans="1:30">
      <c r="A404" s="97" t="s">
        <v>244</v>
      </c>
      <c r="B404" s="99">
        <v>120</v>
      </c>
      <c r="C404" s="100">
        <v>7.5</v>
      </c>
      <c r="D404" s="101">
        <v>4200</v>
      </c>
      <c r="E404" s="102">
        <v>13</v>
      </c>
      <c r="F404" s="103">
        <v>25</v>
      </c>
      <c r="G404" s="101">
        <v>350</v>
      </c>
      <c r="H404" s="102">
        <v>32</v>
      </c>
      <c r="I404" s="104">
        <f>ROUNDDOWN(($B404-2*$C404-2*$E404/10-$H404/10)/(($D$1+1)*$H404/10),0)+1</f>
        <v>16</v>
      </c>
      <c r="J404" s="60">
        <v>11</v>
      </c>
      <c r="K404" s="64" t="s">
        <v>30</v>
      </c>
      <c r="L404" s="61" t="str">
        <f>IF($J404=L$3,IF(L$3&gt;$I404,"-",ROUNDUP(Ld_cal($B404, $C404, $D404, $G404,$E404, $F404, $H404, L$3)*1.3*1.3,0)),"-")</f>
        <v>-</v>
      </c>
      <c r="M404" s="61" t="str">
        <f>IF($J404=M$3,IF(M$3&gt;$I404,"-",ROUNDUP(Ld_cal($B404, $C404, $D404, $G404,$E404, $F404, $H404, M$3)*1.3*1.3,0)),"-")</f>
        <v>-</v>
      </c>
      <c r="N404" s="61" t="str">
        <f>IF($J404=N$3,IF(N$3&gt;$I404,"-",ROUNDUP(Ld_cal($B404, $C404, $D404, $G404,$E404, $F404, $H404, N$3)*1.3*1.3,0)),"-")</f>
        <v>-</v>
      </c>
      <c r="O404" s="61" t="str">
        <f>IF($J404=O$3,IF(O$3&gt;$I404,"-",ROUNDUP(Ld_cal($B404, $C404, $D404, $G404,$E404, $F404, $H404, O$3)*1.3*1.3,0)),"-")</f>
        <v>-</v>
      </c>
      <c r="P404" s="61" t="str">
        <f>IF($J404=P$3,IF(P$3&gt;$I404,"-",ROUNDUP(Ld_cal($B404, $C404, $D404, $G404,$E404, $F404, $H404, P$3)*1.3*1.3,0)),"-")</f>
        <v>-</v>
      </c>
      <c r="Q404" s="61" t="str">
        <f>IF($J404=Q$3,IF(Q$3&gt;$I404,"-",ROUNDUP(Ld_cal($B404, $C404, $D404, $G404,$E404, $F404, $H404, Q$3)*1.3*1.3,0)),"-")</f>
        <v>-</v>
      </c>
      <c r="R404" s="61" t="str">
        <f>IF($J404=R$3,IF(R$3&gt;$I404,"-",ROUNDUP(Ld_cal($B404, $C404, $D404, $G404,$E404, $F404, $H404, R$3)*1.3*1.3,0)),"-")</f>
        <v>-</v>
      </c>
      <c r="S404" s="61" t="str">
        <f>IF($J404=S$3,IF(S$3&gt;$I404,"-",ROUNDUP(Ld_cal($B404, $C404, $D404, $G404,$E404, $F404, $H404, S$3)*1.3*1.3,0)),"-")</f>
        <v>-</v>
      </c>
      <c r="T404" s="61">
        <f>IF($J404=T$3,IF(T$3&gt;$I404,"-",ROUNDUP(Ld_cal($B404, $C404, $D404, $G404,$E404, $F404, $H404, T$3)*1.3*1.3,0)),"-")</f>
        <v>204</v>
      </c>
      <c r="U404" s="61" t="str">
        <f>IF($J404=U$3,IF(U$3&gt;$I404,"-",ROUNDUP(Ld_cal($B404, $C404, $D404, $G404,$E404, $F404, $H404, U$3)*1.3*1.3,0)),"-")</f>
        <v>-</v>
      </c>
      <c r="V404" s="61" t="str">
        <f>IF($J404=V$3,IF(V$3&gt;$I404,"-",ROUNDUP(Ld_cal($B404, $C404, $D404, $G404,$E404, $F404, $H404, V$3)*1.3*1.3,0)),"-")</f>
        <v>-</v>
      </c>
      <c r="W404" s="61" t="str">
        <f>IF($J404=W$3,IF(W$3&gt;$I404,"-",ROUNDUP(Ld_cal($B404, $C404, $D404, $G404,$E404, $F404, $H404, W$3)*1.3*1.3,0)),"-")</f>
        <v>-</v>
      </c>
      <c r="X404" s="61" t="str">
        <f>IF($J404=X$3,IF(X$3&gt;$I404,"-",ROUNDUP(Ld_cal($B404, $C404, $D404, $G404,$E404, $F404, $H404, X$3)*1.3*1.3,0)),"-")</f>
        <v>-</v>
      </c>
      <c r="Y404" s="61" t="str">
        <f>IF($J404=Y$3,IF(Y$3&gt;$I404,"-",ROUNDUP(Ld_cal($B404, $C404, $D404, $G404,$E404, $F404, $H404, Y$3)*1.3*1.3,0)),"-")</f>
        <v>-</v>
      </c>
      <c r="Z404" s="61" t="str">
        <f>IF($J404=Z$3,IF(Z$3&gt;$I404,"-",ROUNDUP(Ld_cal($B404, $C404, $D404, $G404,$E404, $F404, $H404, Z$3)*1.3*1.3,0)),"-")</f>
        <v>-</v>
      </c>
      <c r="AA404" s="61" t="str">
        <f>IF($J404=AA$3,IF(AA$3&gt;$I404,"-",ROUNDUP(Ld_cal($B404, $C404, $D404, $G404,$E404, $F404, $H404, AA$3)*1.3*1.3,0)),"-")</f>
        <v>-</v>
      </c>
      <c r="AB404" s="61" t="str">
        <f>IF($J404=AB$3,IF(AB$3&gt;$I404,"-",ROUNDUP(Ld_cal($B404, $C404, $D404, $G404,$E404, $F404, $H404, AB$3)*1.3*1.3,0)),"-")</f>
        <v>-</v>
      </c>
      <c r="AC404" s="61" t="str">
        <f>IF($J404=AC$3,IF(AC$3&gt;$I404,"-",ROUNDUP(Ld_cal($B404, $C404, $D404, $G404,$E404, $F404, $H404, AC$3)*1.3*1.3,0)),"-")</f>
        <v>-</v>
      </c>
      <c r="AD404" s="61">
        <f t="shared" ref="AD404" si="396">IF(J404&gt;I404,"依標準圖",MAX(L404:AC404))</f>
        <v>204</v>
      </c>
    </row>
    <row r="405" spans="1:30">
      <c r="A405" s="98"/>
      <c r="B405" s="99"/>
      <c r="C405" s="100"/>
      <c r="D405" s="101"/>
      <c r="E405" s="102"/>
      <c r="F405" s="103"/>
      <c r="G405" s="101"/>
      <c r="H405" s="102"/>
      <c r="I405" s="104"/>
      <c r="J405" s="60">
        <v>5</v>
      </c>
      <c r="K405" s="64" t="s">
        <v>29</v>
      </c>
      <c r="L405" s="61" t="str">
        <f>IF($J405=L$3,IF(L$3&gt;$I404,"-",ROUNDUP(Ld_cal($B404, $C404, $D404, $G404,$E404, $F404, $H404, L$3)*1.3,0)),"-")</f>
        <v>-</v>
      </c>
      <c r="M405" s="61" t="str">
        <f>IF($J405=M$3,IF(M$3&gt;$I404,"-",ROUNDUP(Ld_cal($B404, $C404, $D404, $G404,$E404, $F404, $H404, M$3)*1.3,0)),"-")</f>
        <v>-</v>
      </c>
      <c r="N405" s="61">
        <f>IF($J405=N$3,IF(N$3&gt;$I404,"-",ROUNDUP(Ld_cal($B404, $C404, $D404, $G404,$E404, $F404, $H404, N$3)*1.3,0)),"-")</f>
        <v>105</v>
      </c>
      <c r="O405" s="61" t="str">
        <f>IF($J405=O$3,IF(O$3&gt;$I404,"-",ROUNDUP(Ld_cal($B404, $C404, $D404, $G404,$E404, $F404, $H404, O$3)*1.3,0)),"-")</f>
        <v>-</v>
      </c>
      <c r="P405" s="61" t="str">
        <f>IF($J405=P$3,IF(P$3&gt;$I404,"-",ROUNDUP(Ld_cal($B404, $C404, $D404, $G404,$E404, $F404, $H404, P$3)*1.3,0)),"-")</f>
        <v>-</v>
      </c>
      <c r="Q405" s="61" t="str">
        <f>IF($J405=Q$3,IF(Q$3&gt;$I404,"-",ROUNDUP(Ld_cal($B404, $C404, $D404, $G404,$E404, $F404, $H404, Q$3)*1.3,0)),"-")</f>
        <v>-</v>
      </c>
      <c r="R405" s="61" t="str">
        <f>IF($J405=R$3,IF(R$3&gt;$I404,"-",ROUNDUP(Ld_cal($B404, $C404, $D404, $G404,$E404, $F404, $H404, R$3)*1.3,0)),"-")</f>
        <v>-</v>
      </c>
      <c r="S405" s="61" t="str">
        <f>IF($J405=S$3,IF(S$3&gt;$I404,"-",ROUNDUP(Ld_cal($B404, $C404, $D404, $G404,$E404, $F404, $H404, S$3)*1.3,0)),"-")</f>
        <v>-</v>
      </c>
      <c r="T405" s="61" t="str">
        <f>IF($J405=T$3,IF(T$3&gt;$I404,"-",ROUNDUP(Ld_cal($B404, $C404, $D404, $G404,$E404, $F404, $H404, T$3)*1.3,0)),"-")</f>
        <v>-</v>
      </c>
      <c r="U405" s="61" t="str">
        <f>IF($J405=U$3,IF(U$3&gt;$I404,"-",ROUNDUP(Ld_cal($B404, $C404, $D404, $G404,$E404, $F404, $H404, U$3)*1.3,0)),"-")</f>
        <v>-</v>
      </c>
      <c r="V405" s="61" t="str">
        <f>IF($J405=V$3,IF(V$3&gt;$I404,"-",ROUNDUP(Ld_cal($B404, $C404, $D404, $G404,$E404, $F404, $H404, V$3)*1.3,0)),"-")</f>
        <v>-</v>
      </c>
      <c r="W405" s="61" t="str">
        <f>IF($J405=W$3,IF(W$3&gt;$I404,"-",ROUNDUP(Ld_cal($B404, $C404, $D404, $G404,$E404, $F404, $H404, W$3)*1.3,0)),"-")</f>
        <v>-</v>
      </c>
      <c r="X405" s="61" t="str">
        <f>IF($J405=X$3,IF(X$3&gt;$I404,"-",ROUNDUP(Ld_cal($B404, $C404, $D404, $G404,$E404, $F404, $H404, X$3)*1.3,0)),"-")</f>
        <v>-</v>
      </c>
      <c r="Y405" s="61" t="str">
        <f>IF($J405=Y$3,IF(Y$3&gt;$I404,"-",ROUNDUP(Ld_cal($B404, $C404, $D404, $G404,$E404, $F404, $H404, Y$3)*1.3,0)),"-")</f>
        <v>-</v>
      </c>
      <c r="Z405" s="61" t="str">
        <f>IF($J405=Z$3,IF(Z$3&gt;$I404,"-",ROUNDUP(Ld_cal($B404, $C404, $D404, $G404,$E404, $F404, $H404, Z$3)*1.3,0)),"-")</f>
        <v>-</v>
      </c>
      <c r="AA405" s="61" t="str">
        <f>IF($J405=AA$3,IF(AA$3&gt;$I404,"-",ROUNDUP(Ld_cal($B404, $C404, $D404, $G404,$E404, $F404, $H404, AA$3)*1.3,0)),"-")</f>
        <v>-</v>
      </c>
      <c r="AB405" s="61" t="str">
        <f>IF($J405=AB$3,IF(AB$3&gt;$I404,"-",ROUNDUP(Ld_cal($B404, $C404, $D404, $G404,$E404, $F404, $H404, AB$3)*1.3,0)),"-")</f>
        <v>-</v>
      </c>
      <c r="AC405" s="61" t="str">
        <f>IF($J405=AC$3,IF(AC$3&gt;$I404,"-",ROUNDUP(Ld_cal($B404, $C404, $D404, $G404,$E404, $F404, $H404, AC$3)*1.3,0)),"-")</f>
        <v>-</v>
      </c>
      <c r="AD405" s="61">
        <f t="shared" ref="AD405" si="397">IF(J405&gt;I404,"依標準圖",MAX(L405:AC405))</f>
        <v>105</v>
      </c>
    </row>
    <row r="406" spans="1:30">
      <c r="A406" s="105" t="s">
        <v>245</v>
      </c>
      <c r="B406" s="107">
        <v>120</v>
      </c>
      <c r="C406" s="108">
        <v>7.5</v>
      </c>
      <c r="D406" s="107">
        <v>4200</v>
      </c>
      <c r="E406" s="109">
        <v>13</v>
      </c>
      <c r="F406" s="110">
        <v>10</v>
      </c>
      <c r="G406" s="107">
        <v>350</v>
      </c>
      <c r="H406" s="109">
        <v>32</v>
      </c>
      <c r="I406" s="111">
        <f>ROUNDDOWN(($B406-2*$C406-2*$E406/10-$H406/10)/(($D$1+1)*$H406/10),0)+1</f>
        <v>16</v>
      </c>
      <c r="J406" s="62">
        <v>10</v>
      </c>
      <c r="K406" s="40" t="s">
        <v>30</v>
      </c>
      <c r="L406" s="63" t="str">
        <f>IF($J406=L$3,IF(L$3&gt;$I406,"-",ROUNDUP(Ld_cal($B406, $C406, $D406, $G406,$E406, $F406, $H406, L$3)*1.3*1.3,0)),"-")</f>
        <v>-</v>
      </c>
      <c r="M406" s="63" t="str">
        <f>IF($J406=M$3,IF(M$3&gt;$I406,"-",ROUNDUP(Ld_cal($B406, $C406, $D406, $G406,$E406, $F406, $H406, M$3)*1.3*1.3,0)),"-")</f>
        <v>-</v>
      </c>
      <c r="N406" s="63" t="str">
        <f>IF($J406=N$3,IF(N$3&gt;$I406,"-",ROUNDUP(Ld_cal($B406, $C406, $D406, $G406,$E406, $F406, $H406, N$3)*1.3*1.3,0)),"-")</f>
        <v>-</v>
      </c>
      <c r="O406" s="63" t="str">
        <f>IF($J406=O$3,IF(O$3&gt;$I406,"-",ROUNDUP(Ld_cal($B406, $C406, $D406, $G406,$E406, $F406, $H406, O$3)*1.3*1.3,0)),"-")</f>
        <v>-</v>
      </c>
      <c r="P406" s="63" t="str">
        <f>IF($J406=P$3,IF(P$3&gt;$I406,"-",ROUNDUP(Ld_cal($B406, $C406, $D406, $G406,$E406, $F406, $H406, P$3)*1.3*1.3,0)),"-")</f>
        <v>-</v>
      </c>
      <c r="Q406" s="63" t="str">
        <f>IF($J406=Q$3,IF(Q$3&gt;$I406,"-",ROUNDUP(Ld_cal($B406, $C406, $D406, $G406,$E406, $F406, $H406, Q$3)*1.3*1.3,0)),"-")</f>
        <v>-</v>
      </c>
      <c r="R406" s="63" t="str">
        <f>IF($J406=R$3,IF(R$3&gt;$I406,"-",ROUNDUP(Ld_cal($B406, $C406, $D406, $G406,$E406, $F406, $H406, R$3)*1.3*1.3,0)),"-")</f>
        <v>-</v>
      </c>
      <c r="S406" s="63">
        <f>IF($J406=S$3,IF(S$3&gt;$I406,"-",ROUNDUP(Ld_cal($B406, $C406, $D406, $G406,$E406, $F406, $H406, S$3)*1.3*1.3,0)),"-")</f>
        <v>166</v>
      </c>
      <c r="T406" s="63" t="str">
        <f>IF($J406=T$3,IF(T$3&gt;$I406,"-",ROUNDUP(Ld_cal($B406, $C406, $D406, $G406,$E406, $F406, $H406, T$3)*1.3*1.3,0)),"-")</f>
        <v>-</v>
      </c>
      <c r="U406" s="63" t="str">
        <f>IF($J406=U$3,IF(U$3&gt;$I406,"-",ROUNDUP(Ld_cal($B406, $C406, $D406, $G406,$E406, $F406, $H406, U$3)*1.3*1.3,0)),"-")</f>
        <v>-</v>
      </c>
      <c r="V406" s="63" t="str">
        <f>IF($J406=V$3,IF(V$3&gt;$I406,"-",ROUNDUP(Ld_cal($B406, $C406, $D406, $G406,$E406, $F406, $H406, V$3)*1.3*1.3,0)),"-")</f>
        <v>-</v>
      </c>
      <c r="W406" s="63" t="str">
        <f>IF($J406=W$3,IF(W$3&gt;$I406,"-",ROUNDUP(Ld_cal($B406, $C406, $D406, $G406,$E406, $F406, $H406, W$3)*1.3*1.3,0)),"-")</f>
        <v>-</v>
      </c>
      <c r="X406" s="63" t="str">
        <f>IF($J406=X$3,IF(X$3&gt;$I406,"-",ROUNDUP(Ld_cal($B406, $C406, $D406, $G406,$E406, $F406, $H406, X$3)*1.3*1.3,0)),"-")</f>
        <v>-</v>
      </c>
      <c r="Y406" s="63" t="str">
        <f>IF($J406=Y$3,IF(Y$3&gt;$I406,"-",ROUNDUP(Ld_cal($B406, $C406, $D406, $G406,$E406, $F406, $H406, Y$3)*1.3*1.3,0)),"-")</f>
        <v>-</v>
      </c>
      <c r="Z406" s="63" t="str">
        <f>IF($J406=Z$3,IF(Z$3&gt;$I406,"-",ROUNDUP(Ld_cal($B406, $C406, $D406, $G406,$E406, $F406, $H406, Z$3)*1.3*1.3,0)),"-")</f>
        <v>-</v>
      </c>
      <c r="AA406" s="63" t="str">
        <f>IF($J406=AA$3,IF(AA$3&gt;$I406,"-",ROUNDUP(Ld_cal($B406, $C406, $D406, $G406,$E406, $F406, $H406, AA$3)*1.3*1.3,0)),"-")</f>
        <v>-</v>
      </c>
      <c r="AB406" s="63" t="str">
        <f>IF($J406=AB$3,IF(AB$3&gt;$I406,"-",ROUNDUP(Ld_cal($B406, $C406, $D406, $G406,$E406, $F406, $H406, AB$3)*1.3*1.3,0)),"-")</f>
        <v>-</v>
      </c>
      <c r="AC406" s="63" t="str">
        <f>IF($J406=AC$3,IF(AC$3&gt;$I406,"-",ROUNDUP(Ld_cal($B406, $C406, $D406, $G406,$E406, $F406, $H406, AC$3)*1.3*1.3,0)),"-")</f>
        <v>-</v>
      </c>
      <c r="AD406" s="63">
        <f t="shared" ref="AD406" si="398">IF(J406&gt;I406,"依標準圖",MAX(L406:AC406))</f>
        <v>166</v>
      </c>
    </row>
    <row r="407" spans="1:30">
      <c r="A407" s="106"/>
      <c r="B407" s="107"/>
      <c r="C407" s="108"/>
      <c r="D407" s="107"/>
      <c r="E407" s="109"/>
      <c r="F407" s="110"/>
      <c r="G407" s="107"/>
      <c r="H407" s="109"/>
      <c r="I407" s="111"/>
      <c r="J407" s="62">
        <v>8</v>
      </c>
      <c r="K407" s="40" t="s">
        <v>29</v>
      </c>
      <c r="L407" s="63" t="str">
        <f>IF($J407=L$3,IF(L$3&gt;$I406,"-",ROUNDUP(Ld_cal($B406, $C406, $D406, $G406,$E406, $F406, $H406, L$3)*1.3,0)),"-")</f>
        <v>-</v>
      </c>
      <c r="M407" s="63" t="str">
        <f>IF($J407=M$3,IF(M$3&gt;$I406,"-",ROUNDUP(Ld_cal($B406, $C406, $D406, $G406,$E406, $F406, $H406, M$3)*1.3,0)),"-")</f>
        <v>-</v>
      </c>
      <c r="N407" s="63" t="str">
        <f>IF($J407=N$3,IF(N$3&gt;$I406,"-",ROUNDUP(Ld_cal($B406, $C406, $D406, $G406,$E406, $F406, $H406, N$3)*1.3,0)),"-")</f>
        <v>-</v>
      </c>
      <c r="O407" s="63" t="str">
        <f>IF($J407=O$3,IF(O$3&gt;$I406,"-",ROUNDUP(Ld_cal($B406, $C406, $D406, $G406,$E406, $F406, $H406, O$3)*1.3,0)),"-")</f>
        <v>-</v>
      </c>
      <c r="P407" s="63" t="str">
        <f>IF($J407=P$3,IF(P$3&gt;$I406,"-",ROUNDUP(Ld_cal($B406, $C406, $D406, $G406,$E406, $F406, $H406, P$3)*1.3,0)),"-")</f>
        <v>-</v>
      </c>
      <c r="Q407" s="63">
        <f>IF($J407=Q$3,IF(Q$3&gt;$I406,"-",ROUNDUP(Ld_cal($B406, $C406, $D406, $G406,$E406, $F406, $H406, Q$3)*1.3,0)),"-")</f>
        <v>105</v>
      </c>
      <c r="R407" s="63" t="str">
        <f>IF($J407=R$3,IF(R$3&gt;$I406,"-",ROUNDUP(Ld_cal($B406, $C406, $D406, $G406,$E406, $F406, $H406, R$3)*1.3,0)),"-")</f>
        <v>-</v>
      </c>
      <c r="S407" s="63" t="str">
        <f>IF($J407=S$3,IF(S$3&gt;$I406,"-",ROUNDUP(Ld_cal($B406, $C406, $D406, $G406,$E406, $F406, $H406, S$3)*1.3,0)),"-")</f>
        <v>-</v>
      </c>
      <c r="T407" s="63" t="str">
        <f>IF($J407=T$3,IF(T$3&gt;$I406,"-",ROUNDUP(Ld_cal($B406, $C406, $D406, $G406,$E406, $F406, $H406, T$3)*1.3,0)),"-")</f>
        <v>-</v>
      </c>
      <c r="U407" s="63" t="str">
        <f>IF($J407=U$3,IF(U$3&gt;$I406,"-",ROUNDUP(Ld_cal($B406, $C406, $D406, $G406,$E406, $F406, $H406, U$3)*1.3,0)),"-")</f>
        <v>-</v>
      </c>
      <c r="V407" s="63" t="str">
        <f>IF($J407=V$3,IF(V$3&gt;$I406,"-",ROUNDUP(Ld_cal($B406, $C406, $D406, $G406,$E406, $F406, $H406, V$3)*1.3,0)),"-")</f>
        <v>-</v>
      </c>
      <c r="W407" s="63" t="str">
        <f>IF($J407=W$3,IF(W$3&gt;$I406,"-",ROUNDUP(Ld_cal($B406, $C406, $D406, $G406,$E406, $F406, $H406, W$3)*1.3,0)),"-")</f>
        <v>-</v>
      </c>
      <c r="X407" s="63" t="str">
        <f>IF($J407=X$3,IF(X$3&gt;$I406,"-",ROUNDUP(Ld_cal($B406, $C406, $D406, $G406,$E406, $F406, $H406, X$3)*1.3,0)),"-")</f>
        <v>-</v>
      </c>
      <c r="Y407" s="63" t="str">
        <f>IF($J407=Y$3,IF(Y$3&gt;$I406,"-",ROUNDUP(Ld_cal($B406, $C406, $D406, $G406,$E406, $F406, $H406, Y$3)*1.3,0)),"-")</f>
        <v>-</v>
      </c>
      <c r="Z407" s="63" t="str">
        <f>IF($J407=Z$3,IF(Z$3&gt;$I406,"-",ROUNDUP(Ld_cal($B406, $C406, $D406, $G406,$E406, $F406, $H406, Z$3)*1.3,0)),"-")</f>
        <v>-</v>
      </c>
      <c r="AA407" s="63" t="str">
        <f>IF($J407=AA$3,IF(AA$3&gt;$I406,"-",ROUNDUP(Ld_cal($B406, $C406, $D406, $G406,$E406, $F406, $H406, AA$3)*1.3,0)),"-")</f>
        <v>-</v>
      </c>
      <c r="AB407" s="63" t="str">
        <f>IF($J407=AB$3,IF(AB$3&gt;$I406,"-",ROUNDUP(Ld_cal($B406, $C406, $D406, $G406,$E406, $F406, $H406, AB$3)*1.3,0)),"-")</f>
        <v>-</v>
      </c>
      <c r="AC407" s="63" t="str">
        <f>IF($J407=AC$3,IF(AC$3&gt;$I406,"-",ROUNDUP(Ld_cal($B406, $C406, $D406, $G406,$E406, $F406, $H406, AC$3)*1.3,0)),"-")</f>
        <v>-</v>
      </c>
      <c r="AD407" s="63">
        <f t="shared" ref="AD407" si="399">IF(J407&gt;I406,"依標準圖",MAX(L407:AC407))</f>
        <v>105</v>
      </c>
    </row>
    <row r="408" spans="1:30">
      <c r="A408" s="97" t="s">
        <v>246</v>
      </c>
      <c r="B408" s="99">
        <v>120</v>
      </c>
      <c r="C408" s="100">
        <v>7.5</v>
      </c>
      <c r="D408" s="101">
        <v>4200</v>
      </c>
      <c r="E408" s="102">
        <v>13</v>
      </c>
      <c r="F408" s="103">
        <v>14</v>
      </c>
      <c r="G408" s="101">
        <v>350</v>
      </c>
      <c r="H408" s="102">
        <v>32</v>
      </c>
      <c r="I408" s="104">
        <f>ROUNDDOWN(($B408-2*$C408-2*$E408/10-$H408/10)/(($D$1+1)*$H408/10),0)+1</f>
        <v>16</v>
      </c>
      <c r="J408" s="60">
        <v>5</v>
      </c>
      <c r="K408" s="64" t="s">
        <v>30</v>
      </c>
      <c r="L408" s="61" t="str">
        <f>IF($J408=L$3,IF(L$3&gt;$I408,"-",ROUNDUP(Ld_cal($B408, $C408, $D408, $G408,$E408, $F408, $H408, L$3)*1.3*1.3,0)),"-")</f>
        <v>-</v>
      </c>
      <c r="M408" s="61" t="str">
        <f>IF($J408=M$3,IF(M$3&gt;$I408,"-",ROUNDUP(Ld_cal($B408, $C408, $D408, $G408,$E408, $F408, $H408, M$3)*1.3*1.3,0)),"-")</f>
        <v>-</v>
      </c>
      <c r="N408" s="61">
        <f>IF($J408=N$3,IF(N$3&gt;$I408,"-",ROUNDUP(Ld_cal($B408, $C408, $D408, $G408,$E408, $F408, $H408, N$3)*1.3*1.3,0)),"-")</f>
        <v>136</v>
      </c>
      <c r="O408" s="61" t="str">
        <f>IF($J408=O$3,IF(O$3&gt;$I408,"-",ROUNDUP(Ld_cal($B408, $C408, $D408, $G408,$E408, $F408, $H408, O$3)*1.3*1.3,0)),"-")</f>
        <v>-</v>
      </c>
      <c r="P408" s="61" t="str">
        <f>IF($J408=P$3,IF(P$3&gt;$I408,"-",ROUNDUP(Ld_cal($B408, $C408, $D408, $G408,$E408, $F408, $H408, P$3)*1.3*1.3,0)),"-")</f>
        <v>-</v>
      </c>
      <c r="Q408" s="61" t="str">
        <f>IF($J408=Q$3,IF(Q$3&gt;$I408,"-",ROUNDUP(Ld_cal($B408, $C408, $D408, $G408,$E408, $F408, $H408, Q$3)*1.3*1.3,0)),"-")</f>
        <v>-</v>
      </c>
      <c r="R408" s="61" t="str">
        <f>IF($J408=R$3,IF(R$3&gt;$I408,"-",ROUNDUP(Ld_cal($B408, $C408, $D408, $G408,$E408, $F408, $H408, R$3)*1.3*1.3,0)),"-")</f>
        <v>-</v>
      </c>
      <c r="S408" s="61" t="str">
        <f>IF($J408=S$3,IF(S$3&gt;$I408,"-",ROUNDUP(Ld_cal($B408, $C408, $D408, $G408,$E408, $F408, $H408, S$3)*1.3*1.3,0)),"-")</f>
        <v>-</v>
      </c>
      <c r="T408" s="61" t="str">
        <f>IF($J408=T$3,IF(T$3&gt;$I408,"-",ROUNDUP(Ld_cal($B408, $C408, $D408, $G408,$E408, $F408, $H408, T$3)*1.3*1.3,0)),"-")</f>
        <v>-</v>
      </c>
      <c r="U408" s="61" t="str">
        <f>IF($J408=U$3,IF(U$3&gt;$I408,"-",ROUNDUP(Ld_cal($B408, $C408, $D408, $G408,$E408, $F408, $H408, U$3)*1.3*1.3,0)),"-")</f>
        <v>-</v>
      </c>
      <c r="V408" s="61" t="str">
        <f>IF($J408=V$3,IF(V$3&gt;$I408,"-",ROUNDUP(Ld_cal($B408, $C408, $D408, $G408,$E408, $F408, $H408, V$3)*1.3*1.3,0)),"-")</f>
        <v>-</v>
      </c>
      <c r="W408" s="61" t="str">
        <f>IF($J408=W$3,IF(W$3&gt;$I408,"-",ROUNDUP(Ld_cal($B408, $C408, $D408, $G408,$E408, $F408, $H408, W$3)*1.3*1.3,0)),"-")</f>
        <v>-</v>
      </c>
      <c r="X408" s="61" t="str">
        <f>IF($J408=X$3,IF(X$3&gt;$I408,"-",ROUNDUP(Ld_cal($B408, $C408, $D408, $G408,$E408, $F408, $H408, X$3)*1.3*1.3,0)),"-")</f>
        <v>-</v>
      </c>
      <c r="Y408" s="61" t="str">
        <f>IF($J408=Y$3,IF(Y$3&gt;$I408,"-",ROUNDUP(Ld_cal($B408, $C408, $D408, $G408,$E408, $F408, $H408, Y$3)*1.3*1.3,0)),"-")</f>
        <v>-</v>
      </c>
      <c r="Z408" s="61" t="str">
        <f>IF($J408=Z$3,IF(Z$3&gt;$I408,"-",ROUNDUP(Ld_cal($B408, $C408, $D408, $G408,$E408, $F408, $H408, Z$3)*1.3*1.3,0)),"-")</f>
        <v>-</v>
      </c>
      <c r="AA408" s="61" t="str">
        <f>IF($J408=AA$3,IF(AA$3&gt;$I408,"-",ROUNDUP(Ld_cal($B408, $C408, $D408, $G408,$E408, $F408, $H408, AA$3)*1.3*1.3,0)),"-")</f>
        <v>-</v>
      </c>
      <c r="AB408" s="61" t="str">
        <f>IF($J408=AB$3,IF(AB$3&gt;$I408,"-",ROUNDUP(Ld_cal($B408, $C408, $D408, $G408,$E408, $F408, $H408, AB$3)*1.3*1.3,0)),"-")</f>
        <v>-</v>
      </c>
      <c r="AC408" s="61" t="str">
        <f>IF($J408=AC$3,IF(AC$3&gt;$I408,"-",ROUNDUP(Ld_cal($B408, $C408, $D408, $G408,$E408, $F408, $H408, AC$3)*1.3*1.3,0)),"-")</f>
        <v>-</v>
      </c>
      <c r="AD408" s="61">
        <f t="shared" ref="AD408" si="400">IF(J408&gt;I408,"依標準圖",MAX(L408:AC408))</f>
        <v>136</v>
      </c>
    </row>
    <row r="409" spans="1:30">
      <c r="A409" s="98"/>
      <c r="B409" s="99"/>
      <c r="C409" s="100"/>
      <c r="D409" s="101"/>
      <c r="E409" s="102"/>
      <c r="F409" s="103"/>
      <c r="G409" s="101"/>
      <c r="H409" s="102"/>
      <c r="I409" s="104"/>
      <c r="J409" s="60">
        <v>11</v>
      </c>
      <c r="K409" s="64" t="s">
        <v>29</v>
      </c>
      <c r="L409" s="61" t="str">
        <f>IF($J409=L$3,IF(L$3&gt;$I408,"-",ROUNDUP(Ld_cal($B408, $C408, $D408, $G408,$E408, $F408, $H408, L$3)*1.3,0)),"-")</f>
        <v>-</v>
      </c>
      <c r="M409" s="61" t="str">
        <f>IF($J409=M$3,IF(M$3&gt;$I408,"-",ROUNDUP(Ld_cal($B408, $C408, $D408, $G408,$E408, $F408, $H408, M$3)*1.3,0)),"-")</f>
        <v>-</v>
      </c>
      <c r="N409" s="61" t="str">
        <f>IF($J409=N$3,IF(N$3&gt;$I408,"-",ROUNDUP(Ld_cal($B408, $C408, $D408, $G408,$E408, $F408, $H408, N$3)*1.3,0)),"-")</f>
        <v>-</v>
      </c>
      <c r="O409" s="61" t="str">
        <f>IF($J409=O$3,IF(O$3&gt;$I408,"-",ROUNDUP(Ld_cal($B408, $C408, $D408, $G408,$E408, $F408, $H408, O$3)*1.3,0)),"-")</f>
        <v>-</v>
      </c>
      <c r="P409" s="61" t="str">
        <f>IF($J409=P$3,IF(P$3&gt;$I408,"-",ROUNDUP(Ld_cal($B408, $C408, $D408, $G408,$E408, $F408, $H408, P$3)*1.3,0)),"-")</f>
        <v>-</v>
      </c>
      <c r="Q409" s="61" t="str">
        <f>IF($J409=Q$3,IF(Q$3&gt;$I408,"-",ROUNDUP(Ld_cal($B408, $C408, $D408, $G408,$E408, $F408, $H408, Q$3)*1.3,0)),"-")</f>
        <v>-</v>
      </c>
      <c r="R409" s="61" t="str">
        <f>IF($J409=R$3,IF(R$3&gt;$I408,"-",ROUNDUP(Ld_cal($B408, $C408, $D408, $G408,$E408, $F408, $H408, R$3)*1.3,0)),"-")</f>
        <v>-</v>
      </c>
      <c r="S409" s="61" t="str">
        <f>IF($J409=S$3,IF(S$3&gt;$I408,"-",ROUNDUP(Ld_cal($B408, $C408, $D408, $G408,$E408, $F408, $H408, S$3)*1.3,0)),"-")</f>
        <v>-</v>
      </c>
      <c r="T409" s="61">
        <f>IF($J409=T$3,IF(T$3&gt;$I408,"-",ROUNDUP(Ld_cal($B408, $C408, $D408, $G408,$E408, $F408, $H408, T$3)*1.3,0)),"-")</f>
        <v>149</v>
      </c>
      <c r="U409" s="61" t="str">
        <f>IF($J409=U$3,IF(U$3&gt;$I408,"-",ROUNDUP(Ld_cal($B408, $C408, $D408, $G408,$E408, $F408, $H408, U$3)*1.3,0)),"-")</f>
        <v>-</v>
      </c>
      <c r="V409" s="61" t="str">
        <f>IF($J409=V$3,IF(V$3&gt;$I408,"-",ROUNDUP(Ld_cal($B408, $C408, $D408, $G408,$E408, $F408, $H408, V$3)*1.3,0)),"-")</f>
        <v>-</v>
      </c>
      <c r="W409" s="61" t="str">
        <f>IF($J409=W$3,IF(W$3&gt;$I408,"-",ROUNDUP(Ld_cal($B408, $C408, $D408, $G408,$E408, $F408, $H408, W$3)*1.3,0)),"-")</f>
        <v>-</v>
      </c>
      <c r="X409" s="61" t="str">
        <f>IF($J409=X$3,IF(X$3&gt;$I408,"-",ROUNDUP(Ld_cal($B408, $C408, $D408, $G408,$E408, $F408, $H408, X$3)*1.3,0)),"-")</f>
        <v>-</v>
      </c>
      <c r="Y409" s="61" t="str">
        <f>IF($J409=Y$3,IF(Y$3&gt;$I408,"-",ROUNDUP(Ld_cal($B408, $C408, $D408, $G408,$E408, $F408, $H408, Y$3)*1.3,0)),"-")</f>
        <v>-</v>
      </c>
      <c r="Z409" s="61" t="str">
        <f>IF($J409=Z$3,IF(Z$3&gt;$I408,"-",ROUNDUP(Ld_cal($B408, $C408, $D408, $G408,$E408, $F408, $H408, Z$3)*1.3,0)),"-")</f>
        <v>-</v>
      </c>
      <c r="AA409" s="61" t="str">
        <f>IF($J409=AA$3,IF(AA$3&gt;$I408,"-",ROUNDUP(Ld_cal($B408, $C408, $D408, $G408,$E408, $F408, $H408, AA$3)*1.3,0)),"-")</f>
        <v>-</v>
      </c>
      <c r="AB409" s="61" t="str">
        <f>IF($J409=AB$3,IF(AB$3&gt;$I408,"-",ROUNDUP(Ld_cal($B408, $C408, $D408, $G408,$E408, $F408, $H408, AB$3)*1.3,0)),"-")</f>
        <v>-</v>
      </c>
      <c r="AC409" s="61" t="str">
        <f>IF($J409=AC$3,IF(AC$3&gt;$I408,"-",ROUNDUP(Ld_cal($B408, $C408, $D408, $G408,$E408, $F408, $H408, AC$3)*1.3,0)),"-")</f>
        <v>-</v>
      </c>
      <c r="AD409" s="61">
        <f t="shared" ref="AD409" si="401">IF(J409&gt;I408,"依標準圖",MAX(L409:AC409))</f>
        <v>149</v>
      </c>
    </row>
    <row r="410" spans="1:30">
      <c r="A410" s="105" t="s">
        <v>247</v>
      </c>
      <c r="B410" s="107">
        <v>120</v>
      </c>
      <c r="C410" s="108">
        <v>7.5</v>
      </c>
      <c r="D410" s="107">
        <v>4200</v>
      </c>
      <c r="E410" s="109">
        <v>16</v>
      </c>
      <c r="F410" s="110">
        <v>9</v>
      </c>
      <c r="G410" s="107">
        <v>350</v>
      </c>
      <c r="H410" s="109">
        <v>32</v>
      </c>
      <c r="I410" s="111">
        <f>ROUNDDOWN(($B410-2*$C410-2*$E410/10-$H410/10)/(($D$1+1)*$H410/10),0)+1</f>
        <v>16</v>
      </c>
      <c r="J410" s="62">
        <v>16</v>
      </c>
      <c r="K410" s="40" t="s">
        <v>30</v>
      </c>
      <c r="L410" s="63" t="str">
        <f>IF($J410=L$3,IF(L$3&gt;$I410,"-",ROUNDUP(Ld_cal($B410, $C410, $D410, $G410,$E410, $F410, $H410, L$3)*1.3*1.3,0)),"-")</f>
        <v>-</v>
      </c>
      <c r="M410" s="63" t="str">
        <f>IF($J410=M$3,IF(M$3&gt;$I410,"-",ROUNDUP(Ld_cal($B410, $C410, $D410, $G410,$E410, $F410, $H410, M$3)*1.3*1.3,0)),"-")</f>
        <v>-</v>
      </c>
      <c r="N410" s="63" t="str">
        <f>IF($J410=N$3,IF(N$3&gt;$I410,"-",ROUNDUP(Ld_cal($B410, $C410, $D410, $G410,$E410, $F410, $H410, N$3)*1.3*1.3,0)),"-")</f>
        <v>-</v>
      </c>
      <c r="O410" s="63" t="str">
        <f>IF($J410=O$3,IF(O$3&gt;$I410,"-",ROUNDUP(Ld_cal($B410, $C410, $D410, $G410,$E410, $F410, $H410, O$3)*1.3*1.3,0)),"-")</f>
        <v>-</v>
      </c>
      <c r="P410" s="63" t="str">
        <f>IF($J410=P$3,IF(P$3&gt;$I410,"-",ROUNDUP(Ld_cal($B410, $C410, $D410, $G410,$E410, $F410, $H410, P$3)*1.3*1.3,0)),"-")</f>
        <v>-</v>
      </c>
      <c r="Q410" s="63" t="str">
        <f>IF($J410=Q$3,IF(Q$3&gt;$I410,"-",ROUNDUP(Ld_cal($B410, $C410, $D410, $G410,$E410, $F410, $H410, Q$3)*1.3*1.3,0)),"-")</f>
        <v>-</v>
      </c>
      <c r="R410" s="63" t="str">
        <f>IF($J410=R$3,IF(R$3&gt;$I410,"-",ROUNDUP(Ld_cal($B410, $C410, $D410, $G410,$E410, $F410, $H410, R$3)*1.3*1.3,0)),"-")</f>
        <v>-</v>
      </c>
      <c r="S410" s="63" t="str">
        <f>IF($J410=S$3,IF(S$3&gt;$I410,"-",ROUNDUP(Ld_cal($B410, $C410, $D410, $G410,$E410, $F410, $H410, S$3)*1.3*1.3,0)),"-")</f>
        <v>-</v>
      </c>
      <c r="T410" s="63" t="str">
        <f>IF($J410=T$3,IF(T$3&gt;$I410,"-",ROUNDUP(Ld_cal($B410, $C410, $D410, $G410,$E410, $F410, $H410, T$3)*1.3*1.3,0)),"-")</f>
        <v>-</v>
      </c>
      <c r="U410" s="63" t="str">
        <f>IF($J410=U$3,IF(U$3&gt;$I410,"-",ROUNDUP(Ld_cal($B410, $C410, $D410, $G410,$E410, $F410, $H410, U$3)*1.3*1.3,0)),"-")</f>
        <v>-</v>
      </c>
      <c r="V410" s="63" t="str">
        <f>IF($J410=V$3,IF(V$3&gt;$I410,"-",ROUNDUP(Ld_cal($B410, $C410, $D410, $G410,$E410, $F410, $H410, V$3)*1.3*1.3,0)),"-")</f>
        <v>-</v>
      </c>
      <c r="W410" s="63" t="str">
        <f>IF($J410=W$3,IF(W$3&gt;$I410,"-",ROUNDUP(Ld_cal($B410, $C410, $D410, $G410,$E410, $F410, $H410, W$3)*1.3*1.3,0)),"-")</f>
        <v>-</v>
      </c>
      <c r="X410" s="63" t="str">
        <f>IF($J410=X$3,IF(X$3&gt;$I410,"-",ROUNDUP(Ld_cal($B410, $C410, $D410, $G410,$E410, $F410, $H410, X$3)*1.3*1.3,0)),"-")</f>
        <v>-</v>
      </c>
      <c r="Y410" s="63">
        <f>IF($J410=Y$3,IF(Y$3&gt;$I410,"-",ROUNDUP(Ld_cal($B410, $C410, $D410, $G410,$E410, $F410, $H410, Y$3)*1.3*1.3,0)),"-")</f>
        <v>248</v>
      </c>
      <c r="Z410" s="63" t="str">
        <f>IF($J410=Z$3,IF(Z$3&gt;$I410,"-",ROUNDUP(Ld_cal($B410, $C410, $D410, $G410,$E410, $F410, $H410, Z$3)*1.3*1.3,0)),"-")</f>
        <v>-</v>
      </c>
      <c r="AA410" s="63" t="str">
        <f>IF($J410=AA$3,IF(AA$3&gt;$I410,"-",ROUNDUP(Ld_cal($B410, $C410, $D410, $G410,$E410, $F410, $H410, AA$3)*1.3*1.3,0)),"-")</f>
        <v>-</v>
      </c>
      <c r="AB410" s="63" t="str">
        <f>IF($J410=AB$3,IF(AB$3&gt;$I410,"-",ROUNDUP(Ld_cal($B410, $C410, $D410, $G410,$E410, $F410, $H410, AB$3)*1.3*1.3,0)),"-")</f>
        <v>-</v>
      </c>
      <c r="AC410" s="63" t="str">
        <f>IF($J410=AC$3,IF(AC$3&gt;$I410,"-",ROUNDUP(Ld_cal($B410, $C410, $D410, $G410,$E410, $F410, $H410, AC$3)*1.3*1.3,0)),"-")</f>
        <v>-</v>
      </c>
      <c r="AD410" s="63">
        <f t="shared" ref="AD410" si="402">IF(J410&gt;I410,"依標準圖",MAX(L410:AC410))</f>
        <v>248</v>
      </c>
    </row>
    <row r="411" spans="1:30">
      <c r="A411" s="106"/>
      <c r="B411" s="107"/>
      <c r="C411" s="108"/>
      <c r="D411" s="107"/>
      <c r="E411" s="109"/>
      <c r="F411" s="110"/>
      <c r="G411" s="107"/>
      <c r="H411" s="109"/>
      <c r="I411" s="111"/>
      <c r="J411" s="62">
        <v>10</v>
      </c>
      <c r="K411" s="40" t="s">
        <v>29</v>
      </c>
      <c r="L411" s="63" t="str">
        <f>IF($J411=L$3,IF(L$3&gt;$I410,"-",ROUNDUP(Ld_cal($B410, $C410, $D410, $G410,$E410, $F410, $H410, L$3)*1.3,0)),"-")</f>
        <v>-</v>
      </c>
      <c r="M411" s="63" t="str">
        <f>IF($J411=M$3,IF(M$3&gt;$I410,"-",ROUNDUP(Ld_cal($B410, $C410, $D410, $G410,$E410, $F410, $H410, M$3)*1.3,0)),"-")</f>
        <v>-</v>
      </c>
      <c r="N411" s="63" t="str">
        <f>IF($J411=N$3,IF(N$3&gt;$I410,"-",ROUNDUP(Ld_cal($B410, $C410, $D410, $G410,$E410, $F410, $H410, N$3)*1.3,0)),"-")</f>
        <v>-</v>
      </c>
      <c r="O411" s="63" t="str">
        <f>IF($J411=O$3,IF(O$3&gt;$I410,"-",ROUNDUP(Ld_cal($B410, $C410, $D410, $G410,$E410, $F410, $H410, O$3)*1.3,0)),"-")</f>
        <v>-</v>
      </c>
      <c r="P411" s="63" t="str">
        <f>IF($J411=P$3,IF(P$3&gt;$I410,"-",ROUNDUP(Ld_cal($B410, $C410, $D410, $G410,$E410, $F410, $H410, P$3)*1.3,0)),"-")</f>
        <v>-</v>
      </c>
      <c r="Q411" s="63" t="str">
        <f>IF($J411=Q$3,IF(Q$3&gt;$I410,"-",ROUNDUP(Ld_cal($B410, $C410, $D410, $G410,$E410, $F410, $H410, Q$3)*1.3,0)),"-")</f>
        <v>-</v>
      </c>
      <c r="R411" s="63" t="str">
        <f>IF($J411=R$3,IF(R$3&gt;$I410,"-",ROUNDUP(Ld_cal($B410, $C410, $D410, $G410,$E410, $F410, $H410, R$3)*1.3,0)),"-")</f>
        <v>-</v>
      </c>
      <c r="S411" s="63">
        <f>IF($J411=S$3,IF(S$3&gt;$I410,"-",ROUNDUP(Ld_cal($B410, $C410, $D410, $G410,$E410, $F410, $H410, S$3)*1.3,0)),"-")</f>
        <v>116</v>
      </c>
      <c r="T411" s="63" t="str">
        <f>IF($J411=T$3,IF(T$3&gt;$I410,"-",ROUNDUP(Ld_cal($B410, $C410, $D410, $G410,$E410, $F410, $H410, T$3)*1.3,0)),"-")</f>
        <v>-</v>
      </c>
      <c r="U411" s="63" t="str">
        <f>IF($J411=U$3,IF(U$3&gt;$I410,"-",ROUNDUP(Ld_cal($B410, $C410, $D410, $G410,$E410, $F410, $H410, U$3)*1.3,0)),"-")</f>
        <v>-</v>
      </c>
      <c r="V411" s="63" t="str">
        <f>IF($J411=V$3,IF(V$3&gt;$I410,"-",ROUNDUP(Ld_cal($B410, $C410, $D410, $G410,$E410, $F410, $H410, V$3)*1.3,0)),"-")</f>
        <v>-</v>
      </c>
      <c r="W411" s="63" t="str">
        <f>IF($J411=W$3,IF(W$3&gt;$I410,"-",ROUNDUP(Ld_cal($B410, $C410, $D410, $G410,$E410, $F410, $H410, W$3)*1.3,0)),"-")</f>
        <v>-</v>
      </c>
      <c r="X411" s="63" t="str">
        <f>IF($J411=X$3,IF(X$3&gt;$I410,"-",ROUNDUP(Ld_cal($B410, $C410, $D410, $G410,$E410, $F410, $H410, X$3)*1.3,0)),"-")</f>
        <v>-</v>
      </c>
      <c r="Y411" s="63" t="str">
        <f>IF($J411=Y$3,IF(Y$3&gt;$I410,"-",ROUNDUP(Ld_cal($B410, $C410, $D410, $G410,$E410, $F410, $H410, Y$3)*1.3,0)),"-")</f>
        <v>-</v>
      </c>
      <c r="Z411" s="63" t="str">
        <f>IF($J411=Z$3,IF(Z$3&gt;$I410,"-",ROUNDUP(Ld_cal($B410, $C410, $D410, $G410,$E410, $F410, $H410, Z$3)*1.3,0)),"-")</f>
        <v>-</v>
      </c>
      <c r="AA411" s="63" t="str">
        <f>IF($J411=AA$3,IF(AA$3&gt;$I410,"-",ROUNDUP(Ld_cal($B410, $C410, $D410, $G410,$E410, $F410, $H410, AA$3)*1.3,0)),"-")</f>
        <v>-</v>
      </c>
      <c r="AB411" s="63" t="str">
        <f>IF($J411=AB$3,IF(AB$3&gt;$I410,"-",ROUNDUP(Ld_cal($B410, $C410, $D410, $G410,$E410, $F410, $H410, AB$3)*1.3,0)),"-")</f>
        <v>-</v>
      </c>
      <c r="AC411" s="63" t="str">
        <f>IF($J411=AC$3,IF(AC$3&gt;$I410,"-",ROUNDUP(Ld_cal($B410, $C410, $D410, $G410,$E410, $F410, $H410, AC$3)*1.3,0)),"-")</f>
        <v>-</v>
      </c>
      <c r="AD411" s="63">
        <f t="shared" ref="AD411" si="403">IF(J411&gt;I410,"依標準圖",MAX(L411:AC411))</f>
        <v>116</v>
      </c>
    </row>
    <row r="414" spans="1:30">
      <c r="A414" s="97" t="s">
        <v>248</v>
      </c>
      <c r="B414" s="99">
        <v>80</v>
      </c>
      <c r="C414" s="100">
        <v>7.5</v>
      </c>
      <c r="D414" s="101">
        <v>4200</v>
      </c>
      <c r="E414" s="102">
        <v>13</v>
      </c>
      <c r="F414" s="103">
        <v>25</v>
      </c>
      <c r="G414" s="101">
        <v>350</v>
      </c>
      <c r="H414" s="102">
        <v>32</v>
      </c>
      <c r="I414" s="104">
        <f>ROUNDDOWN(($B414-2*$C414-2*$E414/10-$H414/10)/(($D$1+1)*$H414/10),0)+1</f>
        <v>10</v>
      </c>
      <c r="J414" s="67">
        <v>4</v>
      </c>
      <c r="K414" s="69" t="s">
        <v>30</v>
      </c>
      <c r="L414" s="65" t="str">
        <f>IF($J414=L$3,IF(L$3&gt;$I414,"-",ROUNDUP(Ld_cal($B414, $C414, $D414, $G414,$E414, $F414, $H414, L$3)*1.3*1.3,0)),"-")</f>
        <v>-</v>
      </c>
      <c r="M414" s="65">
        <f>IF($J414=M$3,IF(M$3&gt;$I414,"-",ROUNDUP(Ld_cal($B414, $C414, $D414, $G414,$E414, $F414, $H414, M$3)*1.3*1.3,0)),"-")</f>
        <v>136</v>
      </c>
      <c r="N414" s="65" t="str">
        <f>IF($J414=N$3,IF(N$3&gt;$I414,"-",ROUNDUP(Ld_cal($B414, $C414, $D414, $G414,$E414, $F414, $H414, N$3)*1.3*1.3,0)),"-")</f>
        <v>-</v>
      </c>
      <c r="O414" s="65" t="str">
        <f>IF($J414=O$3,IF(O$3&gt;$I414,"-",ROUNDUP(Ld_cal($B414, $C414, $D414, $G414,$E414, $F414, $H414, O$3)*1.3*1.3,0)),"-")</f>
        <v>-</v>
      </c>
      <c r="P414" s="65" t="str">
        <f>IF($J414=P$3,IF(P$3&gt;$I414,"-",ROUNDUP(Ld_cal($B414, $C414, $D414, $G414,$E414, $F414, $H414, P$3)*1.3*1.3,0)),"-")</f>
        <v>-</v>
      </c>
      <c r="Q414" s="65" t="str">
        <f>IF($J414=Q$3,IF(Q$3&gt;$I414,"-",ROUNDUP(Ld_cal($B414, $C414, $D414, $G414,$E414, $F414, $H414, Q$3)*1.3*1.3,0)),"-")</f>
        <v>-</v>
      </c>
      <c r="R414" s="65" t="str">
        <f>IF($J414=R$3,IF(R$3&gt;$I414,"-",ROUNDUP(Ld_cal($B414, $C414, $D414, $G414,$E414, $F414, $H414, R$3)*1.3*1.3,0)),"-")</f>
        <v>-</v>
      </c>
      <c r="S414" s="65" t="str">
        <f>IF($J414=S$3,IF(S$3&gt;$I414,"-",ROUNDUP(Ld_cal($B414, $C414, $D414, $G414,$E414, $F414, $H414, S$3)*1.3*1.3,0)),"-")</f>
        <v>-</v>
      </c>
      <c r="T414" s="65" t="str">
        <f>IF($J414=T$3,IF(T$3&gt;$I414,"-",ROUNDUP(Ld_cal($B414, $C414, $D414, $G414,$E414, $F414, $H414, T$3)*1.3*1.3,0)),"-")</f>
        <v>-</v>
      </c>
      <c r="U414" s="65" t="str">
        <f>IF($J414=U$3,IF(U$3&gt;$I414,"-",ROUNDUP(Ld_cal($B414, $C414, $D414, $G414,$E414, $F414, $H414, U$3)*1.3*1.3,0)),"-")</f>
        <v>-</v>
      </c>
      <c r="V414" s="65" t="str">
        <f>IF($J414=V$3,IF(V$3&gt;$I414,"-",ROUNDUP(Ld_cal($B414, $C414, $D414, $G414,$E414, $F414, $H414, V$3)*1.3*1.3,0)),"-")</f>
        <v>-</v>
      </c>
      <c r="W414" s="65" t="str">
        <f>IF($J414=W$3,IF(W$3&gt;$I414,"-",ROUNDUP(Ld_cal($B414, $C414, $D414, $G414,$E414, $F414, $H414, W$3)*1.3*1.3,0)),"-")</f>
        <v>-</v>
      </c>
      <c r="X414" s="65" t="str">
        <f>IF($J414=X$3,IF(X$3&gt;$I414,"-",ROUNDUP(Ld_cal($B414, $C414, $D414, $G414,$E414, $F414, $H414, X$3)*1.3*1.3,0)),"-")</f>
        <v>-</v>
      </c>
      <c r="Y414" s="65" t="str">
        <f>IF($J414=Y$3,IF(Y$3&gt;$I414,"-",ROUNDUP(Ld_cal($B414, $C414, $D414, $G414,$E414, $F414, $H414, Y$3)*1.3*1.3,0)),"-")</f>
        <v>-</v>
      </c>
      <c r="Z414" s="65" t="str">
        <f>IF($J414=Z$3,IF(Z$3&gt;$I414,"-",ROUNDUP(Ld_cal($B414, $C414, $D414, $G414,$E414, $F414, $H414, Z$3)*1.3*1.3,0)),"-")</f>
        <v>-</v>
      </c>
      <c r="AA414" s="65" t="str">
        <f>IF($J414=AA$3,IF(AA$3&gt;$I414,"-",ROUNDUP(Ld_cal($B414, $C414, $D414, $G414,$E414, $F414, $H414, AA$3)*1.3*1.3,0)),"-")</f>
        <v>-</v>
      </c>
      <c r="AB414" s="65" t="str">
        <f>IF($J414=AB$3,IF(AB$3&gt;$I414,"-",ROUNDUP(Ld_cal($B414, $C414, $D414, $G414,$E414, $F414, $H414, AB$3)*1.3*1.3,0)),"-")</f>
        <v>-</v>
      </c>
      <c r="AC414" s="65" t="str">
        <f>IF($J414=AC$3,IF(AC$3&gt;$I414,"-",ROUNDUP(Ld_cal($B414, $C414, $D414, $G414,$E414, $F414, $H414, AC$3)*1.3*1.3,0)),"-")</f>
        <v>-</v>
      </c>
      <c r="AD414" s="65">
        <f t="shared" ref="AD414" si="404">IF(J414&gt;I414,"依標準圖",MAX(L414:AC414))</f>
        <v>136</v>
      </c>
    </row>
    <row r="415" spans="1:30">
      <c r="A415" s="98"/>
      <c r="B415" s="99"/>
      <c r="C415" s="100"/>
      <c r="D415" s="101"/>
      <c r="E415" s="102"/>
      <c r="F415" s="103"/>
      <c r="G415" s="101"/>
      <c r="H415" s="102"/>
      <c r="I415" s="104"/>
      <c r="J415" s="67">
        <v>4</v>
      </c>
      <c r="K415" s="69" t="s">
        <v>29</v>
      </c>
      <c r="L415" s="65" t="str">
        <f>IF($J415=L$3,IF(L$3&gt;$I414,"-",ROUNDUP(Ld_cal($B414, $C414, $D414, $G414,$E414, $F414, $H414, L$3)*1.3,0)),"-")</f>
        <v>-</v>
      </c>
      <c r="M415" s="65">
        <f>IF($J415=M$3,IF(M$3&gt;$I414,"-",ROUNDUP(Ld_cal($B414, $C414, $D414, $G414,$E414, $F414, $H414, M$3)*1.3,0)),"-")</f>
        <v>105</v>
      </c>
      <c r="N415" s="65" t="str">
        <f>IF($J415=N$3,IF(N$3&gt;$I414,"-",ROUNDUP(Ld_cal($B414, $C414, $D414, $G414,$E414, $F414, $H414, N$3)*1.3,0)),"-")</f>
        <v>-</v>
      </c>
      <c r="O415" s="65" t="str">
        <f>IF($J415=O$3,IF(O$3&gt;$I414,"-",ROUNDUP(Ld_cal($B414, $C414, $D414, $G414,$E414, $F414, $H414, O$3)*1.3,0)),"-")</f>
        <v>-</v>
      </c>
      <c r="P415" s="65" t="str">
        <f>IF($J415=P$3,IF(P$3&gt;$I414,"-",ROUNDUP(Ld_cal($B414, $C414, $D414, $G414,$E414, $F414, $H414, P$3)*1.3,0)),"-")</f>
        <v>-</v>
      </c>
      <c r="Q415" s="65" t="str">
        <f>IF($J415=Q$3,IF(Q$3&gt;$I414,"-",ROUNDUP(Ld_cal($B414, $C414, $D414, $G414,$E414, $F414, $H414, Q$3)*1.3,0)),"-")</f>
        <v>-</v>
      </c>
      <c r="R415" s="65" t="str">
        <f>IF($J415=R$3,IF(R$3&gt;$I414,"-",ROUNDUP(Ld_cal($B414, $C414, $D414, $G414,$E414, $F414, $H414, R$3)*1.3,0)),"-")</f>
        <v>-</v>
      </c>
      <c r="S415" s="65" t="str">
        <f>IF($J415=S$3,IF(S$3&gt;$I414,"-",ROUNDUP(Ld_cal($B414, $C414, $D414, $G414,$E414, $F414, $H414, S$3)*1.3,0)),"-")</f>
        <v>-</v>
      </c>
      <c r="T415" s="65" t="str">
        <f>IF($J415=T$3,IF(T$3&gt;$I414,"-",ROUNDUP(Ld_cal($B414, $C414, $D414, $G414,$E414, $F414, $H414, T$3)*1.3,0)),"-")</f>
        <v>-</v>
      </c>
      <c r="U415" s="65" t="str">
        <f>IF($J415=U$3,IF(U$3&gt;$I414,"-",ROUNDUP(Ld_cal($B414, $C414, $D414, $G414,$E414, $F414, $H414, U$3)*1.3,0)),"-")</f>
        <v>-</v>
      </c>
      <c r="V415" s="65" t="str">
        <f>IF($J415=V$3,IF(V$3&gt;$I414,"-",ROUNDUP(Ld_cal($B414, $C414, $D414, $G414,$E414, $F414, $H414, V$3)*1.3,0)),"-")</f>
        <v>-</v>
      </c>
      <c r="W415" s="65" t="str">
        <f>IF($J415=W$3,IF(W$3&gt;$I414,"-",ROUNDUP(Ld_cal($B414, $C414, $D414, $G414,$E414, $F414, $H414, W$3)*1.3,0)),"-")</f>
        <v>-</v>
      </c>
      <c r="X415" s="65" t="str">
        <f>IF($J415=X$3,IF(X$3&gt;$I414,"-",ROUNDUP(Ld_cal($B414, $C414, $D414, $G414,$E414, $F414, $H414, X$3)*1.3,0)),"-")</f>
        <v>-</v>
      </c>
      <c r="Y415" s="65" t="str">
        <f>IF($J415=Y$3,IF(Y$3&gt;$I414,"-",ROUNDUP(Ld_cal($B414, $C414, $D414, $G414,$E414, $F414, $H414, Y$3)*1.3,0)),"-")</f>
        <v>-</v>
      </c>
      <c r="Z415" s="65" t="str">
        <f>IF($J415=Z$3,IF(Z$3&gt;$I414,"-",ROUNDUP(Ld_cal($B414, $C414, $D414, $G414,$E414, $F414, $H414, Z$3)*1.3,0)),"-")</f>
        <v>-</v>
      </c>
      <c r="AA415" s="65" t="str">
        <f>IF($J415=AA$3,IF(AA$3&gt;$I414,"-",ROUNDUP(Ld_cal($B414, $C414, $D414, $G414,$E414, $F414, $H414, AA$3)*1.3,0)),"-")</f>
        <v>-</v>
      </c>
      <c r="AB415" s="65" t="str">
        <f>IF($J415=AB$3,IF(AB$3&gt;$I414,"-",ROUNDUP(Ld_cal($B414, $C414, $D414, $G414,$E414, $F414, $H414, AB$3)*1.3,0)),"-")</f>
        <v>-</v>
      </c>
      <c r="AC415" s="65" t="str">
        <f>IF($J415=AC$3,IF(AC$3&gt;$I414,"-",ROUNDUP(Ld_cal($B414, $C414, $D414, $G414,$E414, $F414, $H414, AC$3)*1.3,0)),"-")</f>
        <v>-</v>
      </c>
      <c r="AD415" s="65">
        <f t="shared" ref="AD415" si="405">IF(J415&gt;I414,"依標準圖",MAX(L415:AC415))</f>
        <v>105</v>
      </c>
    </row>
    <row r="416" spans="1:30">
      <c r="A416" s="105" t="s">
        <v>249</v>
      </c>
      <c r="B416" s="107">
        <v>80</v>
      </c>
      <c r="C416" s="108">
        <v>7.5</v>
      </c>
      <c r="D416" s="107">
        <v>4200</v>
      </c>
      <c r="E416" s="109">
        <v>13</v>
      </c>
      <c r="F416" s="110">
        <v>20</v>
      </c>
      <c r="G416" s="107">
        <v>350</v>
      </c>
      <c r="H416" s="109">
        <v>32</v>
      </c>
      <c r="I416" s="111">
        <f>ROUNDDOWN(($B416-2*$C416-2*$E416/10-$H416/10)/(($D$1+1)*$H416/10),0)+1</f>
        <v>10</v>
      </c>
      <c r="J416" s="68">
        <v>7</v>
      </c>
      <c r="K416" s="40" t="s">
        <v>30</v>
      </c>
      <c r="L416" s="66" t="str">
        <f>IF($J416=L$3,IF(L$3&gt;$I416,"-",ROUNDUP(Ld_cal($B416, $C416, $D416, $G416,$E416, $F416, $H416, L$3)*1.3*1.3,0)),"-")</f>
        <v>-</v>
      </c>
      <c r="M416" s="66" t="str">
        <f>IF($J416=M$3,IF(M$3&gt;$I416,"-",ROUNDUP(Ld_cal($B416, $C416, $D416, $G416,$E416, $F416, $H416, M$3)*1.3*1.3,0)),"-")</f>
        <v>-</v>
      </c>
      <c r="N416" s="66" t="str">
        <f>IF($J416=N$3,IF(N$3&gt;$I416,"-",ROUNDUP(Ld_cal($B416, $C416, $D416, $G416,$E416, $F416, $H416, N$3)*1.3*1.3,0)),"-")</f>
        <v>-</v>
      </c>
      <c r="O416" s="66" t="str">
        <f>IF($J416=O$3,IF(O$3&gt;$I416,"-",ROUNDUP(Ld_cal($B416, $C416, $D416, $G416,$E416, $F416, $H416, O$3)*1.3*1.3,0)),"-")</f>
        <v>-</v>
      </c>
      <c r="P416" s="66">
        <f>IF($J416=P$3,IF(P$3&gt;$I416,"-",ROUNDUP(Ld_cal($B416, $C416, $D416, $G416,$E416, $F416, $H416, P$3)*1.3*1.3,0)),"-")</f>
        <v>192</v>
      </c>
      <c r="Q416" s="66" t="str">
        <f>IF($J416=Q$3,IF(Q$3&gt;$I416,"-",ROUNDUP(Ld_cal($B416, $C416, $D416, $G416,$E416, $F416, $H416, Q$3)*1.3*1.3,0)),"-")</f>
        <v>-</v>
      </c>
      <c r="R416" s="66" t="str">
        <f>IF($J416=R$3,IF(R$3&gt;$I416,"-",ROUNDUP(Ld_cal($B416, $C416, $D416, $G416,$E416, $F416, $H416, R$3)*1.3*1.3,0)),"-")</f>
        <v>-</v>
      </c>
      <c r="S416" s="66" t="str">
        <f>IF($J416=S$3,IF(S$3&gt;$I416,"-",ROUNDUP(Ld_cal($B416, $C416, $D416, $G416,$E416, $F416, $H416, S$3)*1.3*1.3,0)),"-")</f>
        <v>-</v>
      </c>
      <c r="T416" s="66" t="str">
        <f>IF($J416=T$3,IF(T$3&gt;$I416,"-",ROUNDUP(Ld_cal($B416, $C416, $D416, $G416,$E416, $F416, $H416, T$3)*1.3*1.3,0)),"-")</f>
        <v>-</v>
      </c>
      <c r="U416" s="66" t="str">
        <f>IF($J416=U$3,IF(U$3&gt;$I416,"-",ROUNDUP(Ld_cal($B416, $C416, $D416, $G416,$E416, $F416, $H416, U$3)*1.3*1.3,0)),"-")</f>
        <v>-</v>
      </c>
      <c r="V416" s="66" t="str">
        <f>IF($J416=V$3,IF(V$3&gt;$I416,"-",ROUNDUP(Ld_cal($B416, $C416, $D416, $G416,$E416, $F416, $H416, V$3)*1.3*1.3,0)),"-")</f>
        <v>-</v>
      </c>
      <c r="W416" s="66" t="str">
        <f>IF($J416=W$3,IF(W$3&gt;$I416,"-",ROUNDUP(Ld_cal($B416, $C416, $D416, $G416,$E416, $F416, $H416, W$3)*1.3*1.3,0)),"-")</f>
        <v>-</v>
      </c>
      <c r="X416" s="66" t="str">
        <f>IF($J416=X$3,IF(X$3&gt;$I416,"-",ROUNDUP(Ld_cal($B416, $C416, $D416, $G416,$E416, $F416, $H416, X$3)*1.3*1.3,0)),"-")</f>
        <v>-</v>
      </c>
      <c r="Y416" s="66" t="str">
        <f>IF($J416=Y$3,IF(Y$3&gt;$I416,"-",ROUNDUP(Ld_cal($B416, $C416, $D416, $G416,$E416, $F416, $H416, Y$3)*1.3*1.3,0)),"-")</f>
        <v>-</v>
      </c>
      <c r="Z416" s="66" t="str">
        <f>IF($J416=Z$3,IF(Z$3&gt;$I416,"-",ROUNDUP(Ld_cal($B416, $C416, $D416, $G416,$E416, $F416, $H416, Z$3)*1.3*1.3,0)),"-")</f>
        <v>-</v>
      </c>
      <c r="AA416" s="66" t="str">
        <f>IF($J416=AA$3,IF(AA$3&gt;$I416,"-",ROUNDUP(Ld_cal($B416, $C416, $D416, $G416,$E416, $F416, $H416, AA$3)*1.3*1.3,0)),"-")</f>
        <v>-</v>
      </c>
      <c r="AB416" s="66" t="str">
        <f>IF($J416=AB$3,IF(AB$3&gt;$I416,"-",ROUNDUP(Ld_cal($B416, $C416, $D416, $G416,$E416, $F416, $H416, AB$3)*1.3*1.3,0)),"-")</f>
        <v>-</v>
      </c>
      <c r="AC416" s="66" t="str">
        <f>IF($J416=AC$3,IF(AC$3&gt;$I416,"-",ROUNDUP(Ld_cal($B416, $C416, $D416, $G416,$E416, $F416, $H416, AC$3)*1.3*1.3,0)),"-")</f>
        <v>-</v>
      </c>
      <c r="AD416" s="66">
        <f t="shared" ref="AD416" si="406">IF(J416&gt;I416,"依標準圖",MAX(L416:AC416))</f>
        <v>192</v>
      </c>
    </row>
    <row r="417" spans="1:30">
      <c r="A417" s="106"/>
      <c r="B417" s="107"/>
      <c r="C417" s="108"/>
      <c r="D417" s="107"/>
      <c r="E417" s="109"/>
      <c r="F417" s="110"/>
      <c r="G417" s="107"/>
      <c r="H417" s="109"/>
      <c r="I417" s="111"/>
      <c r="J417" s="68">
        <v>11</v>
      </c>
      <c r="K417" s="40" t="s">
        <v>29</v>
      </c>
      <c r="L417" s="66" t="str">
        <f>IF($J417=L$3,IF(L$3&gt;$I416,"-",ROUNDUP(Ld_cal($B416, $C416, $D416, $G416,$E416, $F416, $H416, L$3)*1.3,0)),"-")</f>
        <v>-</v>
      </c>
      <c r="M417" s="66" t="str">
        <f>IF($J417=M$3,IF(M$3&gt;$I416,"-",ROUNDUP(Ld_cal($B416, $C416, $D416, $G416,$E416, $F416, $H416, M$3)*1.3,0)),"-")</f>
        <v>-</v>
      </c>
      <c r="N417" s="66" t="str">
        <f>IF($J417=N$3,IF(N$3&gt;$I416,"-",ROUNDUP(Ld_cal($B416, $C416, $D416, $G416,$E416, $F416, $H416, N$3)*1.3,0)),"-")</f>
        <v>-</v>
      </c>
      <c r="O417" s="66" t="str">
        <f>IF($J417=O$3,IF(O$3&gt;$I416,"-",ROUNDUP(Ld_cal($B416, $C416, $D416, $G416,$E416, $F416, $H416, O$3)*1.3,0)),"-")</f>
        <v>-</v>
      </c>
      <c r="P417" s="66" t="str">
        <f>IF($J417=P$3,IF(P$3&gt;$I416,"-",ROUNDUP(Ld_cal($B416, $C416, $D416, $G416,$E416, $F416, $H416, P$3)*1.3,0)),"-")</f>
        <v>-</v>
      </c>
      <c r="Q417" s="66" t="str">
        <f>IF($J417=Q$3,IF(Q$3&gt;$I416,"-",ROUNDUP(Ld_cal($B416, $C416, $D416, $G416,$E416, $F416, $H416, Q$3)*1.3,0)),"-")</f>
        <v>-</v>
      </c>
      <c r="R417" s="66" t="str">
        <f>IF($J417=R$3,IF(R$3&gt;$I416,"-",ROUNDUP(Ld_cal($B416, $C416, $D416, $G416,$E416, $F416, $H416, R$3)*1.3,0)),"-")</f>
        <v>-</v>
      </c>
      <c r="S417" s="66" t="str">
        <f>IF($J417=S$3,IF(S$3&gt;$I416,"-",ROUNDUP(Ld_cal($B416, $C416, $D416, $G416,$E416, $F416, $H416, S$3)*1.3,0)),"-")</f>
        <v>-</v>
      </c>
      <c r="T417" s="66" t="str">
        <f>IF($J417=T$3,IF(T$3&gt;$I416,"-",ROUNDUP(Ld_cal($B416, $C416, $D416, $G416,$E416, $F416, $H416, T$3)*1.3,0)),"-")</f>
        <v>-</v>
      </c>
      <c r="U417" s="66" t="str">
        <f>IF($J417=U$3,IF(U$3&gt;$I416,"-",ROUNDUP(Ld_cal($B416, $C416, $D416, $G416,$E416, $F416, $H416, U$3)*1.3,0)),"-")</f>
        <v>-</v>
      </c>
      <c r="V417" s="66" t="str">
        <f>IF($J417=V$3,IF(V$3&gt;$I416,"-",ROUNDUP(Ld_cal($B416, $C416, $D416, $G416,$E416, $F416, $H416, V$3)*1.3,0)),"-")</f>
        <v>-</v>
      </c>
      <c r="W417" s="66" t="str">
        <f>IF($J417=W$3,IF(W$3&gt;$I416,"-",ROUNDUP(Ld_cal($B416, $C416, $D416, $G416,$E416, $F416, $H416, W$3)*1.3,0)),"-")</f>
        <v>-</v>
      </c>
      <c r="X417" s="66" t="str">
        <f>IF($J417=X$3,IF(X$3&gt;$I416,"-",ROUNDUP(Ld_cal($B416, $C416, $D416, $G416,$E416, $F416, $H416, X$3)*1.3,0)),"-")</f>
        <v>-</v>
      </c>
      <c r="Y417" s="66" t="str">
        <f>IF($J417=Y$3,IF(Y$3&gt;$I416,"-",ROUNDUP(Ld_cal($B416, $C416, $D416, $G416,$E416, $F416, $H416, Y$3)*1.3,0)),"-")</f>
        <v>-</v>
      </c>
      <c r="Z417" s="66" t="str">
        <f>IF($J417=Z$3,IF(Z$3&gt;$I416,"-",ROUNDUP(Ld_cal($B416, $C416, $D416, $G416,$E416, $F416, $H416, Z$3)*1.3,0)),"-")</f>
        <v>-</v>
      </c>
      <c r="AA417" s="66" t="str">
        <f>IF($J417=AA$3,IF(AA$3&gt;$I416,"-",ROUNDUP(Ld_cal($B416, $C416, $D416, $G416,$E416, $F416, $H416, AA$3)*1.3,0)),"-")</f>
        <v>-</v>
      </c>
      <c r="AB417" s="66" t="str">
        <f>IF($J417=AB$3,IF(AB$3&gt;$I416,"-",ROUNDUP(Ld_cal($B416, $C416, $D416, $G416,$E416, $F416, $H416, AB$3)*1.3,0)),"-")</f>
        <v>-</v>
      </c>
      <c r="AC417" s="66" t="str">
        <f>IF($J417=AC$3,IF(AC$3&gt;$I416,"-",ROUNDUP(Ld_cal($B416, $C416, $D416, $G416,$E416, $F416, $H416, AC$3)*1.3,0)),"-")</f>
        <v>-</v>
      </c>
      <c r="AD417" s="66" t="str">
        <f t="shared" ref="AD417" si="407">IF(J417&gt;I416,"依標準圖",MAX(L417:AC417))</f>
        <v>依標準圖</v>
      </c>
    </row>
    <row r="418" spans="1:30">
      <c r="A418" s="97" t="s">
        <v>250</v>
      </c>
      <c r="B418" s="99">
        <v>80</v>
      </c>
      <c r="C418" s="100">
        <v>7.5</v>
      </c>
      <c r="D418" s="101">
        <v>4200</v>
      </c>
      <c r="E418" s="102">
        <v>13</v>
      </c>
      <c r="F418" s="103">
        <v>14</v>
      </c>
      <c r="G418" s="101">
        <v>350</v>
      </c>
      <c r="H418" s="102">
        <v>32</v>
      </c>
      <c r="I418" s="104">
        <f>ROUNDDOWN(($B418-2*$C418-2*$E418/10-$H418/10)/(($D$1+1)*$H418/10),0)+1</f>
        <v>10</v>
      </c>
      <c r="J418" s="67">
        <v>8</v>
      </c>
      <c r="K418" s="69" t="s">
        <v>30</v>
      </c>
      <c r="L418" s="65" t="str">
        <f>IF($J418=L$3,IF(L$3&gt;$I418,"-",ROUNDUP(Ld_cal($B418, $C418, $D418, $G418,$E418, $F418, $H418, L$3)*1.3*1.3,0)),"-")</f>
        <v>-</v>
      </c>
      <c r="M418" s="65" t="str">
        <f>IF($J418=M$3,IF(M$3&gt;$I418,"-",ROUNDUP(Ld_cal($B418, $C418, $D418, $G418,$E418, $F418, $H418, M$3)*1.3*1.3,0)),"-")</f>
        <v>-</v>
      </c>
      <c r="N418" s="65" t="str">
        <f>IF($J418=N$3,IF(N$3&gt;$I418,"-",ROUNDUP(Ld_cal($B418, $C418, $D418, $G418,$E418, $F418, $H418, N$3)*1.3*1.3,0)),"-")</f>
        <v>-</v>
      </c>
      <c r="O418" s="65" t="str">
        <f>IF($J418=O$3,IF(O$3&gt;$I418,"-",ROUNDUP(Ld_cal($B418, $C418, $D418, $G418,$E418, $F418, $H418, O$3)*1.3*1.3,0)),"-")</f>
        <v>-</v>
      </c>
      <c r="P418" s="65" t="str">
        <f>IF($J418=P$3,IF(P$3&gt;$I418,"-",ROUNDUP(Ld_cal($B418, $C418, $D418, $G418,$E418, $F418, $H418, P$3)*1.3*1.3,0)),"-")</f>
        <v>-</v>
      </c>
      <c r="Q418" s="65">
        <f>IF($J418=Q$3,IF(Q$3&gt;$I418,"-",ROUNDUP(Ld_cal($B418, $C418, $D418, $G418,$E418, $F418, $H418, Q$3)*1.3*1.3,0)),"-")</f>
        <v>211</v>
      </c>
      <c r="R418" s="65" t="str">
        <f>IF($J418=R$3,IF(R$3&gt;$I418,"-",ROUNDUP(Ld_cal($B418, $C418, $D418, $G418,$E418, $F418, $H418, R$3)*1.3*1.3,0)),"-")</f>
        <v>-</v>
      </c>
      <c r="S418" s="65" t="str">
        <f>IF($J418=S$3,IF(S$3&gt;$I418,"-",ROUNDUP(Ld_cal($B418, $C418, $D418, $G418,$E418, $F418, $H418, S$3)*1.3*1.3,0)),"-")</f>
        <v>-</v>
      </c>
      <c r="T418" s="65" t="str">
        <f>IF($J418=T$3,IF(T$3&gt;$I418,"-",ROUNDUP(Ld_cal($B418, $C418, $D418, $G418,$E418, $F418, $H418, T$3)*1.3*1.3,0)),"-")</f>
        <v>-</v>
      </c>
      <c r="U418" s="65" t="str">
        <f>IF($J418=U$3,IF(U$3&gt;$I418,"-",ROUNDUP(Ld_cal($B418, $C418, $D418, $G418,$E418, $F418, $H418, U$3)*1.3*1.3,0)),"-")</f>
        <v>-</v>
      </c>
      <c r="V418" s="65" t="str">
        <f>IF($J418=V$3,IF(V$3&gt;$I418,"-",ROUNDUP(Ld_cal($B418, $C418, $D418, $G418,$E418, $F418, $H418, V$3)*1.3*1.3,0)),"-")</f>
        <v>-</v>
      </c>
      <c r="W418" s="65" t="str">
        <f>IF($J418=W$3,IF(W$3&gt;$I418,"-",ROUNDUP(Ld_cal($B418, $C418, $D418, $G418,$E418, $F418, $H418, W$3)*1.3*1.3,0)),"-")</f>
        <v>-</v>
      </c>
      <c r="X418" s="65" t="str">
        <f>IF($J418=X$3,IF(X$3&gt;$I418,"-",ROUNDUP(Ld_cal($B418, $C418, $D418, $G418,$E418, $F418, $H418, X$3)*1.3*1.3,0)),"-")</f>
        <v>-</v>
      </c>
      <c r="Y418" s="65" t="str">
        <f>IF($J418=Y$3,IF(Y$3&gt;$I418,"-",ROUNDUP(Ld_cal($B418, $C418, $D418, $G418,$E418, $F418, $H418, Y$3)*1.3*1.3,0)),"-")</f>
        <v>-</v>
      </c>
      <c r="Z418" s="65" t="str">
        <f>IF($J418=Z$3,IF(Z$3&gt;$I418,"-",ROUNDUP(Ld_cal($B418, $C418, $D418, $G418,$E418, $F418, $H418, Z$3)*1.3*1.3,0)),"-")</f>
        <v>-</v>
      </c>
      <c r="AA418" s="65" t="str">
        <f>IF($J418=AA$3,IF(AA$3&gt;$I418,"-",ROUNDUP(Ld_cal($B418, $C418, $D418, $G418,$E418, $F418, $H418, AA$3)*1.3*1.3,0)),"-")</f>
        <v>-</v>
      </c>
      <c r="AB418" s="65" t="str">
        <f>IF($J418=AB$3,IF(AB$3&gt;$I418,"-",ROUNDUP(Ld_cal($B418, $C418, $D418, $G418,$E418, $F418, $H418, AB$3)*1.3*1.3,0)),"-")</f>
        <v>-</v>
      </c>
      <c r="AC418" s="65" t="str">
        <f>IF($J418=AC$3,IF(AC$3&gt;$I418,"-",ROUNDUP(Ld_cal($B418, $C418, $D418, $G418,$E418, $F418, $H418, AC$3)*1.3*1.3,0)),"-")</f>
        <v>-</v>
      </c>
      <c r="AD418" s="65">
        <f t="shared" ref="AD418" si="408">IF(J418&gt;I418,"依標準圖",MAX(L418:AC418))</f>
        <v>211</v>
      </c>
    </row>
    <row r="419" spans="1:30">
      <c r="A419" s="98"/>
      <c r="B419" s="99"/>
      <c r="C419" s="100"/>
      <c r="D419" s="101"/>
      <c r="E419" s="102"/>
      <c r="F419" s="103"/>
      <c r="G419" s="101"/>
      <c r="H419" s="102"/>
      <c r="I419" s="104"/>
      <c r="J419" s="67">
        <v>4</v>
      </c>
      <c r="K419" s="69" t="s">
        <v>29</v>
      </c>
      <c r="L419" s="65" t="str">
        <f>IF($J419=L$3,IF(L$3&gt;$I418,"-",ROUNDUP(Ld_cal($B418, $C418, $D418, $G418,$E418, $F418, $H418, L$3)*1.3,0)),"-")</f>
        <v>-</v>
      </c>
      <c r="M419" s="65">
        <f>IF($J419=M$3,IF(M$3&gt;$I418,"-",ROUNDUP(Ld_cal($B418, $C418, $D418, $G418,$E418, $F418, $H418, M$3)*1.3,0)),"-")</f>
        <v>105</v>
      </c>
      <c r="N419" s="65" t="str">
        <f>IF($J419=N$3,IF(N$3&gt;$I418,"-",ROUNDUP(Ld_cal($B418, $C418, $D418, $G418,$E418, $F418, $H418, N$3)*1.3,0)),"-")</f>
        <v>-</v>
      </c>
      <c r="O419" s="65" t="str">
        <f>IF($J419=O$3,IF(O$3&gt;$I418,"-",ROUNDUP(Ld_cal($B418, $C418, $D418, $G418,$E418, $F418, $H418, O$3)*1.3,0)),"-")</f>
        <v>-</v>
      </c>
      <c r="P419" s="65" t="str">
        <f>IF($J419=P$3,IF(P$3&gt;$I418,"-",ROUNDUP(Ld_cal($B418, $C418, $D418, $G418,$E418, $F418, $H418, P$3)*1.3,0)),"-")</f>
        <v>-</v>
      </c>
      <c r="Q419" s="65" t="str">
        <f>IF($J419=Q$3,IF(Q$3&gt;$I418,"-",ROUNDUP(Ld_cal($B418, $C418, $D418, $G418,$E418, $F418, $H418, Q$3)*1.3,0)),"-")</f>
        <v>-</v>
      </c>
      <c r="R419" s="65" t="str">
        <f>IF($J419=R$3,IF(R$3&gt;$I418,"-",ROUNDUP(Ld_cal($B418, $C418, $D418, $G418,$E418, $F418, $H418, R$3)*1.3,0)),"-")</f>
        <v>-</v>
      </c>
      <c r="S419" s="65" t="str">
        <f>IF($J419=S$3,IF(S$3&gt;$I418,"-",ROUNDUP(Ld_cal($B418, $C418, $D418, $G418,$E418, $F418, $H418, S$3)*1.3,0)),"-")</f>
        <v>-</v>
      </c>
      <c r="T419" s="65" t="str">
        <f>IF($J419=T$3,IF(T$3&gt;$I418,"-",ROUNDUP(Ld_cal($B418, $C418, $D418, $G418,$E418, $F418, $H418, T$3)*1.3,0)),"-")</f>
        <v>-</v>
      </c>
      <c r="U419" s="65" t="str">
        <f>IF($J419=U$3,IF(U$3&gt;$I418,"-",ROUNDUP(Ld_cal($B418, $C418, $D418, $G418,$E418, $F418, $H418, U$3)*1.3,0)),"-")</f>
        <v>-</v>
      </c>
      <c r="V419" s="65" t="str">
        <f>IF($J419=V$3,IF(V$3&gt;$I418,"-",ROUNDUP(Ld_cal($B418, $C418, $D418, $G418,$E418, $F418, $H418, V$3)*1.3,0)),"-")</f>
        <v>-</v>
      </c>
      <c r="W419" s="65" t="str">
        <f>IF($J419=W$3,IF(W$3&gt;$I418,"-",ROUNDUP(Ld_cal($B418, $C418, $D418, $G418,$E418, $F418, $H418, W$3)*1.3,0)),"-")</f>
        <v>-</v>
      </c>
      <c r="X419" s="65" t="str">
        <f>IF($J419=X$3,IF(X$3&gt;$I418,"-",ROUNDUP(Ld_cal($B418, $C418, $D418, $G418,$E418, $F418, $H418, X$3)*1.3,0)),"-")</f>
        <v>-</v>
      </c>
      <c r="Y419" s="65" t="str">
        <f>IF($J419=Y$3,IF(Y$3&gt;$I418,"-",ROUNDUP(Ld_cal($B418, $C418, $D418, $G418,$E418, $F418, $H418, Y$3)*1.3,0)),"-")</f>
        <v>-</v>
      </c>
      <c r="Z419" s="65" t="str">
        <f>IF($J419=Z$3,IF(Z$3&gt;$I418,"-",ROUNDUP(Ld_cal($B418, $C418, $D418, $G418,$E418, $F418, $H418, Z$3)*1.3,0)),"-")</f>
        <v>-</v>
      </c>
      <c r="AA419" s="65" t="str">
        <f>IF($J419=AA$3,IF(AA$3&gt;$I418,"-",ROUNDUP(Ld_cal($B418, $C418, $D418, $G418,$E418, $F418, $H418, AA$3)*1.3,0)),"-")</f>
        <v>-</v>
      </c>
      <c r="AB419" s="65" t="str">
        <f>IF($J419=AB$3,IF(AB$3&gt;$I418,"-",ROUNDUP(Ld_cal($B418, $C418, $D418, $G418,$E418, $F418, $H418, AB$3)*1.3,0)),"-")</f>
        <v>-</v>
      </c>
      <c r="AC419" s="65" t="str">
        <f>IF($J419=AC$3,IF(AC$3&gt;$I418,"-",ROUNDUP(Ld_cal($B418, $C418, $D418, $G418,$E418, $F418, $H418, AC$3)*1.3,0)),"-")</f>
        <v>-</v>
      </c>
      <c r="AD419" s="65">
        <f t="shared" ref="AD419" si="409">IF(J419&gt;I418,"依標準圖",MAX(L419:AC419))</f>
        <v>105</v>
      </c>
    </row>
    <row r="420" spans="1:30">
      <c r="A420" s="105" t="s">
        <v>251</v>
      </c>
      <c r="B420" s="107">
        <v>80</v>
      </c>
      <c r="C420" s="108">
        <v>7.5</v>
      </c>
      <c r="D420" s="107">
        <v>4200</v>
      </c>
      <c r="E420" s="109">
        <v>16</v>
      </c>
      <c r="F420" s="110">
        <v>25</v>
      </c>
      <c r="G420" s="107">
        <v>350</v>
      </c>
      <c r="H420" s="109">
        <v>32</v>
      </c>
      <c r="I420" s="111">
        <f>ROUNDDOWN(($B420-2*$C420-2*$E420/10-$H420/10)/(($D$1+1)*$H420/10),0)+1</f>
        <v>10</v>
      </c>
      <c r="J420" s="68">
        <v>4</v>
      </c>
      <c r="K420" s="40" t="s">
        <v>30</v>
      </c>
      <c r="L420" s="66" t="str">
        <f>IF($J420=L$3,IF(L$3&gt;$I420,"-",ROUNDUP(Ld_cal($B420, $C420, $D420, $G420,$E420, $F420, $H420, L$3)*1.3*1.3,0)),"-")</f>
        <v>-</v>
      </c>
      <c r="M420" s="66">
        <f>IF($J420=M$3,IF(M$3&gt;$I420,"-",ROUNDUP(Ld_cal($B420, $C420, $D420, $G420,$E420, $F420, $H420, M$3)*1.3*1.3,0)),"-")</f>
        <v>136</v>
      </c>
      <c r="N420" s="66" t="str">
        <f>IF($J420=N$3,IF(N$3&gt;$I420,"-",ROUNDUP(Ld_cal($B420, $C420, $D420, $G420,$E420, $F420, $H420, N$3)*1.3*1.3,0)),"-")</f>
        <v>-</v>
      </c>
      <c r="O420" s="66" t="str">
        <f>IF($J420=O$3,IF(O$3&gt;$I420,"-",ROUNDUP(Ld_cal($B420, $C420, $D420, $G420,$E420, $F420, $H420, O$3)*1.3*1.3,0)),"-")</f>
        <v>-</v>
      </c>
      <c r="P420" s="66" t="str">
        <f>IF($J420=P$3,IF(P$3&gt;$I420,"-",ROUNDUP(Ld_cal($B420, $C420, $D420, $G420,$E420, $F420, $H420, P$3)*1.3*1.3,0)),"-")</f>
        <v>-</v>
      </c>
      <c r="Q420" s="66" t="str">
        <f>IF($J420=Q$3,IF(Q$3&gt;$I420,"-",ROUNDUP(Ld_cal($B420, $C420, $D420, $G420,$E420, $F420, $H420, Q$3)*1.3*1.3,0)),"-")</f>
        <v>-</v>
      </c>
      <c r="R420" s="66" t="str">
        <f>IF($J420=R$3,IF(R$3&gt;$I420,"-",ROUNDUP(Ld_cal($B420, $C420, $D420, $G420,$E420, $F420, $H420, R$3)*1.3*1.3,0)),"-")</f>
        <v>-</v>
      </c>
      <c r="S420" s="66" t="str">
        <f>IF($J420=S$3,IF(S$3&gt;$I420,"-",ROUNDUP(Ld_cal($B420, $C420, $D420, $G420,$E420, $F420, $H420, S$3)*1.3*1.3,0)),"-")</f>
        <v>-</v>
      </c>
      <c r="T420" s="66" t="str">
        <f>IF($J420=T$3,IF(T$3&gt;$I420,"-",ROUNDUP(Ld_cal($B420, $C420, $D420, $G420,$E420, $F420, $H420, T$3)*1.3*1.3,0)),"-")</f>
        <v>-</v>
      </c>
      <c r="U420" s="66" t="str">
        <f>IF($J420=U$3,IF(U$3&gt;$I420,"-",ROUNDUP(Ld_cal($B420, $C420, $D420, $G420,$E420, $F420, $H420, U$3)*1.3*1.3,0)),"-")</f>
        <v>-</v>
      </c>
      <c r="V420" s="66" t="str">
        <f>IF($J420=V$3,IF(V$3&gt;$I420,"-",ROUNDUP(Ld_cal($B420, $C420, $D420, $G420,$E420, $F420, $H420, V$3)*1.3*1.3,0)),"-")</f>
        <v>-</v>
      </c>
      <c r="W420" s="66" t="str">
        <f>IF($J420=W$3,IF(W$3&gt;$I420,"-",ROUNDUP(Ld_cal($B420, $C420, $D420, $G420,$E420, $F420, $H420, W$3)*1.3*1.3,0)),"-")</f>
        <v>-</v>
      </c>
      <c r="X420" s="66" t="str">
        <f>IF($J420=X$3,IF(X$3&gt;$I420,"-",ROUNDUP(Ld_cal($B420, $C420, $D420, $G420,$E420, $F420, $H420, X$3)*1.3*1.3,0)),"-")</f>
        <v>-</v>
      </c>
      <c r="Y420" s="66" t="str">
        <f>IF($J420=Y$3,IF(Y$3&gt;$I420,"-",ROUNDUP(Ld_cal($B420, $C420, $D420, $G420,$E420, $F420, $H420, Y$3)*1.3*1.3,0)),"-")</f>
        <v>-</v>
      </c>
      <c r="Z420" s="66" t="str">
        <f>IF($J420=Z$3,IF(Z$3&gt;$I420,"-",ROUNDUP(Ld_cal($B420, $C420, $D420, $G420,$E420, $F420, $H420, Z$3)*1.3*1.3,0)),"-")</f>
        <v>-</v>
      </c>
      <c r="AA420" s="66" t="str">
        <f>IF($J420=AA$3,IF(AA$3&gt;$I420,"-",ROUNDUP(Ld_cal($B420, $C420, $D420, $G420,$E420, $F420, $H420, AA$3)*1.3*1.3,0)),"-")</f>
        <v>-</v>
      </c>
      <c r="AB420" s="66" t="str">
        <f>IF($J420=AB$3,IF(AB$3&gt;$I420,"-",ROUNDUP(Ld_cal($B420, $C420, $D420, $G420,$E420, $F420, $H420, AB$3)*1.3*1.3,0)),"-")</f>
        <v>-</v>
      </c>
      <c r="AC420" s="66" t="str">
        <f>IF($J420=AC$3,IF(AC$3&gt;$I420,"-",ROUNDUP(Ld_cal($B420, $C420, $D420, $G420,$E420, $F420, $H420, AC$3)*1.3*1.3,0)),"-")</f>
        <v>-</v>
      </c>
      <c r="AD420" s="66">
        <f t="shared" ref="AD420" si="410">IF(J420&gt;I420,"依標準圖",MAX(L420:AC420))</f>
        <v>136</v>
      </c>
    </row>
    <row r="421" spans="1:30">
      <c r="A421" s="106"/>
      <c r="B421" s="107"/>
      <c r="C421" s="108"/>
      <c r="D421" s="107"/>
      <c r="E421" s="109"/>
      <c r="F421" s="110"/>
      <c r="G421" s="107"/>
      <c r="H421" s="109"/>
      <c r="I421" s="111"/>
      <c r="J421" s="68">
        <v>4</v>
      </c>
      <c r="K421" s="40" t="s">
        <v>29</v>
      </c>
      <c r="L421" s="66" t="str">
        <f>IF($J421=L$3,IF(L$3&gt;$I420,"-",ROUNDUP(Ld_cal($B420, $C420, $D420, $G420,$E420, $F420, $H420, L$3)*1.3,0)),"-")</f>
        <v>-</v>
      </c>
      <c r="M421" s="66">
        <f>IF($J421=M$3,IF(M$3&gt;$I420,"-",ROUNDUP(Ld_cal($B420, $C420, $D420, $G420,$E420, $F420, $H420, M$3)*1.3,0)),"-")</f>
        <v>105</v>
      </c>
      <c r="N421" s="66" t="str">
        <f>IF($J421=N$3,IF(N$3&gt;$I420,"-",ROUNDUP(Ld_cal($B420, $C420, $D420, $G420,$E420, $F420, $H420, N$3)*1.3,0)),"-")</f>
        <v>-</v>
      </c>
      <c r="O421" s="66" t="str">
        <f>IF($J421=O$3,IF(O$3&gt;$I420,"-",ROUNDUP(Ld_cal($B420, $C420, $D420, $G420,$E420, $F420, $H420, O$3)*1.3,0)),"-")</f>
        <v>-</v>
      </c>
      <c r="P421" s="66" t="str">
        <f>IF($J421=P$3,IF(P$3&gt;$I420,"-",ROUNDUP(Ld_cal($B420, $C420, $D420, $G420,$E420, $F420, $H420, P$3)*1.3,0)),"-")</f>
        <v>-</v>
      </c>
      <c r="Q421" s="66" t="str">
        <f>IF($J421=Q$3,IF(Q$3&gt;$I420,"-",ROUNDUP(Ld_cal($B420, $C420, $D420, $G420,$E420, $F420, $H420, Q$3)*1.3,0)),"-")</f>
        <v>-</v>
      </c>
      <c r="R421" s="66" t="str">
        <f>IF($J421=R$3,IF(R$3&gt;$I420,"-",ROUNDUP(Ld_cal($B420, $C420, $D420, $G420,$E420, $F420, $H420, R$3)*1.3,0)),"-")</f>
        <v>-</v>
      </c>
      <c r="S421" s="66" t="str">
        <f>IF($J421=S$3,IF(S$3&gt;$I420,"-",ROUNDUP(Ld_cal($B420, $C420, $D420, $G420,$E420, $F420, $H420, S$3)*1.3,0)),"-")</f>
        <v>-</v>
      </c>
      <c r="T421" s="66" t="str">
        <f>IF($J421=T$3,IF(T$3&gt;$I420,"-",ROUNDUP(Ld_cal($B420, $C420, $D420, $G420,$E420, $F420, $H420, T$3)*1.3,0)),"-")</f>
        <v>-</v>
      </c>
      <c r="U421" s="66" t="str">
        <f>IF($J421=U$3,IF(U$3&gt;$I420,"-",ROUNDUP(Ld_cal($B420, $C420, $D420, $G420,$E420, $F420, $H420, U$3)*1.3,0)),"-")</f>
        <v>-</v>
      </c>
      <c r="V421" s="66" t="str">
        <f>IF($J421=V$3,IF(V$3&gt;$I420,"-",ROUNDUP(Ld_cal($B420, $C420, $D420, $G420,$E420, $F420, $H420, V$3)*1.3,0)),"-")</f>
        <v>-</v>
      </c>
      <c r="W421" s="66" t="str">
        <f>IF($J421=W$3,IF(W$3&gt;$I420,"-",ROUNDUP(Ld_cal($B420, $C420, $D420, $G420,$E420, $F420, $H420, W$3)*1.3,0)),"-")</f>
        <v>-</v>
      </c>
      <c r="X421" s="66" t="str">
        <f>IF($J421=X$3,IF(X$3&gt;$I420,"-",ROUNDUP(Ld_cal($B420, $C420, $D420, $G420,$E420, $F420, $H420, X$3)*1.3,0)),"-")</f>
        <v>-</v>
      </c>
      <c r="Y421" s="66" t="str">
        <f>IF($J421=Y$3,IF(Y$3&gt;$I420,"-",ROUNDUP(Ld_cal($B420, $C420, $D420, $G420,$E420, $F420, $H420, Y$3)*1.3,0)),"-")</f>
        <v>-</v>
      </c>
      <c r="Z421" s="66" t="str">
        <f>IF($J421=Z$3,IF(Z$3&gt;$I420,"-",ROUNDUP(Ld_cal($B420, $C420, $D420, $G420,$E420, $F420, $H420, Z$3)*1.3,0)),"-")</f>
        <v>-</v>
      </c>
      <c r="AA421" s="66" t="str">
        <f>IF($J421=AA$3,IF(AA$3&gt;$I420,"-",ROUNDUP(Ld_cal($B420, $C420, $D420, $G420,$E420, $F420, $H420, AA$3)*1.3,0)),"-")</f>
        <v>-</v>
      </c>
      <c r="AB421" s="66" t="str">
        <f>IF($J421=AB$3,IF(AB$3&gt;$I420,"-",ROUNDUP(Ld_cal($B420, $C420, $D420, $G420,$E420, $F420, $H420, AB$3)*1.3,0)),"-")</f>
        <v>-</v>
      </c>
      <c r="AC421" s="66" t="str">
        <f>IF($J421=AC$3,IF(AC$3&gt;$I420,"-",ROUNDUP(Ld_cal($B420, $C420, $D420, $G420,$E420, $F420, $H420, AC$3)*1.3,0)),"-")</f>
        <v>-</v>
      </c>
      <c r="AD421" s="66">
        <f t="shared" ref="AD421" si="411">IF(J421&gt;I420,"依標準圖",MAX(L421:AC421))</f>
        <v>105</v>
      </c>
    </row>
    <row r="422" spans="1:30">
      <c r="A422" s="97" t="s">
        <v>252</v>
      </c>
      <c r="B422" s="99">
        <v>80</v>
      </c>
      <c r="C422" s="100">
        <v>7.5</v>
      </c>
      <c r="D422" s="101">
        <v>4200</v>
      </c>
      <c r="E422" s="102">
        <v>13</v>
      </c>
      <c r="F422" s="103">
        <v>25</v>
      </c>
      <c r="G422" s="101">
        <v>350</v>
      </c>
      <c r="H422" s="102">
        <v>32</v>
      </c>
      <c r="I422" s="104">
        <f>ROUNDDOWN(($B422-2*$C422-2*$E422/10-$H422/10)/(($D$1+1)*$H422/10),0)+1</f>
        <v>10</v>
      </c>
      <c r="J422" s="67">
        <v>6</v>
      </c>
      <c r="K422" s="69" t="s">
        <v>30</v>
      </c>
      <c r="L422" s="65" t="str">
        <f>IF($J422=L$3,IF(L$3&gt;$I422,"-",ROUNDUP(Ld_cal($B422, $C422, $D422, $G422,$E422, $F422, $H422, L$3)*1.3*1.3,0)),"-")</f>
        <v>-</v>
      </c>
      <c r="M422" s="65" t="str">
        <f>IF($J422=M$3,IF(M$3&gt;$I422,"-",ROUNDUP(Ld_cal($B422, $C422, $D422, $G422,$E422, $F422, $H422, M$3)*1.3*1.3,0)),"-")</f>
        <v>-</v>
      </c>
      <c r="N422" s="65" t="str">
        <f>IF($J422=N$3,IF(N$3&gt;$I422,"-",ROUNDUP(Ld_cal($B422, $C422, $D422, $G422,$E422, $F422, $H422, N$3)*1.3*1.3,0)),"-")</f>
        <v>-</v>
      </c>
      <c r="O422" s="65">
        <f>IF($J422=O$3,IF(O$3&gt;$I422,"-",ROUNDUP(Ld_cal($B422, $C422, $D422, $G422,$E422, $F422, $H422, O$3)*1.3*1.3,0)),"-")</f>
        <v>165</v>
      </c>
      <c r="P422" s="65" t="str">
        <f>IF($J422=P$3,IF(P$3&gt;$I422,"-",ROUNDUP(Ld_cal($B422, $C422, $D422, $G422,$E422, $F422, $H422, P$3)*1.3*1.3,0)),"-")</f>
        <v>-</v>
      </c>
      <c r="Q422" s="65" t="str">
        <f>IF($J422=Q$3,IF(Q$3&gt;$I422,"-",ROUNDUP(Ld_cal($B422, $C422, $D422, $G422,$E422, $F422, $H422, Q$3)*1.3*1.3,0)),"-")</f>
        <v>-</v>
      </c>
      <c r="R422" s="65" t="str">
        <f>IF($J422=R$3,IF(R$3&gt;$I422,"-",ROUNDUP(Ld_cal($B422, $C422, $D422, $G422,$E422, $F422, $H422, R$3)*1.3*1.3,0)),"-")</f>
        <v>-</v>
      </c>
      <c r="S422" s="65" t="str">
        <f>IF($J422=S$3,IF(S$3&gt;$I422,"-",ROUNDUP(Ld_cal($B422, $C422, $D422, $G422,$E422, $F422, $H422, S$3)*1.3*1.3,0)),"-")</f>
        <v>-</v>
      </c>
      <c r="T422" s="65" t="str">
        <f>IF($J422=T$3,IF(T$3&gt;$I422,"-",ROUNDUP(Ld_cal($B422, $C422, $D422, $G422,$E422, $F422, $H422, T$3)*1.3*1.3,0)),"-")</f>
        <v>-</v>
      </c>
      <c r="U422" s="65" t="str">
        <f>IF($J422=U$3,IF(U$3&gt;$I422,"-",ROUNDUP(Ld_cal($B422, $C422, $D422, $G422,$E422, $F422, $H422, U$3)*1.3*1.3,0)),"-")</f>
        <v>-</v>
      </c>
      <c r="V422" s="65" t="str">
        <f>IF($J422=V$3,IF(V$3&gt;$I422,"-",ROUNDUP(Ld_cal($B422, $C422, $D422, $G422,$E422, $F422, $H422, V$3)*1.3*1.3,0)),"-")</f>
        <v>-</v>
      </c>
      <c r="W422" s="65" t="str">
        <f>IF($J422=W$3,IF(W$3&gt;$I422,"-",ROUNDUP(Ld_cal($B422, $C422, $D422, $G422,$E422, $F422, $H422, W$3)*1.3*1.3,0)),"-")</f>
        <v>-</v>
      </c>
      <c r="X422" s="65" t="str">
        <f>IF($J422=X$3,IF(X$3&gt;$I422,"-",ROUNDUP(Ld_cal($B422, $C422, $D422, $G422,$E422, $F422, $H422, X$3)*1.3*1.3,0)),"-")</f>
        <v>-</v>
      </c>
      <c r="Y422" s="65" t="str">
        <f>IF($J422=Y$3,IF(Y$3&gt;$I422,"-",ROUNDUP(Ld_cal($B422, $C422, $D422, $G422,$E422, $F422, $H422, Y$3)*1.3*1.3,0)),"-")</f>
        <v>-</v>
      </c>
      <c r="Z422" s="65" t="str">
        <f>IF($J422=Z$3,IF(Z$3&gt;$I422,"-",ROUNDUP(Ld_cal($B422, $C422, $D422, $G422,$E422, $F422, $H422, Z$3)*1.3*1.3,0)),"-")</f>
        <v>-</v>
      </c>
      <c r="AA422" s="65" t="str">
        <f>IF($J422=AA$3,IF(AA$3&gt;$I422,"-",ROUNDUP(Ld_cal($B422, $C422, $D422, $G422,$E422, $F422, $H422, AA$3)*1.3*1.3,0)),"-")</f>
        <v>-</v>
      </c>
      <c r="AB422" s="65" t="str">
        <f>IF($J422=AB$3,IF(AB$3&gt;$I422,"-",ROUNDUP(Ld_cal($B422, $C422, $D422, $G422,$E422, $F422, $H422, AB$3)*1.3*1.3,0)),"-")</f>
        <v>-</v>
      </c>
      <c r="AC422" s="65" t="str">
        <f>IF($J422=AC$3,IF(AC$3&gt;$I422,"-",ROUNDUP(Ld_cal($B422, $C422, $D422, $G422,$E422, $F422, $H422, AC$3)*1.3*1.3,0)),"-")</f>
        <v>-</v>
      </c>
      <c r="AD422" s="65">
        <f t="shared" ref="AD422" si="412">IF(J422&gt;I422,"依標準圖",MAX(L422:AC422))</f>
        <v>165</v>
      </c>
    </row>
    <row r="423" spans="1:30">
      <c r="A423" s="98"/>
      <c r="B423" s="99"/>
      <c r="C423" s="100"/>
      <c r="D423" s="101"/>
      <c r="E423" s="102"/>
      <c r="F423" s="103"/>
      <c r="G423" s="101"/>
      <c r="H423" s="102"/>
      <c r="I423" s="104"/>
      <c r="J423" s="67">
        <v>4</v>
      </c>
      <c r="K423" s="69" t="s">
        <v>29</v>
      </c>
      <c r="L423" s="65" t="str">
        <f>IF($J423=L$3,IF(L$3&gt;$I422,"-",ROUNDUP(Ld_cal($B422, $C422, $D422, $G422,$E422, $F422, $H422, L$3)*1.3,0)),"-")</f>
        <v>-</v>
      </c>
      <c r="M423" s="65">
        <f>IF($J423=M$3,IF(M$3&gt;$I422,"-",ROUNDUP(Ld_cal($B422, $C422, $D422, $G422,$E422, $F422, $H422, M$3)*1.3,0)),"-")</f>
        <v>105</v>
      </c>
      <c r="N423" s="65" t="str">
        <f>IF($J423=N$3,IF(N$3&gt;$I422,"-",ROUNDUP(Ld_cal($B422, $C422, $D422, $G422,$E422, $F422, $H422, N$3)*1.3,0)),"-")</f>
        <v>-</v>
      </c>
      <c r="O423" s="65" t="str">
        <f>IF($J423=O$3,IF(O$3&gt;$I422,"-",ROUNDUP(Ld_cal($B422, $C422, $D422, $G422,$E422, $F422, $H422, O$3)*1.3,0)),"-")</f>
        <v>-</v>
      </c>
      <c r="P423" s="65" t="str">
        <f>IF($J423=P$3,IF(P$3&gt;$I422,"-",ROUNDUP(Ld_cal($B422, $C422, $D422, $G422,$E422, $F422, $H422, P$3)*1.3,0)),"-")</f>
        <v>-</v>
      </c>
      <c r="Q423" s="65" t="str">
        <f>IF($J423=Q$3,IF(Q$3&gt;$I422,"-",ROUNDUP(Ld_cal($B422, $C422, $D422, $G422,$E422, $F422, $H422, Q$3)*1.3,0)),"-")</f>
        <v>-</v>
      </c>
      <c r="R423" s="65" t="str">
        <f>IF($J423=R$3,IF(R$3&gt;$I422,"-",ROUNDUP(Ld_cal($B422, $C422, $D422, $G422,$E422, $F422, $H422, R$3)*1.3,0)),"-")</f>
        <v>-</v>
      </c>
      <c r="S423" s="65" t="str">
        <f>IF($J423=S$3,IF(S$3&gt;$I422,"-",ROUNDUP(Ld_cal($B422, $C422, $D422, $G422,$E422, $F422, $H422, S$3)*1.3,0)),"-")</f>
        <v>-</v>
      </c>
      <c r="T423" s="65" t="str">
        <f>IF($J423=T$3,IF(T$3&gt;$I422,"-",ROUNDUP(Ld_cal($B422, $C422, $D422, $G422,$E422, $F422, $H422, T$3)*1.3,0)),"-")</f>
        <v>-</v>
      </c>
      <c r="U423" s="65" t="str">
        <f>IF($J423=U$3,IF(U$3&gt;$I422,"-",ROUNDUP(Ld_cal($B422, $C422, $D422, $G422,$E422, $F422, $H422, U$3)*1.3,0)),"-")</f>
        <v>-</v>
      </c>
      <c r="V423" s="65" t="str">
        <f>IF($J423=V$3,IF(V$3&gt;$I422,"-",ROUNDUP(Ld_cal($B422, $C422, $D422, $G422,$E422, $F422, $H422, V$3)*1.3,0)),"-")</f>
        <v>-</v>
      </c>
      <c r="W423" s="65" t="str">
        <f>IF($J423=W$3,IF(W$3&gt;$I422,"-",ROUNDUP(Ld_cal($B422, $C422, $D422, $G422,$E422, $F422, $H422, W$3)*1.3,0)),"-")</f>
        <v>-</v>
      </c>
      <c r="X423" s="65" t="str">
        <f>IF($J423=X$3,IF(X$3&gt;$I422,"-",ROUNDUP(Ld_cal($B422, $C422, $D422, $G422,$E422, $F422, $H422, X$3)*1.3,0)),"-")</f>
        <v>-</v>
      </c>
      <c r="Y423" s="65" t="str">
        <f>IF($J423=Y$3,IF(Y$3&gt;$I422,"-",ROUNDUP(Ld_cal($B422, $C422, $D422, $G422,$E422, $F422, $H422, Y$3)*1.3,0)),"-")</f>
        <v>-</v>
      </c>
      <c r="Z423" s="65" t="str">
        <f>IF($J423=Z$3,IF(Z$3&gt;$I422,"-",ROUNDUP(Ld_cal($B422, $C422, $D422, $G422,$E422, $F422, $H422, Z$3)*1.3,0)),"-")</f>
        <v>-</v>
      </c>
      <c r="AA423" s="65" t="str">
        <f>IF($J423=AA$3,IF(AA$3&gt;$I422,"-",ROUNDUP(Ld_cal($B422, $C422, $D422, $G422,$E422, $F422, $H422, AA$3)*1.3,0)),"-")</f>
        <v>-</v>
      </c>
      <c r="AB423" s="65" t="str">
        <f>IF($J423=AB$3,IF(AB$3&gt;$I422,"-",ROUNDUP(Ld_cal($B422, $C422, $D422, $G422,$E422, $F422, $H422, AB$3)*1.3,0)),"-")</f>
        <v>-</v>
      </c>
      <c r="AC423" s="65" t="str">
        <f>IF($J423=AC$3,IF(AC$3&gt;$I422,"-",ROUNDUP(Ld_cal($B422, $C422, $D422, $G422,$E422, $F422, $H422, AC$3)*1.3,0)),"-")</f>
        <v>-</v>
      </c>
      <c r="AD423" s="65">
        <f t="shared" ref="AD423" si="413">IF(J423&gt;I422,"依標準圖",MAX(L423:AC423))</f>
        <v>105</v>
      </c>
    </row>
    <row r="424" spans="1:30">
      <c r="A424" s="105" t="s">
        <v>253</v>
      </c>
      <c r="B424" s="107">
        <v>80</v>
      </c>
      <c r="C424" s="108">
        <v>7.5</v>
      </c>
      <c r="D424" s="107">
        <v>4200</v>
      </c>
      <c r="E424" s="109">
        <v>16</v>
      </c>
      <c r="F424" s="110">
        <v>25</v>
      </c>
      <c r="G424" s="107">
        <v>350</v>
      </c>
      <c r="H424" s="109">
        <v>32</v>
      </c>
      <c r="I424" s="111">
        <f>ROUNDDOWN(($B424-2*$C424-2*$E424/10-$H424/10)/(($D$1+1)*$H424/10),0)+1</f>
        <v>10</v>
      </c>
      <c r="J424" s="68">
        <v>4</v>
      </c>
      <c r="K424" s="40" t="s">
        <v>30</v>
      </c>
      <c r="L424" s="66" t="str">
        <f>IF($J424=L$3,IF(L$3&gt;$I424,"-",ROUNDUP(Ld_cal($B424, $C424, $D424, $G424,$E424, $F424, $H424, L$3)*1.3*1.3,0)),"-")</f>
        <v>-</v>
      </c>
      <c r="M424" s="66">
        <f>IF($J424=M$3,IF(M$3&gt;$I424,"-",ROUNDUP(Ld_cal($B424, $C424, $D424, $G424,$E424, $F424, $H424, M$3)*1.3*1.3,0)),"-")</f>
        <v>136</v>
      </c>
      <c r="N424" s="66" t="str">
        <f>IF($J424=N$3,IF(N$3&gt;$I424,"-",ROUNDUP(Ld_cal($B424, $C424, $D424, $G424,$E424, $F424, $H424, N$3)*1.3*1.3,0)),"-")</f>
        <v>-</v>
      </c>
      <c r="O424" s="66" t="str">
        <f>IF($J424=O$3,IF(O$3&gt;$I424,"-",ROUNDUP(Ld_cal($B424, $C424, $D424, $G424,$E424, $F424, $H424, O$3)*1.3*1.3,0)),"-")</f>
        <v>-</v>
      </c>
      <c r="P424" s="66" t="str">
        <f>IF($J424=P$3,IF(P$3&gt;$I424,"-",ROUNDUP(Ld_cal($B424, $C424, $D424, $G424,$E424, $F424, $H424, P$3)*1.3*1.3,0)),"-")</f>
        <v>-</v>
      </c>
      <c r="Q424" s="66" t="str">
        <f>IF($J424=Q$3,IF(Q$3&gt;$I424,"-",ROUNDUP(Ld_cal($B424, $C424, $D424, $G424,$E424, $F424, $H424, Q$3)*1.3*1.3,0)),"-")</f>
        <v>-</v>
      </c>
      <c r="R424" s="66" t="str">
        <f>IF($J424=R$3,IF(R$3&gt;$I424,"-",ROUNDUP(Ld_cal($B424, $C424, $D424, $G424,$E424, $F424, $H424, R$3)*1.3*1.3,0)),"-")</f>
        <v>-</v>
      </c>
      <c r="S424" s="66" t="str">
        <f>IF($J424=S$3,IF(S$3&gt;$I424,"-",ROUNDUP(Ld_cal($B424, $C424, $D424, $G424,$E424, $F424, $H424, S$3)*1.3*1.3,0)),"-")</f>
        <v>-</v>
      </c>
      <c r="T424" s="66" t="str">
        <f>IF($J424=T$3,IF(T$3&gt;$I424,"-",ROUNDUP(Ld_cal($B424, $C424, $D424, $G424,$E424, $F424, $H424, T$3)*1.3*1.3,0)),"-")</f>
        <v>-</v>
      </c>
      <c r="U424" s="66" t="str">
        <f>IF($J424=U$3,IF(U$3&gt;$I424,"-",ROUNDUP(Ld_cal($B424, $C424, $D424, $G424,$E424, $F424, $H424, U$3)*1.3*1.3,0)),"-")</f>
        <v>-</v>
      </c>
      <c r="V424" s="66" t="str">
        <f>IF($J424=V$3,IF(V$3&gt;$I424,"-",ROUNDUP(Ld_cal($B424, $C424, $D424, $G424,$E424, $F424, $H424, V$3)*1.3*1.3,0)),"-")</f>
        <v>-</v>
      </c>
      <c r="W424" s="66" t="str">
        <f>IF($J424=W$3,IF(W$3&gt;$I424,"-",ROUNDUP(Ld_cal($B424, $C424, $D424, $G424,$E424, $F424, $H424, W$3)*1.3*1.3,0)),"-")</f>
        <v>-</v>
      </c>
      <c r="X424" s="66" t="str">
        <f>IF($J424=X$3,IF(X$3&gt;$I424,"-",ROUNDUP(Ld_cal($B424, $C424, $D424, $G424,$E424, $F424, $H424, X$3)*1.3*1.3,0)),"-")</f>
        <v>-</v>
      </c>
      <c r="Y424" s="66" t="str">
        <f>IF($J424=Y$3,IF(Y$3&gt;$I424,"-",ROUNDUP(Ld_cal($B424, $C424, $D424, $G424,$E424, $F424, $H424, Y$3)*1.3*1.3,0)),"-")</f>
        <v>-</v>
      </c>
      <c r="Z424" s="66" t="str">
        <f>IF($J424=Z$3,IF(Z$3&gt;$I424,"-",ROUNDUP(Ld_cal($B424, $C424, $D424, $G424,$E424, $F424, $H424, Z$3)*1.3*1.3,0)),"-")</f>
        <v>-</v>
      </c>
      <c r="AA424" s="66" t="str">
        <f>IF($J424=AA$3,IF(AA$3&gt;$I424,"-",ROUNDUP(Ld_cal($B424, $C424, $D424, $G424,$E424, $F424, $H424, AA$3)*1.3*1.3,0)),"-")</f>
        <v>-</v>
      </c>
      <c r="AB424" s="66" t="str">
        <f>IF($J424=AB$3,IF(AB$3&gt;$I424,"-",ROUNDUP(Ld_cal($B424, $C424, $D424, $G424,$E424, $F424, $H424, AB$3)*1.3*1.3,0)),"-")</f>
        <v>-</v>
      </c>
      <c r="AC424" s="66" t="str">
        <f>IF($J424=AC$3,IF(AC$3&gt;$I424,"-",ROUNDUP(Ld_cal($B424, $C424, $D424, $G424,$E424, $F424, $H424, AC$3)*1.3*1.3,0)),"-")</f>
        <v>-</v>
      </c>
      <c r="AD424" s="66">
        <f t="shared" ref="AD424" si="414">IF(J424&gt;I424,"依標準圖",MAX(L424:AC424))</f>
        <v>136</v>
      </c>
    </row>
    <row r="425" spans="1:30">
      <c r="A425" s="106"/>
      <c r="B425" s="107"/>
      <c r="C425" s="108"/>
      <c r="D425" s="107"/>
      <c r="E425" s="109"/>
      <c r="F425" s="110"/>
      <c r="G425" s="107"/>
      <c r="H425" s="109"/>
      <c r="I425" s="111"/>
      <c r="J425" s="68">
        <v>5</v>
      </c>
      <c r="K425" s="40" t="s">
        <v>29</v>
      </c>
      <c r="L425" s="66" t="str">
        <f>IF($J425=L$3,IF(L$3&gt;$I424,"-",ROUNDUP(Ld_cal($B424, $C424, $D424, $G424,$E424, $F424, $H424, L$3)*1.3,0)),"-")</f>
        <v>-</v>
      </c>
      <c r="M425" s="66" t="str">
        <f>IF($J425=M$3,IF(M$3&gt;$I424,"-",ROUNDUP(Ld_cal($B424, $C424, $D424, $G424,$E424, $F424, $H424, M$3)*1.3,0)),"-")</f>
        <v>-</v>
      </c>
      <c r="N425" s="66">
        <f>IF($J425=N$3,IF(N$3&gt;$I424,"-",ROUNDUP(Ld_cal($B424, $C424, $D424, $G424,$E424, $F424, $H424, N$3)*1.3,0)),"-")</f>
        <v>105</v>
      </c>
      <c r="O425" s="66" t="str">
        <f>IF($J425=O$3,IF(O$3&gt;$I424,"-",ROUNDUP(Ld_cal($B424, $C424, $D424, $G424,$E424, $F424, $H424, O$3)*1.3,0)),"-")</f>
        <v>-</v>
      </c>
      <c r="P425" s="66" t="str">
        <f>IF($J425=P$3,IF(P$3&gt;$I424,"-",ROUNDUP(Ld_cal($B424, $C424, $D424, $G424,$E424, $F424, $H424, P$3)*1.3,0)),"-")</f>
        <v>-</v>
      </c>
      <c r="Q425" s="66" t="str">
        <f>IF($J425=Q$3,IF(Q$3&gt;$I424,"-",ROUNDUP(Ld_cal($B424, $C424, $D424, $G424,$E424, $F424, $H424, Q$3)*1.3,0)),"-")</f>
        <v>-</v>
      </c>
      <c r="R425" s="66" t="str">
        <f>IF($J425=R$3,IF(R$3&gt;$I424,"-",ROUNDUP(Ld_cal($B424, $C424, $D424, $G424,$E424, $F424, $H424, R$3)*1.3,0)),"-")</f>
        <v>-</v>
      </c>
      <c r="S425" s="66" t="str">
        <f>IF($J425=S$3,IF(S$3&gt;$I424,"-",ROUNDUP(Ld_cal($B424, $C424, $D424, $G424,$E424, $F424, $H424, S$3)*1.3,0)),"-")</f>
        <v>-</v>
      </c>
      <c r="T425" s="66" t="str">
        <f>IF($J425=T$3,IF(T$3&gt;$I424,"-",ROUNDUP(Ld_cal($B424, $C424, $D424, $G424,$E424, $F424, $H424, T$3)*1.3,0)),"-")</f>
        <v>-</v>
      </c>
      <c r="U425" s="66" t="str">
        <f>IF($J425=U$3,IF(U$3&gt;$I424,"-",ROUNDUP(Ld_cal($B424, $C424, $D424, $G424,$E424, $F424, $H424, U$3)*1.3,0)),"-")</f>
        <v>-</v>
      </c>
      <c r="V425" s="66" t="str">
        <f>IF($J425=V$3,IF(V$3&gt;$I424,"-",ROUNDUP(Ld_cal($B424, $C424, $D424, $G424,$E424, $F424, $H424, V$3)*1.3,0)),"-")</f>
        <v>-</v>
      </c>
      <c r="W425" s="66" t="str">
        <f>IF($J425=W$3,IF(W$3&gt;$I424,"-",ROUNDUP(Ld_cal($B424, $C424, $D424, $G424,$E424, $F424, $H424, W$3)*1.3,0)),"-")</f>
        <v>-</v>
      </c>
      <c r="X425" s="66" t="str">
        <f>IF($J425=X$3,IF(X$3&gt;$I424,"-",ROUNDUP(Ld_cal($B424, $C424, $D424, $G424,$E424, $F424, $H424, X$3)*1.3,0)),"-")</f>
        <v>-</v>
      </c>
      <c r="Y425" s="66" t="str">
        <f>IF($J425=Y$3,IF(Y$3&gt;$I424,"-",ROUNDUP(Ld_cal($B424, $C424, $D424, $G424,$E424, $F424, $H424, Y$3)*1.3,0)),"-")</f>
        <v>-</v>
      </c>
      <c r="Z425" s="66" t="str">
        <f>IF($J425=Z$3,IF(Z$3&gt;$I424,"-",ROUNDUP(Ld_cal($B424, $C424, $D424, $G424,$E424, $F424, $H424, Z$3)*1.3,0)),"-")</f>
        <v>-</v>
      </c>
      <c r="AA425" s="66" t="str">
        <f>IF($J425=AA$3,IF(AA$3&gt;$I424,"-",ROUNDUP(Ld_cal($B424, $C424, $D424, $G424,$E424, $F424, $H424, AA$3)*1.3,0)),"-")</f>
        <v>-</v>
      </c>
      <c r="AB425" s="66" t="str">
        <f>IF($J425=AB$3,IF(AB$3&gt;$I424,"-",ROUNDUP(Ld_cal($B424, $C424, $D424, $G424,$E424, $F424, $H424, AB$3)*1.3,0)),"-")</f>
        <v>-</v>
      </c>
      <c r="AC425" s="66" t="str">
        <f>IF($J425=AC$3,IF(AC$3&gt;$I424,"-",ROUNDUP(Ld_cal($B424, $C424, $D424, $G424,$E424, $F424, $H424, AC$3)*1.3,0)),"-")</f>
        <v>-</v>
      </c>
      <c r="AD425" s="66">
        <f t="shared" ref="AD425" si="415">IF(J425&gt;I424,"依標準圖",MAX(L425:AC425))</f>
        <v>105</v>
      </c>
    </row>
    <row r="426" spans="1:30">
      <c r="A426" s="97" t="s">
        <v>254</v>
      </c>
      <c r="B426" s="99">
        <v>80</v>
      </c>
      <c r="C426" s="100">
        <v>7.5</v>
      </c>
      <c r="D426" s="101">
        <v>4200</v>
      </c>
      <c r="E426" s="102">
        <v>16</v>
      </c>
      <c r="F426" s="103">
        <v>25</v>
      </c>
      <c r="G426" s="101">
        <v>350</v>
      </c>
      <c r="H426" s="102">
        <v>32</v>
      </c>
      <c r="I426" s="104">
        <f>ROUNDDOWN(($B426-2*$C426-2*$E426/10-$H426/10)/(($D$1+1)*$H426/10),0)+1</f>
        <v>10</v>
      </c>
      <c r="J426" s="67">
        <v>5</v>
      </c>
      <c r="K426" s="69" t="s">
        <v>30</v>
      </c>
      <c r="L426" s="65" t="str">
        <f>IF($J426=L$3,IF(L$3&gt;$I426,"-",ROUNDUP(Ld_cal($B426, $C426, $D426, $G426,$E426, $F426, $H426, L$3)*1.3*1.3,0)),"-")</f>
        <v>-</v>
      </c>
      <c r="M426" s="65" t="str">
        <f>IF($J426=M$3,IF(M$3&gt;$I426,"-",ROUNDUP(Ld_cal($B426, $C426, $D426, $G426,$E426, $F426, $H426, M$3)*1.3*1.3,0)),"-")</f>
        <v>-</v>
      </c>
      <c r="N426" s="65">
        <f>IF($J426=N$3,IF(N$3&gt;$I426,"-",ROUNDUP(Ld_cal($B426, $C426, $D426, $G426,$E426, $F426, $H426, N$3)*1.3*1.3,0)),"-")</f>
        <v>136</v>
      </c>
      <c r="O426" s="65" t="str">
        <f>IF($J426=O$3,IF(O$3&gt;$I426,"-",ROUNDUP(Ld_cal($B426, $C426, $D426, $G426,$E426, $F426, $H426, O$3)*1.3*1.3,0)),"-")</f>
        <v>-</v>
      </c>
      <c r="P426" s="65" t="str">
        <f>IF($J426=P$3,IF(P$3&gt;$I426,"-",ROUNDUP(Ld_cal($B426, $C426, $D426, $G426,$E426, $F426, $H426, P$3)*1.3*1.3,0)),"-")</f>
        <v>-</v>
      </c>
      <c r="Q426" s="65" t="str">
        <f>IF($J426=Q$3,IF(Q$3&gt;$I426,"-",ROUNDUP(Ld_cal($B426, $C426, $D426, $G426,$E426, $F426, $H426, Q$3)*1.3*1.3,0)),"-")</f>
        <v>-</v>
      </c>
      <c r="R426" s="65" t="str">
        <f>IF($J426=R$3,IF(R$3&gt;$I426,"-",ROUNDUP(Ld_cal($B426, $C426, $D426, $G426,$E426, $F426, $H426, R$3)*1.3*1.3,0)),"-")</f>
        <v>-</v>
      </c>
      <c r="S426" s="65" t="str">
        <f>IF($J426=S$3,IF(S$3&gt;$I426,"-",ROUNDUP(Ld_cal($B426, $C426, $D426, $G426,$E426, $F426, $H426, S$3)*1.3*1.3,0)),"-")</f>
        <v>-</v>
      </c>
      <c r="T426" s="65" t="str">
        <f>IF($J426=T$3,IF(T$3&gt;$I426,"-",ROUNDUP(Ld_cal($B426, $C426, $D426, $G426,$E426, $F426, $H426, T$3)*1.3*1.3,0)),"-")</f>
        <v>-</v>
      </c>
      <c r="U426" s="65" t="str">
        <f>IF($J426=U$3,IF(U$3&gt;$I426,"-",ROUNDUP(Ld_cal($B426, $C426, $D426, $G426,$E426, $F426, $H426, U$3)*1.3*1.3,0)),"-")</f>
        <v>-</v>
      </c>
      <c r="V426" s="65" t="str">
        <f>IF($J426=V$3,IF(V$3&gt;$I426,"-",ROUNDUP(Ld_cal($B426, $C426, $D426, $G426,$E426, $F426, $H426, V$3)*1.3*1.3,0)),"-")</f>
        <v>-</v>
      </c>
      <c r="W426" s="65" t="str">
        <f>IF($J426=W$3,IF(W$3&gt;$I426,"-",ROUNDUP(Ld_cal($B426, $C426, $D426, $G426,$E426, $F426, $H426, W$3)*1.3*1.3,0)),"-")</f>
        <v>-</v>
      </c>
      <c r="X426" s="65" t="str">
        <f>IF($J426=X$3,IF(X$3&gt;$I426,"-",ROUNDUP(Ld_cal($B426, $C426, $D426, $G426,$E426, $F426, $H426, X$3)*1.3*1.3,0)),"-")</f>
        <v>-</v>
      </c>
      <c r="Y426" s="65" t="str">
        <f>IF($J426=Y$3,IF(Y$3&gt;$I426,"-",ROUNDUP(Ld_cal($B426, $C426, $D426, $G426,$E426, $F426, $H426, Y$3)*1.3*1.3,0)),"-")</f>
        <v>-</v>
      </c>
      <c r="Z426" s="65" t="str">
        <f>IF($J426=Z$3,IF(Z$3&gt;$I426,"-",ROUNDUP(Ld_cal($B426, $C426, $D426, $G426,$E426, $F426, $H426, Z$3)*1.3*1.3,0)),"-")</f>
        <v>-</v>
      </c>
      <c r="AA426" s="65" t="str">
        <f>IF($J426=AA$3,IF(AA$3&gt;$I426,"-",ROUNDUP(Ld_cal($B426, $C426, $D426, $G426,$E426, $F426, $H426, AA$3)*1.3*1.3,0)),"-")</f>
        <v>-</v>
      </c>
      <c r="AB426" s="65" t="str">
        <f>IF($J426=AB$3,IF(AB$3&gt;$I426,"-",ROUNDUP(Ld_cal($B426, $C426, $D426, $G426,$E426, $F426, $H426, AB$3)*1.3*1.3,0)),"-")</f>
        <v>-</v>
      </c>
      <c r="AC426" s="65" t="str">
        <f>IF($J426=AC$3,IF(AC$3&gt;$I426,"-",ROUNDUP(Ld_cal($B426, $C426, $D426, $G426,$E426, $F426, $H426, AC$3)*1.3*1.3,0)),"-")</f>
        <v>-</v>
      </c>
      <c r="AD426" s="65">
        <f t="shared" ref="AD426" si="416">IF(J426&gt;I426,"依標準圖",MAX(L426:AC426))</f>
        <v>136</v>
      </c>
    </row>
    <row r="427" spans="1:30">
      <c r="A427" s="98"/>
      <c r="B427" s="99"/>
      <c r="C427" s="100"/>
      <c r="D427" s="101"/>
      <c r="E427" s="102"/>
      <c r="F427" s="103"/>
      <c r="G427" s="101"/>
      <c r="H427" s="102"/>
      <c r="I427" s="104"/>
      <c r="J427" s="67">
        <v>4</v>
      </c>
      <c r="K427" s="69" t="s">
        <v>29</v>
      </c>
      <c r="L427" s="65" t="str">
        <f>IF($J427=L$3,IF(L$3&gt;$I426,"-",ROUNDUP(Ld_cal($B426, $C426, $D426, $G426,$E426, $F426, $H426, L$3)*1.3,0)),"-")</f>
        <v>-</v>
      </c>
      <c r="M427" s="65">
        <f>IF($J427=M$3,IF(M$3&gt;$I426,"-",ROUNDUP(Ld_cal($B426, $C426, $D426, $G426,$E426, $F426, $H426, M$3)*1.3,0)),"-")</f>
        <v>105</v>
      </c>
      <c r="N427" s="65" t="str">
        <f>IF($J427=N$3,IF(N$3&gt;$I426,"-",ROUNDUP(Ld_cal($B426, $C426, $D426, $G426,$E426, $F426, $H426, N$3)*1.3,0)),"-")</f>
        <v>-</v>
      </c>
      <c r="O427" s="65" t="str">
        <f>IF($J427=O$3,IF(O$3&gt;$I426,"-",ROUNDUP(Ld_cal($B426, $C426, $D426, $G426,$E426, $F426, $H426, O$3)*1.3,0)),"-")</f>
        <v>-</v>
      </c>
      <c r="P427" s="65" t="str">
        <f>IF($J427=P$3,IF(P$3&gt;$I426,"-",ROUNDUP(Ld_cal($B426, $C426, $D426, $G426,$E426, $F426, $H426, P$3)*1.3,0)),"-")</f>
        <v>-</v>
      </c>
      <c r="Q427" s="65" t="str">
        <f>IF($J427=Q$3,IF(Q$3&gt;$I426,"-",ROUNDUP(Ld_cal($B426, $C426, $D426, $G426,$E426, $F426, $H426, Q$3)*1.3,0)),"-")</f>
        <v>-</v>
      </c>
      <c r="R427" s="65" t="str">
        <f>IF($J427=R$3,IF(R$3&gt;$I426,"-",ROUNDUP(Ld_cal($B426, $C426, $D426, $G426,$E426, $F426, $H426, R$3)*1.3,0)),"-")</f>
        <v>-</v>
      </c>
      <c r="S427" s="65" t="str">
        <f>IF($J427=S$3,IF(S$3&gt;$I426,"-",ROUNDUP(Ld_cal($B426, $C426, $D426, $G426,$E426, $F426, $H426, S$3)*1.3,0)),"-")</f>
        <v>-</v>
      </c>
      <c r="T427" s="65" t="str">
        <f>IF($J427=T$3,IF(T$3&gt;$I426,"-",ROUNDUP(Ld_cal($B426, $C426, $D426, $G426,$E426, $F426, $H426, T$3)*1.3,0)),"-")</f>
        <v>-</v>
      </c>
      <c r="U427" s="65" t="str">
        <f>IF($J427=U$3,IF(U$3&gt;$I426,"-",ROUNDUP(Ld_cal($B426, $C426, $D426, $G426,$E426, $F426, $H426, U$3)*1.3,0)),"-")</f>
        <v>-</v>
      </c>
      <c r="V427" s="65" t="str">
        <f>IF($J427=V$3,IF(V$3&gt;$I426,"-",ROUNDUP(Ld_cal($B426, $C426, $D426, $G426,$E426, $F426, $H426, V$3)*1.3,0)),"-")</f>
        <v>-</v>
      </c>
      <c r="W427" s="65" t="str">
        <f>IF($J427=W$3,IF(W$3&gt;$I426,"-",ROUNDUP(Ld_cal($B426, $C426, $D426, $G426,$E426, $F426, $H426, W$3)*1.3,0)),"-")</f>
        <v>-</v>
      </c>
      <c r="X427" s="65" t="str">
        <f>IF($J427=X$3,IF(X$3&gt;$I426,"-",ROUNDUP(Ld_cal($B426, $C426, $D426, $G426,$E426, $F426, $H426, X$3)*1.3,0)),"-")</f>
        <v>-</v>
      </c>
      <c r="Y427" s="65" t="str">
        <f>IF($J427=Y$3,IF(Y$3&gt;$I426,"-",ROUNDUP(Ld_cal($B426, $C426, $D426, $G426,$E426, $F426, $H426, Y$3)*1.3,0)),"-")</f>
        <v>-</v>
      </c>
      <c r="Z427" s="65" t="str">
        <f>IF($J427=Z$3,IF(Z$3&gt;$I426,"-",ROUNDUP(Ld_cal($B426, $C426, $D426, $G426,$E426, $F426, $H426, Z$3)*1.3,0)),"-")</f>
        <v>-</v>
      </c>
      <c r="AA427" s="65" t="str">
        <f>IF($J427=AA$3,IF(AA$3&gt;$I426,"-",ROUNDUP(Ld_cal($B426, $C426, $D426, $G426,$E426, $F426, $H426, AA$3)*1.3,0)),"-")</f>
        <v>-</v>
      </c>
      <c r="AB427" s="65" t="str">
        <f>IF($J427=AB$3,IF(AB$3&gt;$I426,"-",ROUNDUP(Ld_cal($B426, $C426, $D426, $G426,$E426, $F426, $H426, AB$3)*1.3,0)),"-")</f>
        <v>-</v>
      </c>
      <c r="AC427" s="65" t="str">
        <f>IF($J427=AC$3,IF(AC$3&gt;$I426,"-",ROUNDUP(Ld_cal($B426, $C426, $D426, $G426,$E426, $F426, $H426, AC$3)*1.3,0)),"-")</f>
        <v>-</v>
      </c>
      <c r="AD427" s="65">
        <f t="shared" ref="AD427" si="417">IF(J427&gt;I426,"依標準圖",MAX(L427:AC427))</f>
        <v>105</v>
      </c>
    </row>
    <row r="428" spans="1:30">
      <c r="A428" s="105" t="s">
        <v>255</v>
      </c>
      <c r="B428" s="107">
        <v>80</v>
      </c>
      <c r="C428" s="108">
        <v>7.5</v>
      </c>
      <c r="D428" s="107">
        <v>4200</v>
      </c>
      <c r="E428" s="109">
        <v>16</v>
      </c>
      <c r="F428" s="110">
        <v>25</v>
      </c>
      <c r="G428" s="107">
        <v>350</v>
      </c>
      <c r="H428" s="109">
        <v>32</v>
      </c>
      <c r="I428" s="111">
        <f>ROUNDDOWN(($B428-2*$C428-2*$E428/10-$H428/10)/(($D$1+1)*$H428/10),0)+1</f>
        <v>10</v>
      </c>
      <c r="J428" s="68">
        <v>8</v>
      </c>
      <c r="K428" s="40" t="s">
        <v>30</v>
      </c>
      <c r="L428" s="66" t="str">
        <f>IF($J428=L$3,IF(L$3&gt;$I428,"-",ROUNDUP(Ld_cal($B428, $C428, $D428, $G428,$E428, $F428, $H428, L$3)*1.3*1.3,0)),"-")</f>
        <v>-</v>
      </c>
      <c r="M428" s="66" t="str">
        <f>IF($J428=M$3,IF(M$3&gt;$I428,"-",ROUNDUP(Ld_cal($B428, $C428, $D428, $G428,$E428, $F428, $H428, M$3)*1.3*1.3,0)),"-")</f>
        <v>-</v>
      </c>
      <c r="N428" s="66" t="str">
        <f>IF($J428=N$3,IF(N$3&gt;$I428,"-",ROUNDUP(Ld_cal($B428, $C428, $D428, $G428,$E428, $F428, $H428, N$3)*1.3*1.3,0)),"-")</f>
        <v>-</v>
      </c>
      <c r="O428" s="66" t="str">
        <f>IF($J428=O$3,IF(O$3&gt;$I428,"-",ROUNDUP(Ld_cal($B428, $C428, $D428, $G428,$E428, $F428, $H428, O$3)*1.3*1.3,0)),"-")</f>
        <v>-</v>
      </c>
      <c r="P428" s="66" t="str">
        <f>IF($J428=P$3,IF(P$3&gt;$I428,"-",ROUNDUP(Ld_cal($B428, $C428, $D428, $G428,$E428, $F428, $H428, P$3)*1.3*1.3,0)),"-")</f>
        <v>-</v>
      </c>
      <c r="Q428" s="66">
        <f>IF($J428=Q$3,IF(Q$3&gt;$I428,"-",ROUNDUP(Ld_cal($B428, $C428, $D428, $G428,$E428, $F428, $H428, Q$3)*1.3*1.3,0)),"-")</f>
        <v>219</v>
      </c>
      <c r="R428" s="66" t="str">
        <f>IF($J428=R$3,IF(R$3&gt;$I428,"-",ROUNDUP(Ld_cal($B428, $C428, $D428, $G428,$E428, $F428, $H428, R$3)*1.3*1.3,0)),"-")</f>
        <v>-</v>
      </c>
      <c r="S428" s="66" t="str">
        <f>IF($J428=S$3,IF(S$3&gt;$I428,"-",ROUNDUP(Ld_cal($B428, $C428, $D428, $G428,$E428, $F428, $H428, S$3)*1.3*1.3,0)),"-")</f>
        <v>-</v>
      </c>
      <c r="T428" s="66" t="str">
        <f>IF($J428=T$3,IF(T$3&gt;$I428,"-",ROUNDUP(Ld_cal($B428, $C428, $D428, $G428,$E428, $F428, $H428, T$3)*1.3*1.3,0)),"-")</f>
        <v>-</v>
      </c>
      <c r="U428" s="66" t="str">
        <f>IF($J428=U$3,IF(U$3&gt;$I428,"-",ROUNDUP(Ld_cal($B428, $C428, $D428, $G428,$E428, $F428, $H428, U$3)*1.3*1.3,0)),"-")</f>
        <v>-</v>
      </c>
      <c r="V428" s="66" t="str">
        <f>IF($J428=V$3,IF(V$3&gt;$I428,"-",ROUNDUP(Ld_cal($B428, $C428, $D428, $G428,$E428, $F428, $H428, V$3)*1.3*1.3,0)),"-")</f>
        <v>-</v>
      </c>
      <c r="W428" s="66" t="str">
        <f>IF($J428=W$3,IF(W$3&gt;$I428,"-",ROUNDUP(Ld_cal($B428, $C428, $D428, $G428,$E428, $F428, $H428, W$3)*1.3*1.3,0)),"-")</f>
        <v>-</v>
      </c>
      <c r="X428" s="66" t="str">
        <f>IF($J428=X$3,IF(X$3&gt;$I428,"-",ROUNDUP(Ld_cal($B428, $C428, $D428, $G428,$E428, $F428, $H428, X$3)*1.3*1.3,0)),"-")</f>
        <v>-</v>
      </c>
      <c r="Y428" s="66" t="str">
        <f>IF($J428=Y$3,IF(Y$3&gt;$I428,"-",ROUNDUP(Ld_cal($B428, $C428, $D428, $G428,$E428, $F428, $H428, Y$3)*1.3*1.3,0)),"-")</f>
        <v>-</v>
      </c>
      <c r="Z428" s="66" t="str">
        <f>IF($J428=Z$3,IF(Z$3&gt;$I428,"-",ROUNDUP(Ld_cal($B428, $C428, $D428, $G428,$E428, $F428, $H428, Z$3)*1.3*1.3,0)),"-")</f>
        <v>-</v>
      </c>
      <c r="AA428" s="66" t="str">
        <f>IF($J428=AA$3,IF(AA$3&gt;$I428,"-",ROUNDUP(Ld_cal($B428, $C428, $D428, $G428,$E428, $F428, $H428, AA$3)*1.3*1.3,0)),"-")</f>
        <v>-</v>
      </c>
      <c r="AB428" s="66" t="str">
        <f>IF($J428=AB$3,IF(AB$3&gt;$I428,"-",ROUNDUP(Ld_cal($B428, $C428, $D428, $G428,$E428, $F428, $H428, AB$3)*1.3*1.3,0)),"-")</f>
        <v>-</v>
      </c>
      <c r="AC428" s="66" t="str">
        <f>IF($J428=AC$3,IF(AC$3&gt;$I428,"-",ROUNDUP(Ld_cal($B428, $C428, $D428, $G428,$E428, $F428, $H428, AC$3)*1.3*1.3,0)),"-")</f>
        <v>-</v>
      </c>
      <c r="AD428" s="66">
        <f t="shared" ref="AD428" si="418">IF(J428&gt;I428,"依標準圖",MAX(L428:AC428))</f>
        <v>219</v>
      </c>
    </row>
    <row r="429" spans="1:30">
      <c r="A429" s="106"/>
      <c r="B429" s="107"/>
      <c r="C429" s="108"/>
      <c r="D429" s="107"/>
      <c r="E429" s="109"/>
      <c r="F429" s="110"/>
      <c r="G429" s="107"/>
      <c r="H429" s="109"/>
      <c r="I429" s="111"/>
      <c r="J429" s="68">
        <v>4</v>
      </c>
      <c r="K429" s="40" t="s">
        <v>29</v>
      </c>
      <c r="L429" s="66" t="str">
        <f>IF($J429=L$3,IF(L$3&gt;$I428,"-",ROUNDUP(Ld_cal($B428, $C428, $D428, $G428,$E428, $F428, $H428, L$3)*1.3,0)),"-")</f>
        <v>-</v>
      </c>
      <c r="M429" s="66">
        <f>IF($J429=M$3,IF(M$3&gt;$I428,"-",ROUNDUP(Ld_cal($B428, $C428, $D428, $G428,$E428, $F428, $H428, M$3)*1.3,0)),"-")</f>
        <v>105</v>
      </c>
      <c r="N429" s="66" t="str">
        <f>IF($J429=N$3,IF(N$3&gt;$I428,"-",ROUNDUP(Ld_cal($B428, $C428, $D428, $G428,$E428, $F428, $H428, N$3)*1.3,0)),"-")</f>
        <v>-</v>
      </c>
      <c r="O429" s="66" t="str">
        <f>IF($J429=O$3,IF(O$3&gt;$I428,"-",ROUNDUP(Ld_cal($B428, $C428, $D428, $G428,$E428, $F428, $H428, O$3)*1.3,0)),"-")</f>
        <v>-</v>
      </c>
      <c r="P429" s="66" t="str">
        <f>IF($J429=P$3,IF(P$3&gt;$I428,"-",ROUNDUP(Ld_cal($B428, $C428, $D428, $G428,$E428, $F428, $H428, P$3)*1.3,0)),"-")</f>
        <v>-</v>
      </c>
      <c r="Q429" s="66" t="str">
        <f>IF($J429=Q$3,IF(Q$3&gt;$I428,"-",ROUNDUP(Ld_cal($B428, $C428, $D428, $G428,$E428, $F428, $H428, Q$3)*1.3,0)),"-")</f>
        <v>-</v>
      </c>
      <c r="R429" s="66" t="str">
        <f>IF($J429=R$3,IF(R$3&gt;$I428,"-",ROUNDUP(Ld_cal($B428, $C428, $D428, $G428,$E428, $F428, $H428, R$3)*1.3,0)),"-")</f>
        <v>-</v>
      </c>
      <c r="S429" s="66" t="str">
        <f>IF($J429=S$3,IF(S$3&gt;$I428,"-",ROUNDUP(Ld_cal($B428, $C428, $D428, $G428,$E428, $F428, $H428, S$3)*1.3,0)),"-")</f>
        <v>-</v>
      </c>
      <c r="T429" s="66" t="str">
        <f>IF($J429=T$3,IF(T$3&gt;$I428,"-",ROUNDUP(Ld_cal($B428, $C428, $D428, $G428,$E428, $F428, $H428, T$3)*1.3,0)),"-")</f>
        <v>-</v>
      </c>
      <c r="U429" s="66" t="str">
        <f>IF($J429=U$3,IF(U$3&gt;$I428,"-",ROUNDUP(Ld_cal($B428, $C428, $D428, $G428,$E428, $F428, $H428, U$3)*1.3,0)),"-")</f>
        <v>-</v>
      </c>
      <c r="V429" s="66" t="str">
        <f>IF($J429=V$3,IF(V$3&gt;$I428,"-",ROUNDUP(Ld_cal($B428, $C428, $D428, $G428,$E428, $F428, $H428, V$3)*1.3,0)),"-")</f>
        <v>-</v>
      </c>
      <c r="W429" s="66" t="str">
        <f>IF($J429=W$3,IF(W$3&gt;$I428,"-",ROUNDUP(Ld_cal($B428, $C428, $D428, $G428,$E428, $F428, $H428, W$3)*1.3,0)),"-")</f>
        <v>-</v>
      </c>
      <c r="X429" s="66" t="str">
        <f>IF($J429=X$3,IF(X$3&gt;$I428,"-",ROUNDUP(Ld_cal($B428, $C428, $D428, $G428,$E428, $F428, $H428, X$3)*1.3,0)),"-")</f>
        <v>-</v>
      </c>
      <c r="Y429" s="66" t="str">
        <f>IF($J429=Y$3,IF(Y$3&gt;$I428,"-",ROUNDUP(Ld_cal($B428, $C428, $D428, $G428,$E428, $F428, $H428, Y$3)*1.3,0)),"-")</f>
        <v>-</v>
      </c>
      <c r="Z429" s="66" t="str">
        <f>IF($J429=Z$3,IF(Z$3&gt;$I428,"-",ROUNDUP(Ld_cal($B428, $C428, $D428, $G428,$E428, $F428, $H428, Z$3)*1.3,0)),"-")</f>
        <v>-</v>
      </c>
      <c r="AA429" s="66" t="str">
        <f>IF($J429=AA$3,IF(AA$3&gt;$I428,"-",ROUNDUP(Ld_cal($B428, $C428, $D428, $G428,$E428, $F428, $H428, AA$3)*1.3,0)),"-")</f>
        <v>-</v>
      </c>
      <c r="AB429" s="66" t="str">
        <f>IF($J429=AB$3,IF(AB$3&gt;$I428,"-",ROUNDUP(Ld_cal($B428, $C428, $D428, $G428,$E428, $F428, $H428, AB$3)*1.3,0)),"-")</f>
        <v>-</v>
      </c>
      <c r="AC429" s="66" t="str">
        <f>IF($J429=AC$3,IF(AC$3&gt;$I428,"-",ROUNDUP(Ld_cal($B428, $C428, $D428, $G428,$E428, $F428, $H428, AC$3)*1.3,0)),"-")</f>
        <v>-</v>
      </c>
      <c r="AD429" s="66">
        <f t="shared" ref="AD429" si="419">IF(J429&gt;I428,"依標準圖",MAX(L429:AC429))</f>
        <v>105</v>
      </c>
    </row>
    <row r="430" spans="1:30">
      <c r="A430" s="97" t="s">
        <v>256</v>
      </c>
      <c r="B430" s="99">
        <v>80</v>
      </c>
      <c r="C430" s="100">
        <v>7.5</v>
      </c>
      <c r="D430" s="101">
        <v>4200</v>
      </c>
      <c r="E430" s="102">
        <v>16</v>
      </c>
      <c r="F430" s="103">
        <v>25</v>
      </c>
      <c r="G430" s="101">
        <v>350</v>
      </c>
      <c r="H430" s="102">
        <v>32</v>
      </c>
      <c r="I430" s="104">
        <f>ROUNDDOWN(($B430-2*$C430-2*$E430/10-$H430/10)/(($D$1+1)*$H430/10),0)+1</f>
        <v>10</v>
      </c>
      <c r="J430" s="67">
        <v>5</v>
      </c>
      <c r="K430" s="69" t="s">
        <v>30</v>
      </c>
      <c r="L430" s="65" t="str">
        <f>IF($J430=L$3,IF(L$3&gt;$I430,"-",ROUNDUP(Ld_cal($B430, $C430, $D430, $G430,$E430, $F430, $H430, L$3)*1.3*1.3,0)),"-")</f>
        <v>-</v>
      </c>
      <c r="M430" s="65" t="str">
        <f>IF($J430=M$3,IF(M$3&gt;$I430,"-",ROUNDUP(Ld_cal($B430, $C430, $D430, $G430,$E430, $F430, $H430, M$3)*1.3*1.3,0)),"-")</f>
        <v>-</v>
      </c>
      <c r="N430" s="65">
        <f>IF($J430=N$3,IF(N$3&gt;$I430,"-",ROUNDUP(Ld_cal($B430, $C430, $D430, $G430,$E430, $F430, $H430, N$3)*1.3*1.3,0)),"-")</f>
        <v>136</v>
      </c>
      <c r="O430" s="65" t="str">
        <f>IF($J430=O$3,IF(O$3&gt;$I430,"-",ROUNDUP(Ld_cal($B430, $C430, $D430, $G430,$E430, $F430, $H430, O$3)*1.3*1.3,0)),"-")</f>
        <v>-</v>
      </c>
      <c r="P430" s="65" t="str">
        <f>IF($J430=P$3,IF(P$3&gt;$I430,"-",ROUNDUP(Ld_cal($B430, $C430, $D430, $G430,$E430, $F430, $H430, P$3)*1.3*1.3,0)),"-")</f>
        <v>-</v>
      </c>
      <c r="Q430" s="65" t="str">
        <f>IF($J430=Q$3,IF(Q$3&gt;$I430,"-",ROUNDUP(Ld_cal($B430, $C430, $D430, $G430,$E430, $F430, $H430, Q$3)*1.3*1.3,0)),"-")</f>
        <v>-</v>
      </c>
      <c r="R430" s="65" t="str">
        <f>IF($J430=R$3,IF(R$3&gt;$I430,"-",ROUNDUP(Ld_cal($B430, $C430, $D430, $G430,$E430, $F430, $H430, R$3)*1.3*1.3,0)),"-")</f>
        <v>-</v>
      </c>
      <c r="S430" s="65" t="str">
        <f>IF($J430=S$3,IF(S$3&gt;$I430,"-",ROUNDUP(Ld_cal($B430, $C430, $D430, $G430,$E430, $F430, $H430, S$3)*1.3*1.3,0)),"-")</f>
        <v>-</v>
      </c>
      <c r="T430" s="65" t="str">
        <f>IF($J430=T$3,IF(T$3&gt;$I430,"-",ROUNDUP(Ld_cal($B430, $C430, $D430, $G430,$E430, $F430, $H430, T$3)*1.3*1.3,0)),"-")</f>
        <v>-</v>
      </c>
      <c r="U430" s="65" t="str">
        <f>IF($J430=U$3,IF(U$3&gt;$I430,"-",ROUNDUP(Ld_cal($B430, $C430, $D430, $G430,$E430, $F430, $H430, U$3)*1.3*1.3,0)),"-")</f>
        <v>-</v>
      </c>
      <c r="V430" s="65" t="str">
        <f>IF($J430=V$3,IF(V$3&gt;$I430,"-",ROUNDUP(Ld_cal($B430, $C430, $D430, $G430,$E430, $F430, $H430, V$3)*1.3*1.3,0)),"-")</f>
        <v>-</v>
      </c>
      <c r="W430" s="65" t="str">
        <f>IF($J430=W$3,IF(W$3&gt;$I430,"-",ROUNDUP(Ld_cal($B430, $C430, $D430, $G430,$E430, $F430, $H430, W$3)*1.3*1.3,0)),"-")</f>
        <v>-</v>
      </c>
      <c r="X430" s="65" t="str">
        <f>IF($J430=X$3,IF(X$3&gt;$I430,"-",ROUNDUP(Ld_cal($B430, $C430, $D430, $G430,$E430, $F430, $H430, X$3)*1.3*1.3,0)),"-")</f>
        <v>-</v>
      </c>
      <c r="Y430" s="65" t="str">
        <f>IF($J430=Y$3,IF(Y$3&gt;$I430,"-",ROUNDUP(Ld_cal($B430, $C430, $D430, $G430,$E430, $F430, $H430, Y$3)*1.3*1.3,0)),"-")</f>
        <v>-</v>
      </c>
      <c r="Z430" s="65" t="str">
        <f>IF($J430=Z$3,IF(Z$3&gt;$I430,"-",ROUNDUP(Ld_cal($B430, $C430, $D430, $G430,$E430, $F430, $H430, Z$3)*1.3*1.3,0)),"-")</f>
        <v>-</v>
      </c>
      <c r="AA430" s="65" t="str">
        <f>IF($J430=AA$3,IF(AA$3&gt;$I430,"-",ROUNDUP(Ld_cal($B430, $C430, $D430, $G430,$E430, $F430, $H430, AA$3)*1.3*1.3,0)),"-")</f>
        <v>-</v>
      </c>
      <c r="AB430" s="65" t="str">
        <f>IF($J430=AB$3,IF(AB$3&gt;$I430,"-",ROUNDUP(Ld_cal($B430, $C430, $D430, $G430,$E430, $F430, $H430, AB$3)*1.3*1.3,0)),"-")</f>
        <v>-</v>
      </c>
      <c r="AC430" s="65" t="str">
        <f>IF($J430=AC$3,IF(AC$3&gt;$I430,"-",ROUNDUP(Ld_cal($B430, $C430, $D430, $G430,$E430, $F430, $H430, AC$3)*1.3*1.3,0)),"-")</f>
        <v>-</v>
      </c>
      <c r="AD430" s="65">
        <f t="shared" ref="AD430" si="420">IF(J430&gt;I430,"依標準圖",MAX(L430:AC430))</f>
        <v>136</v>
      </c>
    </row>
    <row r="431" spans="1:30">
      <c r="A431" s="98"/>
      <c r="B431" s="99"/>
      <c r="C431" s="100"/>
      <c r="D431" s="101"/>
      <c r="E431" s="102"/>
      <c r="F431" s="103"/>
      <c r="G431" s="101"/>
      <c r="H431" s="102"/>
      <c r="I431" s="104"/>
      <c r="J431" s="67">
        <v>4</v>
      </c>
      <c r="K431" s="69" t="s">
        <v>29</v>
      </c>
      <c r="L431" s="65" t="str">
        <f>IF($J431=L$3,IF(L$3&gt;$I430,"-",ROUNDUP(Ld_cal($B430, $C430, $D430, $G430,$E430, $F430, $H430, L$3)*1.3,0)),"-")</f>
        <v>-</v>
      </c>
      <c r="M431" s="65">
        <f>IF($J431=M$3,IF(M$3&gt;$I430,"-",ROUNDUP(Ld_cal($B430, $C430, $D430, $G430,$E430, $F430, $H430, M$3)*1.3,0)),"-")</f>
        <v>105</v>
      </c>
      <c r="N431" s="65" t="str">
        <f>IF($J431=N$3,IF(N$3&gt;$I430,"-",ROUNDUP(Ld_cal($B430, $C430, $D430, $G430,$E430, $F430, $H430, N$3)*1.3,0)),"-")</f>
        <v>-</v>
      </c>
      <c r="O431" s="65" t="str">
        <f>IF($J431=O$3,IF(O$3&gt;$I430,"-",ROUNDUP(Ld_cal($B430, $C430, $D430, $G430,$E430, $F430, $H430, O$3)*1.3,0)),"-")</f>
        <v>-</v>
      </c>
      <c r="P431" s="65" t="str">
        <f>IF($J431=P$3,IF(P$3&gt;$I430,"-",ROUNDUP(Ld_cal($B430, $C430, $D430, $G430,$E430, $F430, $H430, P$3)*1.3,0)),"-")</f>
        <v>-</v>
      </c>
      <c r="Q431" s="65" t="str">
        <f>IF($J431=Q$3,IF(Q$3&gt;$I430,"-",ROUNDUP(Ld_cal($B430, $C430, $D430, $G430,$E430, $F430, $H430, Q$3)*1.3,0)),"-")</f>
        <v>-</v>
      </c>
      <c r="R431" s="65" t="str">
        <f>IF($J431=R$3,IF(R$3&gt;$I430,"-",ROUNDUP(Ld_cal($B430, $C430, $D430, $G430,$E430, $F430, $H430, R$3)*1.3,0)),"-")</f>
        <v>-</v>
      </c>
      <c r="S431" s="65" t="str">
        <f>IF($J431=S$3,IF(S$3&gt;$I430,"-",ROUNDUP(Ld_cal($B430, $C430, $D430, $G430,$E430, $F430, $H430, S$3)*1.3,0)),"-")</f>
        <v>-</v>
      </c>
      <c r="T431" s="65" t="str">
        <f>IF($J431=T$3,IF(T$3&gt;$I430,"-",ROUNDUP(Ld_cal($B430, $C430, $D430, $G430,$E430, $F430, $H430, T$3)*1.3,0)),"-")</f>
        <v>-</v>
      </c>
      <c r="U431" s="65" t="str">
        <f>IF($J431=U$3,IF(U$3&gt;$I430,"-",ROUNDUP(Ld_cal($B430, $C430, $D430, $G430,$E430, $F430, $H430, U$3)*1.3,0)),"-")</f>
        <v>-</v>
      </c>
      <c r="V431" s="65" t="str">
        <f>IF($J431=V$3,IF(V$3&gt;$I430,"-",ROUNDUP(Ld_cal($B430, $C430, $D430, $G430,$E430, $F430, $H430, V$3)*1.3,0)),"-")</f>
        <v>-</v>
      </c>
      <c r="W431" s="65" t="str">
        <f>IF($J431=W$3,IF(W$3&gt;$I430,"-",ROUNDUP(Ld_cal($B430, $C430, $D430, $G430,$E430, $F430, $H430, W$3)*1.3,0)),"-")</f>
        <v>-</v>
      </c>
      <c r="X431" s="65" t="str">
        <f>IF($J431=X$3,IF(X$3&gt;$I430,"-",ROUNDUP(Ld_cal($B430, $C430, $D430, $G430,$E430, $F430, $H430, X$3)*1.3,0)),"-")</f>
        <v>-</v>
      </c>
      <c r="Y431" s="65" t="str">
        <f>IF($J431=Y$3,IF(Y$3&gt;$I430,"-",ROUNDUP(Ld_cal($B430, $C430, $D430, $G430,$E430, $F430, $H430, Y$3)*1.3,0)),"-")</f>
        <v>-</v>
      </c>
      <c r="Z431" s="65" t="str">
        <f>IF($J431=Z$3,IF(Z$3&gt;$I430,"-",ROUNDUP(Ld_cal($B430, $C430, $D430, $G430,$E430, $F430, $H430, Z$3)*1.3,0)),"-")</f>
        <v>-</v>
      </c>
      <c r="AA431" s="65" t="str">
        <f>IF($J431=AA$3,IF(AA$3&gt;$I430,"-",ROUNDUP(Ld_cal($B430, $C430, $D430, $G430,$E430, $F430, $H430, AA$3)*1.3,0)),"-")</f>
        <v>-</v>
      </c>
      <c r="AB431" s="65" t="str">
        <f>IF($J431=AB$3,IF(AB$3&gt;$I430,"-",ROUNDUP(Ld_cal($B430, $C430, $D430, $G430,$E430, $F430, $H430, AB$3)*1.3,0)),"-")</f>
        <v>-</v>
      </c>
      <c r="AC431" s="65" t="str">
        <f>IF($J431=AC$3,IF(AC$3&gt;$I430,"-",ROUNDUP(Ld_cal($B430, $C430, $D430, $G430,$E430, $F430, $H430, AC$3)*1.3,0)),"-")</f>
        <v>-</v>
      </c>
      <c r="AD431" s="65">
        <f t="shared" ref="AD431" si="421">IF(J431&gt;I430,"依標準圖",MAX(L431:AC431))</f>
        <v>105</v>
      </c>
    </row>
    <row r="432" spans="1:30">
      <c r="A432" s="105" t="s">
        <v>257</v>
      </c>
      <c r="B432" s="107">
        <v>80</v>
      </c>
      <c r="C432" s="108">
        <v>7.5</v>
      </c>
      <c r="D432" s="107">
        <v>4200</v>
      </c>
      <c r="E432" s="109">
        <v>13</v>
      </c>
      <c r="F432" s="110">
        <v>25</v>
      </c>
      <c r="G432" s="107">
        <v>350</v>
      </c>
      <c r="H432" s="109">
        <v>32</v>
      </c>
      <c r="I432" s="111">
        <f>ROUNDDOWN(($B432-2*$C432-2*$E432/10-$H432/10)/(($D$1+1)*$H432/10),0)+1</f>
        <v>10</v>
      </c>
      <c r="J432" s="68">
        <v>4</v>
      </c>
      <c r="K432" s="40" t="s">
        <v>30</v>
      </c>
      <c r="L432" s="66" t="str">
        <f>IF($J432=L$3,IF(L$3&gt;$I432,"-",ROUNDUP(Ld_cal($B432, $C432, $D432, $G432,$E432, $F432, $H432, L$3)*1.3*1.3,0)),"-")</f>
        <v>-</v>
      </c>
      <c r="M432" s="66">
        <f>IF($J432=M$3,IF(M$3&gt;$I432,"-",ROUNDUP(Ld_cal($B432, $C432, $D432, $G432,$E432, $F432, $H432, M$3)*1.3*1.3,0)),"-")</f>
        <v>136</v>
      </c>
      <c r="N432" s="66" t="str">
        <f>IF($J432=N$3,IF(N$3&gt;$I432,"-",ROUNDUP(Ld_cal($B432, $C432, $D432, $G432,$E432, $F432, $H432, N$3)*1.3*1.3,0)),"-")</f>
        <v>-</v>
      </c>
      <c r="O432" s="66" t="str">
        <f>IF($J432=O$3,IF(O$3&gt;$I432,"-",ROUNDUP(Ld_cal($B432, $C432, $D432, $G432,$E432, $F432, $H432, O$3)*1.3*1.3,0)),"-")</f>
        <v>-</v>
      </c>
      <c r="P432" s="66" t="str">
        <f>IF($J432=P$3,IF(P$3&gt;$I432,"-",ROUNDUP(Ld_cal($B432, $C432, $D432, $G432,$E432, $F432, $H432, P$3)*1.3*1.3,0)),"-")</f>
        <v>-</v>
      </c>
      <c r="Q432" s="66" t="str">
        <f>IF($J432=Q$3,IF(Q$3&gt;$I432,"-",ROUNDUP(Ld_cal($B432, $C432, $D432, $G432,$E432, $F432, $H432, Q$3)*1.3*1.3,0)),"-")</f>
        <v>-</v>
      </c>
      <c r="R432" s="66" t="str">
        <f>IF($J432=R$3,IF(R$3&gt;$I432,"-",ROUNDUP(Ld_cal($B432, $C432, $D432, $G432,$E432, $F432, $H432, R$3)*1.3*1.3,0)),"-")</f>
        <v>-</v>
      </c>
      <c r="S432" s="66" t="str">
        <f>IF($J432=S$3,IF(S$3&gt;$I432,"-",ROUNDUP(Ld_cal($B432, $C432, $D432, $G432,$E432, $F432, $H432, S$3)*1.3*1.3,0)),"-")</f>
        <v>-</v>
      </c>
      <c r="T432" s="66" t="str">
        <f>IF($J432=T$3,IF(T$3&gt;$I432,"-",ROUNDUP(Ld_cal($B432, $C432, $D432, $G432,$E432, $F432, $H432, T$3)*1.3*1.3,0)),"-")</f>
        <v>-</v>
      </c>
      <c r="U432" s="66" t="str">
        <f>IF($J432=U$3,IF(U$3&gt;$I432,"-",ROUNDUP(Ld_cal($B432, $C432, $D432, $G432,$E432, $F432, $H432, U$3)*1.3*1.3,0)),"-")</f>
        <v>-</v>
      </c>
      <c r="V432" s="66" t="str">
        <f>IF($J432=V$3,IF(V$3&gt;$I432,"-",ROUNDUP(Ld_cal($B432, $C432, $D432, $G432,$E432, $F432, $H432, V$3)*1.3*1.3,0)),"-")</f>
        <v>-</v>
      </c>
      <c r="W432" s="66" t="str">
        <f>IF($J432=W$3,IF(W$3&gt;$I432,"-",ROUNDUP(Ld_cal($B432, $C432, $D432, $G432,$E432, $F432, $H432, W$3)*1.3*1.3,0)),"-")</f>
        <v>-</v>
      </c>
      <c r="X432" s="66" t="str">
        <f>IF($J432=X$3,IF(X$3&gt;$I432,"-",ROUNDUP(Ld_cal($B432, $C432, $D432, $G432,$E432, $F432, $H432, X$3)*1.3*1.3,0)),"-")</f>
        <v>-</v>
      </c>
      <c r="Y432" s="66" t="str">
        <f>IF($J432=Y$3,IF(Y$3&gt;$I432,"-",ROUNDUP(Ld_cal($B432, $C432, $D432, $G432,$E432, $F432, $H432, Y$3)*1.3*1.3,0)),"-")</f>
        <v>-</v>
      </c>
      <c r="Z432" s="66" t="str">
        <f>IF($J432=Z$3,IF(Z$3&gt;$I432,"-",ROUNDUP(Ld_cal($B432, $C432, $D432, $G432,$E432, $F432, $H432, Z$3)*1.3*1.3,0)),"-")</f>
        <v>-</v>
      </c>
      <c r="AA432" s="66" t="str">
        <f>IF($J432=AA$3,IF(AA$3&gt;$I432,"-",ROUNDUP(Ld_cal($B432, $C432, $D432, $G432,$E432, $F432, $H432, AA$3)*1.3*1.3,0)),"-")</f>
        <v>-</v>
      </c>
      <c r="AB432" s="66" t="str">
        <f>IF($J432=AB$3,IF(AB$3&gt;$I432,"-",ROUNDUP(Ld_cal($B432, $C432, $D432, $G432,$E432, $F432, $H432, AB$3)*1.3*1.3,0)),"-")</f>
        <v>-</v>
      </c>
      <c r="AC432" s="66" t="str">
        <f>IF($J432=AC$3,IF(AC$3&gt;$I432,"-",ROUNDUP(Ld_cal($B432, $C432, $D432, $G432,$E432, $F432, $H432, AC$3)*1.3*1.3,0)),"-")</f>
        <v>-</v>
      </c>
      <c r="AD432" s="66">
        <f t="shared" ref="AD432" si="422">IF(J432&gt;I432,"依標準圖",MAX(L432:AC432))</f>
        <v>136</v>
      </c>
    </row>
    <row r="433" spans="1:30">
      <c r="A433" s="106"/>
      <c r="B433" s="107"/>
      <c r="C433" s="108"/>
      <c r="D433" s="107"/>
      <c r="E433" s="109"/>
      <c r="F433" s="110"/>
      <c r="G433" s="107"/>
      <c r="H433" s="109"/>
      <c r="I433" s="111"/>
      <c r="J433" s="68">
        <v>4</v>
      </c>
      <c r="K433" s="40" t="s">
        <v>29</v>
      </c>
      <c r="L433" s="66" t="str">
        <f>IF($J433=L$3,IF(L$3&gt;$I432,"-",ROUNDUP(Ld_cal($B432, $C432, $D432, $G432,$E432, $F432, $H432, L$3)*1.3,0)),"-")</f>
        <v>-</v>
      </c>
      <c r="M433" s="66">
        <f>IF($J433=M$3,IF(M$3&gt;$I432,"-",ROUNDUP(Ld_cal($B432, $C432, $D432, $G432,$E432, $F432, $H432, M$3)*1.3,0)),"-")</f>
        <v>105</v>
      </c>
      <c r="N433" s="66" t="str">
        <f>IF($J433=N$3,IF(N$3&gt;$I432,"-",ROUNDUP(Ld_cal($B432, $C432, $D432, $G432,$E432, $F432, $H432, N$3)*1.3,0)),"-")</f>
        <v>-</v>
      </c>
      <c r="O433" s="66" t="str">
        <f>IF($J433=O$3,IF(O$3&gt;$I432,"-",ROUNDUP(Ld_cal($B432, $C432, $D432, $G432,$E432, $F432, $H432, O$3)*1.3,0)),"-")</f>
        <v>-</v>
      </c>
      <c r="P433" s="66" t="str">
        <f>IF($J433=P$3,IF(P$3&gt;$I432,"-",ROUNDUP(Ld_cal($B432, $C432, $D432, $G432,$E432, $F432, $H432, P$3)*1.3,0)),"-")</f>
        <v>-</v>
      </c>
      <c r="Q433" s="66" t="str">
        <f>IF($J433=Q$3,IF(Q$3&gt;$I432,"-",ROUNDUP(Ld_cal($B432, $C432, $D432, $G432,$E432, $F432, $H432, Q$3)*1.3,0)),"-")</f>
        <v>-</v>
      </c>
      <c r="R433" s="66" t="str">
        <f>IF($J433=R$3,IF(R$3&gt;$I432,"-",ROUNDUP(Ld_cal($B432, $C432, $D432, $G432,$E432, $F432, $H432, R$3)*1.3,0)),"-")</f>
        <v>-</v>
      </c>
      <c r="S433" s="66" t="str">
        <f>IF($J433=S$3,IF(S$3&gt;$I432,"-",ROUNDUP(Ld_cal($B432, $C432, $D432, $G432,$E432, $F432, $H432, S$3)*1.3,0)),"-")</f>
        <v>-</v>
      </c>
      <c r="T433" s="66" t="str">
        <f>IF($J433=T$3,IF(T$3&gt;$I432,"-",ROUNDUP(Ld_cal($B432, $C432, $D432, $G432,$E432, $F432, $H432, T$3)*1.3,0)),"-")</f>
        <v>-</v>
      </c>
      <c r="U433" s="66" t="str">
        <f>IF($J433=U$3,IF(U$3&gt;$I432,"-",ROUNDUP(Ld_cal($B432, $C432, $D432, $G432,$E432, $F432, $H432, U$3)*1.3,0)),"-")</f>
        <v>-</v>
      </c>
      <c r="V433" s="66" t="str">
        <f>IF($J433=V$3,IF(V$3&gt;$I432,"-",ROUNDUP(Ld_cal($B432, $C432, $D432, $G432,$E432, $F432, $H432, V$3)*1.3,0)),"-")</f>
        <v>-</v>
      </c>
      <c r="W433" s="66" t="str">
        <f>IF($J433=W$3,IF(W$3&gt;$I432,"-",ROUNDUP(Ld_cal($B432, $C432, $D432, $G432,$E432, $F432, $H432, W$3)*1.3,0)),"-")</f>
        <v>-</v>
      </c>
      <c r="X433" s="66" t="str">
        <f>IF($J433=X$3,IF(X$3&gt;$I432,"-",ROUNDUP(Ld_cal($B432, $C432, $D432, $G432,$E432, $F432, $H432, X$3)*1.3,0)),"-")</f>
        <v>-</v>
      </c>
      <c r="Y433" s="66" t="str">
        <f>IF($J433=Y$3,IF(Y$3&gt;$I432,"-",ROUNDUP(Ld_cal($B432, $C432, $D432, $G432,$E432, $F432, $H432, Y$3)*1.3,0)),"-")</f>
        <v>-</v>
      </c>
      <c r="Z433" s="66" t="str">
        <f>IF($J433=Z$3,IF(Z$3&gt;$I432,"-",ROUNDUP(Ld_cal($B432, $C432, $D432, $G432,$E432, $F432, $H432, Z$3)*1.3,0)),"-")</f>
        <v>-</v>
      </c>
      <c r="AA433" s="66" t="str">
        <f>IF($J433=AA$3,IF(AA$3&gt;$I432,"-",ROUNDUP(Ld_cal($B432, $C432, $D432, $G432,$E432, $F432, $H432, AA$3)*1.3,0)),"-")</f>
        <v>-</v>
      </c>
      <c r="AB433" s="66" t="str">
        <f>IF($J433=AB$3,IF(AB$3&gt;$I432,"-",ROUNDUP(Ld_cal($B432, $C432, $D432, $G432,$E432, $F432, $H432, AB$3)*1.3,0)),"-")</f>
        <v>-</v>
      </c>
      <c r="AC433" s="66" t="str">
        <f>IF($J433=AC$3,IF(AC$3&gt;$I432,"-",ROUNDUP(Ld_cal($B432, $C432, $D432, $G432,$E432, $F432, $H432, AC$3)*1.3,0)),"-")</f>
        <v>-</v>
      </c>
      <c r="AD433" s="66">
        <f t="shared" ref="AD433" si="423">IF(J433&gt;I432,"依標準圖",MAX(L433:AC433))</f>
        <v>105</v>
      </c>
    </row>
    <row r="434" spans="1:30">
      <c r="A434" s="97" t="s">
        <v>258</v>
      </c>
      <c r="B434" s="99">
        <v>80</v>
      </c>
      <c r="C434" s="100">
        <v>7.5</v>
      </c>
      <c r="D434" s="101">
        <v>4200</v>
      </c>
      <c r="E434" s="102">
        <v>13</v>
      </c>
      <c r="F434" s="103">
        <v>9</v>
      </c>
      <c r="G434" s="101">
        <v>350</v>
      </c>
      <c r="H434" s="102">
        <v>32</v>
      </c>
      <c r="I434" s="104">
        <f>ROUNDDOWN(($B434-2*$C434-2*$E434/10-$H434/10)/(($D$1+1)*$H434/10),0)+1</f>
        <v>10</v>
      </c>
      <c r="J434" s="67">
        <v>11</v>
      </c>
      <c r="K434" s="69" t="s">
        <v>30</v>
      </c>
      <c r="L434" s="65" t="str">
        <f>IF($J434=L$3,IF(L$3&gt;$I434,"-",ROUNDUP(Ld_cal($B434, $C434, $D434, $G434,$E434, $F434, $H434, L$3)*1.3*1.3,0)),"-")</f>
        <v>-</v>
      </c>
      <c r="M434" s="65" t="str">
        <f>IF($J434=M$3,IF(M$3&gt;$I434,"-",ROUNDUP(Ld_cal($B434, $C434, $D434, $G434,$E434, $F434, $H434, M$3)*1.3*1.3,0)),"-")</f>
        <v>-</v>
      </c>
      <c r="N434" s="65" t="str">
        <f>IF($J434=N$3,IF(N$3&gt;$I434,"-",ROUNDUP(Ld_cal($B434, $C434, $D434, $G434,$E434, $F434, $H434, N$3)*1.3*1.3,0)),"-")</f>
        <v>-</v>
      </c>
      <c r="O434" s="65" t="str">
        <f>IF($J434=O$3,IF(O$3&gt;$I434,"-",ROUNDUP(Ld_cal($B434, $C434, $D434, $G434,$E434, $F434, $H434, O$3)*1.3*1.3,0)),"-")</f>
        <v>-</v>
      </c>
      <c r="P434" s="65" t="str">
        <f>IF($J434=P$3,IF(P$3&gt;$I434,"-",ROUNDUP(Ld_cal($B434, $C434, $D434, $G434,$E434, $F434, $H434, P$3)*1.3*1.3,0)),"-")</f>
        <v>-</v>
      </c>
      <c r="Q434" s="65" t="str">
        <f>IF($J434=Q$3,IF(Q$3&gt;$I434,"-",ROUNDUP(Ld_cal($B434, $C434, $D434, $G434,$E434, $F434, $H434, Q$3)*1.3*1.3,0)),"-")</f>
        <v>-</v>
      </c>
      <c r="R434" s="65" t="str">
        <f>IF($J434=R$3,IF(R$3&gt;$I434,"-",ROUNDUP(Ld_cal($B434, $C434, $D434, $G434,$E434, $F434, $H434, R$3)*1.3*1.3,0)),"-")</f>
        <v>-</v>
      </c>
      <c r="S434" s="65" t="str">
        <f>IF($J434=S$3,IF(S$3&gt;$I434,"-",ROUNDUP(Ld_cal($B434, $C434, $D434, $G434,$E434, $F434, $H434, S$3)*1.3*1.3,0)),"-")</f>
        <v>-</v>
      </c>
      <c r="T434" s="65" t="str">
        <f>IF($J434=T$3,IF(T$3&gt;$I434,"-",ROUNDUP(Ld_cal($B434, $C434, $D434, $G434,$E434, $F434, $H434, T$3)*1.3*1.3,0)),"-")</f>
        <v>-</v>
      </c>
      <c r="U434" s="65" t="str">
        <f>IF($J434=U$3,IF(U$3&gt;$I434,"-",ROUNDUP(Ld_cal($B434, $C434, $D434, $G434,$E434, $F434, $H434, U$3)*1.3*1.3,0)),"-")</f>
        <v>-</v>
      </c>
      <c r="V434" s="65" t="str">
        <f>IF($J434=V$3,IF(V$3&gt;$I434,"-",ROUNDUP(Ld_cal($B434, $C434, $D434, $G434,$E434, $F434, $H434, V$3)*1.3*1.3,0)),"-")</f>
        <v>-</v>
      </c>
      <c r="W434" s="65" t="str">
        <f>IF($J434=W$3,IF(W$3&gt;$I434,"-",ROUNDUP(Ld_cal($B434, $C434, $D434, $G434,$E434, $F434, $H434, W$3)*1.3*1.3,0)),"-")</f>
        <v>-</v>
      </c>
      <c r="X434" s="65" t="str">
        <f>IF($J434=X$3,IF(X$3&gt;$I434,"-",ROUNDUP(Ld_cal($B434, $C434, $D434, $G434,$E434, $F434, $H434, X$3)*1.3*1.3,0)),"-")</f>
        <v>-</v>
      </c>
      <c r="Y434" s="65" t="str">
        <f>IF($J434=Y$3,IF(Y$3&gt;$I434,"-",ROUNDUP(Ld_cal($B434, $C434, $D434, $G434,$E434, $F434, $H434, Y$3)*1.3*1.3,0)),"-")</f>
        <v>-</v>
      </c>
      <c r="Z434" s="65" t="str">
        <f>IF($J434=Z$3,IF(Z$3&gt;$I434,"-",ROUNDUP(Ld_cal($B434, $C434, $D434, $G434,$E434, $F434, $H434, Z$3)*1.3*1.3,0)),"-")</f>
        <v>-</v>
      </c>
      <c r="AA434" s="65" t="str">
        <f>IF($J434=AA$3,IF(AA$3&gt;$I434,"-",ROUNDUP(Ld_cal($B434, $C434, $D434, $G434,$E434, $F434, $H434, AA$3)*1.3*1.3,0)),"-")</f>
        <v>-</v>
      </c>
      <c r="AB434" s="65" t="str">
        <f>IF($J434=AB$3,IF(AB$3&gt;$I434,"-",ROUNDUP(Ld_cal($B434, $C434, $D434, $G434,$E434, $F434, $H434, AB$3)*1.3*1.3,0)),"-")</f>
        <v>-</v>
      </c>
      <c r="AC434" s="65" t="str">
        <f>IF($J434=AC$3,IF(AC$3&gt;$I434,"-",ROUNDUP(Ld_cal($B434, $C434, $D434, $G434,$E434, $F434, $H434, AC$3)*1.3*1.3,0)),"-")</f>
        <v>-</v>
      </c>
      <c r="AD434" s="65" t="str">
        <f t="shared" ref="AD434" si="424">IF(J434&gt;I434,"依標準圖",MAX(L434:AC434))</f>
        <v>依標準圖</v>
      </c>
    </row>
    <row r="435" spans="1:30">
      <c r="A435" s="98"/>
      <c r="B435" s="99"/>
      <c r="C435" s="100"/>
      <c r="D435" s="101"/>
      <c r="E435" s="102"/>
      <c r="F435" s="103"/>
      <c r="G435" s="101"/>
      <c r="H435" s="102"/>
      <c r="I435" s="104"/>
      <c r="J435" s="67">
        <v>4</v>
      </c>
      <c r="K435" s="69" t="s">
        <v>29</v>
      </c>
      <c r="L435" s="65" t="str">
        <f>IF($J435=L$3,IF(L$3&gt;$I434,"-",ROUNDUP(Ld_cal($B434, $C434, $D434, $G434,$E434, $F434, $H434, L$3)*1.3,0)),"-")</f>
        <v>-</v>
      </c>
      <c r="M435" s="65">
        <f>IF($J435=M$3,IF(M$3&gt;$I434,"-",ROUNDUP(Ld_cal($B434, $C434, $D434, $G434,$E434, $F434, $H434, M$3)*1.3,0)),"-")</f>
        <v>105</v>
      </c>
      <c r="N435" s="65" t="str">
        <f>IF($J435=N$3,IF(N$3&gt;$I434,"-",ROUNDUP(Ld_cal($B434, $C434, $D434, $G434,$E434, $F434, $H434, N$3)*1.3,0)),"-")</f>
        <v>-</v>
      </c>
      <c r="O435" s="65" t="str">
        <f>IF($J435=O$3,IF(O$3&gt;$I434,"-",ROUNDUP(Ld_cal($B434, $C434, $D434, $G434,$E434, $F434, $H434, O$3)*1.3,0)),"-")</f>
        <v>-</v>
      </c>
      <c r="P435" s="65" t="str">
        <f>IF($J435=P$3,IF(P$3&gt;$I434,"-",ROUNDUP(Ld_cal($B434, $C434, $D434, $G434,$E434, $F434, $H434, P$3)*1.3,0)),"-")</f>
        <v>-</v>
      </c>
      <c r="Q435" s="65" t="str">
        <f>IF($J435=Q$3,IF(Q$3&gt;$I434,"-",ROUNDUP(Ld_cal($B434, $C434, $D434, $G434,$E434, $F434, $H434, Q$3)*1.3,0)),"-")</f>
        <v>-</v>
      </c>
      <c r="R435" s="65" t="str">
        <f>IF($J435=R$3,IF(R$3&gt;$I434,"-",ROUNDUP(Ld_cal($B434, $C434, $D434, $G434,$E434, $F434, $H434, R$3)*1.3,0)),"-")</f>
        <v>-</v>
      </c>
      <c r="S435" s="65" t="str">
        <f>IF($J435=S$3,IF(S$3&gt;$I434,"-",ROUNDUP(Ld_cal($B434, $C434, $D434, $G434,$E434, $F434, $H434, S$3)*1.3,0)),"-")</f>
        <v>-</v>
      </c>
      <c r="T435" s="65" t="str">
        <f>IF($J435=T$3,IF(T$3&gt;$I434,"-",ROUNDUP(Ld_cal($B434, $C434, $D434, $G434,$E434, $F434, $H434, T$3)*1.3,0)),"-")</f>
        <v>-</v>
      </c>
      <c r="U435" s="65" t="str">
        <f>IF($J435=U$3,IF(U$3&gt;$I434,"-",ROUNDUP(Ld_cal($B434, $C434, $D434, $G434,$E434, $F434, $H434, U$3)*1.3,0)),"-")</f>
        <v>-</v>
      </c>
      <c r="V435" s="65" t="str">
        <f>IF($J435=V$3,IF(V$3&gt;$I434,"-",ROUNDUP(Ld_cal($B434, $C434, $D434, $G434,$E434, $F434, $H434, V$3)*1.3,0)),"-")</f>
        <v>-</v>
      </c>
      <c r="W435" s="65" t="str">
        <f>IF($J435=W$3,IF(W$3&gt;$I434,"-",ROUNDUP(Ld_cal($B434, $C434, $D434, $G434,$E434, $F434, $H434, W$3)*1.3,0)),"-")</f>
        <v>-</v>
      </c>
      <c r="X435" s="65" t="str">
        <f>IF($J435=X$3,IF(X$3&gt;$I434,"-",ROUNDUP(Ld_cal($B434, $C434, $D434, $G434,$E434, $F434, $H434, X$3)*1.3,0)),"-")</f>
        <v>-</v>
      </c>
      <c r="Y435" s="65" t="str">
        <f>IF($J435=Y$3,IF(Y$3&gt;$I434,"-",ROUNDUP(Ld_cal($B434, $C434, $D434, $G434,$E434, $F434, $H434, Y$3)*1.3,0)),"-")</f>
        <v>-</v>
      </c>
      <c r="Z435" s="65" t="str">
        <f>IF($J435=Z$3,IF(Z$3&gt;$I434,"-",ROUNDUP(Ld_cal($B434, $C434, $D434, $G434,$E434, $F434, $H434, Z$3)*1.3,0)),"-")</f>
        <v>-</v>
      </c>
      <c r="AA435" s="65" t="str">
        <f>IF($J435=AA$3,IF(AA$3&gt;$I434,"-",ROUNDUP(Ld_cal($B434, $C434, $D434, $G434,$E434, $F434, $H434, AA$3)*1.3,0)),"-")</f>
        <v>-</v>
      </c>
      <c r="AB435" s="65" t="str">
        <f>IF($J435=AB$3,IF(AB$3&gt;$I434,"-",ROUNDUP(Ld_cal($B434, $C434, $D434, $G434,$E434, $F434, $H434, AB$3)*1.3,0)),"-")</f>
        <v>-</v>
      </c>
      <c r="AC435" s="65" t="str">
        <f>IF($J435=AC$3,IF(AC$3&gt;$I434,"-",ROUNDUP(Ld_cal($B434, $C434, $D434, $G434,$E434, $F434, $H434, AC$3)*1.3,0)),"-")</f>
        <v>-</v>
      </c>
      <c r="AD435" s="65">
        <f t="shared" ref="AD435" si="425">IF(J435&gt;I434,"依標準圖",MAX(L435:AC435))</f>
        <v>105</v>
      </c>
    </row>
    <row r="436" spans="1:30">
      <c r="A436" s="105" t="s">
        <v>259</v>
      </c>
      <c r="B436" s="107">
        <v>80</v>
      </c>
      <c r="C436" s="108">
        <v>7.5</v>
      </c>
      <c r="D436" s="107">
        <v>4200</v>
      </c>
      <c r="E436" s="109">
        <v>16</v>
      </c>
      <c r="F436" s="110">
        <v>25</v>
      </c>
      <c r="G436" s="107">
        <v>350</v>
      </c>
      <c r="H436" s="109">
        <v>32</v>
      </c>
      <c r="I436" s="111">
        <f>ROUNDDOWN(($B436-2*$C436-2*$E436/10-$H436/10)/(($D$1+1)*$H436/10),0)+1</f>
        <v>10</v>
      </c>
      <c r="J436" s="68">
        <v>6</v>
      </c>
      <c r="K436" s="40" t="s">
        <v>30</v>
      </c>
      <c r="L436" s="66" t="str">
        <f>IF($J436=L$3,IF(L$3&gt;$I436,"-",ROUNDUP(Ld_cal($B436, $C436, $D436, $G436,$E436, $F436, $H436, L$3)*1.3*1.3,0)),"-")</f>
        <v>-</v>
      </c>
      <c r="M436" s="66" t="str">
        <f>IF($J436=M$3,IF(M$3&gt;$I436,"-",ROUNDUP(Ld_cal($B436, $C436, $D436, $G436,$E436, $F436, $H436, M$3)*1.3*1.3,0)),"-")</f>
        <v>-</v>
      </c>
      <c r="N436" s="66" t="str">
        <f>IF($J436=N$3,IF(N$3&gt;$I436,"-",ROUNDUP(Ld_cal($B436, $C436, $D436, $G436,$E436, $F436, $H436, N$3)*1.3*1.3,0)),"-")</f>
        <v>-</v>
      </c>
      <c r="O436" s="66">
        <f>IF($J436=O$3,IF(O$3&gt;$I436,"-",ROUNDUP(Ld_cal($B436, $C436, $D436, $G436,$E436, $F436, $H436, O$3)*1.3*1.3,0)),"-")</f>
        <v>157</v>
      </c>
      <c r="P436" s="66" t="str">
        <f>IF($J436=P$3,IF(P$3&gt;$I436,"-",ROUNDUP(Ld_cal($B436, $C436, $D436, $G436,$E436, $F436, $H436, P$3)*1.3*1.3,0)),"-")</f>
        <v>-</v>
      </c>
      <c r="Q436" s="66" t="str">
        <f>IF($J436=Q$3,IF(Q$3&gt;$I436,"-",ROUNDUP(Ld_cal($B436, $C436, $D436, $G436,$E436, $F436, $H436, Q$3)*1.3*1.3,0)),"-")</f>
        <v>-</v>
      </c>
      <c r="R436" s="66" t="str">
        <f>IF($J436=R$3,IF(R$3&gt;$I436,"-",ROUNDUP(Ld_cal($B436, $C436, $D436, $G436,$E436, $F436, $H436, R$3)*1.3*1.3,0)),"-")</f>
        <v>-</v>
      </c>
      <c r="S436" s="66" t="str">
        <f>IF($J436=S$3,IF(S$3&gt;$I436,"-",ROUNDUP(Ld_cal($B436, $C436, $D436, $G436,$E436, $F436, $H436, S$3)*1.3*1.3,0)),"-")</f>
        <v>-</v>
      </c>
      <c r="T436" s="66" t="str">
        <f>IF($J436=T$3,IF(T$3&gt;$I436,"-",ROUNDUP(Ld_cal($B436, $C436, $D436, $G436,$E436, $F436, $H436, T$3)*1.3*1.3,0)),"-")</f>
        <v>-</v>
      </c>
      <c r="U436" s="66" t="str">
        <f>IF($J436=U$3,IF(U$3&gt;$I436,"-",ROUNDUP(Ld_cal($B436, $C436, $D436, $G436,$E436, $F436, $H436, U$3)*1.3*1.3,0)),"-")</f>
        <v>-</v>
      </c>
      <c r="V436" s="66" t="str">
        <f>IF($J436=V$3,IF(V$3&gt;$I436,"-",ROUNDUP(Ld_cal($B436, $C436, $D436, $G436,$E436, $F436, $H436, V$3)*1.3*1.3,0)),"-")</f>
        <v>-</v>
      </c>
      <c r="W436" s="66" t="str">
        <f>IF($J436=W$3,IF(W$3&gt;$I436,"-",ROUNDUP(Ld_cal($B436, $C436, $D436, $G436,$E436, $F436, $H436, W$3)*1.3*1.3,0)),"-")</f>
        <v>-</v>
      </c>
      <c r="X436" s="66" t="str">
        <f>IF($J436=X$3,IF(X$3&gt;$I436,"-",ROUNDUP(Ld_cal($B436, $C436, $D436, $G436,$E436, $F436, $H436, X$3)*1.3*1.3,0)),"-")</f>
        <v>-</v>
      </c>
      <c r="Y436" s="66" t="str">
        <f>IF($J436=Y$3,IF(Y$3&gt;$I436,"-",ROUNDUP(Ld_cal($B436, $C436, $D436, $G436,$E436, $F436, $H436, Y$3)*1.3*1.3,0)),"-")</f>
        <v>-</v>
      </c>
      <c r="Z436" s="66" t="str">
        <f>IF($J436=Z$3,IF(Z$3&gt;$I436,"-",ROUNDUP(Ld_cal($B436, $C436, $D436, $G436,$E436, $F436, $H436, Z$3)*1.3*1.3,0)),"-")</f>
        <v>-</v>
      </c>
      <c r="AA436" s="66" t="str">
        <f>IF($J436=AA$3,IF(AA$3&gt;$I436,"-",ROUNDUP(Ld_cal($B436, $C436, $D436, $G436,$E436, $F436, $H436, AA$3)*1.3*1.3,0)),"-")</f>
        <v>-</v>
      </c>
      <c r="AB436" s="66" t="str">
        <f>IF($J436=AB$3,IF(AB$3&gt;$I436,"-",ROUNDUP(Ld_cal($B436, $C436, $D436, $G436,$E436, $F436, $H436, AB$3)*1.3*1.3,0)),"-")</f>
        <v>-</v>
      </c>
      <c r="AC436" s="66" t="str">
        <f>IF($J436=AC$3,IF(AC$3&gt;$I436,"-",ROUNDUP(Ld_cal($B436, $C436, $D436, $G436,$E436, $F436, $H436, AC$3)*1.3*1.3,0)),"-")</f>
        <v>-</v>
      </c>
      <c r="AD436" s="66">
        <f t="shared" ref="AD436" si="426">IF(J436&gt;I436,"依標準圖",MAX(L436:AC436))</f>
        <v>157</v>
      </c>
    </row>
    <row r="437" spans="1:30">
      <c r="A437" s="106"/>
      <c r="B437" s="107"/>
      <c r="C437" s="108"/>
      <c r="D437" s="107"/>
      <c r="E437" s="109"/>
      <c r="F437" s="110"/>
      <c r="G437" s="107"/>
      <c r="H437" s="109"/>
      <c r="I437" s="111"/>
      <c r="J437" s="68">
        <v>4</v>
      </c>
      <c r="K437" s="40" t="s">
        <v>29</v>
      </c>
      <c r="L437" s="66" t="str">
        <f>IF($J437=L$3,IF(L$3&gt;$I436,"-",ROUNDUP(Ld_cal($B436, $C436, $D436, $G436,$E436, $F436, $H436, L$3)*1.3,0)),"-")</f>
        <v>-</v>
      </c>
      <c r="M437" s="66">
        <f>IF($J437=M$3,IF(M$3&gt;$I436,"-",ROUNDUP(Ld_cal($B436, $C436, $D436, $G436,$E436, $F436, $H436, M$3)*1.3,0)),"-")</f>
        <v>105</v>
      </c>
      <c r="N437" s="66" t="str">
        <f>IF($J437=N$3,IF(N$3&gt;$I436,"-",ROUNDUP(Ld_cal($B436, $C436, $D436, $G436,$E436, $F436, $H436, N$3)*1.3,0)),"-")</f>
        <v>-</v>
      </c>
      <c r="O437" s="66" t="str">
        <f>IF($J437=O$3,IF(O$3&gt;$I436,"-",ROUNDUP(Ld_cal($B436, $C436, $D436, $G436,$E436, $F436, $H436, O$3)*1.3,0)),"-")</f>
        <v>-</v>
      </c>
      <c r="P437" s="66" t="str">
        <f>IF($J437=P$3,IF(P$3&gt;$I436,"-",ROUNDUP(Ld_cal($B436, $C436, $D436, $G436,$E436, $F436, $H436, P$3)*1.3,0)),"-")</f>
        <v>-</v>
      </c>
      <c r="Q437" s="66" t="str">
        <f>IF($J437=Q$3,IF(Q$3&gt;$I436,"-",ROUNDUP(Ld_cal($B436, $C436, $D436, $G436,$E436, $F436, $H436, Q$3)*1.3,0)),"-")</f>
        <v>-</v>
      </c>
      <c r="R437" s="66" t="str">
        <f>IF($J437=R$3,IF(R$3&gt;$I436,"-",ROUNDUP(Ld_cal($B436, $C436, $D436, $G436,$E436, $F436, $H436, R$3)*1.3,0)),"-")</f>
        <v>-</v>
      </c>
      <c r="S437" s="66" t="str">
        <f>IF($J437=S$3,IF(S$3&gt;$I436,"-",ROUNDUP(Ld_cal($B436, $C436, $D436, $G436,$E436, $F436, $H436, S$3)*1.3,0)),"-")</f>
        <v>-</v>
      </c>
      <c r="T437" s="66" t="str">
        <f>IF($J437=T$3,IF(T$3&gt;$I436,"-",ROUNDUP(Ld_cal($B436, $C436, $D436, $G436,$E436, $F436, $H436, T$3)*1.3,0)),"-")</f>
        <v>-</v>
      </c>
      <c r="U437" s="66" t="str">
        <f>IF($J437=U$3,IF(U$3&gt;$I436,"-",ROUNDUP(Ld_cal($B436, $C436, $D436, $G436,$E436, $F436, $H436, U$3)*1.3,0)),"-")</f>
        <v>-</v>
      </c>
      <c r="V437" s="66" t="str">
        <f>IF($J437=V$3,IF(V$3&gt;$I436,"-",ROUNDUP(Ld_cal($B436, $C436, $D436, $G436,$E436, $F436, $H436, V$3)*1.3,0)),"-")</f>
        <v>-</v>
      </c>
      <c r="W437" s="66" t="str">
        <f>IF($J437=W$3,IF(W$3&gt;$I436,"-",ROUNDUP(Ld_cal($B436, $C436, $D436, $G436,$E436, $F436, $H436, W$3)*1.3,0)),"-")</f>
        <v>-</v>
      </c>
      <c r="X437" s="66" t="str">
        <f>IF($J437=X$3,IF(X$3&gt;$I436,"-",ROUNDUP(Ld_cal($B436, $C436, $D436, $G436,$E436, $F436, $H436, X$3)*1.3,0)),"-")</f>
        <v>-</v>
      </c>
      <c r="Y437" s="66" t="str">
        <f>IF($J437=Y$3,IF(Y$3&gt;$I436,"-",ROUNDUP(Ld_cal($B436, $C436, $D436, $G436,$E436, $F436, $H436, Y$3)*1.3,0)),"-")</f>
        <v>-</v>
      </c>
      <c r="Z437" s="66" t="str">
        <f>IF($J437=Z$3,IF(Z$3&gt;$I436,"-",ROUNDUP(Ld_cal($B436, $C436, $D436, $G436,$E436, $F436, $H436, Z$3)*1.3,0)),"-")</f>
        <v>-</v>
      </c>
      <c r="AA437" s="66" t="str">
        <f>IF($J437=AA$3,IF(AA$3&gt;$I436,"-",ROUNDUP(Ld_cal($B436, $C436, $D436, $G436,$E436, $F436, $H436, AA$3)*1.3,0)),"-")</f>
        <v>-</v>
      </c>
      <c r="AB437" s="66" t="str">
        <f>IF($J437=AB$3,IF(AB$3&gt;$I436,"-",ROUNDUP(Ld_cal($B436, $C436, $D436, $G436,$E436, $F436, $H436, AB$3)*1.3,0)),"-")</f>
        <v>-</v>
      </c>
      <c r="AC437" s="66" t="str">
        <f>IF($J437=AC$3,IF(AC$3&gt;$I436,"-",ROUNDUP(Ld_cal($B436, $C436, $D436, $G436,$E436, $F436, $H436, AC$3)*1.3,0)),"-")</f>
        <v>-</v>
      </c>
      <c r="AD437" s="66">
        <f t="shared" ref="AD437" si="427">IF(J437&gt;I436,"依標準圖",MAX(L437:AC437))</f>
        <v>105</v>
      </c>
    </row>
    <row r="438" spans="1:30">
      <c r="A438" s="97" t="s">
        <v>260</v>
      </c>
      <c r="B438" s="99">
        <v>80</v>
      </c>
      <c r="C438" s="100">
        <v>7.5</v>
      </c>
      <c r="D438" s="101">
        <v>4200</v>
      </c>
      <c r="E438" s="102">
        <v>16</v>
      </c>
      <c r="F438" s="103">
        <v>25</v>
      </c>
      <c r="G438" s="101">
        <v>350</v>
      </c>
      <c r="H438" s="102">
        <v>32</v>
      </c>
      <c r="I438" s="104">
        <f>ROUNDDOWN(($B438-2*$C438-2*$E438/10-$H438/10)/(($D$1+1)*$H438/10),0)+1</f>
        <v>10</v>
      </c>
      <c r="J438" s="67">
        <v>7</v>
      </c>
      <c r="K438" s="69" t="s">
        <v>30</v>
      </c>
      <c r="L438" s="65" t="str">
        <f>IF($J438=L$3,IF(L$3&gt;$I438,"-",ROUNDUP(Ld_cal($B438, $C438, $D438, $G438,$E438, $F438, $H438, L$3)*1.3*1.3,0)),"-")</f>
        <v>-</v>
      </c>
      <c r="M438" s="65" t="str">
        <f>IF($J438=M$3,IF(M$3&gt;$I438,"-",ROUNDUP(Ld_cal($B438, $C438, $D438, $G438,$E438, $F438, $H438, M$3)*1.3*1.3,0)),"-")</f>
        <v>-</v>
      </c>
      <c r="N438" s="65" t="str">
        <f>IF($J438=N$3,IF(N$3&gt;$I438,"-",ROUNDUP(Ld_cal($B438, $C438, $D438, $G438,$E438, $F438, $H438, N$3)*1.3*1.3,0)),"-")</f>
        <v>-</v>
      </c>
      <c r="O438" s="65" t="str">
        <f>IF($J438=O$3,IF(O$3&gt;$I438,"-",ROUNDUP(Ld_cal($B438, $C438, $D438, $G438,$E438, $F438, $H438, O$3)*1.3*1.3,0)),"-")</f>
        <v>-</v>
      </c>
      <c r="P438" s="65">
        <f>IF($J438=P$3,IF(P$3&gt;$I438,"-",ROUNDUP(Ld_cal($B438, $C438, $D438, $G438,$E438, $F438, $H438, P$3)*1.3*1.3,0)),"-")</f>
        <v>188</v>
      </c>
      <c r="Q438" s="65" t="str">
        <f>IF($J438=Q$3,IF(Q$3&gt;$I438,"-",ROUNDUP(Ld_cal($B438, $C438, $D438, $G438,$E438, $F438, $H438, Q$3)*1.3*1.3,0)),"-")</f>
        <v>-</v>
      </c>
      <c r="R438" s="65" t="str">
        <f>IF($J438=R$3,IF(R$3&gt;$I438,"-",ROUNDUP(Ld_cal($B438, $C438, $D438, $G438,$E438, $F438, $H438, R$3)*1.3*1.3,0)),"-")</f>
        <v>-</v>
      </c>
      <c r="S438" s="65" t="str">
        <f>IF($J438=S$3,IF(S$3&gt;$I438,"-",ROUNDUP(Ld_cal($B438, $C438, $D438, $G438,$E438, $F438, $H438, S$3)*1.3*1.3,0)),"-")</f>
        <v>-</v>
      </c>
      <c r="T438" s="65" t="str">
        <f>IF($J438=T$3,IF(T$3&gt;$I438,"-",ROUNDUP(Ld_cal($B438, $C438, $D438, $G438,$E438, $F438, $H438, T$3)*1.3*1.3,0)),"-")</f>
        <v>-</v>
      </c>
      <c r="U438" s="65" t="str">
        <f>IF($J438=U$3,IF(U$3&gt;$I438,"-",ROUNDUP(Ld_cal($B438, $C438, $D438, $G438,$E438, $F438, $H438, U$3)*1.3*1.3,0)),"-")</f>
        <v>-</v>
      </c>
      <c r="V438" s="65" t="str">
        <f>IF($J438=V$3,IF(V$3&gt;$I438,"-",ROUNDUP(Ld_cal($B438, $C438, $D438, $G438,$E438, $F438, $H438, V$3)*1.3*1.3,0)),"-")</f>
        <v>-</v>
      </c>
      <c r="W438" s="65" t="str">
        <f>IF($J438=W$3,IF(W$3&gt;$I438,"-",ROUNDUP(Ld_cal($B438, $C438, $D438, $G438,$E438, $F438, $H438, W$3)*1.3*1.3,0)),"-")</f>
        <v>-</v>
      </c>
      <c r="X438" s="65" t="str">
        <f>IF($J438=X$3,IF(X$3&gt;$I438,"-",ROUNDUP(Ld_cal($B438, $C438, $D438, $G438,$E438, $F438, $H438, X$3)*1.3*1.3,0)),"-")</f>
        <v>-</v>
      </c>
      <c r="Y438" s="65" t="str">
        <f>IF($J438=Y$3,IF(Y$3&gt;$I438,"-",ROUNDUP(Ld_cal($B438, $C438, $D438, $G438,$E438, $F438, $H438, Y$3)*1.3*1.3,0)),"-")</f>
        <v>-</v>
      </c>
      <c r="Z438" s="65" t="str">
        <f>IF($J438=Z$3,IF(Z$3&gt;$I438,"-",ROUNDUP(Ld_cal($B438, $C438, $D438, $G438,$E438, $F438, $H438, Z$3)*1.3*1.3,0)),"-")</f>
        <v>-</v>
      </c>
      <c r="AA438" s="65" t="str">
        <f>IF($J438=AA$3,IF(AA$3&gt;$I438,"-",ROUNDUP(Ld_cal($B438, $C438, $D438, $G438,$E438, $F438, $H438, AA$3)*1.3*1.3,0)),"-")</f>
        <v>-</v>
      </c>
      <c r="AB438" s="65" t="str">
        <f>IF($J438=AB$3,IF(AB$3&gt;$I438,"-",ROUNDUP(Ld_cal($B438, $C438, $D438, $G438,$E438, $F438, $H438, AB$3)*1.3*1.3,0)),"-")</f>
        <v>-</v>
      </c>
      <c r="AC438" s="65" t="str">
        <f>IF($J438=AC$3,IF(AC$3&gt;$I438,"-",ROUNDUP(Ld_cal($B438, $C438, $D438, $G438,$E438, $F438, $H438, AC$3)*1.3*1.3,0)),"-")</f>
        <v>-</v>
      </c>
      <c r="AD438" s="65">
        <f t="shared" ref="AD438" si="428">IF(J438&gt;I438,"依標準圖",MAX(L438:AC438))</f>
        <v>188</v>
      </c>
    </row>
    <row r="439" spans="1:30">
      <c r="A439" s="98"/>
      <c r="B439" s="99"/>
      <c r="C439" s="100"/>
      <c r="D439" s="101"/>
      <c r="E439" s="102"/>
      <c r="F439" s="103"/>
      <c r="G439" s="101"/>
      <c r="H439" s="102"/>
      <c r="I439" s="104"/>
      <c r="J439" s="67">
        <v>4</v>
      </c>
      <c r="K439" s="69" t="s">
        <v>29</v>
      </c>
      <c r="L439" s="65" t="str">
        <f>IF($J439=L$3,IF(L$3&gt;$I438,"-",ROUNDUP(Ld_cal($B438, $C438, $D438, $G438,$E438, $F438, $H438, L$3)*1.3,0)),"-")</f>
        <v>-</v>
      </c>
      <c r="M439" s="65">
        <f>IF($J439=M$3,IF(M$3&gt;$I438,"-",ROUNDUP(Ld_cal($B438, $C438, $D438, $G438,$E438, $F438, $H438, M$3)*1.3,0)),"-")</f>
        <v>105</v>
      </c>
      <c r="N439" s="65" t="str">
        <f>IF($J439=N$3,IF(N$3&gt;$I438,"-",ROUNDUP(Ld_cal($B438, $C438, $D438, $G438,$E438, $F438, $H438, N$3)*1.3,0)),"-")</f>
        <v>-</v>
      </c>
      <c r="O439" s="65" t="str">
        <f>IF($J439=O$3,IF(O$3&gt;$I438,"-",ROUNDUP(Ld_cal($B438, $C438, $D438, $G438,$E438, $F438, $H438, O$3)*1.3,0)),"-")</f>
        <v>-</v>
      </c>
      <c r="P439" s="65" t="str">
        <f>IF($J439=P$3,IF(P$3&gt;$I438,"-",ROUNDUP(Ld_cal($B438, $C438, $D438, $G438,$E438, $F438, $H438, P$3)*1.3,0)),"-")</f>
        <v>-</v>
      </c>
      <c r="Q439" s="65" t="str">
        <f>IF($J439=Q$3,IF(Q$3&gt;$I438,"-",ROUNDUP(Ld_cal($B438, $C438, $D438, $G438,$E438, $F438, $H438, Q$3)*1.3,0)),"-")</f>
        <v>-</v>
      </c>
      <c r="R439" s="65" t="str">
        <f>IF($J439=R$3,IF(R$3&gt;$I438,"-",ROUNDUP(Ld_cal($B438, $C438, $D438, $G438,$E438, $F438, $H438, R$3)*1.3,0)),"-")</f>
        <v>-</v>
      </c>
      <c r="S439" s="65" t="str">
        <f>IF($J439=S$3,IF(S$3&gt;$I438,"-",ROUNDUP(Ld_cal($B438, $C438, $D438, $G438,$E438, $F438, $H438, S$3)*1.3,0)),"-")</f>
        <v>-</v>
      </c>
      <c r="T439" s="65" t="str">
        <f>IF($J439=T$3,IF(T$3&gt;$I438,"-",ROUNDUP(Ld_cal($B438, $C438, $D438, $G438,$E438, $F438, $H438, T$3)*1.3,0)),"-")</f>
        <v>-</v>
      </c>
      <c r="U439" s="65" t="str">
        <f>IF($J439=U$3,IF(U$3&gt;$I438,"-",ROUNDUP(Ld_cal($B438, $C438, $D438, $G438,$E438, $F438, $H438, U$3)*1.3,0)),"-")</f>
        <v>-</v>
      </c>
      <c r="V439" s="65" t="str">
        <f>IF($J439=V$3,IF(V$3&gt;$I438,"-",ROUNDUP(Ld_cal($B438, $C438, $D438, $G438,$E438, $F438, $H438, V$3)*1.3,0)),"-")</f>
        <v>-</v>
      </c>
      <c r="W439" s="65" t="str">
        <f>IF($J439=W$3,IF(W$3&gt;$I438,"-",ROUNDUP(Ld_cal($B438, $C438, $D438, $G438,$E438, $F438, $H438, W$3)*1.3,0)),"-")</f>
        <v>-</v>
      </c>
      <c r="X439" s="65" t="str">
        <f>IF($J439=X$3,IF(X$3&gt;$I438,"-",ROUNDUP(Ld_cal($B438, $C438, $D438, $G438,$E438, $F438, $H438, X$3)*1.3,0)),"-")</f>
        <v>-</v>
      </c>
      <c r="Y439" s="65" t="str">
        <f>IF($J439=Y$3,IF(Y$3&gt;$I438,"-",ROUNDUP(Ld_cal($B438, $C438, $D438, $G438,$E438, $F438, $H438, Y$3)*1.3,0)),"-")</f>
        <v>-</v>
      </c>
      <c r="Z439" s="65" t="str">
        <f>IF($J439=Z$3,IF(Z$3&gt;$I438,"-",ROUNDUP(Ld_cal($B438, $C438, $D438, $G438,$E438, $F438, $H438, Z$3)*1.3,0)),"-")</f>
        <v>-</v>
      </c>
      <c r="AA439" s="65" t="str">
        <f>IF($J439=AA$3,IF(AA$3&gt;$I438,"-",ROUNDUP(Ld_cal($B438, $C438, $D438, $G438,$E438, $F438, $H438, AA$3)*1.3,0)),"-")</f>
        <v>-</v>
      </c>
      <c r="AB439" s="65" t="str">
        <f>IF($J439=AB$3,IF(AB$3&gt;$I438,"-",ROUNDUP(Ld_cal($B438, $C438, $D438, $G438,$E438, $F438, $H438, AB$3)*1.3,0)),"-")</f>
        <v>-</v>
      </c>
      <c r="AC439" s="65" t="str">
        <f>IF($J439=AC$3,IF(AC$3&gt;$I438,"-",ROUNDUP(Ld_cal($B438, $C438, $D438, $G438,$E438, $F438, $H438, AC$3)*1.3,0)),"-")</f>
        <v>-</v>
      </c>
      <c r="AD439" s="65">
        <f t="shared" ref="AD439" si="429">IF(J439&gt;I438,"依標準圖",MAX(L439:AC439))</f>
        <v>105</v>
      </c>
    </row>
    <row r="440" spans="1:30">
      <c r="A440" s="105" t="s">
        <v>261</v>
      </c>
      <c r="B440" s="107">
        <v>80</v>
      </c>
      <c r="C440" s="108">
        <v>7.5</v>
      </c>
      <c r="D440" s="107">
        <v>4200</v>
      </c>
      <c r="E440" s="109">
        <v>16</v>
      </c>
      <c r="F440" s="110">
        <v>25</v>
      </c>
      <c r="G440" s="107">
        <v>350</v>
      </c>
      <c r="H440" s="109">
        <v>32</v>
      </c>
      <c r="I440" s="111">
        <f>ROUNDDOWN(($B440-2*$C440-2*$E440/10-$H440/10)/(($D$1+1)*$H440/10),0)+1</f>
        <v>10</v>
      </c>
      <c r="J440" s="68">
        <v>11</v>
      </c>
      <c r="K440" s="40" t="s">
        <v>30</v>
      </c>
      <c r="L440" s="66" t="str">
        <f>IF($J440=L$3,IF(L$3&gt;$I440,"-",ROUNDUP(Ld_cal($B440, $C440, $D440, $G440,$E440, $F440, $H440, L$3)*1.3*1.3,0)),"-")</f>
        <v>-</v>
      </c>
      <c r="M440" s="66" t="str">
        <f>IF($J440=M$3,IF(M$3&gt;$I440,"-",ROUNDUP(Ld_cal($B440, $C440, $D440, $G440,$E440, $F440, $H440, M$3)*1.3*1.3,0)),"-")</f>
        <v>-</v>
      </c>
      <c r="N440" s="66" t="str">
        <f>IF($J440=N$3,IF(N$3&gt;$I440,"-",ROUNDUP(Ld_cal($B440, $C440, $D440, $G440,$E440, $F440, $H440, N$3)*1.3*1.3,0)),"-")</f>
        <v>-</v>
      </c>
      <c r="O440" s="66" t="str">
        <f>IF($J440=O$3,IF(O$3&gt;$I440,"-",ROUNDUP(Ld_cal($B440, $C440, $D440, $G440,$E440, $F440, $H440, O$3)*1.3*1.3,0)),"-")</f>
        <v>-</v>
      </c>
      <c r="P440" s="66" t="str">
        <f>IF($J440=P$3,IF(P$3&gt;$I440,"-",ROUNDUP(Ld_cal($B440, $C440, $D440, $G440,$E440, $F440, $H440, P$3)*1.3*1.3,0)),"-")</f>
        <v>-</v>
      </c>
      <c r="Q440" s="66" t="str">
        <f>IF($J440=Q$3,IF(Q$3&gt;$I440,"-",ROUNDUP(Ld_cal($B440, $C440, $D440, $G440,$E440, $F440, $H440, Q$3)*1.3*1.3,0)),"-")</f>
        <v>-</v>
      </c>
      <c r="R440" s="66" t="str">
        <f>IF($J440=R$3,IF(R$3&gt;$I440,"-",ROUNDUP(Ld_cal($B440, $C440, $D440, $G440,$E440, $F440, $H440, R$3)*1.3*1.3,0)),"-")</f>
        <v>-</v>
      </c>
      <c r="S440" s="66" t="str">
        <f>IF($J440=S$3,IF(S$3&gt;$I440,"-",ROUNDUP(Ld_cal($B440, $C440, $D440, $G440,$E440, $F440, $H440, S$3)*1.3*1.3,0)),"-")</f>
        <v>-</v>
      </c>
      <c r="T440" s="66" t="str">
        <f>IF($J440=T$3,IF(T$3&gt;$I440,"-",ROUNDUP(Ld_cal($B440, $C440, $D440, $G440,$E440, $F440, $H440, T$3)*1.3*1.3,0)),"-")</f>
        <v>-</v>
      </c>
      <c r="U440" s="66" t="str">
        <f>IF($J440=U$3,IF(U$3&gt;$I440,"-",ROUNDUP(Ld_cal($B440, $C440, $D440, $G440,$E440, $F440, $H440, U$3)*1.3*1.3,0)),"-")</f>
        <v>-</v>
      </c>
      <c r="V440" s="66" t="str">
        <f>IF($J440=V$3,IF(V$3&gt;$I440,"-",ROUNDUP(Ld_cal($B440, $C440, $D440, $G440,$E440, $F440, $H440, V$3)*1.3*1.3,0)),"-")</f>
        <v>-</v>
      </c>
      <c r="W440" s="66" t="str">
        <f>IF($J440=W$3,IF(W$3&gt;$I440,"-",ROUNDUP(Ld_cal($B440, $C440, $D440, $G440,$E440, $F440, $H440, W$3)*1.3*1.3,0)),"-")</f>
        <v>-</v>
      </c>
      <c r="X440" s="66" t="str">
        <f>IF($J440=X$3,IF(X$3&gt;$I440,"-",ROUNDUP(Ld_cal($B440, $C440, $D440, $G440,$E440, $F440, $H440, X$3)*1.3*1.3,0)),"-")</f>
        <v>-</v>
      </c>
      <c r="Y440" s="66" t="str">
        <f>IF($J440=Y$3,IF(Y$3&gt;$I440,"-",ROUNDUP(Ld_cal($B440, $C440, $D440, $G440,$E440, $F440, $H440, Y$3)*1.3*1.3,0)),"-")</f>
        <v>-</v>
      </c>
      <c r="Z440" s="66" t="str">
        <f>IF($J440=Z$3,IF(Z$3&gt;$I440,"-",ROUNDUP(Ld_cal($B440, $C440, $D440, $G440,$E440, $F440, $H440, Z$3)*1.3*1.3,0)),"-")</f>
        <v>-</v>
      </c>
      <c r="AA440" s="66" t="str">
        <f>IF($J440=AA$3,IF(AA$3&gt;$I440,"-",ROUNDUP(Ld_cal($B440, $C440, $D440, $G440,$E440, $F440, $H440, AA$3)*1.3*1.3,0)),"-")</f>
        <v>-</v>
      </c>
      <c r="AB440" s="66" t="str">
        <f>IF($J440=AB$3,IF(AB$3&gt;$I440,"-",ROUNDUP(Ld_cal($B440, $C440, $D440, $G440,$E440, $F440, $H440, AB$3)*1.3*1.3,0)),"-")</f>
        <v>-</v>
      </c>
      <c r="AC440" s="66" t="str">
        <f>IF($J440=AC$3,IF(AC$3&gt;$I440,"-",ROUNDUP(Ld_cal($B440, $C440, $D440, $G440,$E440, $F440, $H440, AC$3)*1.3*1.3,0)),"-")</f>
        <v>-</v>
      </c>
      <c r="AD440" s="66" t="str">
        <f t="shared" ref="AD440" si="430">IF(J440&gt;I440,"依標準圖",MAX(L440:AC440))</f>
        <v>依標準圖</v>
      </c>
    </row>
    <row r="441" spans="1:30">
      <c r="A441" s="106"/>
      <c r="B441" s="107"/>
      <c r="C441" s="108"/>
      <c r="D441" s="107"/>
      <c r="E441" s="109"/>
      <c r="F441" s="110"/>
      <c r="G441" s="107"/>
      <c r="H441" s="109"/>
      <c r="I441" s="111"/>
      <c r="J441" s="68">
        <v>5</v>
      </c>
      <c r="K441" s="40" t="s">
        <v>29</v>
      </c>
      <c r="L441" s="66" t="str">
        <f>IF($J441=L$3,IF(L$3&gt;$I440,"-",ROUNDUP(Ld_cal($B440, $C440, $D440, $G440,$E440, $F440, $H440, L$3)*1.3,0)),"-")</f>
        <v>-</v>
      </c>
      <c r="M441" s="66" t="str">
        <f>IF($J441=M$3,IF(M$3&gt;$I440,"-",ROUNDUP(Ld_cal($B440, $C440, $D440, $G440,$E440, $F440, $H440, M$3)*1.3,0)),"-")</f>
        <v>-</v>
      </c>
      <c r="N441" s="66">
        <f>IF($J441=N$3,IF(N$3&gt;$I440,"-",ROUNDUP(Ld_cal($B440, $C440, $D440, $G440,$E440, $F440, $H440, N$3)*1.3,0)),"-")</f>
        <v>105</v>
      </c>
      <c r="O441" s="66" t="str">
        <f>IF($J441=O$3,IF(O$3&gt;$I440,"-",ROUNDUP(Ld_cal($B440, $C440, $D440, $G440,$E440, $F440, $H440, O$3)*1.3,0)),"-")</f>
        <v>-</v>
      </c>
      <c r="P441" s="66" t="str">
        <f>IF($J441=P$3,IF(P$3&gt;$I440,"-",ROUNDUP(Ld_cal($B440, $C440, $D440, $G440,$E440, $F440, $H440, P$3)*1.3,0)),"-")</f>
        <v>-</v>
      </c>
      <c r="Q441" s="66" t="str">
        <f>IF($J441=Q$3,IF(Q$3&gt;$I440,"-",ROUNDUP(Ld_cal($B440, $C440, $D440, $G440,$E440, $F440, $H440, Q$3)*1.3,0)),"-")</f>
        <v>-</v>
      </c>
      <c r="R441" s="66" t="str">
        <f>IF($J441=R$3,IF(R$3&gt;$I440,"-",ROUNDUP(Ld_cal($B440, $C440, $D440, $G440,$E440, $F440, $H440, R$3)*1.3,0)),"-")</f>
        <v>-</v>
      </c>
      <c r="S441" s="66" t="str">
        <f>IF($J441=S$3,IF(S$3&gt;$I440,"-",ROUNDUP(Ld_cal($B440, $C440, $D440, $G440,$E440, $F440, $H440, S$3)*1.3,0)),"-")</f>
        <v>-</v>
      </c>
      <c r="T441" s="66" t="str">
        <f>IF($J441=T$3,IF(T$3&gt;$I440,"-",ROUNDUP(Ld_cal($B440, $C440, $D440, $G440,$E440, $F440, $H440, T$3)*1.3,0)),"-")</f>
        <v>-</v>
      </c>
      <c r="U441" s="66" t="str">
        <f>IF($J441=U$3,IF(U$3&gt;$I440,"-",ROUNDUP(Ld_cal($B440, $C440, $D440, $G440,$E440, $F440, $H440, U$3)*1.3,0)),"-")</f>
        <v>-</v>
      </c>
      <c r="V441" s="66" t="str">
        <f>IF($J441=V$3,IF(V$3&gt;$I440,"-",ROUNDUP(Ld_cal($B440, $C440, $D440, $G440,$E440, $F440, $H440, V$3)*1.3,0)),"-")</f>
        <v>-</v>
      </c>
      <c r="W441" s="66" t="str">
        <f>IF($J441=W$3,IF(W$3&gt;$I440,"-",ROUNDUP(Ld_cal($B440, $C440, $D440, $G440,$E440, $F440, $H440, W$3)*1.3,0)),"-")</f>
        <v>-</v>
      </c>
      <c r="X441" s="66" t="str">
        <f>IF($J441=X$3,IF(X$3&gt;$I440,"-",ROUNDUP(Ld_cal($B440, $C440, $D440, $G440,$E440, $F440, $H440, X$3)*1.3,0)),"-")</f>
        <v>-</v>
      </c>
      <c r="Y441" s="66" t="str">
        <f>IF($J441=Y$3,IF(Y$3&gt;$I440,"-",ROUNDUP(Ld_cal($B440, $C440, $D440, $G440,$E440, $F440, $H440, Y$3)*1.3,0)),"-")</f>
        <v>-</v>
      </c>
      <c r="Z441" s="66" t="str">
        <f>IF($J441=Z$3,IF(Z$3&gt;$I440,"-",ROUNDUP(Ld_cal($B440, $C440, $D440, $G440,$E440, $F440, $H440, Z$3)*1.3,0)),"-")</f>
        <v>-</v>
      </c>
      <c r="AA441" s="66" t="str">
        <f>IF($J441=AA$3,IF(AA$3&gt;$I440,"-",ROUNDUP(Ld_cal($B440, $C440, $D440, $G440,$E440, $F440, $H440, AA$3)*1.3,0)),"-")</f>
        <v>-</v>
      </c>
      <c r="AB441" s="66" t="str">
        <f>IF($J441=AB$3,IF(AB$3&gt;$I440,"-",ROUNDUP(Ld_cal($B440, $C440, $D440, $G440,$E440, $F440, $H440, AB$3)*1.3,0)),"-")</f>
        <v>-</v>
      </c>
      <c r="AC441" s="66" t="str">
        <f>IF($J441=AC$3,IF(AC$3&gt;$I440,"-",ROUNDUP(Ld_cal($B440, $C440, $D440, $G440,$E440, $F440, $H440, AC$3)*1.3,0)),"-")</f>
        <v>-</v>
      </c>
      <c r="AD441" s="66">
        <f t="shared" ref="AD441" si="431">IF(J441&gt;I440,"依標準圖",MAX(L441:AC441))</f>
        <v>105</v>
      </c>
    </row>
    <row r="442" spans="1:30">
      <c r="A442" s="97" t="s">
        <v>262</v>
      </c>
      <c r="B442" s="99">
        <v>80</v>
      </c>
      <c r="C442" s="100">
        <v>7.5</v>
      </c>
      <c r="D442" s="101">
        <v>4200</v>
      </c>
      <c r="E442" s="102">
        <v>16</v>
      </c>
      <c r="F442" s="103">
        <v>25</v>
      </c>
      <c r="G442" s="101">
        <v>350</v>
      </c>
      <c r="H442" s="102">
        <v>32</v>
      </c>
      <c r="I442" s="104">
        <f>ROUNDDOWN(($B442-2*$C442-2*$E442/10-$H442/10)/(($D$1+1)*$H442/10),0)+1</f>
        <v>10</v>
      </c>
      <c r="J442" s="67">
        <v>4</v>
      </c>
      <c r="K442" s="69" t="s">
        <v>30</v>
      </c>
      <c r="L442" s="65" t="str">
        <f>IF($J442=L$3,IF(L$3&gt;$I442,"-",ROUNDUP(Ld_cal($B442, $C442, $D442, $G442,$E442, $F442, $H442, L$3)*1.3*1.3,0)),"-")</f>
        <v>-</v>
      </c>
      <c r="M442" s="65">
        <f>IF($J442=M$3,IF(M$3&gt;$I442,"-",ROUNDUP(Ld_cal($B442, $C442, $D442, $G442,$E442, $F442, $H442, M$3)*1.3*1.3,0)),"-")</f>
        <v>136</v>
      </c>
      <c r="N442" s="65" t="str">
        <f>IF($J442=N$3,IF(N$3&gt;$I442,"-",ROUNDUP(Ld_cal($B442, $C442, $D442, $G442,$E442, $F442, $H442, N$3)*1.3*1.3,0)),"-")</f>
        <v>-</v>
      </c>
      <c r="O442" s="65" t="str">
        <f>IF($J442=O$3,IF(O$3&gt;$I442,"-",ROUNDUP(Ld_cal($B442, $C442, $D442, $G442,$E442, $F442, $H442, O$3)*1.3*1.3,0)),"-")</f>
        <v>-</v>
      </c>
      <c r="P442" s="65" t="str">
        <f>IF($J442=P$3,IF(P$3&gt;$I442,"-",ROUNDUP(Ld_cal($B442, $C442, $D442, $G442,$E442, $F442, $H442, P$3)*1.3*1.3,0)),"-")</f>
        <v>-</v>
      </c>
      <c r="Q442" s="65" t="str">
        <f>IF($J442=Q$3,IF(Q$3&gt;$I442,"-",ROUNDUP(Ld_cal($B442, $C442, $D442, $G442,$E442, $F442, $H442, Q$3)*1.3*1.3,0)),"-")</f>
        <v>-</v>
      </c>
      <c r="R442" s="65" t="str">
        <f>IF($J442=R$3,IF(R$3&gt;$I442,"-",ROUNDUP(Ld_cal($B442, $C442, $D442, $G442,$E442, $F442, $H442, R$3)*1.3*1.3,0)),"-")</f>
        <v>-</v>
      </c>
      <c r="S442" s="65" t="str">
        <f>IF($J442=S$3,IF(S$3&gt;$I442,"-",ROUNDUP(Ld_cal($B442, $C442, $D442, $G442,$E442, $F442, $H442, S$3)*1.3*1.3,0)),"-")</f>
        <v>-</v>
      </c>
      <c r="T442" s="65" t="str">
        <f>IF($J442=T$3,IF(T$3&gt;$I442,"-",ROUNDUP(Ld_cal($B442, $C442, $D442, $G442,$E442, $F442, $H442, T$3)*1.3*1.3,0)),"-")</f>
        <v>-</v>
      </c>
      <c r="U442" s="65" t="str">
        <f>IF($J442=U$3,IF(U$3&gt;$I442,"-",ROUNDUP(Ld_cal($B442, $C442, $D442, $G442,$E442, $F442, $H442, U$3)*1.3*1.3,0)),"-")</f>
        <v>-</v>
      </c>
      <c r="V442" s="65" t="str">
        <f>IF($J442=V$3,IF(V$3&gt;$I442,"-",ROUNDUP(Ld_cal($B442, $C442, $D442, $G442,$E442, $F442, $H442, V$3)*1.3*1.3,0)),"-")</f>
        <v>-</v>
      </c>
      <c r="W442" s="65" t="str">
        <f>IF($J442=W$3,IF(W$3&gt;$I442,"-",ROUNDUP(Ld_cal($B442, $C442, $D442, $G442,$E442, $F442, $H442, W$3)*1.3*1.3,0)),"-")</f>
        <v>-</v>
      </c>
      <c r="X442" s="65" t="str">
        <f>IF($J442=X$3,IF(X$3&gt;$I442,"-",ROUNDUP(Ld_cal($B442, $C442, $D442, $G442,$E442, $F442, $H442, X$3)*1.3*1.3,0)),"-")</f>
        <v>-</v>
      </c>
      <c r="Y442" s="65" t="str">
        <f>IF($J442=Y$3,IF(Y$3&gt;$I442,"-",ROUNDUP(Ld_cal($B442, $C442, $D442, $G442,$E442, $F442, $H442, Y$3)*1.3*1.3,0)),"-")</f>
        <v>-</v>
      </c>
      <c r="Z442" s="65" t="str">
        <f>IF($J442=Z$3,IF(Z$3&gt;$I442,"-",ROUNDUP(Ld_cal($B442, $C442, $D442, $G442,$E442, $F442, $H442, Z$3)*1.3*1.3,0)),"-")</f>
        <v>-</v>
      </c>
      <c r="AA442" s="65" t="str">
        <f>IF($J442=AA$3,IF(AA$3&gt;$I442,"-",ROUNDUP(Ld_cal($B442, $C442, $D442, $G442,$E442, $F442, $H442, AA$3)*1.3*1.3,0)),"-")</f>
        <v>-</v>
      </c>
      <c r="AB442" s="65" t="str">
        <f>IF($J442=AB$3,IF(AB$3&gt;$I442,"-",ROUNDUP(Ld_cal($B442, $C442, $D442, $G442,$E442, $F442, $H442, AB$3)*1.3*1.3,0)),"-")</f>
        <v>-</v>
      </c>
      <c r="AC442" s="65" t="str">
        <f>IF($J442=AC$3,IF(AC$3&gt;$I442,"-",ROUNDUP(Ld_cal($B442, $C442, $D442, $G442,$E442, $F442, $H442, AC$3)*1.3*1.3,0)),"-")</f>
        <v>-</v>
      </c>
      <c r="AD442" s="65">
        <f t="shared" ref="AD442" si="432">IF(J442&gt;I442,"依標準圖",MAX(L442:AC442))</f>
        <v>136</v>
      </c>
    </row>
    <row r="443" spans="1:30">
      <c r="A443" s="98"/>
      <c r="B443" s="99"/>
      <c r="C443" s="100"/>
      <c r="D443" s="101"/>
      <c r="E443" s="102"/>
      <c r="F443" s="103"/>
      <c r="G443" s="101"/>
      <c r="H443" s="102"/>
      <c r="I443" s="104"/>
      <c r="J443" s="67">
        <v>6</v>
      </c>
      <c r="K443" s="69" t="s">
        <v>29</v>
      </c>
      <c r="L443" s="65" t="str">
        <f>IF($J443=L$3,IF(L$3&gt;$I442,"-",ROUNDUP(Ld_cal($B442, $C442, $D442, $G442,$E442, $F442, $H442, L$3)*1.3,0)),"-")</f>
        <v>-</v>
      </c>
      <c r="M443" s="65" t="str">
        <f>IF($J443=M$3,IF(M$3&gt;$I442,"-",ROUNDUP(Ld_cal($B442, $C442, $D442, $G442,$E442, $F442, $H442, M$3)*1.3,0)),"-")</f>
        <v>-</v>
      </c>
      <c r="N443" s="65" t="str">
        <f>IF($J443=N$3,IF(N$3&gt;$I442,"-",ROUNDUP(Ld_cal($B442, $C442, $D442, $G442,$E442, $F442, $H442, N$3)*1.3,0)),"-")</f>
        <v>-</v>
      </c>
      <c r="O443" s="65">
        <f>IF($J443=O$3,IF(O$3&gt;$I442,"-",ROUNDUP(Ld_cal($B442, $C442, $D442, $G442,$E442, $F442, $H442, O$3)*1.3,0)),"-")</f>
        <v>121</v>
      </c>
      <c r="P443" s="65" t="str">
        <f>IF($J443=P$3,IF(P$3&gt;$I442,"-",ROUNDUP(Ld_cal($B442, $C442, $D442, $G442,$E442, $F442, $H442, P$3)*1.3,0)),"-")</f>
        <v>-</v>
      </c>
      <c r="Q443" s="65" t="str">
        <f>IF($J443=Q$3,IF(Q$3&gt;$I442,"-",ROUNDUP(Ld_cal($B442, $C442, $D442, $G442,$E442, $F442, $H442, Q$3)*1.3,0)),"-")</f>
        <v>-</v>
      </c>
      <c r="R443" s="65" t="str">
        <f>IF($J443=R$3,IF(R$3&gt;$I442,"-",ROUNDUP(Ld_cal($B442, $C442, $D442, $G442,$E442, $F442, $H442, R$3)*1.3,0)),"-")</f>
        <v>-</v>
      </c>
      <c r="S443" s="65" t="str">
        <f>IF($J443=S$3,IF(S$3&gt;$I442,"-",ROUNDUP(Ld_cal($B442, $C442, $D442, $G442,$E442, $F442, $H442, S$3)*1.3,0)),"-")</f>
        <v>-</v>
      </c>
      <c r="T443" s="65" t="str">
        <f>IF($J443=T$3,IF(T$3&gt;$I442,"-",ROUNDUP(Ld_cal($B442, $C442, $D442, $G442,$E442, $F442, $H442, T$3)*1.3,0)),"-")</f>
        <v>-</v>
      </c>
      <c r="U443" s="65" t="str">
        <f>IF($J443=U$3,IF(U$3&gt;$I442,"-",ROUNDUP(Ld_cal($B442, $C442, $D442, $G442,$E442, $F442, $H442, U$3)*1.3,0)),"-")</f>
        <v>-</v>
      </c>
      <c r="V443" s="65" t="str">
        <f>IF($J443=V$3,IF(V$3&gt;$I442,"-",ROUNDUP(Ld_cal($B442, $C442, $D442, $G442,$E442, $F442, $H442, V$3)*1.3,0)),"-")</f>
        <v>-</v>
      </c>
      <c r="W443" s="65" t="str">
        <f>IF($J443=W$3,IF(W$3&gt;$I442,"-",ROUNDUP(Ld_cal($B442, $C442, $D442, $G442,$E442, $F442, $H442, W$3)*1.3,0)),"-")</f>
        <v>-</v>
      </c>
      <c r="X443" s="65" t="str">
        <f>IF($J443=X$3,IF(X$3&gt;$I442,"-",ROUNDUP(Ld_cal($B442, $C442, $D442, $G442,$E442, $F442, $H442, X$3)*1.3,0)),"-")</f>
        <v>-</v>
      </c>
      <c r="Y443" s="65" t="str">
        <f>IF($J443=Y$3,IF(Y$3&gt;$I442,"-",ROUNDUP(Ld_cal($B442, $C442, $D442, $G442,$E442, $F442, $H442, Y$3)*1.3,0)),"-")</f>
        <v>-</v>
      </c>
      <c r="Z443" s="65" t="str">
        <f>IF($J443=Z$3,IF(Z$3&gt;$I442,"-",ROUNDUP(Ld_cal($B442, $C442, $D442, $G442,$E442, $F442, $H442, Z$3)*1.3,0)),"-")</f>
        <v>-</v>
      </c>
      <c r="AA443" s="65" t="str">
        <f>IF($J443=AA$3,IF(AA$3&gt;$I442,"-",ROUNDUP(Ld_cal($B442, $C442, $D442, $G442,$E442, $F442, $H442, AA$3)*1.3,0)),"-")</f>
        <v>-</v>
      </c>
      <c r="AB443" s="65" t="str">
        <f>IF($J443=AB$3,IF(AB$3&gt;$I442,"-",ROUNDUP(Ld_cal($B442, $C442, $D442, $G442,$E442, $F442, $H442, AB$3)*1.3,0)),"-")</f>
        <v>-</v>
      </c>
      <c r="AC443" s="65" t="str">
        <f>IF($J443=AC$3,IF(AC$3&gt;$I442,"-",ROUNDUP(Ld_cal($B442, $C442, $D442, $G442,$E442, $F442, $H442, AC$3)*1.3,0)),"-")</f>
        <v>-</v>
      </c>
      <c r="AD443" s="65">
        <f t="shared" ref="AD443" si="433">IF(J443&gt;I442,"依標準圖",MAX(L443:AC443))</f>
        <v>121</v>
      </c>
    </row>
    <row r="444" spans="1:30">
      <c r="A444" s="105" t="s">
        <v>263</v>
      </c>
      <c r="B444" s="107">
        <v>80</v>
      </c>
      <c r="C444" s="108">
        <v>7.5</v>
      </c>
      <c r="D444" s="107">
        <v>4200</v>
      </c>
      <c r="E444" s="109">
        <v>13</v>
      </c>
      <c r="F444" s="110">
        <v>12</v>
      </c>
      <c r="G444" s="107">
        <v>350</v>
      </c>
      <c r="H444" s="109">
        <v>32</v>
      </c>
      <c r="I444" s="111">
        <f>ROUNDDOWN(($B444-2*$C444-2*$E444/10-$H444/10)/(($D$1+1)*$H444/10),0)+1</f>
        <v>10</v>
      </c>
      <c r="J444" s="68">
        <v>4</v>
      </c>
      <c r="K444" s="40" t="s">
        <v>30</v>
      </c>
      <c r="L444" s="66" t="str">
        <f>IF($J444=L$3,IF(L$3&gt;$I444,"-",ROUNDUP(Ld_cal($B444, $C444, $D444, $G444,$E444, $F444, $H444, L$3)*1.3*1.3,0)),"-")</f>
        <v>-</v>
      </c>
      <c r="M444" s="66">
        <f>IF($J444=M$3,IF(M$3&gt;$I444,"-",ROUNDUP(Ld_cal($B444, $C444, $D444, $G444,$E444, $F444, $H444, M$3)*1.3*1.3,0)),"-")</f>
        <v>136</v>
      </c>
      <c r="N444" s="66" t="str">
        <f>IF($J444=N$3,IF(N$3&gt;$I444,"-",ROUNDUP(Ld_cal($B444, $C444, $D444, $G444,$E444, $F444, $H444, N$3)*1.3*1.3,0)),"-")</f>
        <v>-</v>
      </c>
      <c r="O444" s="66" t="str">
        <f>IF($J444=O$3,IF(O$3&gt;$I444,"-",ROUNDUP(Ld_cal($B444, $C444, $D444, $G444,$E444, $F444, $H444, O$3)*1.3*1.3,0)),"-")</f>
        <v>-</v>
      </c>
      <c r="P444" s="66" t="str">
        <f>IF($J444=P$3,IF(P$3&gt;$I444,"-",ROUNDUP(Ld_cal($B444, $C444, $D444, $G444,$E444, $F444, $H444, P$3)*1.3*1.3,0)),"-")</f>
        <v>-</v>
      </c>
      <c r="Q444" s="66" t="str">
        <f>IF($J444=Q$3,IF(Q$3&gt;$I444,"-",ROUNDUP(Ld_cal($B444, $C444, $D444, $G444,$E444, $F444, $H444, Q$3)*1.3*1.3,0)),"-")</f>
        <v>-</v>
      </c>
      <c r="R444" s="66" t="str">
        <f>IF($J444=R$3,IF(R$3&gt;$I444,"-",ROUNDUP(Ld_cal($B444, $C444, $D444, $G444,$E444, $F444, $H444, R$3)*1.3*1.3,0)),"-")</f>
        <v>-</v>
      </c>
      <c r="S444" s="66" t="str">
        <f>IF($J444=S$3,IF(S$3&gt;$I444,"-",ROUNDUP(Ld_cal($B444, $C444, $D444, $G444,$E444, $F444, $H444, S$3)*1.3*1.3,0)),"-")</f>
        <v>-</v>
      </c>
      <c r="T444" s="66" t="str">
        <f>IF($J444=T$3,IF(T$3&gt;$I444,"-",ROUNDUP(Ld_cal($B444, $C444, $D444, $G444,$E444, $F444, $H444, T$3)*1.3*1.3,0)),"-")</f>
        <v>-</v>
      </c>
      <c r="U444" s="66" t="str">
        <f>IF($J444=U$3,IF(U$3&gt;$I444,"-",ROUNDUP(Ld_cal($B444, $C444, $D444, $G444,$E444, $F444, $H444, U$3)*1.3*1.3,0)),"-")</f>
        <v>-</v>
      </c>
      <c r="V444" s="66" t="str">
        <f>IF($J444=V$3,IF(V$3&gt;$I444,"-",ROUNDUP(Ld_cal($B444, $C444, $D444, $G444,$E444, $F444, $H444, V$3)*1.3*1.3,0)),"-")</f>
        <v>-</v>
      </c>
      <c r="W444" s="66" t="str">
        <f>IF($J444=W$3,IF(W$3&gt;$I444,"-",ROUNDUP(Ld_cal($B444, $C444, $D444, $G444,$E444, $F444, $H444, W$3)*1.3*1.3,0)),"-")</f>
        <v>-</v>
      </c>
      <c r="X444" s="66" t="str">
        <f>IF($J444=X$3,IF(X$3&gt;$I444,"-",ROUNDUP(Ld_cal($B444, $C444, $D444, $G444,$E444, $F444, $H444, X$3)*1.3*1.3,0)),"-")</f>
        <v>-</v>
      </c>
      <c r="Y444" s="66" t="str">
        <f>IF($J444=Y$3,IF(Y$3&gt;$I444,"-",ROUNDUP(Ld_cal($B444, $C444, $D444, $G444,$E444, $F444, $H444, Y$3)*1.3*1.3,0)),"-")</f>
        <v>-</v>
      </c>
      <c r="Z444" s="66" t="str">
        <f>IF($J444=Z$3,IF(Z$3&gt;$I444,"-",ROUNDUP(Ld_cal($B444, $C444, $D444, $G444,$E444, $F444, $H444, Z$3)*1.3*1.3,0)),"-")</f>
        <v>-</v>
      </c>
      <c r="AA444" s="66" t="str">
        <f>IF($J444=AA$3,IF(AA$3&gt;$I444,"-",ROUNDUP(Ld_cal($B444, $C444, $D444, $G444,$E444, $F444, $H444, AA$3)*1.3*1.3,0)),"-")</f>
        <v>-</v>
      </c>
      <c r="AB444" s="66" t="str">
        <f>IF($J444=AB$3,IF(AB$3&gt;$I444,"-",ROUNDUP(Ld_cal($B444, $C444, $D444, $G444,$E444, $F444, $H444, AB$3)*1.3*1.3,0)),"-")</f>
        <v>-</v>
      </c>
      <c r="AC444" s="66" t="str">
        <f>IF($J444=AC$3,IF(AC$3&gt;$I444,"-",ROUNDUP(Ld_cal($B444, $C444, $D444, $G444,$E444, $F444, $H444, AC$3)*1.3*1.3,0)),"-")</f>
        <v>-</v>
      </c>
      <c r="AD444" s="66">
        <f t="shared" ref="AD444" si="434">IF(J444&gt;I444,"依標準圖",MAX(L444:AC444))</f>
        <v>136</v>
      </c>
    </row>
    <row r="445" spans="1:30">
      <c r="A445" s="106"/>
      <c r="B445" s="107"/>
      <c r="C445" s="108"/>
      <c r="D445" s="107"/>
      <c r="E445" s="109"/>
      <c r="F445" s="110"/>
      <c r="G445" s="107"/>
      <c r="H445" s="109"/>
      <c r="I445" s="111"/>
      <c r="J445" s="68">
        <v>8</v>
      </c>
      <c r="K445" s="40" t="s">
        <v>29</v>
      </c>
      <c r="L445" s="66" t="str">
        <f>IF($J445=L$3,IF(L$3&gt;$I444,"-",ROUNDUP(Ld_cal($B444, $C444, $D444, $G444,$E444, $F444, $H444, L$3)*1.3,0)),"-")</f>
        <v>-</v>
      </c>
      <c r="M445" s="66" t="str">
        <f>IF($J445=M$3,IF(M$3&gt;$I444,"-",ROUNDUP(Ld_cal($B444, $C444, $D444, $G444,$E444, $F444, $H444, M$3)*1.3,0)),"-")</f>
        <v>-</v>
      </c>
      <c r="N445" s="66" t="str">
        <f>IF($J445=N$3,IF(N$3&gt;$I444,"-",ROUNDUP(Ld_cal($B444, $C444, $D444, $G444,$E444, $F444, $H444, N$3)*1.3,0)),"-")</f>
        <v>-</v>
      </c>
      <c r="O445" s="66" t="str">
        <f>IF($J445=O$3,IF(O$3&gt;$I444,"-",ROUNDUP(Ld_cal($B444, $C444, $D444, $G444,$E444, $F444, $H444, O$3)*1.3,0)),"-")</f>
        <v>-</v>
      </c>
      <c r="P445" s="66" t="str">
        <f>IF($J445=P$3,IF(P$3&gt;$I444,"-",ROUNDUP(Ld_cal($B444, $C444, $D444, $G444,$E444, $F444, $H444, P$3)*1.3,0)),"-")</f>
        <v>-</v>
      </c>
      <c r="Q445" s="66">
        <f>IF($J445=Q$3,IF(Q$3&gt;$I444,"-",ROUNDUP(Ld_cal($B444, $C444, $D444, $G444,$E444, $F444, $H444, Q$3)*1.3,0)),"-")</f>
        <v>157</v>
      </c>
      <c r="R445" s="66" t="str">
        <f>IF($J445=R$3,IF(R$3&gt;$I444,"-",ROUNDUP(Ld_cal($B444, $C444, $D444, $G444,$E444, $F444, $H444, R$3)*1.3,0)),"-")</f>
        <v>-</v>
      </c>
      <c r="S445" s="66" t="str">
        <f>IF($J445=S$3,IF(S$3&gt;$I444,"-",ROUNDUP(Ld_cal($B444, $C444, $D444, $G444,$E444, $F444, $H444, S$3)*1.3,0)),"-")</f>
        <v>-</v>
      </c>
      <c r="T445" s="66" t="str">
        <f>IF($J445=T$3,IF(T$3&gt;$I444,"-",ROUNDUP(Ld_cal($B444, $C444, $D444, $G444,$E444, $F444, $H444, T$3)*1.3,0)),"-")</f>
        <v>-</v>
      </c>
      <c r="U445" s="66" t="str">
        <f>IF($J445=U$3,IF(U$3&gt;$I444,"-",ROUNDUP(Ld_cal($B444, $C444, $D444, $G444,$E444, $F444, $H444, U$3)*1.3,0)),"-")</f>
        <v>-</v>
      </c>
      <c r="V445" s="66" t="str">
        <f>IF($J445=V$3,IF(V$3&gt;$I444,"-",ROUNDUP(Ld_cal($B444, $C444, $D444, $G444,$E444, $F444, $H444, V$3)*1.3,0)),"-")</f>
        <v>-</v>
      </c>
      <c r="W445" s="66" t="str">
        <f>IF($J445=W$3,IF(W$3&gt;$I444,"-",ROUNDUP(Ld_cal($B444, $C444, $D444, $G444,$E444, $F444, $H444, W$3)*1.3,0)),"-")</f>
        <v>-</v>
      </c>
      <c r="X445" s="66" t="str">
        <f>IF($J445=X$3,IF(X$3&gt;$I444,"-",ROUNDUP(Ld_cal($B444, $C444, $D444, $G444,$E444, $F444, $H444, X$3)*1.3,0)),"-")</f>
        <v>-</v>
      </c>
      <c r="Y445" s="66" t="str">
        <f>IF($J445=Y$3,IF(Y$3&gt;$I444,"-",ROUNDUP(Ld_cal($B444, $C444, $D444, $G444,$E444, $F444, $H444, Y$3)*1.3,0)),"-")</f>
        <v>-</v>
      </c>
      <c r="Z445" s="66" t="str">
        <f>IF($J445=Z$3,IF(Z$3&gt;$I444,"-",ROUNDUP(Ld_cal($B444, $C444, $D444, $G444,$E444, $F444, $H444, Z$3)*1.3,0)),"-")</f>
        <v>-</v>
      </c>
      <c r="AA445" s="66" t="str">
        <f>IF($J445=AA$3,IF(AA$3&gt;$I444,"-",ROUNDUP(Ld_cal($B444, $C444, $D444, $G444,$E444, $F444, $H444, AA$3)*1.3,0)),"-")</f>
        <v>-</v>
      </c>
      <c r="AB445" s="66" t="str">
        <f>IF($J445=AB$3,IF(AB$3&gt;$I444,"-",ROUNDUP(Ld_cal($B444, $C444, $D444, $G444,$E444, $F444, $H444, AB$3)*1.3,0)),"-")</f>
        <v>-</v>
      </c>
      <c r="AC445" s="66" t="str">
        <f>IF($J445=AC$3,IF(AC$3&gt;$I444,"-",ROUNDUP(Ld_cal($B444, $C444, $D444, $G444,$E444, $F444, $H444, AC$3)*1.3,0)),"-")</f>
        <v>-</v>
      </c>
      <c r="AD445" s="66">
        <f t="shared" ref="AD445" si="435">IF(J445&gt;I444,"依標準圖",MAX(L445:AC445))</f>
        <v>157</v>
      </c>
    </row>
    <row r="446" spans="1:30">
      <c r="A446" s="97" t="s">
        <v>264</v>
      </c>
      <c r="B446" s="99">
        <v>80</v>
      </c>
      <c r="C446" s="100">
        <v>7.5</v>
      </c>
      <c r="D446" s="101">
        <v>4200</v>
      </c>
      <c r="E446" s="102">
        <v>13</v>
      </c>
      <c r="F446" s="103">
        <v>9</v>
      </c>
      <c r="G446" s="101">
        <v>350</v>
      </c>
      <c r="H446" s="102">
        <v>32</v>
      </c>
      <c r="I446" s="104">
        <f>ROUNDDOWN(($B446-2*$C446-2*$E446/10-$H446/10)/(($D$1+1)*$H446/10),0)+1</f>
        <v>10</v>
      </c>
      <c r="J446" s="67">
        <v>11</v>
      </c>
      <c r="K446" s="69" t="s">
        <v>30</v>
      </c>
      <c r="L446" s="65" t="str">
        <f>IF($J446=L$3,IF(L$3&gt;$I446,"-",ROUNDUP(Ld_cal($B446, $C446, $D446, $G446,$E446, $F446, $H446, L$3)*1.3*1.3,0)),"-")</f>
        <v>-</v>
      </c>
      <c r="M446" s="65" t="str">
        <f>IF($J446=M$3,IF(M$3&gt;$I446,"-",ROUNDUP(Ld_cal($B446, $C446, $D446, $G446,$E446, $F446, $H446, M$3)*1.3*1.3,0)),"-")</f>
        <v>-</v>
      </c>
      <c r="N446" s="65" t="str">
        <f>IF($J446=N$3,IF(N$3&gt;$I446,"-",ROUNDUP(Ld_cal($B446, $C446, $D446, $G446,$E446, $F446, $H446, N$3)*1.3*1.3,0)),"-")</f>
        <v>-</v>
      </c>
      <c r="O446" s="65" t="str">
        <f>IF($J446=O$3,IF(O$3&gt;$I446,"-",ROUNDUP(Ld_cal($B446, $C446, $D446, $G446,$E446, $F446, $H446, O$3)*1.3*1.3,0)),"-")</f>
        <v>-</v>
      </c>
      <c r="P446" s="65" t="str">
        <f>IF($J446=P$3,IF(P$3&gt;$I446,"-",ROUNDUP(Ld_cal($B446, $C446, $D446, $G446,$E446, $F446, $H446, P$3)*1.3*1.3,0)),"-")</f>
        <v>-</v>
      </c>
      <c r="Q446" s="65" t="str">
        <f>IF($J446=Q$3,IF(Q$3&gt;$I446,"-",ROUNDUP(Ld_cal($B446, $C446, $D446, $G446,$E446, $F446, $H446, Q$3)*1.3*1.3,0)),"-")</f>
        <v>-</v>
      </c>
      <c r="R446" s="65" t="str">
        <f>IF($J446=R$3,IF(R$3&gt;$I446,"-",ROUNDUP(Ld_cal($B446, $C446, $D446, $G446,$E446, $F446, $H446, R$3)*1.3*1.3,0)),"-")</f>
        <v>-</v>
      </c>
      <c r="S446" s="65" t="str">
        <f>IF($J446=S$3,IF(S$3&gt;$I446,"-",ROUNDUP(Ld_cal($B446, $C446, $D446, $G446,$E446, $F446, $H446, S$3)*1.3*1.3,0)),"-")</f>
        <v>-</v>
      </c>
      <c r="T446" s="65" t="str">
        <f>IF($J446=T$3,IF(T$3&gt;$I446,"-",ROUNDUP(Ld_cal($B446, $C446, $D446, $G446,$E446, $F446, $H446, T$3)*1.3*1.3,0)),"-")</f>
        <v>-</v>
      </c>
      <c r="U446" s="65" t="str">
        <f>IF($J446=U$3,IF(U$3&gt;$I446,"-",ROUNDUP(Ld_cal($B446, $C446, $D446, $G446,$E446, $F446, $H446, U$3)*1.3*1.3,0)),"-")</f>
        <v>-</v>
      </c>
      <c r="V446" s="65" t="str">
        <f>IF($J446=V$3,IF(V$3&gt;$I446,"-",ROUNDUP(Ld_cal($B446, $C446, $D446, $G446,$E446, $F446, $H446, V$3)*1.3*1.3,0)),"-")</f>
        <v>-</v>
      </c>
      <c r="W446" s="65" t="str">
        <f>IF($J446=W$3,IF(W$3&gt;$I446,"-",ROUNDUP(Ld_cal($B446, $C446, $D446, $G446,$E446, $F446, $H446, W$3)*1.3*1.3,0)),"-")</f>
        <v>-</v>
      </c>
      <c r="X446" s="65" t="str">
        <f>IF($J446=X$3,IF(X$3&gt;$I446,"-",ROUNDUP(Ld_cal($B446, $C446, $D446, $G446,$E446, $F446, $H446, X$3)*1.3*1.3,0)),"-")</f>
        <v>-</v>
      </c>
      <c r="Y446" s="65" t="str">
        <f>IF($J446=Y$3,IF(Y$3&gt;$I446,"-",ROUNDUP(Ld_cal($B446, $C446, $D446, $G446,$E446, $F446, $H446, Y$3)*1.3*1.3,0)),"-")</f>
        <v>-</v>
      </c>
      <c r="Z446" s="65" t="str">
        <f>IF($J446=Z$3,IF(Z$3&gt;$I446,"-",ROUNDUP(Ld_cal($B446, $C446, $D446, $G446,$E446, $F446, $H446, Z$3)*1.3*1.3,0)),"-")</f>
        <v>-</v>
      </c>
      <c r="AA446" s="65" t="str">
        <f>IF($J446=AA$3,IF(AA$3&gt;$I446,"-",ROUNDUP(Ld_cal($B446, $C446, $D446, $G446,$E446, $F446, $H446, AA$3)*1.3*1.3,0)),"-")</f>
        <v>-</v>
      </c>
      <c r="AB446" s="65" t="str">
        <f>IF($J446=AB$3,IF(AB$3&gt;$I446,"-",ROUNDUP(Ld_cal($B446, $C446, $D446, $G446,$E446, $F446, $H446, AB$3)*1.3*1.3,0)),"-")</f>
        <v>-</v>
      </c>
      <c r="AC446" s="65" t="str">
        <f>IF($J446=AC$3,IF(AC$3&gt;$I446,"-",ROUNDUP(Ld_cal($B446, $C446, $D446, $G446,$E446, $F446, $H446, AC$3)*1.3*1.3,0)),"-")</f>
        <v>-</v>
      </c>
      <c r="AD446" s="65" t="str">
        <f t="shared" ref="AD446" si="436">IF(J446&gt;I446,"依標準圖",MAX(L446:AC446))</f>
        <v>依標準圖</v>
      </c>
    </row>
    <row r="447" spans="1:30">
      <c r="A447" s="98"/>
      <c r="B447" s="99"/>
      <c r="C447" s="100"/>
      <c r="D447" s="101"/>
      <c r="E447" s="102"/>
      <c r="F447" s="103"/>
      <c r="G447" s="101"/>
      <c r="H447" s="102"/>
      <c r="I447" s="104"/>
      <c r="J447" s="67">
        <v>8</v>
      </c>
      <c r="K447" s="69" t="s">
        <v>29</v>
      </c>
      <c r="L447" s="65" t="str">
        <f>IF($J447=L$3,IF(L$3&gt;$I446,"-",ROUNDUP(Ld_cal($B446, $C446, $D446, $G446,$E446, $F446, $H446, L$3)*1.3,0)),"-")</f>
        <v>-</v>
      </c>
      <c r="M447" s="65" t="str">
        <f>IF($J447=M$3,IF(M$3&gt;$I446,"-",ROUNDUP(Ld_cal($B446, $C446, $D446, $G446,$E446, $F446, $H446, M$3)*1.3,0)),"-")</f>
        <v>-</v>
      </c>
      <c r="N447" s="65" t="str">
        <f>IF($J447=N$3,IF(N$3&gt;$I446,"-",ROUNDUP(Ld_cal($B446, $C446, $D446, $G446,$E446, $F446, $H446, N$3)*1.3,0)),"-")</f>
        <v>-</v>
      </c>
      <c r="O447" s="65" t="str">
        <f>IF($J447=O$3,IF(O$3&gt;$I446,"-",ROUNDUP(Ld_cal($B446, $C446, $D446, $G446,$E446, $F446, $H446, O$3)*1.3,0)),"-")</f>
        <v>-</v>
      </c>
      <c r="P447" s="65" t="str">
        <f>IF($J447=P$3,IF(P$3&gt;$I446,"-",ROUNDUP(Ld_cal($B446, $C446, $D446, $G446,$E446, $F446, $H446, P$3)*1.3,0)),"-")</f>
        <v>-</v>
      </c>
      <c r="Q447" s="65">
        <f>IF($J447=Q$3,IF(Q$3&gt;$I446,"-",ROUNDUP(Ld_cal($B446, $C446, $D446, $G446,$E446, $F446, $H446, Q$3)*1.3,0)),"-")</f>
        <v>147</v>
      </c>
      <c r="R447" s="65" t="str">
        <f>IF($J447=R$3,IF(R$3&gt;$I446,"-",ROUNDUP(Ld_cal($B446, $C446, $D446, $G446,$E446, $F446, $H446, R$3)*1.3,0)),"-")</f>
        <v>-</v>
      </c>
      <c r="S447" s="65" t="str">
        <f>IF($J447=S$3,IF(S$3&gt;$I446,"-",ROUNDUP(Ld_cal($B446, $C446, $D446, $G446,$E446, $F446, $H446, S$3)*1.3,0)),"-")</f>
        <v>-</v>
      </c>
      <c r="T447" s="65" t="str">
        <f>IF($J447=T$3,IF(T$3&gt;$I446,"-",ROUNDUP(Ld_cal($B446, $C446, $D446, $G446,$E446, $F446, $H446, T$3)*1.3,0)),"-")</f>
        <v>-</v>
      </c>
      <c r="U447" s="65" t="str">
        <f>IF($J447=U$3,IF(U$3&gt;$I446,"-",ROUNDUP(Ld_cal($B446, $C446, $D446, $G446,$E446, $F446, $H446, U$3)*1.3,0)),"-")</f>
        <v>-</v>
      </c>
      <c r="V447" s="65" t="str">
        <f>IF($J447=V$3,IF(V$3&gt;$I446,"-",ROUNDUP(Ld_cal($B446, $C446, $D446, $G446,$E446, $F446, $H446, V$3)*1.3,0)),"-")</f>
        <v>-</v>
      </c>
      <c r="W447" s="65" t="str">
        <f>IF($J447=W$3,IF(W$3&gt;$I446,"-",ROUNDUP(Ld_cal($B446, $C446, $D446, $G446,$E446, $F446, $H446, W$3)*1.3,0)),"-")</f>
        <v>-</v>
      </c>
      <c r="X447" s="65" t="str">
        <f>IF($J447=X$3,IF(X$3&gt;$I446,"-",ROUNDUP(Ld_cal($B446, $C446, $D446, $G446,$E446, $F446, $H446, X$3)*1.3,0)),"-")</f>
        <v>-</v>
      </c>
      <c r="Y447" s="65" t="str">
        <f>IF($J447=Y$3,IF(Y$3&gt;$I446,"-",ROUNDUP(Ld_cal($B446, $C446, $D446, $G446,$E446, $F446, $H446, Y$3)*1.3,0)),"-")</f>
        <v>-</v>
      </c>
      <c r="Z447" s="65" t="str">
        <f>IF($J447=Z$3,IF(Z$3&gt;$I446,"-",ROUNDUP(Ld_cal($B446, $C446, $D446, $G446,$E446, $F446, $H446, Z$3)*1.3,0)),"-")</f>
        <v>-</v>
      </c>
      <c r="AA447" s="65" t="str">
        <f>IF($J447=AA$3,IF(AA$3&gt;$I446,"-",ROUNDUP(Ld_cal($B446, $C446, $D446, $G446,$E446, $F446, $H446, AA$3)*1.3,0)),"-")</f>
        <v>-</v>
      </c>
      <c r="AB447" s="65" t="str">
        <f>IF($J447=AB$3,IF(AB$3&gt;$I446,"-",ROUNDUP(Ld_cal($B446, $C446, $D446, $G446,$E446, $F446, $H446, AB$3)*1.3,0)),"-")</f>
        <v>-</v>
      </c>
      <c r="AC447" s="65" t="str">
        <f>IF($J447=AC$3,IF(AC$3&gt;$I446,"-",ROUNDUP(Ld_cal($B446, $C446, $D446, $G446,$E446, $F446, $H446, AC$3)*1.3,0)),"-")</f>
        <v>-</v>
      </c>
      <c r="AD447" s="65">
        <f t="shared" ref="AD447" si="437">IF(J447&gt;I446,"依標準圖",MAX(L447:AC447))</f>
        <v>147</v>
      </c>
    </row>
    <row r="448" spans="1:30">
      <c r="A448" s="105" t="s">
        <v>265</v>
      </c>
      <c r="B448" s="107">
        <v>80</v>
      </c>
      <c r="C448" s="108">
        <v>7.5</v>
      </c>
      <c r="D448" s="107">
        <v>4200</v>
      </c>
      <c r="E448" s="109">
        <v>13</v>
      </c>
      <c r="F448" s="110">
        <v>25</v>
      </c>
      <c r="G448" s="107">
        <v>350</v>
      </c>
      <c r="H448" s="109">
        <v>32</v>
      </c>
      <c r="I448" s="111">
        <f>ROUNDDOWN(($B448-2*$C448-2*$E448/10-$H448/10)/(($D$1+1)*$H448/10),0)+1</f>
        <v>10</v>
      </c>
      <c r="J448" s="68">
        <v>5</v>
      </c>
      <c r="K448" s="40" t="s">
        <v>30</v>
      </c>
      <c r="L448" s="66" t="str">
        <f>IF($J448=L$3,IF(L$3&gt;$I448,"-",ROUNDUP(Ld_cal($B448, $C448, $D448, $G448,$E448, $F448, $H448, L$3)*1.3*1.3,0)),"-")</f>
        <v>-</v>
      </c>
      <c r="M448" s="66" t="str">
        <f>IF($J448=M$3,IF(M$3&gt;$I448,"-",ROUNDUP(Ld_cal($B448, $C448, $D448, $G448,$E448, $F448, $H448, M$3)*1.3*1.3,0)),"-")</f>
        <v>-</v>
      </c>
      <c r="N448" s="66">
        <f>IF($J448=N$3,IF(N$3&gt;$I448,"-",ROUNDUP(Ld_cal($B448, $C448, $D448, $G448,$E448, $F448, $H448, N$3)*1.3*1.3,0)),"-")</f>
        <v>136</v>
      </c>
      <c r="O448" s="66" t="str">
        <f>IF($J448=O$3,IF(O$3&gt;$I448,"-",ROUNDUP(Ld_cal($B448, $C448, $D448, $G448,$E448, $F448, $H448, O$3)*1.3*1.3,0)),"-")</f>
        <v>-</v>
      </c>
      <c r="P448" s="66" t="str">
        <f>IF($J448=P$3,IF(P$3&gt;$I448,"-",ROUNDUP(Ld_cal($B448, $C448, $D448, $G448,$E448, $F448, $H448, P$3)*1.3*1.3,0)),"-")</f>
        <v>-</v>
      </c>
      <c r="Q448" s="66" t="str">
        <f>IF($J448=Q$3,IF(Q$3&gt;$I448,"-",ROUNDUP(Ld_cal($B448, $C448, $D448, $G448,$E448, $F448, $H448, Q$3)*1.3*1.3,0)),"-")</f>
        <v>-</v>
      </c>
      <c r="R448" s="66" t="str">
        <f>IF($J448=R$3,IF(R$3&gt;$I448,"-",ROUNDUP(Ld_cal($B448, $C448, $D448, $G448,$E448, $F448, $H448, R$3)*1.3*1.3,0)),"-")</f>
        <v>-</v>
      </c>
      <c r="S448" s="66" t="str">
        <f>IF($J448=S$3,IF(S$3&gt;$I448,"-",ROUNDUP(Ld_cal($B448, $C448, $D448, $G448,$E448, $F448, $H448, S$3)*1.3*1.3,0)),"-")</f>
        <v>-</v>
      </c>
      <c r="T448" s="66" t="str">
        <f>IF($J448=T$3,IF(T$3&gt;$I448,"-",ROUNDUP(Ld_cal($B448, $C448, $D448, $G448,$E448, $F448, $H448, T$3)*1.3*1.3,0)),"-")</f>
        <v>-</v>
      </c>
      <c r="U448" s="66" t="str">
        <f>IF($J448=U$3,IF(U$3&gt;$I448,"-",ROUNDUP(Ld_cal($B448, $C448, $D448, $G448,$E448, $F448, $H448, U$3)*1.3*1.3,0)),"-")</f>
        <v>-</v>
      </c>
      <c r="V448" s="66" t="str">
        <f>IF($J448=V$3,IF(V$3&gt;$I448,"-",ROUNDUP(Ld_cal($B448, $C448, $D448, $G448,$E448, $F448, $H448, V$3)*1.3*1.3,0)),"-")</f>
        <v>-</v>
      </c>
      <c r="W448" s="66" t="str">
        <f>IF($J448=W$3,IF(W$3&gt;$I448,"-",ROUNDUP(Ld_cal($B448, $C448, $D448, $G448,$E448, $F448, $H448, W$3)*1.3*1.3,0)),"-")</f>
        <v>-</v>
      </c>
      <c r="X448" s="66" t="str">
        <f>IF($J448=X$3,IF(X$3&gt;$I448,"-",ROUNDUP(Ld_cal($B448, $C448, $D448, $G448,$E448, $F448, $H448, X$3)*1.3*1.3,0)),"-")</f>
        <v>-</v>
      </c>
      <c r="Y448" s="66" t="str">
        <f>IF($J448=Y$3,IF(Y$3&gt;$I448,"-",ROUNDUP(Ld_cal($B448, $C448, $D448, $G448,$E448, $F448, $H448, Y$3)*1.3*1.3,0)),"-")</f>
        <v>-</v>
      </c>
      <c r="Z448" s="66" t="str">
        <f>IF($J448=Z$3,IF(Z$3&gt;$I448,"-",ROUNDUP(Ld_cal($B448, $C448, $D448, $G448,$E448, $F448, $H448, Z$3)*1.3*1.3,0)),"-")</f>
        <v>-</v>
      </c>
      <c r="AA448" s="66" t="str">
        <f>IF($J448=AA$3,IF(AA$3&gt;$I448,"-",ROUNDUP(Ld_cal($B448, $C448, $D448, $G448,$E448, $F448, $H448, AA$3)*1.3*1.3,0)),"-")</f>
        <v>-</v>
      </c>
      <c r="AB448" s="66" t="str">
        <f>IF($J448=AB$3,IF(AB$3&gt;$I448,"-",ROUNDUP(Ld_cal($B448, $C448, $D448, $G448,$E448, $F448, $H448, AB$3)*1.3*1.3,0)),"-")</f>
        <v>-</v>
      </c>
      <c r="AC448" s="66" t="str">
        <f>IF($J448=AC$3,IF(AC$3&gt;$I448,"-",ROUNDUP(Ld_cal($B448, $C448, $D448, $G448,$E448, $F448, $H448, AC$3)*1.3*1.3,0)),"-")</f>
        <v>-</v>
      </c>
      <c r="AD448" s="66">
        <f t="shared" ref="AD448" si="438">IF(J448&gt;I448,"依標準圖",MAX(L448:AC448))</f>
        <v>136</v>
      </c>
    </row>
    <row r="449" spans="1:30">
      <c r="A449" s="106"/>
      <c r="B449" s="107"/>
      <c r="C449" s="108"/>
      <c r="D449" s="107"/>
      <c r="E449" s="109"/>
      <c r="F449" s="110"/>
      <c r="G449" s="107"/>
      <c r="H449" s="109"/>
      <c r="I449" s="111"/>
      <c r="J449" s="68">
        <v>4</v>
      </c>
      <c r="K449" s="40" t="s">
        <v>29</v>
      </c>
      <c r="L449" s="66" t="str">
        <f>IF($J449=L$3,IF(L$3&gt;$I448,"-",ROUNDUP(Ld_cal($B448, $C448, $D448, $G448,$E448, $F448, $H448, L$3)*1.3,0)),"-")</f>
        <v>-</v>
      </c>
      <c r="M449" s="66">
        <f>IF($J449=M$3,IF(M$3&gt;$I448,"-",ROUNDUP(Ld_cal($B448, $C448, $D448, $G448,$E448, $F448, $H448, M$3)*1.3,0)),"-")</f>
        <v>105</v>
      </c>
      <c r="N449" s="66" t="str">
        <f>IF($J449=N$3,IF(N$3&gt;$I448,"-",ROUNDUP(Ld_cal($B448, $C448, $D448, $G448,$E448, $F448, $H448, N$3)*1.3,0)),"-")</f>
        <v>-</v>
      </c>
      <c r="O449" s="66" t="str">
        <f>IF($J449=O$3,IF(O$3&gt;$I448,"-",ROUNDUP(Ld_cal($B448, $C448, $D448, $G448,$E448, $F448, $H448, O$3)*1.3,0)),"-")</f>
        <v>-</v>
      </c>
      <c r="P449" s="66" t="str">
        <f>IF($J449=P$3,IF(P$3&gt;$I448,"-",ROUNDUP(Ld_cal($B448, $C448, $D448, $G448,$E448, $F448, $H448, P$3)*1.3,0)),"-")</f>
        <v>-</v>
      </c>
      <c r="Q449" s="66" t="str">
        <f>IF($J449=Q$3,IF(Q$3&gt;$I448,"-",ROUNDUP(Ld_cal($B448, $C448, $D448, $G448,$E448, $F448, $H448, Q$3)*1.3,0)),"-")</f>
        <v>-</v>
      </c>
      <c r="R449" s="66" t="str">
        <f>IF($J449=R$3,IF(R$3&gt;$I448,"-",ROUNDUP(Ld_cal($B448, $C448, $D448, $G448,$E448, $F448, $H448, R$3)*1.3,0)),"-")</f>
        <v>-</v>
      </c>
      <c r="S449" s="66" t="str">
        <f>IF($J449=S$3,IF(S$3&gt;$I448,"-",ROUNDUP(Ld_cal($B448, $C448, $D448, $G448,$E448, $F448, $H448, S$3)*1.3,0)),"-")</f>
        <v>-</v>
      </c>
      <c r="T449" s="66" t="str">
        <f>IF($J449=T$3,IF(T$3&gt;$I448,"-",ROUNDUP(Ld_cal($B448, $C448, $D448, $G448,$E448, $F448, $H448, T$3)*1.3,0)),"-")</f>
        <v>-</v>
      </c>
      <c r="U449" s="66" t="str">
        <f>IF($J449=U$3,IF(U$3&gt;$I448,"-",ROUNDUP(Ld_cal($B448, $C448, $D448, $G448,$E448, $F448, $H448, U$3)*1.3,0)),"-")</f>
        <v>-</v>
      </c>
      <c r="V449" s="66" t="str">
        <f>IF($J449=V$3,IF(V$3&gt;$I448,"-",ROUNDUP(Ld_cal($B448, $C448, $D448, $G448,$E448, $F448, $H448, V$3)*1.3,0)),"-")</f>
        <v>-</v>
      </c>
      <c r="W449" s="66" t="str">
        <f>IF($J449=W$3,IF(W$3&gt;$I448,"-",ROUNDUP(Ld_cal($B448, $C448, $D448, $G448,$E448, $F448, $H448, W$3)*1.3,0)),"-")</f>
        <v>-</v>
      </c>
      <c r="X449" s="66" t="str">
        <f>IF($J449=X$3,IF(X$3&gt;$I448,"-",ROUNDUP(Ld_cal($B448, $C448, $D448, $G448,$E448, $F448, $H448, X$3)*1.3,0)),"-")</f>
        <v>-</v>
      </c>
      <c r="Y449" s="66" t="str">
        <f>IF($J449=Y$3,IF(Y$3&gt;$I448,"-",ROUNDUP(Ld_cal($B448, $C448, $D448, $G448,$E448, $F448, $H448, Y$3)*1.3,0)),"-")</f>
        <v>-</v>
      </c>
      <c r="Z449" s="66" t="str">
        <f>IF($J449=Z$3,IF(Z$3&gt;$I448,"-",ROUNDUP(Ld_cal($B448, $C448, $D448, $G448,$E448, $F448, $H448, Z$3)*1.3,0)),"-")</f>
        <v>-</v>
      </c>
      <c r="AA449" s="66" t="str">
        <f>IF($J449=AA$3,IF(AA$3&gt;$I448,"-",ROUNDUP(Ld_cal($B448, $C448, $D448, $G448,$E448, $F448, $H448, AA$3)*1.3,0)),"-")</f>
        <v>-</v>
      </c>
      <c r="AB449" s="66" t="str">
        <f>IF($J449=AB$3,IF(AB$3&gt;$I448,"-",ROUNDUP(Ld_cal($B448, $C448, $D448, $G448,$E448, $F448, $H448, AB$3)*1.3,0)),"-")</f>
        <v>-</v>
      </c>
      <c r="AC449" s="66" t="str">
        <f>IF($J449=AC$3,IF(AC$3&gt;$I448,"-",ROUNDUP(Ld_cal($B448, $C448, $D448, $G448,$E448, $F448, $H448, AC$3)*1.3,0)),"-")</f>
        <v>-</v>
      </c>
      <c r="AD449" s="66">
        <f t="shared" ref="AD449" si="439">IF(J449&gt;I448,"依標準圖",MAX(L449:AC449))</f>
        <v>105</v>
      </c>
    </row>
    <row r="450" spans="1:30">
      <c r="A450" s="97" t="s">
        <v>266</v>
      </c>
      <c r="B450" s="99">
        <v>80</v>
      </c>
      <c r="C450" s="100">
        <v>7.5</v>
      </c>
      <c r="D450" s="101">
        <v>4200</v>
      </c>
      <c r="E450" s="102">
        <v>13</v>
      </c>
      <c r="F450" s="103">
        <v>25</v>
      </c>
      <c r="G450" s="101">
        <v>350</v>
      </c>
      <c r="H450" s="102">
        <v>32</v>
      </c>
      <c r="I450" s="104">
        <f>ROUNDDOWN(($B450-2*$C450-2*$E450/10-$H450/10)/(($D$1+1)*$H450/10),0)+1</f>
        <v>10</v>
      </c>
      <c r="J450" s="67">
        <v>8</v>
      </c>
      <c r="K450" s="69" t="s">
        <v>30</v>
      </c>
      <c r="L450" s="65" t="str">
        <f>IF($J450=L$3,IF(L$3&gt;$I450,"-",ROUNDUP(Ld_cal($B450, $C450, $D450, $G450,$E450, $F450, $H450, L$3)*1.3*1.3,0)),"-")</f>
        <v>-</v>
      </c>
      <c r="M450" s="65" t="str">
        <f>IF($J450=M$3,IF(M$3&gt;$I450,"-",ROUNDUP(Ld_cal($B450, $C450, $D450, $G450,$E450, $F450, $H450, M$3)*1.3*1.3,0)),"-")</f>
        <v>-</v>
      </c>
      <c r="N450" s="65" t="str">
        <f>IF($J450=N$3,IF(N$3&gt;$I450,"-",ROUNDUP(Ld_cal($B450, $C450, $D450, $G450,$E450, $F450, $H450, N$3)*1.3*1.3,0)),"-")</f>
        <v>-</v>
      </c>
      <c r="O450" s="65" t="str">
        <f>IF($J450=O$3,IF(O$3&gt;$I450,"-",ROUNDUP(Ld_cal($B450, $C450, $D450, $G450,$E450, $F450, $H450, O$3)*1.3*1.3,0)),"-")</f>
        <v>-</v>
      </c>
      <c r="P450" s="65" t="str">
        <f>IF($J450=P$3,IF(P$3&gt;$I450,"-",ROUNDUP(Ld_cal($B450, $C450, $D450, $G450,$E450, $F450, $H450, P$3)*1.3*1.3,0)),"-")</f>
        <v>-</v>
      </c>
      <c r="Q450" s="65">
        <f>IF($J450=Q$3,IF(Q$3&gt;$I450,"-",ROUNDUP(Ld_cal($B450, $C450, $D450, $G450,$E450, $F450, $H450, Q$3)*1.3*1.3,0)),"-")</f>
        <v>229</v>
      </c>
      <c r="R450" s="65" t="str">
        <f>IF($J450=R$3,IF(R$3&gt;$I450,"-",ROUNDUP(Ld_cal($B450, $C450, $D450, $G450,$E450, $F450, $H450, R$3)*1.3*1.3,0)),"-")</f>
        <v>-</v>
      </c>
      <c r="S450" s="65" t="str">
        <f>IF($J450=S$3,IF(S$3&gt;$I450,"-",ROUNDUP(Ld_cal($B450, $C450, $D450, $G450,$E450, $F450, $H450, S$3)*1.3*1.3,0)),"-")</f>
        <v>-</v>
      </c>
      <c r="T450" s="65" t="str">
        <f>IF($J450=T$3,IF(T$3&gt;$I450,"-",ROUNDUP(Ld_cal($B450, $C450, $D450, $G450,$E450, $F450, $H450, T$3)*1.3*1.3,0)),"-")</f>
        <v>-</v>
      </c>
      <c r="U450" s="65" t="str">
        <f>IF($J450=U$3,IF(U$3&gt;$I450,"-",ROUNDUP(Ld_cal($B450, $C450, $D450, $G450,$E450, $F450, $H450, U$3)*1.3*1.3,0)),"-")</f>
        <v>-</v>
      </c>
      <c r="V450" s="65" t="str">
        <f>IF($J450=V$3,IF(V$3&gt;$I450,"-",ROUNDUP(Ld_cal($B450, $C450, $D450, $G450,$E450, $F450, $H450, V$3)*1.3*1.3,0)),"-")</f>
        <v>-</v>
      </c>
      <c r="W450" s="65" t="str">
        <f>IF($J450=W$3,IF(W$3&gt;$I450,"-",ROUNDUP(Ld_cal($B450, $C450, $D450, $G450,$E450, $F450, $H450, W$3)*1.3*1.3,0)),"-")</f>
        <v>-</v>
      </c>
      <c r="X450" s="65" t="str">
        <f>IF($J450=X$3,IF(X$3&gt;$I450,"-",ROUNDUP(Ld_cal($B450, $C450, $D450, $G450,$E450, $F450, $H450, X$3)*1.3*1.3,0)),"-")</f>
        <v>-</v>
      </c>
      <c r="Y450" s="65" t="str">
        <f>IF($J450=Y$3,IF(Y$3&gt;$I450,"-",ROUNDUP(Ld_cal($B450, $C450, $D450, $G450,$E450, $F450, $H450, Y$3)*1.3*1.3,0)),"-")</f>
        <v>-</v>
      </c>
      <c r="Z450" s="65" t="str">
        <f>IF($J450=Z$3,IF(Z$3&gt;$I450,"-",ROUNDUP(Ld_cal($B450, $C450, $D450, $G450,$E450, $F450, $H450, Z$3)*1.3*1.3,0)),"-")</f>
        <v>-</v>
      </c>
      <c r="AA450" s="65" t="str">
        <f>IF($J450=AA$3,IF(AA$3&gt;$I450,"-",ROUNDUP(Ld_cal($B450, $C450, $D450, $G450,$E450, $F450, $H450, AA$3)*1.3*1.3,0)),"-")</f>
        <v>-</v>
      </c>
      <c r="AB450" s="65" t="str">
        <f>IF($J450=AB$3,IF(AB$3&gt;$I450,"-",ROUNDUP(Ld_cal($B450, $C450, $D450, $G450,$E450, $F450, $H450, AB$3)*1.3*1.3,0)),"-")</f>
        <v>-</v>
      </c>
      <c r="AC450" s="65" t="str">
        <f>IF($J450=AC$3,IF(AC$3&gt;$I450,"-",ROUNDUP(Ld_cal($B450, $C450, $D450, $G450,$E450, $F450, $H450, AC$3)*1.3*1.3,0)),"-")</f>
        <v>-</v>
      </c>
      <c r="AD450" s="65">
        <f t="shared" ref="AD450" si="440">IF(J450&gt;I450,"依標準圖",MAX(L450:AC450))</f>
        <v>229</v>
      </c>
    </row>
    <row r="451" spans="1:30">
      <c r="A451" s="98"/>
      <c r="B451" s="99"/>
      <c r="C451" s="100"/>
      <c r="D451" s="101"/>
      <c r="E451" s="102"/>
      <c r="F451" s="103"/>
      <c r="G451" s="101"/>
      <c r="H451" s="102"/>
      <c r="I451" s="104"/>
      <c r="J451" s="67">
        <v>4</v>
      </c>
      <c r="K451" s="69" t="s">
        <v>29</v>
      </c>
      <c r="L451" s="65" t="str">
        <f>IF($J451=L$3,IF(L$3&gt;$I450,"-",ROUNDUP(Ld_cal($B450, $C450, $D450, $G450,$E450, $F450, $H450, L$3)*1.3,0)),"-")</f>
        <v>-</v>
      </c>
      <c r="M451" s="65">
        <f>IF($J451=M$3,IF(M$3&gt;$I450,"-",ROUNDUP(Ld_cal($B450, $C450, $D450, $G450,$E450, $F450, $H450, M$3)*1.3,0)),"-")</f>
        <v>105</v>
      </c>
      <c r="N451" s="65" t="str">
        <f>IF($J451=N$3,IF(N$3&gt;$I450,"-",ROUNDUP(Ld_cal($B450, $C450, $D450, $G450,$E450, $F450, $H450, N$3)*1.3,0)),"-")</f>
        <v>-</v>
      </c>
      <c r="O451" s="65" t="str">
        <f>IF($J451=O$3,IF(O$3&gt;$I450,"-",ROUNDUP(Ld_cal($B450, $C450, $D450, $G450,$E450, $F450, $H450, O$3)*1.3,0)),"-")</f>
        <v>-</v>
      </c>
      <c r="P451" s="65" t="str">
        <f>IF($J451=P$3,IF(P$3&gt;$I450,"-",ROUNDUP(Ld_cal($B450, $C450, $D450, $G450,$E450, $F450, $H450, P$3)*1.3,0)),"-")</f>
        <v>-</v>
      </c>
      <c r="Q451" s="65" t="str">
        <f>IF($J451=Q$3,IF(Q$3&gt;$I450,"-",ROUNDUP(Ld_cal($B450, $C450, $D450, $G450,$E450, $F450, $H450, Q$3)*1.3,0)),"-")</f>
        <v>-</v>
      </c>
      <c r="R451" s="65" t="str">
        <f>IF($J451=R$3,IF(R$3&gt;$I450,"-",ROUNDUP(Ld_cal($B450, $C450, $D450, $G450,$E450, $F450, $H450, R$3)*1.3,0)),"-")</f>
        <v>-</v>
      </c>
      <c r="S451" s="65" t="str">
        <f>IF($J451=S$3,IF(S$3&gt;$I450,"-",ROUNDUP(Ld_cal($B450, $C450, $D450, $G450,$E450, $F450, $H450, S$3)*1.3,0)),"-")</f>
        <v>-</v>
      </c>
      <c r="T451" s="65" t="str">
        <f>IF($J451=T$3,IF(T$3&gt;$I450,"-",ROUNDUP(Ld_cal($B450, $C450, $D450, $G450,$E450, $F450, $H450, T$3)*1.3,0)),"-")</f>
        <v>-</v>
      </c>
      <c r="U451" s="65" t="str">
        <f>IF($J451=U$3,IF(U$3&gt;$I450,"-",ROUNDUP(Ld_cal($B450, $C450, $D450, $G450,$E450, $F450, $H450, U$3)*1.3,0)),"-")</f>
        <v>-</v>
      </c>
      <c r="V451" s="65" t="str">
        <f>IF($J451=V$3,IF(V$3&gt;$I450,"-",ROUNDUP(Ld_cal($B450, $C450, $D450, $G450,$E450, $F450, $H450, V$3)*1.3,0)),"-")</f>
        <v>-</v>
      </c>
      <c r="W451" s="65" t="str">
        <f>IF($J451=W$3,IF(W$3&gt;$I450,"-",ROUNDUP(Ld_cal($B450, $C450, $D450, $G450,$E450, $F450, $H450, W$3)*1.3,0)),"-")</f>
        <v>-</v>
      </c>
      <c r="X451" s="65" t="str">
        <f>IF($J451=X$3,IF(X$3&gt;$I450,"-",ROUNDUP(Ld_cal($B450, $C450, $D450, $G450,$E450, $F450, $H450, X$3)*1.3,0)),"-")</f>
        <v>-</v>
      </c>
      <c r="Y451" s="65" t="str">
        <f>IF($J451=Y$3,IF(Y$3&gt;$I450,"-",ROUNDUP(Ld_cal($B450, $C450, $D450, $G450,$E450, $F450, $H450, Y$3)*1.3,0)),"-")</f>
        <v>-</v>
      </c>
      <c r="Z451" s="65" t="str">
        <f>IF($J451=Z$3,IF(Z$3&gt;$I450,"-",ROUNDUP(Ld_cal($B450, $C450, $D450, $G450,$E450, $F450, $H450, Z$3)*1.3,0)),"-")</f>
        <v>-</v>
      </c>
      <c r="AA451" s="65" t="str">
        <f>IF($J451=AA$3,IF(AA$3&gt;$I450,"-",ROUNDUP(Ld_cal($B450, $C450, $D450, $G450,$E450, $F450, $H450, AA$3)*1.3,0)),"-")</f>
        <v>-</v>
      </c>
      <c r="AB451" s="65" t="str">
        <f>IF($J451=AB$3,IF(AB$3&gt;$I450,"-",ROUNDUP(Ld_cal($B450, $C450, $D450, $G450,$E450, $F450, $H450, AB$3)*1.3,0)),"-")</f>
        <v>-</v>
      </c>
      <c r="AC451" s="65" t="str">
        <f>IF($J451=AC$3,IF(AC$3&gt;$I450,"-",ROUNDUP(Ld_cal($B450, $C450, $D450, $G450,$E450, $F450, $H450, AC$3)*1.3,0)),"-")</f>
        <v>-</v>
      </c>
      <c r="AD451" s="65">
        <f t="shared" ref="AD451" si="441">IF(J451&gt;I450,"依標準圖",MAX(L451:AC451))</f>
        <v>105</v>
      </c>
    </row>
    <row r="452" spans="1:30">
      <c r="A452" s="105" t="s">
        <v>267</v>
      </c>
      <c r="B452" s="107">
        <v>80</v>
      </c>
      <c r="C452" s="108">
        <v>7.5</v>
      </c>
      <c r="D452" s="107">
        <v>4200</v>
      </c>
      <c r="E452" s="109">
        <v>16</v>
      </c>
      <c r="F452" s="110">
        <v>25</v>
      </c>
      <c r="G452" s="107">
        <v>350</v>
      </c>
      <c r="H452" s="109">
        <v>32</v>
      </c>
      <c r="I452" s="111">
        <f>ROUNDDOWN(($B452-2*$C452-2*$E452/10-$H452/10)/(($D$1+1)*$H452/10),0)+1</f>
        <v>10</v>
      </c>
      <c r="J452" s="68">
        <v>11</v>
      </c>
      <c r="K452" s="40" t="s">
        <v>30</v>
      </c>
      <c r="L452" s="66" t="str">
        <f>IF($J452=L$3,IF(L$3&gt;$I452,"-",ROUNDUP(Ld_cal($B452, $C452, $D452, $G452,$E452, $F452, $H452, L$3)*1.3*1.3,0)),"-")</f>
        <v>-</v>
      </c>
      <c r="M452" s="66" t="str">
        <f>IF($J452=M$3,IF(M$3&gt;$I452,"-",ROUNDUP(Ld_cal($B452, $C452, $D452, $G452,$E452, $F452, $H452, M$3)*1.3*1.3,0)),"-")</f>
        <v>-</v>
      </c>
      <c r="N452" s="66" t="str">
        <f>IF($J452=N$3,IF(N$3&gt;$I452,"-",ROUNDUP(Ld_cal($B452, $C452, $D452, $G452,$E452, $F452, $H452, N$3)*1.3*1.3,0)),"-")</f>
        <v>-</v>
      </c>
      <c r="O452" s="66" t="str">
        <f>IF($J452=O$3,IF(O$3&gt;$I452,"-",ROUNDUP(Ld_cal($B452, $C452, $D452, $G452,$E452, $F452, $H452, O$3)*1.3*1.3,0)),"-")</f>
        <v>-</v>
      </c>
      <c r="P452" s="66" t="str">
        <f>IF($J452=P$3,IF(P$3&gt;$I452,"-",ROUNDUP(Ld_cal($B452, $C452, $D452, $G452,$E452, $F452, $H452, P$3)*1.3*1.3,0)),"-")</f>
        <v>-</v>
      </c>
      <c r="Q452" s="66" t="str">
        <f>IF($J452=Q$3,IF(Q$3&gt;$I452,"-",ROUNDUP(Ld_cal($B452, $C452, $D452, $G452,$E452, $F452, $H452, Q$3)*1.3*1.3,0)),"-")</f>
        <v>-</v>
      </c>
      <c r="R452" s="66" t="str">
        <f>IF($J452=R$3,IF(R$3&gt;$I452,"-",ROUNDUP(Ld_cal($B452, $C452, $D452, $G452,$E452, $F452, $H452, R$3)*1.3*1.3,0)),"-")</f>
        <v>-</v>
      </c>
      <c r="S452" s="66" t="str">
        <f>IF($J452=S$3,IF(S$3&gt;$I452,"-",ROUNDUP(Ld_cal($B452, $C452, $D452, $G452,$E452, $F452, $H452, S$3)*1.3*1.3,0)),"-")</f>
        <v>-</v>
      </c>
      <c r="T452" s="66" t="str">
        <f>IF($J452=T$3,IF(T$3&gt;$I452,"-",ROUNDUP(Ld_cal($B452, $C452, $D452, $G452,$E452, $F452, $H452, T$3)*1.3*1.3,0)),"-")</f>
        <v>-</v>
      </c>
      <c r="U452" s="66" t="str">
        <f>IF($J452=U$3,IF(U$3&gt;$I452,"-",ROUNDUP(Ld_cal($B452, $C452, $D452, $G452,$E452, $F452, $H452, U$3)*1.3*1.3,0)),"-")</f>
        <v>-</v>
      </c>
      <c r="V452" s="66" t="str">
        <f>IF($J452=V$3,IF(V$3&gt;$I452,"-",ROUNDUP(Ld_cal($B452, $C452, $D452, $G452,$E452, $F452, $H452, V$3)*1.3*1.3,0)),"-")</f>
        <v>-</v>
      </c>
      <c r="W452" s="66" t="str">
        <f>IF($J452=W$3,IF(W$3&gt;$I452,"-",ROUNDUP(Ld_cal($B452, $C452, $D452, $G452,$E452, $F452, $H452, W$3)*1.3*1.3,0)),"-")</f>
        <v>-</v>
      </c>
      <c r="X452" s="66" t="str">
        <f>IF($J452=X$3,IF(X$3&gt;$I452,"-",ROUNDUP(Ld_cal($B452, $C452, $D452, $G452,$E452, $F452, $H452, X$3)*1.3*1.3,0)),"-")</f>
        <v>-</v>
      </c>
      <c r="Y452" s="66" t="str">
        <f>IF($J452=Y$3,IF(Y$3&gt;$I452,"-",ROUNDUP(Ld_cal($B452, $C452, $D452, $G452,$E452, $F452, $H452, Y$3)*1.3*1.3,0)),"-")</f>
        <v>-</v>
      </c>
      <c r="Z452" s="66" t="str">
        <f>IF($J452=Z$3,IF(Z$3&gt;$I452,"-",ROUNDUP(Ld_cal($B452, $C452, $D452, $G452,$E452, $F452, $H452, Z$3)*1.3*1.3,0)),"-")</f>
        <v>-</v>
      </c>
      <c r="AA452" s="66" t="str">
        <f>IF($J452=AA$3,IF(AA$3&gt;$I452,"-",ROUNDUP(Ld_cal($B452, $C452, $D452, $G452,$E452, $F452, $H452, AA$3)*1.3*1.3,0)),"-")</f>
        <v>-</v>
      </c>
      <c r="AB452" s="66" t="str">
        <f>IF($J452=AB$3,IF(AB$3&gt;$I452,"-",ROUNDUP(Ld_cal($B452, $C452, $D452, $G452,$E452, $F452, $H452, AB$3)*1.3*1.3,0)),"-")</f>
        <v>-</v>
      </c>
      <c r="AC452" s="66" t="str">
        <f>IF($J452=AC$3,IF(AC$3&gt;$I452,"-",ROUNDUP(Ld_cal($B452, $C452, $D452, $G452,$E452, $F452, $H452, AC$3)*1.3*1.3,0)),"-")</f>
        <v>-</v>
      </c>
      <c r="AD452" s="66" t="str">
        <f t="shared" ref="AD452" si="442">IF(J452&gt;I452,"依標準圖",MAX(L452:AC452))</f>
        <v>依標準圖</v>
      </c>
    </row>
    <row r="453" spans="1:30">
      <c r="A453" s="106"/>
      <c r="B453" s="107"/>
      <c r="C453" s="108"/>
      <c r="D453" s="107"/>
      <c r="E453" s="109"/>
      <c r="F453" s="110"/>
      <c r="G453" s="107"/>
      <c r="H453" s="109"/>
      <c r="I453" s="111"/>
      <c r="J453" s="68">
        <v>4</v>
      </c>
      <c r="K453" s="40" t="s">
        <v>29</v>
      </c>
      <c r="L453" s="66" t="str">
        <f>IF($J453=L$3,IF(L$3&gt;$I452,"-",ROUNDUP(Ld_cal($B452, $C452, $D452, $G452,$E452, $F452, $H452, L$3)*1.3,0)),"-")</f>
        <v>-</v>
      </c>
      <c r="M453" s="66">
        <f>IF($J453=M$3,IF(M$3&gt;$I452,"-",ROUNDUP(Ld_cal($B452, $C452, $D452, $G452,$E452, $F452, $H452, M$3)*1.3,0)),"-")</f>
        <v>105</v>
      </c>
      <c r="N453" s="66" t="str">
        <f>IF($J453=N$3,IF(N$3&gt;$I452,"-",ROUNDUP(Ld_cal($B452, $C452, $D452, $G452,$E452, $F452, $H452, N$3)*1.3,0)),"-")</f>
        <v>-</v>
      </c>
      <c r="O453" s="66" t="str">
        <f>IF($J453=O$3,IF(O$3&gt;$I452,"-",ROUNDUP(Ld_cal($B452, $C452, $D452, $G452,$E452, $F452, $H452, O$3)*1.3,0)),"-")</f>
        <v>-</v>
      </c>
      <c r="P453" s="66" t="str">
        <f>IF($J453=P$3,IF(P$3&gt;$I452,"-",ROUNDUP(Ld_cal($B452, $C452, $D452, $G452,$E452, $F452, $H452, P$3)*1.3,0)),"-")</f>
        <v>-</v>
      </c>
      <c r="Q453" s="66" t="str">
        <f>IF($J453=Q$3,IF(Q$3&gt;$I452,"-",ROUNDUP(Ld_cal($B452, $C452, $D452, $G452,$E452, $F452, $H452, Q$3)*1.3,0)),"-")</f>
        <v>-</v>
      </c>
      <c r="R453" s="66" t="str">
        <f>IF($J453=R$3,IF(R$3&gt;$I452,"-",ROUNDUP(Ld_cal($B452, $C452, $D452, $G452,$E452, $F452, $H452, R$3)*1.3,0)),"-")</f>
        <v>-</v>
      </c>
      <c r="S453" s="66" t="str">
        <f>IF($J453=S$3,IF(S$3&gt;$I452,"-",ROUNDUP(Ld_cal($B452, $C452, $D452, $G452,$E452, $F452, $H452, S$3)*1.3,0)),"-")</f>
        <v>-</v>
      </c>
      <c r="T453" s="66" t="str">
        <f>IF($J453=T$3,IF(T$3&gt;$I452,"-",ROUNDUP(Ld_cal($B452, $C452, $D452, $G452,$E452, $F452, $H452, T$3)*1.3,0)),"-")</f>
        <v>-</v>
      </c>
      <c r="U453" s="66" t="str">
        <f>IF($J453=U$3,IF(U$3&gt;$I452,"-",ROUNDUP(Ld_cal($B452, $C452, $D452, $G452,$E452, $F452, $H452, U$3)*1.3,0)),"-")</f>
        <v>-</v>
      </c>
      <c r="V453" s="66" t="str">
        <f>IF($J453=V$3,IF(V$3&gt;$I452,"-",ROUNDUP(Ld_cal($B452, $C452, $D452, $G452,$E452, $F452, $H452, V$3)*1.3,0)),"-")</f>
        <v>-</v>
      </c>
      <c r="W453" s="66" t="str">
        <f>IF($J453=W$3,IF(W$3&gt;$I452,"-",ROUNDUP(Ld_cal($B452, $C452, $D452, $G452,$E452, $F452, $H452, W$3)*1.3,0)),"-")</f>
        <v>-</v>
      </c>
      <c r="X453" s="66" t="str">
        <f>IF($J453=X$3,IF(X$3&gt;$I452,"-",ROUNDUP(Ld_cal($B452, $C452, $D452, $G452,$E452, $F452, $H452, X$3)*1.3,0)),"-")</f>
        <v>-</v>
      </c>
      <c r="Y453" s="66" t="str">
        <f>IF($J453=Y$3,IF(Y$3&gt;$I452,"-",ROUNDUP(Ld_cal($B452, $C452, $D452, $G452,$E452, $F452, $H452, Y$3)*1.3,0)),"-")</f>
        <v>-</v>
      </c>
      <c r="Z453" s="66" t="str">
        <f>IF($J453=Z$3,IF(Z$3&gt;$I452,"-",ROUNDUP(Ld_cal($B452, $C452, $D452, $G452,$E452, $F452, $H452, Z$3)*1.3,0)),"-")</f>
        <v>-</v>
      </c>
      <c r="AA453" s="66" t="str">
        <f>IF($J453=AA$3,IF(AA$3&gt;$I452,"-",ROUNDUP(Ld_cal($B452, $C452, $D452, $G452,$E452, $F452, $H452, AA$3)*1.3,0)),"-")</f>
        <v>-</v>
      </c>
      <c r="AB453" s="66" t="str">
        <f>IF($J453=AB$3,IF(AB$3&gt;$I452,"-",ROUNDUP(Ld_cal($B452, $C452, $D452, $G452,$E452, $F452, $H452, AB$3)*1.3,0)),"-")</f>
        <v>-</v>
      </c>
      <c r="AC453" s="66" t="str">
        <f>IF($J453=AC$3,IF(AC$3&gt;$I452,"-",ROUNDUP(Ld_cal($B452, $C452, $D452, $G452,$E452, $F452, $H452, AC$3)*1.3,0)),"-")</f>
        <v>-</v>
      </c>
      <c r="AD453" s="66">
        <f t="shared" ref="AD453" si="443">IF(J453&gt;I452,"依標準圖",MAX(L453:AC453))</f>
        <v>105</v>
      </c>
    </row>
    <row r="454" spans="1:30">
      <c r="A454" s="97" t="s">
        <v>268</v>
      </c>
      <c r="B454" s="99">
        <v>80</v>
      </c>
      <c r="C454" s="100">
        <v>7.5</v>
      </c>
      <c r="D454" s="101">
        <v>4200</v>
      </c>
      <c r="E454" s="102">
        <v>13</v>
      </c>
      <c r="F454" s="103">
        <v>10</v>
      </c>
      <c r="G454" s="101">
        <v>350</v>
      </c>
      <c r="H454" s="102">
        <v>32</v>
      </c>
      <c r="I454" s="104">
        <f>ROUNDDOWN(($B454-2*$C454-2*$E454/10-$H454/10)/(($D$1+1)*$H454/10),0)+1</f>
        <v>10</v>
      </c>
      <c r="J454" s="67">
        <v>7</v>
      </c>
      <c r="K454" s="69" t="s">
        <v>30</v>
      </c>
      <c r="L454" s="65" t="str">
        <f>IF($J454=L$3,IF(L$3&gt;$I454,"-",ROUNDUP(Ld_cal($B454, $C454, $D454, $G454,$E454, $F454, $H454, L$3)*1.3*1.3,0)),"-")</f>
        <v>-</v>
      </c>
      <c r="M454" s="65" t="str">
        <f>IF($J454=M$3,IF(M$3&gt;$I454,"-",ROUNDUP(Ld_cal($B454, $C454, $D454, $G454,$E454, $F454, $H454, M$3)*1.3*1.3,0)),"-")</f>
        <v>-</v>
      </c>
      <c r="N454" s="65" t="str">
        <f>IF($J454=N$3,IF(N$3&gt;$I454,"-",ROUNDUP(Ld_cal($B454, $C454, $D454, $G454,$E454, $F454, $H454, N$3)*1.3*1.3,0)),"-")</f>
        <v>-</v>
      </c>
      <c r="O454" s="65" t="str">
        <f>IF($J454=O$3,IF(O$3&gt;$I454,"-",ROUNDUP(Ld_cal($B454, $C454, $D454, $G454,$E454, $F454, $H454, O$3)*1.3*1.3,0)),"-")</f>
        <v>-</v>
      </c>
      <c r="P454" s="65">
        <f>IF($J454=P$3,IF(P$3&gt;$I454,"-",ROUNDUP(Ld_cal($B454, $C454, $D454, $G454,$E454, $F454, $H454, P$3)*1.3*1.3,0)),"-")</f>
        <v>169</v>
      </c>
      <c r="Q454" s="65" t="str">
        <f>IF($J454=Q$3,IF(Q$3&gt;$I454,"-",ROUNDUP(Ld_cal($B454, $C454, $D454, $G454,$E454, $F454, $H454, Q$3)*1.3*1.3,0)),"-")</f>
        <v>-</v>
      </c>
      <c r="R454" s="65" t="str">
        <f>IF($J454=R$3,IF(R$3&gt;$I454,"-",ROUNDUP(Ld_cal($B454, $C454, $D454, $G454,$E454, $F454, $H454, R$3)*1.3*1.3,0)),"-")</f>
        <v>-</v>
      </c>
      <c r="S454" s="65" t="str">
        <f>IF($J454=S$3,IF(S$3&gt;$I454,"-",ROUNDUP(Ld_cal($B454, $C454, $D454, $G454,$E454, $F454, $H454, S$3)*1.3*1.3,0)),"-")</f>
        <v>-</v>
      </c>
      <c r="T454" s="65" t="str">
        <f>IF($J454=T$3,IF(T$3&gt;$I454,"-",ROUNDUP(Ld_cal($B454, $C454, $D454, $G454,$E454, $F454, $H454, T$3)*1.3*1.3,0)),"-")</f>
        <v>-</v>
      </c>
      <c r="U454" s="65" t="str">
        <f>IF($J454=U$3,IF(U$3&gt;$I454,"-",ROUNDUP(Ld_cal($B454, $C454, $D454, $G454,$E454, $F454, $H454, U$3)*1.3*1.3,0)),"-")</f>
        <v>-</v>
      </c>
      <c r="V454" s="65" t="str">
        <f>IF($J454=V$3,IF(V$3&gt;$I454,"-",ROUNDUP(Ld_cal($B454, $C454, $D454, $G454,$E454, $F454, $H454, V$3)*1.3*1.3,0)),"-")</f>
        <v>-</v>
      </c>
      <c r="W454" s="65" t="str">
        <f>IF($J454=W$3,IF(W$3&gt;$I454,"-",ROUNDUP(Ld_cal($B454, $C454, $D454, $G454,$E454, $F454, $H454, W$3)*1.3*1.3,0)),"-")</f>
        <v>-</v>
      </c>
      <c r="X454" s="65" t="str">
        <f>IF($J454=X$3,IF(X$3&gt;$I454,"-",ROUNDUP(Ld_cal($B454, $C454, $D454, $G454,$E454, $F454, $H454, X$3)*1.3*1.3,0)),"-")</f>
        <v>-</v>
      </c>
      <c r="Y454" s="65" t="str">
        <f>IF($J454=Y$3,IF(Y$3&gt;$I454,"-",ROUNDUP(Ld_cal($B454, $C454, $D454, $G454,$E454, $F454, $H454, Y$3)*1.3*1.3,0)),"-")</f>
        <v>-</v>
      </c>
      <c r="Z454" s="65" t="str">
        <f>IF($J454=Z$3,IF(Z$3&gt;$I454,"-",ROUNDUP(Ld_cal($B454, $C454, $D454, $G454,$E454, $F454, $H454, Z$3)*1.3*1.3,0)),"-")</f>
        <v>-</v>
      </c>
      <c r="AA454" s="65" t="str">
        <f>IF($J454=AA$3,IF(AA$3&gt;$I454,"-",ROUNDUP(Ld_cal($B454, $C454, $D454, $G454,$E454, $F454, $H454, AA$3)*1.3*1.3,0)),"-")</f>
        <v>-</v>
      </c>
      <c r="AB454" s="65" t="str">
        <f>IF($J454=AB$3,IF(AB$3&gt;$I454,"-",ROUNDUP(Ld_cal($B454, $C454, $D454, $G454,$E454, $F454, $H454, AB$3)*1.3*1.3,0)),"-")</f>
        <v>-</v>
      </c>
      <c r="AC454" s="65" t="str">
        <f>IF($J454=AC$3,IF(AC$3&gt;$I454,"-",ROUNDUP(Ld_cal($B454, $C454, $D454, $G454,$E454, $F454, $H454, AC$3)*1.3*1.3,0)),"-")</f>
        <v>-</v>
      </c>
      <c r="AD454" s="65">
        <f t="shared" ref="AD454" si="444">IF(J454&gt;I454,"依標準圖",MAX(L454:AC454))</f>
        <v>169</v>
      </c>
    </row>
    <row r="455" spans="1:30">
      <c r="A455" s="98"/>
      <c r="B455" s="99"/>
      <c r="C455" s="100"/>
      <c r="D455" s="101"/>
      <c r="E455" s="102"/>
      <c r="F455" s="103"/>
      <c r="G455" s="101"/>
      <c r="H455" s="102"/>
      <c r="I455" s="104"/>
      <c r="J455" s="67">
        <v>8</v>
      </c>
      <c r="K455" s="69" t="s">
        <v>29</v>
      </c>
      <c r="L455" s="65" t="str">
        <f>IF($J455=L$3,IF(L$3&gt;$I454,"-",ROUNDUP(Ld_cal($B454, $C454, $D454, $G454,$E454, $F454, $H454, L$3)*1.3,0)),"-")</f>
        <v>-</v>
      </c>
      <c r="M455" s="65" t="str">
        <f>IF($J455=M$3,IF(M$3&gt;$I454,"-",ROUNDUP(Ld_cal($B454, $C454, $D454, $G454,$E454, $F454, $H454, M$3)*1.3,0)),"-")</f>
        <v>-</v>
      </c>
      <c r="N455" s="65" t="str">
        <f>IF($J455=N$3,IF(N$3&gt;$I454,"-",ROUNDUP(Ld_cal($B454, $C454, $D454, $G454,$E454, $F454, $H454, N$3)*1.3,0)),"-")</f>
        <v>-</v>
      </c>
      <c r="O455" s="65" t="str">
        <f>IF($J455=O$3,IF(O$3&gt;$I454,"-",ROUNDUP(Ld_cal($B454, $C454, $D454, $G454,$E454, $F454, $H454, O$3)*1.3,0)),"-")</f>
        <v>-</v>
      </c>
      <c r="P455" s="65" t="str">
        <f>IF($J455=P$3,IF(P$3&gt;$I454,"-",ROUNDUP(Ld_cal($B454, $C454, $D454, $G454,$E454, $F454, $H454, P$3)*1.3,0)),"-")</f>
        <v>-</v>
      </c>
      <c r="Q455" s="65">
        <f>IF($J455=Q$3,IF(Q$3&gt;$I454,"-",ROUNDUP(Ld_cal($B454, $C454, $D454, $G454,$E454, $F454, $H454, Q$3)*1.3,0)),"-")</f>
        <v>151</v>
      </c>
      <c r="R455" s="65" t="str">
        <f>IF($J455=R$3,IF(R$3&gt;$I454,"-",ROUNDUP(Ld_cal($B454, $C454, $D454, $G454,$E454, $F454, $H454, R$3)*1.3,0)),"-")</f>
        <v>-</v>
      </c>
      <c r="S455" s="65" t="str">
        <f>IF($J455=S$3,IF(S$3&gt;$I454,"-",ROUNDUP(Ld_cal($B454, $C454, $D454, $G454,$E454, $F454, $H454, S$3)*1.3,0)),"-")</f>
        <v>-</v>
      </c>
      <c r="T455" s="65" t="str">
        <f>IF($J455=T$3,IF(T$3&gt;$I454,"-",ROUNDUP(Ld_cal($B454, $C454, $D454, $G454,$E454, $F454, $H454, T$3)*1.3,0)),"-")</f>
        <v>-</v>
      </c>
      <c r="U455" s="65" t="str">
        <f>IF($J455=U$3,IF(U$3&gt;$I454,"-",ROUNDUP(Ld_cal($B454, $C454, $D454, $G454,$E454, $F454, $H454, U$3)*1.3,0)),"-")</f>
        <v>-</v>
      </c>
      <c r="V455" s="65" t="str">
        <f>IF($J455=V$3,IF(V$3&gt;$I454,"-",ROUNDUP(Ld_cal($B454, $C454, $D454, $G454,$E454, $F454, $H454, V$3)*1.3,0)),"-")</f>
        <v>-</v>
      </c>
      <c r="W455" s="65" t="str">
        <f>IF($J455=W$3,IF(W$3&gt;$I454,"-",ROUNDUP(Ld_cal($B454, $C454, $D454, $G454,$E454, $F454, $H454, W$3)*1.3,0)),"-")</f>
        <v>-</v>
      </c>
      <c r="X455" s="65" t="str">
        <f>IF($J455=X$3,IF(X$3&gt;$I454,"-",ROUNDUP(Ld_cal($B454, $C454, $D454, $G454,$E454, $F454, $H454, X$3)*1.3,0)),"-")</f>
        <v>-</v>
      </c>
      <c r="Y455" s="65" t="str">
        <f>IF($J455=Y$3,IF(Y$3&gt;$I454,"-",ROUNDUP(Ld_cal($B454, $C454, $D454, $G454,$E454, $F454, $H454, Y$3)*1.3,0)),"-")</f>
        <v>-</v>
      </c>
      <c r="Z455" s="65" t="str">
        <f>IF($J455=Z$3,IF(Z$3&gt;$I454,"-",ROUNDUP(Ld_cal($B454, $C454, $D454, $G454,$E454, $F454, $H454, Z$3)*1.3,0)),"-")</f>
        <v>-</v>
      </c>
      <c r="AA455" s="65" t="str">
        <f>IF($J455=AA$3,IF(AA$3&gt;$I454,"-",ROUNDUP(Ld_cal($B454, $C454, $D454, $G454,$E454, $F454, $H454, AA$3)*1.3,0)),"-")</f>
        <v>-</v>
      </c>
      <c r="AB455" s="65" t="str">
        <f>IF($J455=AB$3,IF(AB$3&gt;$I454,"-",ROUNDUP(Ld_cal($B454, $C454, $D454, $G454,$E454, $F454, $H454, AB$3)*1.3,0)),"-")</f>
        <v>-</v>
      </c>
      <c r="AC455" s="65" t="str">
        <f>IF($J455=AC$3,IF(AC$3&gt;$I454,"-",ROUNDUP(Ld_cal($B454, $C454, $D454, $G454,$E454, $F454, $H454, AC$3)*1.3,0)),"-")</f>
        <v>-</v>
      </c>
      <c r="AD455" s="65">
        <f t="shared" ref="AD455" si="445">IF(J455&gt;I454,"依標準圖",MAX(L455:AC455))</f>
        <v>151</v>
      </c>
    </row>
    <row r="456" spans="1:30">
      <c r="A456" s="105" t="s">
        <v>269</v>
      </c>
      <c r="B456" s="107">
        <v>80</v>
      </c>
      <c r="C456" s="108">
        <v>7.5</v>
      </c>
      <c r="D456" s="107">
        <v>4200</v>
      </c>
      <c r="E456" s="109">
        <v>13</v>
      </c>
      <c r="F456" s="110">
        <v>25</v>
      </c>
      <c r="G456" s="107">
        <v>350</v>
      </c>
      <c r="H456" s="109">
        <v>32</v>
      </c>
      <c r="I456" s="111">
        <f>ROUNDDOWN(($B456-2*$C456-2*$E456/10-$H456/10)/(($D$1+1)*$H456/10),0)+1</f>
        <v>10</v>
      </c>
      <c r="J456" s="68">
        <v>11</v>
      </c>
      <c r="K456" s="40" t="s">
        <v>30</v>
      </c>
      <c r="L456" s="66" t="str">
        <f>IF($J456=L$3,IF(L$3&gt;$I456,"-",ROUNDUP(Ld_cal($B456, $C456, $D456, $G456,$E456, $F456, $H456, L$3)*1.3*1.3,0)),"-")</f>
        <v>-</v>
      </c>
      <c r="M456" s="66" t="str">
        <f>IF($J456=M$3,IF(M$3&gt;$I456,"-",ROUNDUP(Ld_cal($B456, $C456, $D456, $G456,$E456, $F456, $H456, M$3)*1.3*1.3,0)),"-")</f>
        <v>-</v>
      </c>
      <c r="N456" s="66" t="str">
        <f>IF($J456=N$3,IF(N$3&gt;$I456,"-",ROUNDUP(Ld_cal($B456, $C456, $D456, $G456,$E456, $F456, $H456, N$3)*1.3*1.3,0)),"-")</f>
        <v>-</v>
      </c>
      <c r="O456" s="66" t="str">
        <f>IF($J456=O$3,IF(O$3&gt;$I456,"-",ROUNDUP(Ld_cal($B456, $C456, $D456, $G456,$E456, $F456, $H456, O$3)*1.3*1.3,0)),"-")</f>
        <v>-</v>
      </c>
      <c r="P456" s="66" t="str">
        <f>IF($J456=P$3,IF(P$3&gt;$I456,"-",ROUNDUP(Ld_cal($B456, $C456, $D456, $G456,$E456, $F456, $H456, P$3)*1.3*1.3,0)),"-")</f>
        <v>-</v>
      </c>
      <c r="Q456" s="66" t="str">
        <f>IF($J456=Q$3,IF(Q$3&gt;$I456,"-",ROUNDUP(Ld_cal($B456, $C456, $D456, $G456,$E456, $F456, $H456, Q$3)*1.3*1.3,0)),"-")</f>
        <v>-</v>
      </c>
      <c r="R456" s="66" t="str">
        <f>IF($J456=R$3,IF(R$3&gt;$I456,"-",ROUNDUP(Ld_cal($B456, $C456, $D456, $G456,$E456, $F456, $H456, R$3)*1.3*1.3,0)),"-")</f>
        <v>-</v>
      </c>
      <c r="S456" s="66" t="str">
        <f>IF($J456=S$3,IF(S$3&gt;$I456,"-",ROUNDUP(Ld_cal($B456, $C456, $D456, $G456,$E456, $F456, $H456, S$3)*1.3*1.3,0)),"-")</f>
        <v>-</v>
      </c>
      <c r="T456" s="66" t="str">
        <f>IF($J456=T$3,IF(T$3&gt;$I456,"-",ROUNDUP(Ld_cal($B456, $C456, $D456, $G456,$E456, $F456, $H456, T$3)*1.3*1.3,0)),"-")</f>
        <v>-</v>
      </c>
      <c r="U456" s="66" t="str">
        <f>IF($J456=U$3,IF(U$3&gt;$I456,"-",ROUNDUP(Ld_cal($B456, $C456, $D456, $G456,$E456, $F456, $H456, U$3)*1.3*1.3,0)),"-")</f>
        <v>-</v>
      </c>
      <c r="V456" s="66" t="str">
        <f>IF($J456=V$3,IF(V$3&gt;$I456,"-",ROUNDUP(Ld_cal($B456, $C456, $D456, $G456,$E456, $F456, $H456, V$3)*1.3*1.3,0)),"-")</f>
        <v>-</v>
      </c>
      <c r="W456" s="66" t="str">
        <f>IF($J456=W$3,IF(W$3&gt;$I456,"-",ROUNDUP(Ld_cal($B456, $C456, $D456, $G456,$E456, $F456, $H456, W$3)*1.3*1.3,0)),"-")</f>
        <v>-</v>
      </c>
      <c r="X456" s="66" t="str">
        <f>IF($J456=X$3,IF(X$3&gt;$I456,"-",ROUNDUP(Ld_cal($B456, $C456, $D456, $G456,$E456, $F456, $H456, X$3)*1.3*1.3,0)),"-")</f>
        <v>-</v>
      </c>
      <c r="Y456" s="66" t="str">
        <f>IF($J456=Y$3,IF(Y$3&gt;$I456,"-",ROUNDUP(Ld_cal($B456, $C456, $D456, $G456,$E456, $F456, $H456, Y$3)*1.3*1.3,0)),"-")</f>
        <v>-</v>
      </c>
      <c r="Z456" s="66" t="str">
        <f>IF($J456=Z$3,IF(Z$3&gt;$I456,"-",ROUNDUP(Ld_cal($B456, $C456, $D456, $G456,$E456, $F456, $H456, Z$3)*1.3*1.3,0)),"-")</f>
        <v>-</v>
      </c>
      <c r="AA456" s="66" t="str">
        <f>IF($J456=AA$3,IF(AA$3&gt;$I456,"-",ROUNDUP(Ld_cal($B456, $C456, $D456, $G456,$E456, $F456, $H456, AA$3)*1.3*1.3,0)),"-")</f>
        <v>-</v>
      </c>
      <c r="AB456" s="66" t="str">
        <f>IF($J456=AB$3,IF(AB$3&gt;$I456,"-",ROUNDUP(Ld_cal($B456, $C456, $D456, $G456,$E456, $F456, $H456, AB$3)*1.3*1.3,0)),"-")</f>
        <v>-</v>
      </c>
      <c r="AC456" s="66" t="str">
        <f>IF($J456=AC$3,IF(AC$3&gt;$I456,"-",ROUNDUP(Ld_cal($B456, $C456, $D456, $G456,$E456, $F456, $H456, AC$3)*1.3*1.3,0)),"-")</f>
        <v>-</v>
      </c>
      <c r="AD456" s="66" t="str">
        <f t="shared" ref="AD456" si="446">IF(J456&gt;I456,"依標準圖",MAX(L456:AC456))</f>
        <v>依標準圖</v>
      </c>
    </row>
    <row r="457" spans="1:30">
      <c r="A457" s="106"/>
      <c r="B457" s="107"/>
      <c r="C457" s="108"/>
      <c r="D457" s="107"/>
      <c r="E457" s="109"/>
      <c r="F457" s="110"/>
      <c r="G457" s="107"/>
      <c r="H457" s="109"/>
      <c r="I457" s="111"/>
      <c r="J457" s="68">
        <v>8</v>
      </c>
      <c r="K457" s="40" t="s">
        <v>29</v>
      </c>
      <c r="L457" s="66" t="str">
        <f>IF($J457=L$3,IF(L$3&gt;$I456,"-",ROUNDUP(Ld_cal($B456, $C456, $D456, $G456,$E456, $F456, $H456, L$3)*1.3,0)),"-")</f>
        <v>-</v>
      </c>
      <c r="M457" s="66" t="str">
        <f>IF($J457=M$3,IF(M$3&gt;$I456,"-",ROUNDUP(Ld_cal($B456, $C456, $D456, $G456,$E456, $F456, $H456, M$3)*1.3,0)),"-")</f>
        <v>-</v>
      </c>
      <c r="N457" s="66" t="str">
        <f>IF($J457=N$3,IF(N$3&gt;$I456,"-",ROUNDUP(Ld_cal($B456, $C456, $D456, $G456,$E456, $F456, $H456, N$3)*1.3,0)),"-")</f>
        <v>-</v>
      </c>
      <c r="O457" s="66" t="str">
        <f>IF($J457=O$3,IF(O$3&gt;$I456,"-",ROUNDUP(Ld_cal($B456, $C456, $D456, $G456,$E456, $F456, $H456, O$3)*1.3,0)),"-")</f>
        <v>-</v>
      </c>
      <c r="P457" s="66" t="str">
        <f>IF($J457=P$3,IF(P$3&gt;$I456,"-",ROUNDUP(Ld_cal($B456, $C456, $D456, $G456,$E456, $F456, $H456, P$3)*1.3,0)),"-")</f>
        <v>-</v>
      </c>
      <c r="Q457" s="66">
        <f>IF($J457=Q$3,IF(Q$3&gt;$I456,"-",ROUNDUP(Ld_cal($B456, $C456, $D456, $G456,$E456, $F456, $H456, Q$3)*1.3,0)),"-")</f>
        <v>176</v>
      </c>
      <c r="R457" s="66" t="str">
        <f>IF($J457=R$3,IF(R$3&gt;$I456,"-",ROUNDUP(Ld_cal($B456, $C456, $D456, $G456,$E456, $F456, $H456, R$3)*1.3,0)),"-")</f>
        <v>-</v>
      </c>
      <c r="S457" s="66" t="str">
        <f>IF($J457=S$3,IF(S$3&gt;$I456,"-",ROUNDUP(Ld_cal($B456, $C456, $D456, $G456,$E456, $F456, $H456, S$3)*1.3,0)),"-")</f>
        <v>-</v>
      </c>
      <c r="T457" s="66" t="str">
        <f>IF($J457=T$3,IF(T$3&gt;$I456,"-",ROUNDUP(Ld_cal($B456, $C456, $D456, $G456,$E456, $F456, $H456, T$3)*1.3,0)),"-")</f>
        <v>-</v>
      </c>
      <c r="U457" s="66" t="str">
        <f>IF($J457=U$3,IF(U$3&gt;$I456,"-",ROUNDUP(Ld_cal($B456, $C456, $D456, $G456,$E456, $F456, $H456, U$3)*1.3,0)),"-")</f>
        <v>-</v>
      </c>
      <c r="V457" s="66" t="str">
        <f>IF($J457=V$3,IF(V$3&gt;$I456,"-",ROUNDUP(Ld_cal($B456, $C456, $D456, $G456,$E456, $F456, $H456, V$3)*1.3,0)),"-")</f>
        <v>-</v>
      </c>
      <c r="W457" s="66" t="str">
        <f>IF($J457=W$3,IF(W$3&gt;$I456,"-",ROUNDUP(Ld_cal($B456, $C456, $D456, $G456,$E456, $F456, $H456, W$3)*1.3,0)),"-")</f>
        <v>-</v>
      </c>
      <c r="X457" s="66" t="str">
        <f>IF($J457=X$3,IF(X$3&gt;$I456,"-",ROUNDUP(Ld_cal($B456, $C456, $D456, $G456,$E456, $F456, $H456, X$3)*1.3,0)),"-")</f>
        <v>-</v>
      </c>
      <c r="Y457" s="66" t="str">
        <f>IF($J457=Y$3,IF(Y$3&gt;$I456,"-",ROUNDUP(Ld_cal($B456, $C456, $D456, $G456,$E456, $F456, $H456, Y$3)*1.3,0)),"-")</f>
        <v>-</v>
      </c>
      <c r="Z457" s="66" t="str">
        <f>IF($J457=Z$3,IF(Z$3&gt;$I456,"-",ROUNDUP(Ld_cal($B456, $C456, $D456, $G456,$E456, $F456, $H456, Z$3)*1.3,0)),"-")</f>
        <v>-</v>
      </c>
      <c r="AA457" s="66" t="str">
        <f>IF($J457=AA$3,IF(AA$3&gt;$I456,"-",ROUNDUP(Ld_cal($B456, $C456, $D456, $G456,$E456, $F456, $H456, AA$3)*1.3,0)),"-")</f>
        <v>-</v>
      </c>
      <c r="AB457" s="66" t="str">
        <f>IF($J457=AB$3,IF(AB$3&gt;$I456,"-",ROUNDUP(Ld_cal($B456, $C456, $D456, $G456,$E456, $F456, $H456, AB$3)*1.3,0)),"-")</f>
        <v>-</v>
      </c>
      <c r="AC457" s="66" t="str">
        <f>IF($J457=AC$3,IF(AC$3&gt;$I456,"-",ROUNDUP(Ld_cal($B456, $C456, $D456, $G456,$E456, $F456, $H456, AC$3)*1.3,0)),"-")</f>
        <v>-</v>
      </c>
      <c r="AD457" s="66">
        <f t="shared" ref="AD457" si="447">IF(J457&gt;I456,"依標準圖",MAX(L457:AC457))</f>
        <v>176</v>
      </c>
    </row>
    <row r="458" spans="1:30">
      <c r="A458" s="97" t="s">
        <v>270</v>
      </c>
      <c r="B458" s="99">
        <v>80</v>
      </c>
      <c r="C458" s="100">
        <v>7.5</v>
      </c>
      <c r="D458" s="101">
        <v>4200</v>
      </c>
      <c r="E458" s="102">
        <v>16</v>
      </c>
      <c r="F458" s="103">
        <v>25</v>
      </c>
      <c r="G458" s="101">
        <v>350</v>
      </c>
      <c r="H458" s="102">
        <v>32</v>
      </c>
      <c r="I458" s="104">
        <f>ROUNDDOWN(($B458-2*$C458-2*$E458/10-$H458/10)/(($D$1+1)*$H458/10),0)+1</f>
        <v>10</v>
      </c>
      <c r="J458" s="67">
        <v>7</v>
      </c>
      <c r="K458" s="69" t="s">
        <v>30</v>
      </c>
      <c r="L458" s="65" t="str">
        <f>IF($J458=L$3,IF(L$3&gt;$I458,"-",ROUNDUP(Ld_cal($B458, $C458, $D458, $G458,$E458, $F458, $H458, L$3)*1.3*1.3,0)),"-")</f>
        <v>-</v>
      </c>
      <c r="M458" s="65" t="str">
        <f>IF($J458=M$3,IF(M$3&gt;$I458,"-",ROUNDUP(Ld_cal($B458, $C458, $D458, $G458,$E458, $F458, $H458, M$3)*1.3*1.3,0)),"-")</f>
        <v>-</v>
      </c>
      <c r="N458" s="65" t="str">
        <f>IF($J458=N$3,IF(N$3&gt;$I458,"-",ROUNDUP(Ld_cal($B458, $C458, $D458, $G458,$E458, $F458, $H458, N$3)*1.3*1.3,0)),"-")</f>
        <v>-</v>
      </c>
      <c r="O458" s="65" t="str">
        <f>IF($J458=O$3,IF(O$3&gt;$I458,"-",ROUNDUP(Ld_cal($B458, $C458, $D458, $G458,$E458, $F458, $H458, O$3)*1.3*1.3,0)),"-")</f>
        <v>-</v>
      </c>
      <c r="P458" s="65">
        <f>IF($J458=P$3,IF(P$3&gt;$I458,"-",ROUNDUP(Ld_cal($B458, $C458, $D458, $G458,$E458, $F458, $H458, P$3)*1.3*1.3,0)),"-")</f>
        <v>188</v>
      </c>
      <c r="Q458" s="65" t="str">
        <f>IF($J458=Q$3,IF(Q$3&gt;$I458,"-",ROUNDUP(Ld_cal($B458, $C458, $D458, $G458,$E458, $F458, $H458, Q$3)*1.3*1.3,0)),"-")</f>
        <v>-</v>
      </c>
      <c r="R458" s="65" t="str">
        <f>IF($J458=R$3,IF(R$3&gt;$I458,"-",ROUNDUP(Ld_cal($B458, $C458, $D458, $G458,$E458, $F458, $H458, R$3)*1.3*1.3,0)),"-")</f>
        <v>-</v>
      </c>
      <c r="S458" s="65" t="str">
        <f>IF($J458=S$3,IF(S$3&gt;$I458,"-",ROUNDUP(Ld_cal($B458, $C458, $D458, $G458,$E458, $F458, $H458, S$3)*1.3*1.3,0)),"-")</f>
        <v>-</v>
      </c>
      <c r="T458" s="65" t="str">
        <f>IF($J458=T$3,IF(T$3&gt;$I458,"-",ROUNDUP(Ld_cal($B458, $C458, $D458, $G458,$E458, $F458, $H458, T$3)*1.3*1.3,0)),"-")</f>
        <v>-</v>
      </c>
      <c r="U458" s="65" t="str">
        <f>IF($J458=U$3,IF(U$3&gt;$I458,"-",ROUNDUP(Ld_cal($B458, $C458, $D458, $G458,$E458, $F458, $H458, U$3)*1.3*1.3,0)),"-")</f>
        <v>-</v>
      </c>
      <c r="V458" s="65" t="str">
        <f>IF($J458=V$3,IF(V$3&gt;$I458,"-",ROUNDUP(Ld_cal($B458, $C458, $D458, $G458,$E458, $F458, $H458, V$3)*1.3*1.3,0)),"-")</f>
        <v>-</v>
      </c>
      <c r="W458" s="65" t="str">
        <f>IF($J458=W$3,IF(W$3&gt;$I458,"-",ROUNDUP(Ld_cal($B458, $C458, $D458, $G458,$E458, $F458, $H458, W$3)*1.3*1.3,0)),"-")</f>
        <v>-</v>
      </c>
      <c r="X458" s="65" t="str">
        <f>IF($J458=X$3,IF(X$3&gt;$I458,"-",ROUNDUP(Ld_cal($B458, $C458, $D458, $G458,$E458, $F458, $H458, X$3)*1.3*1.3,0)),"-")</f>
        <v>-</v>
      </c>
      <c r="Y458" s="65" t="str">
        <f>IF($J458=Y$3,IF(Y$3&gt;$I458,"-",ROUNDUP(Ld_cal($B458, $C458, $D458, $G458,$E458, $F458, $H458, Y$3)*1.3*1.3,0)),"-")</f>
        <v>-</v>
      </c>
      <c r="Z458" s="65" t="str">
        <f>IF($J458=Z$3,IF(Z$3&gt;$I458,"-",ROUNDUP(Ld_cal($B458, $C458, $D458, $G458,$E458, $F458, $H458, Z$3)*1.3*1.3,0)),"-")</f>
        <v>-</v>
      </c>
      <c r="AA458" s="65" t="str">
        <f>IF($J458=AA$3,IF(AA$3&gt;$I458,"-",ROUNDUP(Ld_cal($B458, $C458, $D458, $G458,$E458, $F458, $H458, AA$3)*1.3*1.3,0)),"-")</f>
        <v>-</v>
      </c>
      <c r="AB458" s="65" t="str">
        <f>IF($J458=AB$3,IF(AB$3&gt;$I458,"-",ROUNDUP(Ld_cal($B458, $C458, $D458, $G458,$E458, $F458, $H458, AB$3)*1.3*1.3,0)),"-")</f>
        <v>-</v>
      </c>
      <c r="AC458" s="65" t="str">
        <f>IF($J458=AC$3,IF(AC$3&gt;$I458,"-",ROUNDUP(Ld_cal($B458, $C458, $D458, $G458,$E458, $F458, $H458, AC$3)*1.3*1.3,0)),"-")</f>
        <v>-</v>
      </c>
      <c r="AD458" s="65">
        <f t="shared" ref="AD458" si="448">IF(J458&gt;I458,"依標準圖",MAX(L458:AC458))</f>
        <v>188</v>
      </c>
    </row>
    <row r="459" spans="1:30">
      <c r="A459" s="98"/>
      <c r="B459" s="99"/>
      <c r="C459" s="100"/>
      <c r="D459" s="101"/>
      <c r="E459" s="102"/>
      <c r="F459" s="103"/>
      <c r="G459" s="101"/>
      <c r="H459" s="102"/>
      <c r="I459" s="104"/>
      <c r="J459" s="67">
        <v>4</v>
      </c>
      <c r="K459" s="69" t="s">
        <v>29</v>
      </c>
      <c r="L459" s="65" t="str">
        <f>IF($J459=L$3,IF(L$3&gt;$I458,"-",ROUNDUP(Ld_cal($B458, $C458, $D458, $G458,$E458, $F458, $H458, L$3)*1.3,0)),"-")</f>
        <v>-</v>
      </c>
      <c r="M459" s="65">
        <f>IF($J459=M$3,IF(M$3&gt;$I458,"-",ROUNDUP(Ld_cal($B458, $C458, $D458, $G458,$E458, $F458, $H458, M$3)*1.3,0)),"-")</f>
        <v>105</v>
      </c>
      <c r="N459" s="65" t="str">
        <f>IF($J459=N$3,IF(N$3&gt;$I458,"-",ROUNDUP(Ld_cal($B458, $C458, $D458, $G458,$E458, $F458, $H458, N$3)*1.3,0)),"-")</f>
        <v>-</v>
      </c>
      <c r="O459" s="65" t="str">
        <f>IF($J459=O$3,IF(O$3&gt;$I458,"-",ROUNDUP(Ld_cal($B458, $C458, $D458, $G458,$E458, $F458, $H458, O$3)*1.3,0)),"-")</f>
        <v>-</v>
      </c>
      <c r="P459" s="65" t="str">
        <f>IF($J459=P$3,IF(P$3&gt;$I458,"-",ROUNDUP(Ld_cal($B458, $C458, $D458, $G458,$E458, $F458, $H458, P$3)*1.3,0)),"-")</f>
        <v>-</v>
      </c>
      <c r="Q459" s="65" t="str">
        <f>IF($J459=Q$3,IF(Q$3&gt;$I458,"-",ROUNDUP(Ld_cal($B458, $C458, $D458, $G458,$E458, $F458, $H458, Q$3)*1.3,0)),"-")</f>
        <v>-</v>
      </c>
      <c r="R459" s="65" t="str">
        <f>IF($J459=R$3,IF(R$3&gt;$I458,"-",ROUNDUP(Ld_cal($B458, $C458, $D458, $G458,$E458, $F458, $H458, R$3)*1.3,0)),"-")</f>
        <v>-</v>
      </c>
      <c r="S459" s="65" t="str">
        <f>IF($J459=S$3,IF(S$3&gt;$I458,"-",ROUNDUP(Ld_cal($B458, $C458, $D458, $G458,$E458, $F458, $H458, S$3)*1.3,0)),"-")</f>
        <v>-</v>
      </c>
      <c r="T459" s="65" t="str">
        <f>IF($J459=T$3,IF(T$3&gt;$I458,"-",ROUNDUP(Ld_cal($B458, $C458, $D458, $G458,$E458, $F458, $H458, T$3)*1.3,0)),"-")</f>
        <v>-</v>
      </c>
      <c r="U459" s="65" t="str">
        <f>IF($J459=U$3,IF(U$3&gt;$I458,"-",ROUNDUP(Ld_cal($B458, $C458, $D458, $G458,$E458, $F458, $H458, U$3)*1.3,0)),"-")</f>
        <v>-</v>
      </c>
      <c r="V459" s="65" t="str">
        <f>IF($J459=V$3,IF(V$3&gt;$I458,"-",ROUNDUP(Ld_cal($B458, $C458, $D458, $G458,$E458, $F458, $H458, V$3)*1.3,0)),"-")</f>
        <v>-</v>
      </c>
      <c r="W459" s="65" t="str">
        <f>IF($J459=W$3,IF(W$3&gt;$I458,"-",ROUNDUP(Ld_cal($B458, $C458, $D458, $G458,$E458, $F458, $H458, W$3)*1.3,0)),"-")</f>
        <v>-</v>
      </c>
      <c r="X459" s="65" t="str">
        <f>IF($J459=X$3,IF(X$3&gt;$I458,"-",ROUNDUP(Ld_cal($B458, $C458, $D458, $G458,$E458, $F458, $H458, X$3)*1.3,0)),"-")</f>
        <v>-</v>
      </c>
      <c r="Y459" s="65" t="str">
        <f>IF($J459=Y$3,IF(Y$3&gt;$I458,"-",ROUNDUP(Ld_cal($B458, $C458, $D458, $G458,$E458, $F458, $H458, Y$3)*1.3,0)),"-")</f>
        <v>-</v>
      </c>
      <c r="Z459" s="65" t="str">
        <f>IF($J459=Z$3,IF(Z$3&gt;$I458,"-",ROUNDUP(Ld_cal($B458, $C458, $D458, $G458,$E458, $F458, $H458, Z$3)*1.3,0)),"-")</f>
        <v>-</v>
      </c>
      <c r="AA459" s="65" t="str">
        <f>IF($J459=AA$3,IF(AA$3&gt;$I458,"-",ROUNDUP(Ld_cal($B458, $C458, $D458, $G458,$E458, $F458, $H458, AA$3)*1.3,0)),"-")</f>
        <v>-</v>
      </c>
      <c r="AB459" s="65" t="str">
        <f>IF($J459=AB$3,IF(AB$3&gt;$I458,"-",ROUNDUP(Ld_cal($B458, $C458, $D458, $G458,$E458, $F458, $H458, AB$3)*1.3,0)),"-")</f>
        <v>-</v>
      </c>
      <c r="AC459" s="65" t="str">
        <f>IF($J459=AC$3,IF(AC$3&gt;$I458,"-",ROUNDUP(Ld_cal($B458, $C458, $D458, $G458,$E458, $F458, $H458, AC$3)*1.3,0)),"-")</f>
        <v>-</v>
      </c>
      <c r="AD459" s="65">
        <f t="shared" ref="AD459" si="449">IF(J459&gt;I458,"依標準圖",MAX(L459:AC459))</f>
        <v>105</v>
      </c>
    </row>
    <row r="460" spans="1:30">
      <c r="A460" s="105" t="s">
        <v>271</v>
      </c>
      <c r="B460" s="107">
        <v>80</v>
      </c>
      <c r="C460" s="108">
        <v>7.5</v>
      </c>
      <c r="D460" s="107">
        <v>4200</v>
      </c>
      <c r="E460" s="109">
        <v>16</v>
      </c>
      <c r="F460" s="110">
        <v>25</v>
      </c>
      <c r="G460" s="107">
        <v>350</v>
      </c>
      <c r="H460" s="109">
        <v>32</v>
      </c>
      <c r="I460" s="111">
        <f>ROUNDDOWN(($B460-2*$C460-2*$E460/10-$H460/10)/(($D$1+1)*$H460/10),0)+1</f>
        <v>10</v>
      </c>
      <c r="J460" s="68">
        <v>11</v>
      </c>
      <c r="K460" s="40" t="s">
        <v>30</v>
      </c>
      <c r="L460" s="66" t="str">
        <f>IF($J460=L$3,IF(L$3&gt;$I460,"-",ROUNDUP(Ld_cal($B460, $C460, $D460, $G460,$E460, $F460, $H460, L$3)*1.3*1.3,0)),"-")</f>
        <v>-</v>
      </c>
      <c r="M460" s="66" t="str">
        <f>IF($J460=M$3,IF(M$3&gt;$I460,"-",ROUNDUP(Ld_cal($B460, $C460, $D460, $G460,$E460, $F460, $H460, M$3)*1.3*1.3,0)),"-")</f>
        <v>-</v>
      </c>
      <c r="N460" s="66" t="str">
        <f>IF($J460=N$3,IF(N$3&gt;$I460,"-",ROUNDUP(Ld_cal($B460, $C460, $D460, $G460,$E460, $F460, $H460, N$3)*1.3*1.3,0)),"-")</f>
        <v>-</v>
      </c>
      <c r="O460" s="66" t="str">
        <f>IF($J460=O$3,IF(O$3&gt;$I460,"-",ROUNDUP(Ld_cal($B460, $C460, $D460, $G460,$E460, $F460, $H460, O$3)*1.3*1.3,0)),"-")</f>
        <v>-</v>
      </c>
      <c r="P460" s="66" t="str">
        <f>IF($J460=P$3,IF(P$3&gt;$I460,"-",ROUNDUP(Ld_cal($B460, $C460, $D460, $G460,$E460, $F460, $H460, P$3)*1.3*1.3,0)),"-")</f>
        <v>-</v>
      </c>
      <c r="Q460" s="66" t="str">
        <f>IF($J460=Q$3,IF(Q$3&gt;$I460,"-",ROUNDUP(Ld_cal($B460, $C460, $D460, $G460,$E460, $F460, $H460, Q$3)*1.3*1.3,0)),"-")</f>
        <v>-</v>
      </c>
      <c r="R460" s="66" t="str">
        <f>IF($J460=R$3,IF(R$3&gt;$I460,"-",ROUNDUP(Ld_cal($B460, $C460, $D460, $G460,$E460, $F460, $H460, R$3)*1.3*1.3,0)),"-")</f>
        <v>-</v>
      </c>
      <c r="S460" s="66" t="str">
        <f>IF($J460=S$3,IF(S$3&gt;$I460,"-",ROUNDUP(Ld_cal($B460, $C460, $D460, $G460,$E460, $F460, $H460, S$3)*1.3*1.3,0)),"-")</f>
        <v>-</v>
      </c>
      <c r="T460" s="66" t="str">
        <f>IF($J460=T$3,IF(T$3&gt;$I460,"-",ROUNDUP(Ld_cal($B460, $C460, $D460, $G460,$E460, $F460, $H460, T$3)*1.3*1.3,0)),"-")</f>
        <v>-</v>
      </c>
      <c r="U460" s="66" t="str">
        <f>IF($J460=U$3,IF(U$3&gt;$I460,"-",ROUNDUP(Ld_cal($B460, $C460, $D460, $G460,$E460, $F460, $H460, U$3)*1.3*1.3,0)),"-")</f>
        <v>-</v>
      </c>
      <c r="V460" s="66" t="str">
        <f>IF($J460=V$3,IF(V$3&gt;$I460,"-",ROUNDUP(Ld_cal($B460, $C460, $D460, $G460,$E460, $F460, $H460, V$3)*1.3*1.3,0)),"-")</f>
        <v>-</v>
      </c>
      <c r="W460" s="66" t="str">
        <f>IF($J460=W$3,IF(W$3&gt;$I460,"-",ROUNDUP(Ld_cal($B460, $C460, $D460, $G460,$E460, $F460, $H460, W$3)*1.3*1.3,0)),"-")</f>
        <v>-</v>
      </c>
      <c r="X460" s="66" t="str">
        <f>IF($J460=X$3,IF(X$3&gt;$I460,"-",ROUNDUP(Ld_cal($B460, $C460, $D460, $G460,$E460, $F460, $H460, X$3)*1.3*1.3,0)),"-")</f>
        <v>-</v>
      </c>
      <c r="Y460" s="66" t="str">
        <f>IF($J460=Y$3,IF(Y$3&gt;$I460,"-",ROUNDUP(Ld_cal($B460, $C460, $D460, $G460,$E460, $F460, $H460, Y$3)*1.3*1.3,0)),"-")</f>
        <v>-</v>
      </c>
      <c r="Z460" s="66" t="str">
        <f>IF($J460=Z$3,IF(Z$3&gt;$I460,"-",ROUNDUP(Ld_cal($B460, $C460, $D460, $G460,$E460, $F460, $H460, Z$3)*1.3*1.3,0)),"-")</f>
        <v>-</v>
      </c>
      <c r="AA460" s="66" t="str">
        <f>IF($J460=AA$3,IF(AA$3&gt;$I460,"-",ROUNDUP(Ld_cal($B460, $C460, $D460, $G460,$E460, $F460, $H460, AA$3)*1.3*1.3,0)),"-")</f>
        <v>-</v>
      </c>
      <c r="AB460" s="66" t="str">
        <f>IF($J460=AB$3,IF(AB$3&gt;$I460,"-",ROUNDUP(Ld_cal($B460, $C460, $D460, $G460,$E460, $F460, $H460, AB$3)*1.3*1.3,0)),"-")</f>
        <v>-</v>
      </c>
      <c r="AC460" s="66" t="str">
        <f>IF($J460=AC$3,IF(AC$3&gt;$I460,"-",ROUNDUP(Ld_cal($B460, $C460, $D460, $G460,$E460, $F460, $H460, AC$3)*1.3*1.3,0)),"-")</f>
        <v>-</v>
      </c>
      <c r="AD460" s="66" t="str">
        <f t="shared" ref="AD460" si="450">IF(J460&gt;I460,"依標準圖",MAX(L460:AC460))</f>
        <v>依標準圖</v>
      </c>
    </row>
    <row r="461" spans="1:30">
      <c r="A461" s="106"/>
      <c r="B461" s="107"/>
      <c r="C461" s="108"/>
      <c r="D461" s="107"/>
      <c r="E461" s="109"/>
      <c r="F461" s="110"/>
      <c r="G461" s="107"/>
      <c r="H461" s="109"/>
      <c r="I461" s="111"/>
      <c r="J461" s="68">
        <v>4</v>
      </c>
      <c r="K461" s="40" t="s">
        <v>29</v>
      </c>
      <c r="L461" s="66" t="str">
        <f>IF($J461=L$3,IF(L$3&gt;$I460,"-",ROUNDUP(Ld_cal($B460, $C460, $D460, $G460,$E460, $F460, $H460, L$3)*1.3,0)),"-")</f>
        <v>-</v>
      </c>
      <c r="M461" s="66">
        <f>IF($J461=M$3,IF(M$3&gt;$I460,"-",ROUNDUP(Ld_cal($B460, $C460, $D460, $G460,$E460, $F460, $H460, M$3)*1.3,0)),"-")</f>
        <v>105</v>
      </c>
      <c r="N461" s="66" t="str">
        <f>IF($J461=N$3,IF(N$3&gt;$I460,"-",ROUNDUP(Ld_cal($B460, $C460, $D460, $G460,$E460, $F460, $H460, N$3)*1.3,0)),"-")</f>
        <v>-</v>
      </c>
      <c r="O461" s="66" t="str">
        <f>IF($J461=O$3,IF(O$3&gt;$I460,"-",ROUNDUP(Ld_cal($B460, $C460, $D460, $G460,$E460, $F460, $H460, O$3)*1.3,0)),"-")</f>
        <v>-</v>
      </c>
      <c r="P461" s="66" t="str">
        <f>IF($J461=P$3,IF(P$3&gt;$I460,"-",ROUNDUP(Ld_cal($B460, $C460, $D460, $G460,$E460, $F460, $H460, P$3)*1.3,0)),"-")</f>
        <v>-</v>
      </c>
      <c r="Q461" s="66" t="str">
        <f>IF($J461=Q$3,IF(Q$3&gt;$I460,"-",ROUNDUP(Ld_cal($B460, $C460, $D460, $G460,$E460, $F460, $H460, Q$3)*1.3,0)),"-")</f>
        <v>-</v>
      </c>
      <c r="R461" s="66" t="str">
        <f>IF($J461=R$3,IF(R$3&gt;$I460,"-",ROUNDUP(Ld_cal($B460, $C460, $D460, $G460,$E460, $F460, $H460, R$3)*1.3,0)),"-")</f>
        <v>-</v>
      </c>
      <c r="S461" s="66" t="str">
        <f>IF($J461=S$3,IF(S$3&gt;$I460,"-",ROUNDUP(Ld_cal($B460, $C460, $D460, $G460,$E460, $F460, $H460, S$3)*1.3,0)),"-")</f>
        <v>-</v>
      </c>
      <c r="T461" s="66" t="str">
        <f>IF($J461=T$3,IF(T$3&gt;$I460,"-",ROUNDUP(Ld_cal($B460, $C460, $D460, $G460,$E460, $F460, $H460, T$3)*1.3,0)),"-")</f>
        <v>-</v>
      </c>
      <c r="U461" s="66" t="str">
        <f>IF($J461=U$3,IF(U$3&gt;$I460,"-",ROUNDUP(Ld_cal($B460, $C460, $D460, $G460,$E460, $F460, $H460, U$3)*1.3,0)),"-")</f>
        <v>-</v>
      </c>
      <c r="V461" s="66" t="str">
        <f>IF($J461=V$3,IF(V$3&gt;$I460,"-",ROUNDUP(Ld_cal($B460, $C460, $D460, $G460,$E460, $F460, $H460, V$3)*1.3,0)),"-")</f>
        <v>-</v>
      </c>
      <c r="W461" s="66" t="str">
        <f>IF($J461=W$3,IF(W$3&gt;$I460,"-",ROUNDUP(Ld_cal($B460, $C460, $D460, $G460,$E460, $F460, $H460, W$3)*1.3,0)),"-")</f>
        <v>-</v>
      </c>
      <c r="X461" s="66" t="str">
        <f>IF($J461=X$3,IF(X$3&gt;$I460,"-",ROUNDUP(Ld_cal($B460, $C460, $D460, $G460,$E460, $F460, $H460, X$3)*1.3,0)),"-")</f>
        <v>-</v>
      </c>
      <c r="Y461" s="66" t="str">
        <f>IF($J461=Y$3,IF(Y$3&gt;$I460,"-",ROUNDUP(Ld_cal($B460, $C460, $D460, $G460,$E460, $F460, $H460, Y$3)*1.3,0)),"-")</f>
        <v>-</v>
      </c>
      <c r="Z461" s="66" t="str">
        <f>IF($J461=Z$3,IF(Z$3&gt;$I460,"-",ROUNDUP(Ld_cal($B460, $C460, $D460, $G460,$E460, $F460, $H460, Z$3)*1.3,0)),"-")</f>
        <v>-</v>
      </c>
      <c r="AA461" s="66" t="str">
        <f>IF($J461=AA$3,IF(AA$3&gt;$I460,"-",ROUNDUP(Ld_cal($B460, $C460, $D460, $G460,$E460, $F460, $H460, AA$3)*1.3,0)),"-")</f>
        <v>-</v>
      </c>
      <c r="AB461" s="66" t="str">
        <f>IF($J461=AB$3,IF(AB$3&gt;$I460,"-",ROUNDUP(Ld_cal($B460, $C460, $D460, $G460,$E460, $F460, $H460, AB$3)*1.3,0)),"-")</f>
        <v>-</v>
      </c>
      <c r="AC461" s="66" t="str">
        <f>IF($J461=AC$3,IF(AC$3&gt;$I460,"-",ROUNDUP(Ld_cal($B460, $C460, $D460, $G460,$E460, $F460, $H460, AC$3)*1.3,0)),"-")</f>
        <v>-</v>
      </c>
      <c r="AD461" s="66">
        <f t="shared" ref="AD461" si="451">IF(J461&gt;I460,"依標準圖",MAX(L461:AC461))</f>
        <v>105</v>
      </c>
    </row>
    <row r="462" spans="1:30">
      <c r="A462" s="97" t="s">
        <v>272</v>
      </c>
      <c r="B462" s="99">
        <v>80</v>
      </c>
      <c r="C462" s="100">
        <v>7.5</v>
      </c>
      <c r="D462" s="101">
        <v>4200</v>
      </c>
      <c r="E462" s="102">
        <v>16</v>
      </c>
      <c r="F462" s="103">
        <v>25</v>
      </c>
      <c r="G462" s="101">
        <v>350</v>
      </c>
      <c r="H462" s="102">
        <v>32</v>
      </c>
      <c r="I462" s="104">
        <f>ROUNDDOWN(($B462-2*$C462-2*$E462/10-$H462/10)/(($D$1+1)*$H462/10),0)+1</f>
        <v>10</v>
      </c>
      <c r="J462" s="72">
        <v>11</v>
      </c>
      <c r="K462" s="74" t="s">
        <v>30</v>
      </c>
      <c r="L462" s="71" t="str">
        <f>IF($J462=L$3,IF(L$3&gt;$I462,"-",ROUNDUP(Ld_cal($B462, $C462, $D462, $G462,$E462, $F462, $H462, L$3)*1.3*1.3,0)),"-")</f>
        <v>-</v>
      </c>
      <c r="M462" s="71" t="str">
        <f>IF($J462=M$3,IF(M$3&gt;$I462,"-",ROUNDUP(Ld_cal($B462, $C462, $D462, $G462,$E462, $F462, $H462, M$3)*1.3*1.3,0)),"-")</f>
        <v>-</v>
      </c>
      <c r="N462" s="71" t="str">
        <f>IF($J462=N$3,IF(N$3&gt;$I462,"-",ROUNDUP(Ld_cal($B462, $C462, $D462, $G462,$E462, $F462, $H462, N$3)*1.3*1.3,0)),"-")</f>
        <v>-</v>
      </c>
      <c r="O462" s="71" t="str">
        <f>IF($J462=O$3,IF(O$3&gt;$I462,"-",ROUNDUP(Ld_cal($B462, $C462, $D462, $G462,$E462, $F462, $H462, O$3)*1.3*1.3,0)),"-")</f>
        <v>-</v>
      </c>
      <c r="P462" s="71" t="str">
        <f>IF($J462=P$3,IF(P$3&gt;$I462,"-",ROUNDUP(Ld_cal($B462, $C462, $D462, $G462,$E462, $F462, $H462, P$3)*1.3*1.3,0)),"-")</f>
        <v>-</v>
      </c>
      <c r="Q462" s="71" t="str">
        <f>IF($J462=Q$3,IF(Q$3&gt;$I462,"-",ROUNDUP(Ld_cal($B462, $C462, $D462, $G462,$E462, $F462, $H462, Q$3)*1.3*1.3,0)),"-")</f>
        <v>-</v>
      </c>
      <c r="R462" s="71" t="str">
        <f>IF($J462=R$3,IF(R$3&gt;$I462,"-",ROUNDUP(Ld_cal($B462, $C462, $D462, $G462,$E462, $F462, $H462, R$3)*1.3*1.3,0)),"-")</f>
        <v>-</v>
      </c>
      <c r="S462" s="71" t="str">
        <f>IF($J462=S$3,IF(S$3&gt;$I462,"-",ROUNDUP(Ld_cal($B462, $C462, $D462, $G462,$E462, $F462, $H462, S$3)*1.3*1.3,0)),"-")</f>
        <v>-</v>
      </c>
      <c r="T462" s="71" t="str">
        <f>IF($J462=T$3,IF(T$3&gt;$I462,"-",ROUNDUP(Ld_cal($B462, $C462, $D462, $G462,$E462, $F462, $H462, T$3)*1.3*1.3,0)),"-")</f>
        <v>-</v>
      </c>
      <c r="U462" s="71" t="str">
        <f>IF($J462=U$3,IF(U$3&gt;$I462,"-",ROUNDUP(Ld_cal($B462, $C462, $D462, $G462,$E462, $F462, $H462, U$3)*1.3*1.3,0)),"-")</f>
        <v>-</v>
      </c>
      <c r="V462" s="71" t="str">
        <f>IF($J462=V$3,IF(V$3&gt;$I462,"-",ROUNDUP(Ld_cal($B462, $C462, $D462, $G462,$E462, $F462, $H462, V$3)*1.3*1.3,0)),"-")</f>
        <v>-</v>
      </c>
      <c r="W462" s="71" t="str">
        <f>IF($J462=W$3,IF(W$3&gt;$I462,"-",ROUNDUP(Ld_cal($B462, $C462, $D462, $G462,$E462, $F462, $H462, W$3)*1.3*1.3,0)),"-")</f>
        <v>-</v>
      </c>
      <c r="X462" s="71" t="str">
        <f>IF($J462=X$3,IF(X$3&gt;$I462,"-",ROUNDUP(Ld_cal($B462, $C462, $D462, $G462,$E462, $F462, $H462, X$3)*1.3*1.3,0)),"-")</f>
        <v>-</v>
      </c>
      <c r="Y462" s="71" t="str">
        <f>IF($J462=Y$3,IF(Y$3&gt;$I462,"-",ROUNDUP(Ld_cal($B462, $C462, $D462, $G462,$E462, $F462, $H462, Y$3)*1.3*1.3,0)),"-")</f>
        <v>-</v>
      </c>
      <c r="Z462" s="71" t="str">
        <f>IF($J462=Z$3,IF(Z$3&gt;$I462,"-",ROUNDUP(Ld_cal($B462, $C462, $D462, $G462,$E462, $F462, $H462, Z$3)*1.3*1.3,0)),"-")</f>
        <v>-</v>
      </c>
      <c r="AA462" s="71" t="str">
        <f>IF($J462=AA$3,IF(AA$3&gt;$I462,"-",ROUNDUP(Ld_cal($B462, $C462, $D462, $G462,$E462, $F462, $H462, AA$3)*1.3*1.3,0)),"-")</f>
        <v>-</v>
      </c>
      <c r="AB462" s="71" t="str">
        <f>IF($J462=AB$3,IF(AB$3&gt;$I462,"-",ROUNDUP(Ld_cal($B462, $C462, $D462, $G462,$E462, $F462, $H462, AB$3)*1.3*1.3,0)),"-")</f>
        <v>-</v>
      </c>
      <c r="AC462" s="71" t="str">
        <f>IF($J462=AC$3,IF(AC$3&gt;$I462,"-",ROUNDUP(Ld_cal($B462, $C462, $D462, $G462,$E462, $F462, $H462, AC$3)*1.3*1.3,0)),"-")</f>
        <v>-</v>
      </c>
      <c r="AD462" s="71" t="str">
        <f t="shared" ref="AD462" si="452">IF(J462&gt;I462,"依標準圖",MAX(L462:AC462))</f>
        <v>依標準圖</v>
      </c>
    </row>
    <row r="463" spans="1:30">
      <c r="A463" s="98"/>
      <c r="B463" s="99"/>
      <c r="C463" s="100"/>
      <c r="D463" s="101"/>
      <c r="E463" s="102"/>
      <c r="F463" s="103"/>
      <c r="G463" s="101"/>
      <c r="H463" s="102"/>
      <c r="I463" s="104"/>
      <c r="J463" s="72">
        <v>5</v>
      </c>
      <c r="K463" s="74" t="s">
        <v>29</v>
      </c>
      <c r="L463" s="71" t="str">
        <f>IF($J463=L$3,IF(L$3&gt;$I462,"-",ROUNDUP(Ld_cal($B462, $C462, $D462, $G462,$E462, $F462, $H462, L$3)*1.3,0)),"-")</f>
        <v>-</v>
      </c>
      <c r="M463" s="71" t="str">
        <f>IF($J463=M$3,IF(M$3&gt;$I462,"-",ROUNDUP(Ld_cal($B462, $C462, $D462, $G462,$E462, $F462, $H462, M$3)*1.3,0)),"-")</f>
        <v>-</v>
      </c>
      <c r="N463" s="71">
        <f>IF($J463=N$3,IF(N$3&gt;$I462,"-",ROUNDUP(Ld_cal($B462, $C462, $D462, $G462,$E462, $F462, $H462, N$3)*1.3,0)),"-")</f>
        <v>105</v>
      </c>
      <c r="O463" s="71" t="str">
        <f>IF($J463=O$3,IF(O$3&gt;$I462,"-",ROUNDUP(Ld_cal($B462, $C462, $D462, $G462,$E462, $F462, $H462, O$3)*1.3,0)),"-")</f>
        <v>-</v>
      </c>
      <c r="P463" s="71" t="str">
        <f>IF($J463=P$3,IF(P$3&gt;$I462,"-",ROUNDUP(Ld_cal($B462, $C462, $D462, $G462,$E462, $F462, $H462, P$3)*1.3,0)),"-")</f>
        <v>-</v>
      </c>
      <c r="Q463" s="71" t="str">
        <f>IF($J463=Q$3,IF(Q$3&gt;$I462,"-",ROUNDUP(Ld_cal($B462, $C462, $D462, $G462,$E462, $F462, $H462, Q$3)*1.3,0)),"-")</f>
        <v>-</v>
      </c>
      <c r="R463" s="71" t="str">
        <f>IF($J463=R$3,IF(R$3&gt;$I462,"-",ROUNDUP(Ld_cal($B462, $C462, $D462, $G462,$E462, $F462, $H462, R$3)*1.3,0)),"-")</f>
        <v>-</v>
      </c>
      <c r="S463" s="71" t="str">
        <f>IF($J463=S$3,IF(S$3&gt;$I462,"-",ROUNDUP(Ld_cal($B462, $C462, $D462, $G462,$E462, $F462, $H462, S$3)*1.3,0)),"-")</f>
        <v>-</v>
      </c>
      <c r="T463" s="71" t="str">
        <f>IF($J463=T$3,IF(T$3&gt;$I462,"-",ROUNDUP(Ld_cal($B462, $C462, $D462, $G462,$E462, $F462, $H462, T$3)*1.3,0)),"-")</f>
        <v>-</v>
      </c>
      <c r="U463" s="71" t="str">
        <f>IF($J463=U$3,IF(U$3&gt;$I462,"-",ROUNDUP(Ld_cal($B462, $C462, $D462, $G462,$E462, $F462, $H462, U$3)*1.3,0)),"-")</f>
        <v>-</v>
      </c>
      <c r="V463" s="71" t="str">
        <f>IF($J463=V$3,IF(V$3&gt;$I462,"-",ROUNDUP(Ld_cal($B462, $C462, $D462, $G462,$E462, $F462, $H462, V$3)*1.3,0)),"-")</f>
        <v>-</v>
      </c>
      <c r="W463" s="71" t="str">
        <f>IF($J463=W$3,IF(W$3&gt;$I462,"-",ROUNDUP(Ld_cal($B462, $C462, $D462, $G462,$E462, $F462, $H462, W$3)*1.3,0)),"-")</f>
        <v>-</v>
      </c>
      <c r="X463" s="71" t="str">
        <f>IF($J463=X$3,IF(X$3&gt;$I462,"-",ROUNDUP(Ld_cal($B462, $C462, $D462, $G462,$E462, $F462, $H462, X$3)*1.3,0)),"-")</f>
        <v>-</v>
      </c>
      <c r="Y463" s="71" t="str">
        <f>IF($J463=Y$3,IF(Y$3&gt;$I462,"-",ROUNDUP(Ld_cal($B462, $C462, $D462, $G462,$E462, $F462, $H462, Y$3)*1.3,0)),"-")</f>
        <v>-</v>
      </c>
      <c r="Z463" s="71" t="str">
        <f>IF($J463=Z$3,IF(Z$3&gt;$I462,"-",ROUNDUP(Ld_cal($B462, $C462, $D462, $G462,$E462, $F462, $H462, Z$3)*1.3,0)),"-")</f>
        <v>-</v>
      </c>
      <c r="AA463" s="71" t="str">
        <f>IF($J463=AA$3,IF(AA$3&gt;$I462,"-",ROUNDUP(Ld_cal($B462, $C462, $D462, $G462,$E462, $F462, $H462, AA$3)*1.3,0)),"-")</f>
        <v>-</v>
      </c>
      <c r="AB463" s="71" t="str">
        <f>IF($J463=AB$3,IF(AB$3&gt;$I462,"-",ROUNDUP(Ld_cal($B462, $C462, $D462, $G462,$E462, $F462, $H462, AB$3)*1.3,0)),"-")</f>
        <v>-</v>
      </c>
      <c r="AC463" s="71" t="str">
        <f>IF($J463=AC$3,IF(AC$3&gt;$I462,"-",ROUNDUP(Ld_cal($B462, $C462, $D462, $G462,$E462, $F462, $H462, AC$3)*1.3,0)),"-")</f>
        <v>-</v>
      </c>
      <c r="AD463" s="71">
        <f t="shared" ref="AD463" si="453">IF(J463&gt;I462,"依標準圖",MAX(L463:AC463))</f>
        <v>105</v>
      </c>
    </row>
    <row r="464" spans="1:30">
      <c r="A464" s="105" t="s">
        <v>273</v>
      </c>
      <c r="B464" s="107">
        <v>80</v>
      </c>
      <c r="C464" s="108">
        <v>7.5</v>
      </c>
      <c r="D464" s="107">
        <v>4200</v>
      </c>
      <c r="E464" s="109">
        <v>16</v>
      </c>
      <c r="F464" s="110">
        <v>18</v>
      </c>
      <c r="G464" s="107">
        <v>350</v>
      </c>
      <c r="H464" s="109">
        <v>32</v>
      </c>
      <c r="I464" s="111">
        <f>ROUNDDOWN(($B464-2*$C464-2*$E464/10-$H464/10)/(($D$1+1)*$H464/10),0)+1</f>
        <v>10</v>
      </c>
      <c r="J464" s="73">
        <v>5</v>
      </c>
      <c r="K464" s="40" t="s">
        <v>30</v>
      </c>
      <c r="L464" s="70" t="str">
        <f>IF($J464=L$3,IF(L$3&gt;$I464,"-",ROUNDUP(Ld_cal($B464, $C464, $D464, $G464,$E464, $F464, $H464, L$3)*1.3*1.3,0)),"-")</f>
        <v>-</v>
      </c>
      <c r="M464" s="70" t="str">
        <f>IF($J464=M$3,IF(M$3&gt;$I464,"-",ROUNDUP(Ld_cal($B464, $C464, $D464, $G464,$E464, $F464, $H464, M$3)*1.3*1.3,0)),"-")</f>
        <v>-</v>
      </c>
      <c r="N464" s="70">
        <f>IF($J464=N$3,IF(N$3&gt;$I464,"-",ROUNDUP(Ld_cal($B464, $C464, $D464, $G464,$E464, $F464, $H464, N$3)*1.3*1.3,0)),"-")</f>
        <v>136</v>
      </c>
      <c r="O464" s="70" t="str">
        <f>IF($J464=O$3,IF(O$3&gt;$I464,"-",ROUNDUP(Ld_cal($B464, $C464, $D464, $G464,$E464, $F464, $H464, O$3)*1.3*1.3,0)),"-")</f>
        <v>-</v>
      </c>
      <c r="P464" s="70" t="str">
        <f>IF($J464=P$3,IF(P$3&gt;$I464,"-",ROUNDUP(Ld_cal($B464, $C464, $D464, $G464,$E464, $F464, $H464, P$3)*1.3*1.3,0)),"-")</f>
        <v>-</v>
      </c>
      <c r="Q464" s="70" t="str">
        <f>IF($J464=Q$3,IF(Q$3&gt;$I464,"-",ROUNDUP(Ld_cal($B464, $C464, $D464, $G464,$E464, $F464, $H464, Q$3)*1.3*1.3,0)),"-")</f>
        <v>-</v>
      </c>
      <c r="R464" s="70" t="str">
        <f>IF($J464=R$3,IF(R$3&gt;$I464,"-",ROUNDUP(Ld_cal($B464, $C464, $D464, $G464,$E464, $F464, $H464, R$3)*1.3*1.3,0)),"-")</f>
        <v>-</v>
      </c>
      <c r="S464" s="70" t="str">
        <f>IF($J464=S$3,IF(S$3&gt;$I464,"-",ROUNDUP(Ld_cal($B464, $C464, $D464, $G464,$E464, $F464, $H464, S$3)*1.3*1.3,0)),"-")</f>
        <v>-</v>
      </c>
      <c r="T464" s="70" t="str">
        <f>IF($J464=T$3,IF(T$3&gt;$I464,"-",ROUNDUP(Ld_cal($B464, $C464, $D464, $G464,$E464, $F464, $H464, T$3)*1.3*1.3,0)),"-")</f>
        <v>-</v>
      </c>
      <c r="U464" s="70" t="str">
        <f>IF($J464=U$3,IF(U$3&gt;$I464,"-",ROUNDUP(Ld_cal($B464, $C464, $D464, $G464,$E464, $F464, $H464, U$3)*1.3*1.3,0)),"-")</f>
        <v>-</v>
      </c>
      <c r="V464" s="70" t="str">
        <f>IF($J464=V$3,IF(V$3&gt;$I464,"-",ROUNDUP(Ld_cal($B464, $C464, $D464, $G464,$E464, $F464, $H464, V$3)*1.3*1.3,0)),"-")</f>
        <v>-</v>
      </c>
      <c r="W464" s="70" t="str">
        <f>IF($J464=W$3,IF(W$3&gt;$I464,"-",ROUNDUP(Ld_cal($B464, $C464, $D464, $G464,$E464, $F464, $H464, W$3)*1.3*1.3,0)),"-")</f>
        <v>-</v>
      </c>
      <c r="X464" s="70" t="str">
        <f>IF($J464=X$3,IF(X$3&gt;$I464,"-",ROUNDUP(Ld_cal($B464, $C464, $D464, $G464,$E464, $F464, $H464, X$3)*1.3*1.3,0)),"-")</f>
        <v>-</v>
      </c>
      <c r="Y464" s="70" t="str">
        <f>IF($J464=Y$3,IF(Y$3&gt;$I464,"-",ROUNDUP(Ld_cal($B464, $C464, $D464, $G464,$E464, $F464, $H464, Y$3)*1.3*1.3,0)),"-")</f>
        <v>-</v>
      </c>
      <c r="Z464" s="70" t="str">
        <f>IF($J464=Z$3,IF(Z$3&gt;$I464,"-",ROUNDUP(Ld_cal($B464, $C464, $D464, $G464,$E464, $F464, $H464, Z$3)*1.3*1.3,0)),"-")</f>
        <v>-</v>
      </c>
      <c r="AA464" s="70" t="str">
        <f>IF($J464=AA$3,IF(AA$3&gt;$I464,"-",ROUNDUP(Ld_cal($B464, $C464, $D464, $G464,$E464, $F464, $H464, AA$3)*1.3*1.3,0)),"-")</f>
        <v>-</v>
      </c>
      <c r="AB464" s="70" t="str">
        <f>IF($J464=AB$3,IF(AB$3&gt;$I464,"-",ROUNDUP(Ld_cal($B464, $C464, $D464, $G464,$E464, $F464, $H464, AB$3)*1.3*1.3,0)),"-")</f>
        <v>-</v>
      </c>
      <c r="AC464" s="70" t="str">
        <f>IF($J464=AC$3,IF(AC$3&gt;$I464,"-",ROUNDUP(Ld_cal($B464, $C464, $D464, $G464,$E464, $F464, $H464, AC$3)*1.3*1.3,0)),"-")</f>
        <v>-</v>
      </c>
      <c r="AD464" s="70">
        <f t="shared" ref="AD464" si="454">IF(J464&gt;I464,"依標準圖",MAX(L464:AC464))</f>
        <v>136</v>
      </c>
    </row>
    <row r="465" spans="1:30">
      <c r="A465" s="106"/>
      <c r="B465" s="107"/>
      <c r="C465" s="108"/>
      <c r="D465" s="107"/>
      <c r="E465" s="109"/>
      <c r="F465" s="110"/>
      <c r="G465" s="107"/>
      <c r="H465" s="109"/>
      <c r="I465" s="111"/>
      <c r="J465" s="73">
        <v>7</v>
      </c>
      <c r="K465" s="40" t="s">
        <v>29</v>
      </c>
      <c r="L465" s="70" t="str">
        <f>IF($J465=L$3,IF(L$3&gt;$I464,"-",ROUNDUP(Ld_cal($B464, $C464, $D464, $G464,$E464, $F464, $H464, L$3)*1.3,0)),"-")</f>
        <v>-</v>
      </c>
      <c r="M465" s="70" t="str">
        <f>IF($J465=M$3,IF(M$3&gt;$I464,"-",ROUNDUP(Ld_cal($B464, $C464, $D464, $G464,$E464, $F464, $H464, M$3)*1.3,0)),"-")</f>
        <v>-</v>
      </c>
      <c r="N465" s="70" t="str">
        <f>IF($J465=N$3,IF(N$3&gt;$I464,"-",ROUNDUP(Ld_cal($B464, $C464, $D464, $G464,$E464, $F464, $H464, N$3)*1.3,0)),"-")</f>
        <v>-</v>
      </c>
      <c r="O465" s="70" t="str">
        <f>IF($J465=O$3,IF(O$3&gt;$I464,"-",ROUNDUP(Ld_cal($B464, $C464, $D464, $G464,$E464, $F464, $H464, O$3)*1.3,0)),"-")</f>
        <v>-</v>
      </c>
      <c r="P465" s="70">
        <f>IF($J465=P$3,IF(P$3&gt;$I464,"-",ROUNDUP(Ld_cal($B464, $C464, $D464, $G464,$E464, $F464, $H464, P$3)*1.3,0)),"-")</f>
        <v>136</v>
      </c>
      <c r="Q465" s="70" t="str">
        <f>IF($J465=Q$3,IF(Q$3&gt;$I464,"-",ROUNDUP(Ld_cal($B464, $C464, $D464, $G464,$E464, $F464, $H464, Q$3)*1.3,0)),"-")</f>
        <v>-</v>
      </c>
      <c r="R465" s="70" t="str">
        <f>IF($J465=R$3,IF(R$3&gt;$I464,"-",ROUNDUP(Ld_cal($B464, $C464, $D464, $G464,$E464, $F464, $H464, R$3)*1.3,0)),"-")</f>
        <v>-</v>
      </c>
      <c r="S465" s="70" t="str">
        <f>IF($J465=S$3,IF(S$3&gt;$I464,"-",ROUNDUP(Ld_cal($B464, $C464, $D464, $G464,$E464, $F464, $H464, S$3)*1.3,0)),"-")</f>
        <v>-</v>
      </c>
      <c r="T465" s="70" t="str">
        <f>IF($J465=T$3,IF(T$3&gt;$I464,"-",ROUNDUP(Ld_cal($B464, $C464, $D464, $G464,$E464, $F464, $H464, T$3)*1.3,0)),"-")</f>
        <v>-</v>
      </c>
      <c r="U465" s="70" t="str">
        <f>IF($J465=U$3,IF(U$3&gt;$I464,"-",ROUNDUP(Ld_cal($B464, $C464, $D464, $G464,$E464, $F464, $H464, U$3)*1.3,0)),"-")</f>
        <v>-</v>
      </c>
      <c r="V465" s="70" t="str">
        <f>IF($J465=V$3,IF(V$3&gt;$I464,"-",ROUNDUP(Ld_cal($B464, $C464, $D464, $G464,$E464, $F464, $H464, V$3)*1.3,0)),"-")</f>
        <v>-</v>
      </c>
      <c r="W465" s="70" t="str">
        <f>IF($J465=W$3,IF(W$3&gt;$I464,"-",ROUNDUP(Ld_cal($B464, $C464, $D464, $G464,$E464, $F464, $H464, W$3)*1.3,0)),"-")</f>
        <v>-</v>
      </c>
      <c r="X465" s="70" t="str">
        <f>IF($J465=X$3,IF(X$3&gt;$I464,"-",ROUNDUP(Ld_cal($B464, $C464, $D464, $G464,$E464, $F464, $H464, X$3)*1.3,0)),"-")</f>
        <v>-</v>
      </c>
      <c r="Y465" s="70" t="str">
        <f>IF($J465=Y$3,IF(Y$3&gt;$I464,"-",ROUNDUP(Ld_cal($B464, $C464, $D464, $G464,$E464, $F464, $H464, Y$3)*1.3,0)),"-")</f>
        <v>-</v>
      </c>
      <c r="Z465" s="70" t="str">
        <f>IF($J465=Z$3,IF(Z$3&gt;$I464,"-",ROUNDUP(Ld_cal($B464, $C464, $D464, $G464,$E464, $F464, $H464, Z$3)*1.3,0)),"-")</f>
        <v>-</v>
      </c>
      <c r="AA465" s="70" t="str">
        <f>IF($J465=AA$3,IF(AA$3&gt;$I464,"-",ROUNDUP(Ld_cal($B464, $C464, $D464, $G464,$E464, $F464, $H464, AA$3)*1.3,0)),"-")</f>
        <v>-</v>
      </c>
      <c r="AB465" s="70" t="str">
        <f>IF($J465=AB$3,IF(AB$3&gt;$I464,"-",ROUNDUP(Ld_cal($B464, $C464, $D464, $G464,$E464, $F464, $H464, AB$3)*1.3,0)),"-")</f>
        <v>-</v>
      </c>
      <c r="AC465" s="70" t="str">
        <f>IF($J465=AC$3,IF(AC$3&gt;$I464,"-",ROUNDUP(Ld_cal($B464, $C464, $D464, $G464,$E464, $F464, $H464, AC$3)*1.3,0)),"-")</f>
        <v>-</v>
      </c>
      <c r="AD465" s="70">
        <f t="shared" ref="AD465" si="455">IF(J465&gt;I464,"依標準圖",MAX(L465:AC465))</f>
        <v>136</v>
      </c>
    </row>
    <row r="466" spans="1:30">
      <c r="A466" s="97" t="s">
        <v>274</v>
      </c>
      <c r="B466" s="99">
        <v>80</v>
      </c>
      <c r="C466" s="100">
        <v>7.5</v>
      </c>
      <c r="D466" s="101">
        <v>4200</v>
      </c>
      <c r="E466" s="102">
        <v>13</v>
      </c>
      <c r="F466" s="103">
        <v>12</v>
      </c>
      <c r="G466" s="101">
        <v>350</v>
      </c>
      <c r="H466" s="102">
        <v>32</v>
      </c>
      <c r="I466" s="104">
        <f>ROUNDDOWN(($B466-2*$C466-2*$E466/10-$H466/10)/(($D$1+1)*$H466/10),0)+1</f>
        <v>10</v>
      </c>
      <c r="J466" s="72">
        <v>5</v>
      </c>
      <c r="K466" s="74" t="s">
        <v>30</v>
      </c>
      <c r="L466" s="71" t="str">
        <f>IF($J466=L$3,IF(L$3&gt;$I466,"-",ROUNDUP(Ld_cal($B466, $C466, $D466, $G466,$E466, $F466, $H466, L$3)*1.3*1.3,0)),"-")</f>
        <v>-</v>
      </c>
      <c r="M466" s="71" t="str">
        <f>IF($J466=M$3,IF(M$3&gt;$I466,"-",ROUNDUP(Ld_cal($B466, $C466, $D466, $G466,$E466, $F466, $H466, M$3)*1.3*1.3,0)),"-")</f>
        <v>-</v>
      </c>
      <c r="N466" s="71">
        <f>IF($J466=N$3,IF(N$3&gt;$I466,"-",ROUNDUP(Ld_cal($B466, $C466, $D466, $G466,$E466, $F466, $H466, N$3)*1.3*1.3,0)),"-")</f>
        <v>136</v>
      </c>
      <c r="O466" s="71" t="str">
        <f>IF($J466=O$3,IF(O$3&gt;$I466,"-",ROUNDUP(Ld_cal($B466, $C466, $D466, $G466,$E466, $F466, $H466, O$3)*1.3*1.3,0)),"-")</f>
        <v>-</v>
      </c>
      <c r="P466" s="71" t="str">
        <f>IF($J466=P$3,IF(P$3&gt;$I466,"-",ROUNDUP(Ld_cal($B466, $C466, $D466, $G466,$E466, $F466, $H466, P$3)*1.3*1.3,0)),"-")</f>
        <v>-</v>
      </c>
      <c r="Q466" s="71" t="str">
        <f>IF($J466=Q$3,IF(Q$3&gt;$I466,"-",ROUNDUP(Ld_cal($B466, $C466, $D466, $G466,$E466, $F466, $H466, Q$3)*1.3*1.3,0)),"-")</f>
        <v>-</v>
      </c>
      <c r="R466" s="71" t="str">
        <f>IF($J466=R$3,IF(R$3&gt;$I466,"-",ROUNDUP(Ld_cal($B466, $C466, $D466, $G466,$E466, $F466, $H466, R$3)*1.3*1.3,0)),"-")</f>
        <v>-</v>
      </c>
      <c r="S466" s="71" t="str">
        <f>IF($J466=S$3,IF(S$3&gt;$I466,"-",ROUNDUP(Ld_cal($B466, $C466, $D466, $G466,$E466, $F466, $H466, S$3)*1.3*1.3,0)),"-")</f>
        <v>-</v>
      </c>
      <c r="T466" s="71" t="str">
        <f>IF($J466=T$3,IF(T$3&gt;$I466,"-",ROUNDUP(Ld_cal($B466, $C466, $D466, $G466,$E466, $F466, $H466, T$3)*1.3*1.3,0)),"-")</f>
        <v>-</v>
      </c>
      <c r="U466" s="71" t="str">
        <f>IF($J466=U$3,IF(U$3&gt;$I466,"-",ROUNDUP(Ld_cal($B466, $C466, $D466, $G466,$E466, $F466, $H466, U$3)*1.3*1.3,0)),"-")</f>
        <v>-</v>
      </c>
      <c r="V466" s="71" t="str">
        <f>IF($J466=V$3,IF(V$3&gt;$I466,"-",ROUNDUP(Ld_cal($B466, $C466, $D466, $G466,$E466, $F466, $H466, V$3)*1.3*1.3,0)),"-")</f>
        <v>-</v>
      </c>
      <c r="W466" s="71" t="str">
        <f>IF($J466=W$3,IF(W$3&gt;$I466,"-",ROUNDUP(Ld_cal($B466, $C466, $D466, $G466,$E466, $F466, $H466, W$3)*1.3*1.3,0)),"-")</f>
        <v>-</v>
      </c>
      <c r="X466" s="71" t="str">
        <f>IF($J466=X$3,IF(X$3&gt;$I466,"-",ROUNDUP(Ld_cal($B466, $C466, $D466, $G466,$E466, $F466, $H466, X$3)*1.3*1.3,0)),"-")</f>
        <v>-</v>
      </c>
      <c r="Y466" s="71" t="str">
        <f>IF($J466=Y$3,IF(Y$3&gt;$I466,"-",ROUNDUP(Ld_cal($B466, $C466, $D466, $G466,$E466, $F466, $H466, Y$3)*1.3*1.3,0)),"-")</f>
        <v>-</v>
      </c>
      <c r="Z466" s="71" t="str">
        <f>IF($J466=Z$3,IF(Z$3&gt;$I466,"-",ROUNDUP(Ld_cal($B466, $C466, $D466, $G466,$E466, $F466, $H466, Z$3)*1.3*1.3,0)),"-")</f>
        <v>-</v>
      </c>
      <c r="AA466" s="71" t="str">
        <f>IF($J466=AA$3,IF(AA$3&gt;$I466,"-",ROUNDUP(Ld_cal($B466, $C466, $D466, $G466,$E466, $F466, $H466, AA$3)*1.3*1.3,0)),"-")</f>
        <v>-</v>
      </c>
      <c r="AB466" s="71" t="str">
        <f>IF($J466=AB$3,IF(AB$3&gt;$I466,"-",ROUNDUP(Ld_cal($B466, $C466, $D466, $G466,$E466, $F466, $H466, AB$3)*1.3*1.3,0)),"-")</f>
        <v>-</v>
      </c>
      <c r="AC466" s="71" t="str">
        <f>IF($J466=AC$3,IF(AC$3&gt;$I466,"-",ROUNDUP(Ld_cal($B466, $C466, $D466, $G466,$E466, $F466, $H466, AC$3)*1.3*1.3,0)),"-")</f>
        <v>-</v>
      </c>
      <c r="AD466" s="71">
        <f t="shared" ref="AD466" si="456">IF(J466&gt;I466,"依標準圖",MAX(L466:AC466))</f>
        <v>136</v>
      </c>
    </row>
    <row r="467" spans="1:30">
      <c r="A467" s="98"/>
      <c r="B467" s="99"/>
      <c r="C467" s="100"/>
      <c r="D467" s="101"/>
      <c r="E467" s="102"/>
      <c r="F467" s="103"/>
      <c r="G467" s="101"/>
      <c r="H467" s="102"/>
      <c r="I467" s="104"/>
      <c r="J467" s="72">
        <v>8</v>
      </c>
      <c r="K467" s="74" t="s">
        <v>29</v>
      </c>
      <c r="L467" s="71" t="str">
        <f>IF($J467=L$3,IF(L$3&gt;$I466,"-",ROUNDUP(Ld_cal($B466, $C466, $D466, $G466,$E466, $F466, $H466, L$3)*1.3,0)),"-")</f>
        <v>-</v>
      </c>
      <c r="M467" s="71" t="str">
        <f>IF($J467=M$3,IF(M$3&gt;$I466,"-",ROUNDUP(Ld_cal($B466, $C466, $D466, $G466,$E466, $F466, $H466, M$3)*1.3,0)),"-")</f>
        <v>-</v>
      </c>
      <c r="N467" s="71" t="str">
        <f>IF($J467=N$3,IF(N$3&gt;$I466,"-",ROUNDUP(Ld_cal($B466, $C466, $D466, $G466,$E466, $F466, $H466, N$3)*1.3,0)),"-")</f>
        <v>-</v>
      </c>
      <c r="O467" s="71" t="str">
        <f>IF($J467=O$3,IF(O$3&gt;$I466,"-",ROUNDUP(Ld_cal($B466, $C466, $D466, $G466,$E466, $F466, $H466, O$3)*1.3,0)),"-")</f>
        <v>-</v>
      </c>
      <c r="P467" s="71" t="str">
        <f>IF($J467=P$3,IF(P$3&gt;$I466,"-",ROUNDUP(Ld_cal($B466, $C466, $D466, $G466,$E466, $F466, $H466, P$3)*1.3,0)),"-")</f>
        <v>-</v>
      </c>
      <c r="Q467" s="71">
        <f>IF($J467=Q$3,IF(Q$3&gt;$I466,"-",ROUNDUP(Ld_cal($B466, $C466, $D466, $G466,$E466, $F466, $H466, Q$3)*1.3,0)),"-")</f>
        <v>157</v>
      </c>
      <c r="R467" s="71" t="str">
        <f>IF($J467=R$3,IF(R$3&gt;$I466,"-",ROUNDUP(Ld_cal($B466, $C466, $D466, $G466,$E466, $F466, $H466, R$3)*1.3,0)),"-")</f>
        <v>-</v>
      </c>
      <c r="S467" s="71" t="str">
        <f>IF($J467=S$3,IF(S$3&gt;$I466,"-",ROUNDUP(Ld_cal($B466, $C466, $D466, $G466,$E466, $F466, $H466, S$3)*1.3,0)),"-")</f>
        <v>-</v>
      </c>
      <c r="T467" s="71" t="str">
        <f>IF($J467=T$3,IF(T$3&gt;$I466,"-",ROUNDUP(Ld_cal($B466, $C466, $D466, $G466,$E466, $F466, $H466, T$3)*1.3,0)),"-")</f>
        <v>-</v>
      </c>
      <c r="U467" s="71" t="str">
        <f>IF($J467=U$3,IF(U$3&gt;$I466,"-",ROUNDUP(Ld_cal($B466, $C466, $D466, $G466,$E466, $F466, $H466, U$3)*1.3,0)),"-")</f>
        <v>-</v>
      </c>
      <c r="V467" s="71" t="str">
        <f>IF($J467=V$3,IF(V$3&gt;$I466,"-",ROUNDUP(Ld_cal($B466, $C466, $D466, $G466,$E466, $F466, $H466, V$3)*1.3,0)),"-")</f>
        <v>-</v>
      </c>
      <c r="W467" s="71" t="str">
        <f>IF($J467=W$3,IF(W$3&gt;$I466,"-",ROUNDUP(Ld_cal($B466, $C466, $D466, $G466,$E466, $F466, $H466, W$3)*1.3,0)),"-")</f>
        <v>-</v>
      </c>
      <c r="X467" s="71" t="str">
        <f>IF($J467=X$3,IF(X$3&gt;$I466,"-",ROUNDUP(Ld_cal($B466, $C466, $D466, $G466,$E466, $F466, $H466, X$3)*1.3,0)),"-")</f>
        <v>-</v>
      </c>
      <c r="Y467" s="71" t="str">
        <f>IF($J467=Y$3,IF(Y$3&gt;$I466,"-",ROUNDUP(Ld_cal($B466, $C466, $D466, $G466,$E466, $F466, $H466, Y$3)*1.3,0)),"-")</f>
        <v>-</v>
      </c>
      <c r="Z467" s="71" t="str">
        <f>IF($J467=Z$3,IF(Z$3&gt;$I466,"-",ROUNDUP(Ld_cal($B466, $C466, $D466, $G466,$E466, $F466, $H466, Z$3)*1.3,0)),"-")</f>
        <v>-</v>
      </c>
      <c r="AA467" s="71" t="str">
        <f>IF($J467=AA$3,IF(AA$3&gt;$I466,"-",ROUNDUP(Ld_cal($B466, $C466, $D466, $G466,$E466, $F466, $H466, AA$3)*1.3,0)),"-")</f>
        <v>-</v>
      </c>
      <c r="AB467" s="71" t="str">
        <f>IF($J467=AB$3,IF(AB$3&gt;$I466,"-",ROUNDUP(Ld_cal($B466, $C466, $D466, $G466,$E466, $F466, $H466, AB$3)*1.3,0)),"-")</f>
        <v>-</v>
      </c>
      <c r="AC467" s="71" t="str">
        <f>IF($J467=AC$3,IF(AC$3&gt;$I466,"-",ROUNDUP(Ld_cal($B466, $C466, $D466, $G466,$E466, $F466, $H466, AC$3)*1.3,0)),"-")</f>
        <v>-</v>
      </c>
      <c r="AD467" s="71">
        <f t="shared" ref="AD467" si="457">IF(J467&gt;I466,"依標準圖",MAX(L467:AC467))</f>
        <v>157</v>
      </c>
    </row>
    <row r="468" spans="1:30">
      <c r="A468" s="105" t="s">
        <v>275</v>
      </c>
      <c r="B468" s="107">
        <v>80</v>
      </c>
      <c r="C468" s="108">
        <v>7.5</v>
      </c>
      <c r="D468" s="107">
        <v>4200</v>
      </c>
      <c r="E468" s="109">
        <v>13</v>
      </c>
      <c r="F468" s="110">
        <v>9</v>
      </c>
      <c r="G468" s="107">
        <v>350</v>
      </c>
      <c r="H468" s="109">
        <v>32</v>
      </c>
      <c r="I468" s="111">
        <f>ROUNDDOWN(($B468-2*$C468-2*$E468/10-$H468/10)/(($D$1+1)*$H468/10),0)+1</f>
        <v>10</v>
      </c>
      <c r="J468" s="73">
        <v>11</v>
      </c>
      <c r="K468" s="40" t="s">
        <v>30</v>
      </c>
      <c r="L468" s="70" t="str">
        <f>IF($J468=L$3,IF(L$3&gt;$I468,"-",ROUNDUP(Ld_cal($B468, $C468, $D468, $G468,$E468, $F468, $H468, L$3)*1.3*1.3,0)),"-")</f>
        <v>-</v>
      </c>
      <c r="M468" s="70" t="str">
        <f>IF($J468=M$3,IF(M$3&gt;$I468,"-",ROUNDUP(Ld_cal($B468, $C468, $D468, $G468,$E468, $F468, $H468, M$3)*1.3*1.3,0)),"-")</f>
        <v>-</v>
      </c>
      <c r="N468" s="70" t="str">
        <f>IF($J468=N$3,IF(N$3&gt;$I468,"-",ROUNDUP(Ld_cal($B468, $C468, $D468, $G468,$E468, $F468, $H468, N$3)*1.3*1.3,0)),"-")</f>
        <v>-</v>
      </c>
      <c r="O468" s="70" t="str">
        <f>IF($J468=O$3,IF(O$3&gt;$I468,"-",ROUNDUP(Ld_cal($B468, $C468, $D468, $G468,$E468, $F468, $H468, O$3)*1.3*1.3,0)),"-")</f>
        <v>-</v>
      </c>
      <c r="P468" s="70" t="str">
        <f>IF($J468=P$3,IF(P$3&gt;$I468,"-",ROUNDUP(Ld_cal($B468, $C468, $D468, $G468,$E468, $F468, $H468, P$3)*1.3*1.3,0)),"-")</f>
        <v>-</v>
      </c>
      <c r="Q468" s="70" t="str">
        <f>IF($J468=Q$3,IF(Q$3&gt;$I468,"-",ROUNDUP(Ld_cal($B468, $C468, $D468, $G468,$E468, $F468, $H468, Q$3)*1.3*1.3,0)),"-")</f>
        <v>-</v>
      </c>
      <c r="R468" s="70" t="str">
        <f>IF($J468=R$3,IF(R$3&gt;$I468,"-",ROUNDUP(Ld_cal($B468, $C468, $D468, $G468,$E468, $F468, $H468, R$3)*1.3*1.3,0)),"-")</f>
        <v>-</v>
      </c>
      <c r="S468" s="70" t="str">
        <f>IF($J468=S$3,IF(S$3&gt;$I468,"-",ROUNDUP(Ld_cal($B468, $C468, $D468, $G468,$E468, $F468, $H468, S$3)*1.3*1.3,0)),"-")</f>
        <v>-</v>
      </c>
      <c r="T468" s="70" t="str">
        <f>IF($J468=T$3,IF(T$3&gt;$I468,"-",ROUNDUP(Ld_cal($B468, $C468, $D468, $G468,$E468, $F468, $H468, T$3)*1.3*1.3,0)),"-")</f>
        <v>-</v>
      </c>
      <c r="U468" s="70" t="str">
        <f>IF($J468=U$3,IF(U$3&gt;$I468,"-",ROUNDUP(Ld_cal($B468, $C468, $D468, $G468,$E468, $F468, $H468, U$3)*1.3*1.3,0)),"-")</f>
        <v>-</v>
      </c>
      <c r="V468" s="70" t="str">
        <f>IF($J468=V$3,IF(V$3&gt;$I468,"-",ROUNDUP(Ld_cal($B468, $C468, $D468, $G468,$E468, $F468, $H468, V$3)*1.3*1.3,0)),"-")</f>
        <v>-</v>
      </c>
      <c r="W468" s="70" t="str">
        <f>IF($J468=W$3,IF(W$3&gt;$I468,"-",ROUNDUP(Ld_cal($B468, $C468, $D468, $G468,$E468, $F468, $H468, W$3)*1.3*1.3,0)),"-")</f>
        <v>-</v>
      </c>
      <c r="X468" s="70" t="str">
        <f>IF($J468=X$3,IF(X$3&gt;$I468,"-",ROUNDUP(Ld_cal($B468, $C468, $D468, $G468,$E468, $F468, $H468, X$3)*1.3*1.3,0)),"-")</f>
        <v>-</v>
      </c>
      <c r="Y468" s="70" t="str">
        <f>IF($J468=Y$3,IF(Y$3&gt;$I468,"-",ROUNDUP(Ld_cal($B468, $C468, $D468, $G468,$E468, $F468, $H468, Y$3)*1.3*1.3,0)),"-")</f>
        <v>-</v>
      </c>
      <c r="Z468" s="70" t="str">
        <f>IF($J468=Z$3,IF(Z$3&gt;$I468,"-",ROUNDUP(Ld_cal($B468, $C468, $D468, $G468,$E468, $F468, $H468, Z$3)*1.3*1.3,0)),"-")</f>
        <v>-</v>
      </c>
      <c r="AA468" s="70" t="str">
        <f>IF($J468=AA$3,IF(AA$3&gt;$I468,"-",ROUNDUP(Ld_cal($B468, $C468, $D468, $G468,$E468, $F468, $H468, AA$3)*1.3*1.3,0)),"-")</f>
        <v>-</v>
      </c>
      <c r="AB468" s="70" t="str">
        <f>IF($J468=AB$3,IF(AB$3&gt;$I468,"-",ROUNDUP(Ld_cal($B468, $C468, $D468, $G468,$E468, $F468, $H468, AB$3)*1.3*1.3,0)),"-")</f>
        <v>-</v>
      </c>
      <c r="AC468" s="70" t="str">
        <f>IF($J468=AC$3,IF(AC$3&gt;$I468,"-",ROUNDUP(Ld_cal($B468, $C468, $D468, $G468,$E468, $F468, $H468, AC$3)*1.3*1.3,0)),"-")</f>
        <v>-</v>
      </c>
      <c r="AD468" s="70" t="str">
        <f t="shared" ref="AD468" si="458">IF(J468&gt;I468,"依標準圖",MAX(L468:AC468))</f>
        <v>依標準圖</v>
      </c>
    </row>
    <row r="469" spans="1:30">
      <c r="A469" s="106"/>
      <c r="B469" s="107"/>
      <c r="C469" s="108"/>
      <c r="D469" s="107"/>
      <c r="E469" s="109"/>
      <c r="F469" s="110"/>
      <c r="G469" s="107"/>
      <c r="H469" s="109"/>
      <c r="I469" s="111"/>
      <c r="J469" s="73">
        <v>8</v>
      </c>
      <c r="K469" s="40" t="s">
        <v>29</v>
      </c>
      <c r="L469" s="70" t="str">
        <f>IF($J469=L$3,IF(L$3&gt;$I468,"-",ROUNDUP(Ld_cal($B468, $C468, $D468, $G468,$E468, $F468, $H468, L$3)*1.3,0)),"-")</f>
        <v>-</v>
      </c>
      <c r="M469" s="70" t="str">
        <f>IF($J469=M$3,IF(M$3&gt;$I468,"-",ROUNDUP(Ld_cal($B468, $C468, $D468, $G468,$E468, $F468, $H468, M$3)*1.3,0)),"-")</f>
        <v>-</v>
      </c>
      <c r="N469" s="70" t="str">
        <f>IF($J469=N$3,IF(N$3&gt;$I468,"-",ROUNDUP(Ld_cal($B468, $C468, $D468, $G468,$E468, $F468, $H468, N$3)*1.3,0)),"-")</f>
        <v>-</v>
      </c>
      <c r="O469" s="70" t="str">
        <f>IF($J469=O$3,IF(O$3&gt;$I468,"-",ROUNDUP(Ld_cal($B468, $C468, $D468, $G468,$E468, $F468, $H468, O$3)*1.3,0)),"-")</f>
        <v>-</v>
      </c>
      <c r="P469" s="70" t="str">
        <f>IF($J469=P$3,IF(P$3&gt;$I468,"-",ROUNDUP(Ld_cal($B468, $C468, $D468, $G468,$E468, $F468, $H468, P$3)*1.3,0)),"-")</f>
        <v>-</v>
      </c>
      <c r="Q469" s="70">
        <f>IF($J469=Q$3,IF(Q$3&gt;$I468,"-",ROUNDUP(Ld_cal($B468, $C468, $D468, $G468,$E468, $F468, $H468, Q$3)*1.3,0)),"-")</f>
        <v>147</v>
      </c>
      <c r="R469" s="70" t="str">
        <f>IF($J469=R$3,IF(R$3&gt;$I468,"-",ROUNDUP(Ld_cal($B468, $C468, $D468, $G468,$E468, $F468, $H468, R$3)*1.3,0)),"-")</f>
        <v>-</v>
      </c>
      <c r="S469" s="70" t="str">
        <f>IF($J469=S$3,IF(S$3&gt;$I468,"-",ROUNDUP(Ld_cal($B468, $C468, $D468, $G468,$E468, $F468, $H468, S$3)*1.3,0)),"-")</f>
        <v>-</v>
      </c>
      <c r="T469" s="70" t="str">
        <f>IF($J469=T$3,IF(T$3&gt;$I468,"-",ROUNDUP(Ld_cal($B468, $C468, $D468, $G468,$E468, $F468, $H468, T$3)*1.3,0)),"-")</f>
        <v>-</v>
      </c>
      <c r="U469" s="70" t="str">
        <f>IF($J469=U$3,IF(U$3&gt;$I468,"-",ROUNDUP(Ld_cal($B468, $C468, $D468, $G468,$E468, $F468, $H468, U$3)*1.3,0)),"-")</f>
        <v>-</v>
      </c>
      <c r="V469" s="70" t="str">
        <f>IF($J469=V$3,IF(V$3&gt;$I468,"-",ROUNDUP(Ld_cal($B468, $C468, $D468, $G468,$E468, $F468, $H468, V$3)*1.3,0)),"-")</f>
        <v>-</v>
      </c>
      <c r="W469" s="70" t="str">
        <f>IF($J469=W$3,IF(W$3&gt;$I468,"-",ROUNDUP(Ld_cal($B468, $C468, $D468, $G468,$E468, $F468, $H468, W$3)*1.3,0)),"-")</f>
        <v>-</v>
      </c>
      <c r="X469" s="70" t="str">
        <f>IF($J469=X$3,IF(X$3&gt;$I468,"-",ROUNDUP(Ld_cal($B468, $C468, $D468, $G468,$E468, $F468, $H468, X$3)*1.3,0)),"-")</f>
        <v>-</v>
      </c>
      <c r="Y469" s="70" t="str">
        <f>IF($J469=Y$3,IF(Y$3&gt;$I468,"-",ROUNDUP(Ld_cal($B468, $C468, $D468, $G468,$E468, $F468, $H468, Y$3)*1.3,0)),"-")</f>
        <v>-</v>
      </c>
      <c r="Z469" s="70" t="str">
        <f>IF($J469=Z$3,IF(Z$3&gt;$I468,"-",ROUNDUP(Ld_cal($B468, $C468, $D468, $G468,$E468, $F468, $H468, Z$3)*1.3,0)),"-")</f>
        <v>-</v>
      </c>
      <c r="AA469" s="70" t="str">
        <f>IF($J469=AA$3,IF(AA$3&gt;$I468,"-",ROUNDUP(Ld_cal($B468, $C468, $D468, $G468,$E468, $F468, $H468, AA$3)*1.3,0)),"-")</f>
        <v>-</v>
      </c>
      <c r="AB469" s="70" t="str">
        <f>IF($J469=AB$3,IF(AB$3&gt;$I468,"-",ROUNDUP(Ld_cal($B468, $C468, $D468, $G468,$E468, $F468, $H468, AB$3)*1.3,0)),"-")</f>
        <v>-</v>
      </c>
      <c r="AC469" s="70" t="str">
        <f>IF($J469=AC$3,IF(AC$3&gt;$I468,"-",ROUNDUP(Ld_cal($B468, $C468, $D468, $G468,$E468, $F468, $H468, AC$3)*1.3,0)),"-")</f>
        <v>-</v>
      </c>
      <c r="AD469" s="70">
        <f t="shared" ref="AD469" si="459">IF(J469&gt;I468,"依標準圖",MAX(L469:AC469))</f>
        <v>147</v>
      </c>
    </row>
    <row r="470" spans="1:30">
      <c r="A470" s="97" t="s">
        <v>276</v>
      </c>
      <c r="B470" s="99">
        <v>80</v>
      </c>
      <c r="C470" s="100">
        <v>7.5</v>
      </c>
      <c r="D470" s="101">
        <v>4200</v>
      </c>
      <c r="E470" s="102">
        <v>16</v>
      </c>
      <c r="F470" s="103">
        <v>20</v>
      </c>
      <c r="G470" s="101">
        <v>350</v>
      </c>
      <c r="H470" s="102">
        <v>32</v>
      </c>
      <c r="I470" s="104">
        <f>ROUNDDOWN(($B470-2*$C470-2*$E470/10-$H470/10)/(($D$1+1)*$H470/10),0)+1</f>
        <v>10</v>
      </c>
      <c r="J470" s="72">
        <v>5</v>
      </c>
      <c r="K470" s="74" t="s">
        <v>30</v>
      </c>
      <c r="L470" s="71" t="str">
        <f>IF($J470=L$3,IF(L$3&gt;$I470,"-",ROUNDUP(Ld_cal($B470, $C470, $D470, $G470,$E470, $F470, $H470, L$3)*1.3*1.3,0)),"-")</f>
        <v>-</v>
      </c>
      <c r="M470" s="71" t="str">
        <f>IF($J470=M$3,IF(M$3&gt;$I470,"-",ROUNDUP(Ld_cal($B470, $C470, $D470, $G470,$E470, $F470, $H470, M$3)*1.3*1.3,0)),"-")</f>
        <v>-</v>
      </c>
      <c r="N470" s="71">
        <f>IF($J470=N$3,IF(N$3&gt;$I470,"-",ROUNDUP(Ld_cal($B470, $C470, $D470, $G470,$E470, $F470, $H470, N$3)*1.3*1.3,0)),"-")</f>
        <v>136</v>
      </c>
      <c r="O470" s="71" t="str">
        <f>IF($J470=O$3,IF(O$3&gt;$I470,"-",ROUNDUP(Ld_cal($B470, $C470, $D470, $G470,$E470, $F470, $H470, O$3)*1.3*1.3,0)),"-")</f>
        <v>-</v>
      </c>
      <c r="P470" s="71" t="str">
        <f>IF($J470=P$3,IF(P$3&gt;$I470,"-",ROUNDUP(Ld_cal($B470, $C470, $D470, $G470,$E470, $F470, $H470, P$3)*1.3*1.3,0)),"-")</f>
        <v>-</v>
      </c>
      <c r="Q470" s="71" t="str">
        <f>IF($J470=Q$3,IF(Q$3&gt;$I470,"-",ROUNDUP(Ld_cal($B470, $C470, $D470, $G470,$E470, $F470, $H470, Q$3)*1.3*1.3,0)),"-")</f>
        <v>-</v>
      </c>
      <c r="R470" s="71" t="str">
        <f>IF($J470=R$3,IF(R$3&gt;$I470,"-",ROUNDUP(Ld_cal($B470, $C470, $D470, $G470,$E470, $F470, $H470, R$3)*1.3*1.3,0)),"-")</f>
        <v>-</v>
      </c>
      <c r="S470" s="71" t="str">
        <f>IF($J470=S$3,IF(S$3&gt;$I470,"-",ROUNDUP(Ld_cal($B470, $C470, $D470, $G470,$E470, $F470, $H470, S$3)*1.3*1.3,0)),"-")</f>
        <v>-</v>
      </c>
      <c r="T470" s="71" t="str">
        <f>IF($J470=T$3,IF(T$3&gt;$I470,"-",ROUNDUP(Ld_cal($B470, $C470, $D470, $G470,$E470, $F470, $H470, T$3)*1.3*1.3,0)),"-")</f>
        <v>-</v>
      </c>
      <c r="U470" s="71" t="str">
        <f>IF($J470=U$3,IF(U$3&gt;$I470,"-",ROUNDUP(Ld_cal($B470, $C470, $D470, $G470,$E470, $F470, $H470, U$3)*1.3*1.3,0)),"-")</f>
        <v>-</v>
      </c>
      <c r="V470" s="71" t="str">
        <f>IF($J470=V$3,IF(V$3&gt;$I470,"-",ROUNDUP(Ld_cal($B470, $C470, $D470, $G470,$E470, $F470, $H470, V$3)*1.3*1.3,0)),"-")</f>
        <v>-</v>
      </c>
      <c r="W470" s="71" t="str">
        <f>IF($J470=W$3,IF(W$3&gt;$I470,"-",ROUNDUP(Ld_cal($B470, $C470, $D470, $G470,$E470, $F470, $H470, W$3)*1.3*1.3,0)),"-")</f>
        <v>-</v>
      </c>
      <c r="X470" s="71" t="str">
        <f>IF($J470=X$3,IF(X$3&gt;$I470,"-",ROUNDUP(Ld_cal($B470, $C470, $D470, $G470,$E470, $F470, $H470, X$3)*1.3*1.3,0)),"-")</f>
        <v>-</v>
      </c>
      <c r="Y470" s="71" t="str">
        <f>IF($J470=Y$3,IF(Y$3&gt;$I470,"-",ROUNDUP(Ld_cal($B470, $C470, $D470, $G470,$E470, $F470, $H470, Y$3)*1.3*1.3,0)),"-")</f>
        <v>-</v>
      </c>
      <c r="Z470" s="71" t="str">
        <f>IF($J470=Z$3,IF(Z$3&gt;$I470,"-",ROUNDUP(Ld_cal($B470, $C470, $D470, $G470,$E470, $F470, $H470, Z$3)*1.3*1.3,0)),"-")</f>
        <v>-</v>
      </c>
      <c r="AA470" s="71" t="str">
        <f>IF($J470=AA$3,IF(AA$3&gt;$I470,"-",ROUNDUP(Ld_cal($B470, $C470, $D470, $G470,$E470, $F470, $H470, AA$3)*1.3*1.3,0)),"-")</f>
        <v>-</v>
      </c>
      <c r="AB470" s="71" t="str">
        <f>IF($J470=AB$3,IF(AB$3&gt;$I470,"-",ROUNDUP(Ld_cal($B470, $C470, $D470, $G470,$E470, $F470, $H470, AB$3)*1.3*1.3,0)),"-")</f>
        <v>-</v>
      </c>
      <c r="AC470" s="71" t="str">
        <f>IF($J470=AC$3,IF(AC$3&gt;$I470,"-",ROUNDUP(Ld_cal($B470, $C470, $D470, $G470,$E470, $F470, $H470, AC$3)*1.3*1.3,0)),"-")</f>
        <v>-</v>
      </c>
      <c r="AD470" s="71">
        <f t="shared" ref="AD470" si="460">IF(J470&gt;I470,"依標準圖",MAX(L470:AC470))</f>
        <v>136</v>
      </c>
    </row>
    <row r="471" spans="1:30">
      <c r="A471" s="98"/>
      <c r="B471" s="99"/>
      <c r="C471" s="100"/>
      <c r="D471" s="101"/>
      <c r="E471" s="102"/>
      <c r="F471" s="103"/>
      <c r="G471" s="101"/>
      <c r="H471" s="102"/>
      <c r="I471" s="104"/>
      <c r="J471" s="72">
        <v>7</v>
      </c>
      <c r="K471" s="74" t="s">
        <v>29</v>
      </c>
      <c r="L471" s="71" t="str">
        <f>IF($J471=L$3,IF(L$3&gt;$I470,"-",ROUNDUP(Ld_cal($B470, $C470, $D470, $G470,$E470, $F470, $H470, L$3)*1.3,0)),"-")</f>
        <v>-</v>
      </c>
      <c r="M471" s="71" t="str">
        <f>IF($J471=M$3,IF(M$3&gt;$I470,"-",ROUNDUP(Ld_cal($B470, $C470, $D470, $G470,$E470, $F470, $H470, M$3)*1.3,0)),"-")</f>
        <v>-</v>
      </c>
      <c r="N471" s="71" t="str">
        <f>IF($J471=N$3,IF(N$3&gt;$I470,"-",ROUNDUP(Ld_cal($B470, $C470, $D470, $G470,$E470, $F470, $H470, N$3)*1.3,0)),"-")</f>
        <v>-</v>
      </c>
      <c r="O471" s="71" t="str">
        <f>IF($J471=O$3,IF(O$3&gt;$I470,"-",ROUNDUP(Ld_cal($B470, $C470, $D470, $G470,$E470, $F470, $H470, O$3)*1.3,0)),"-")</f>
        <v>-</v>
      </c>
      <c r="P471" s="71">
        <f>IF($J471=P$3,IF(P$3&gt;$I470,"-",ROUNDUP(Ld_cal($B470, $C470, $D470, $G470,$E470, $F470, $H470, P$3)*1.3,0)),"-")</f>
        <v>139</v>
      </c>
      <c r="Q471" s="71" t="str">
        <f>IF($J471=Q$3,IF(Q$3&gt;$I470,"-",ROUNDUP(Ld_cal($B470, $C470, $D470, $G470,$E470, $F470, $H470, Q$3)*1.3,0)),"-")</f>
        <v>-</v>
      </c>
      <c r="R471" s="71" t="str">
        <f>IF($J471=R$3,IF(R$3&gt;$I470,"-",ROUNDUP(Ld_cal($B470, $C470, $D470, $G470,$E470, $F470, $H470, R$3)*1.3,0)),"-")</f>
        <v>-</v>
      </c>
      <c r="S471" s="71" t="str">
        <f>IF($J471=S$3,IF(S$3&gt;$I470,"-",ROUNDUP(Ld_cal($B470, $C470, $D470, $G470,$E470, $F470, $H470, S$3)*1.3,0)),"-")</f>
        <v>-</v>
      </c>
      <c r="T471" s="71" t="str">
        <f>IF($J471=T$3,IF(T$3&gt;$I470,"-",ROUNDUP(Ld_cal($B470, $C470, $D470, $G470,$E470, $F470, $H470, T$3)*1.3,0)),"-")</f>
        <v>-</v>
      </c>
      <c r="U471" s="71" t="str">
        <f>IF($J471=U$3,IF(U$3&gt;$I470,"-",ROUNDUP(Ld_cal($B470, $C470, $D470, $G470,$E470, $F470, $H470, U$3)*1.3,0)),"-")</f>
        <v>-</v>
      </c>
      <c r="V471" s="71" t="str">
        <f>IF($J471=V$3,IF(V$3&gt;$I470,"-",ROUNDUP(Ld_cal($B470, $C470, $D470, $G470,$E470, $F470, $H470, V$3)*1.3,0)),"-")</f>
        <v>-</v>
      </c>
      <c r="W471" s="71" t="str">
        <f>IF($J471=W$3,IF(W$3&gt;$I470,"-",ROUNDUP(Ld_cal($B470, $C470, $D470, $G470,$E470, $F470, $H470, W$3)*1.3,0)),"-")</f>
        <v>-</v>
      </c>
      <c r="X471" s="71" t="str">
        <f>IF($J471=X$3,IF(X$3&gt;$I470,"-",ROUNDUP(Ld_cal($B470, $C470, $D470, $G470,$E470, $F470, $H470, X$3)*1.3,0)),"-")</f>
        <v>-</v>
      </c>
      <c r="Y471" s="71" t="str">
        <f>IF($J471=Y$3,IF(Y$3&gt;$I470,"-",ROUNDUP(Ld_cal($B470, $C470, $D470, $G470,$E470, $F470, $H470, Y$3)*1.3,0)),"-")</f>
        <v>-</v>
      </c>
      <c r="Z471" s="71" t="str">
        <f>IF($J471=Z$3,IF(Z$3&gt;$I470,"-",ROUNDUP(Ld_cal($B470, $C470, $D470, $G470,$E470, $F470, $H470, Z$3)*1.3,0)),"-")</f>
        <v>-</v>
      </c>
      <c r="AA471" s="71" t="str">
        <f>IF($J471=AA$3,IF(AA$3&gt;$I470,"-",ROUNDUP(Ld_cal($B470, $C470, $D470, $G470,$E470, $F470, $H470, AA$3)*1.3,0)),"-")</f>
        <v>-</v>
      </c>
      <c r="AB471" s="71" t="str">
        <f>IF($J471=AB$3,IF(AB$3&gt;$I470,"-",ROUNDUP(Ld_cal($B470, $C470, $D470, $G470,$E470, $F470, $H470, AB$3)*1.3,0)),"-")</f>
        <v>-</v>
      </c>
      <c r="AC471" s="71" t="str">
        <f>IF($J471=AC$3,IF(AC$3&gt;$I470,"-",ROUNDUP(Ld_cal($B470, $C470, $D470, $G470,$E470, $F470, $H470, AC$3)*1.3,0)),"-")</f>
        <v>-</v>
      </c>
      <c r="AD471" s="71">
        <f t="shared" ref="AD471" si="461">IF(J471&gt;I470,"依標準圖",MAX(L471:AC471))</f>
        <v>139</v>
      </c>
    </row>
    <row r="472" spans="1:30">
      <c r="A472" s="105" t="s">
        <v>277</v>
      </c>
      <c r="B472" s="107">
        <v>80</v>
      </c>
      <c r="C472" s="108">
        <v>7.5</v>
      </c>
      <c r="D472" s="107">
        <v>4200</v>
      </c>
      <c r="E472" s="109">
        <v>16</v>
      </c>
      <c r="F472" s="110">
        <v>10</v>
      </c>
      <c r="G472" s="107">
        <v>350</v>
      </c>
      <c r="H472" s="109">
        <v>32</v>
      </c>
      <c r="I472" s="111">
        <f>ROUNDDOWN(($B472-2*$C472-2*$E472/10-$H472/10)/(($D$1+1)*$H472/10),0)+1</f>
        <v>10</v>
      </c>
      <c r="J472" s="73">
        <v>11</v>
      </c>
      <c r="K472" s="40" t="s">
        <v>30</v>
      </c>
      <c r="L472" s="70" t="str">
        <f>IF($J472=L$3,IF(L$3&gt;$I472,"-",ROUNDUP(Ld_cal($B472, $C472, $D472, $G472,$E472, $F472, $H472, L$3)*1.3*1.3,0)),"-")</f>
        <v>-</v>
      </c>
      <c r="M472" s="70" t="str">
        <f>IF($J472=M$3,IF(M$3&gt;$I472,"-",ROUNDUP(Ld_cal($B472, $C472, $D472, $G472,$E472, $F472, $H472, M$3)*1.3*1.3,0)),"-")</f>
        <v>-</v>
      </c>
      <c r="N472" s="70" t="str">
        <f>IF($J472=N$3,IF(N$3&gt;$I472,"-",ROUNDUP(Ld_cal($B472, $C472, $D472, $G472,$E472, $F472, $H472, N$3)*1.3*1.3,0)),"-")</f>
        <v>-</v>
      </c>
      <c r="O472" s="70" t="str">
        <f>IF($J472=O$3,IF(O$3&gt;$I472,"-",ROUNDUP(Ld_cal($B472, $C472, $D472, $G472,$E472, $F472, $H472, O$3)*1.3*1.3,0)),"-")</f>
        <v>-</v>
      </c>
      <c r="P472" s="70" t="str">
        <f>IF($J472=P$3,IF(P$3&gt;$I472,"-",ROUNDUP(Ld_cal($B472, $C472, $D472, $G472,$E472, $F472, $H472, P$3)*1.3*1.3,0)),"-")</f>
        <v>-</v>
      </c>
      <c r="Q472" s="70" t="str">
        <f>IF($J472=Q$3,IF(Q$3&gt;$I472,"-",ROUNDUP(Ld_cal($B472, $C472, $D472, $G472,$E472, $F472, $H472, Q$3)*1.3*1.3,0)),"-")</f>
        <v>-</v>
      </c>
      <c r="R472" s="70" t="str">
        <f>IF($J472=R$3,IF(R$3&gt;$I472,"-",ROUNDUP(Ld_cal($B472, $C472, $D472, $G472,$E472, $F472, $H472, R$3)*1.3*1.3,0)),"-")</f>
        <v>-</v>
      </c>
      <c r="S472" s="70" t="str">
        <f>IF($J472=S$3,IF(S$3&gt;$I472,"-",ROUNDUP(Ld_cal($B472, $C472, $D472, $G472,$E472, $F472, $H472, S$3)*1.3*1.3,0)),"-")</f>
        <v>-</v>
      </c>
      <c r="T472" s="70" t="str">
        <f>IF($J472=T$3,IF(T$3&gt;$I472,"-",ROUNDUP(Ld_cal($B472, $C472, $D472, $G472,$E472, $F472, $H472, T$3)*1.3*1.3,0)),"-")</f>
        <v>-</v>
      </c>
      <c r="U472" s="70" t="str">
        <f>IF($J472=U$3,IF(U$3&gt;$I472,"-",ROUNDUP(Ld_cal($B472, $C472, $D472, $G472,$E472, $F472, $H472, U$3)*1.3*1.3,0)),"-")</f>
        <v>-</v>
      </c>
      <c r="V472" s="70" t="str">
        <f>IF($J472=V$3,IF(V$3&gt;$I472,"-",ROUNDUP(Ld_cal($B472, $C472, $D472, $G472,$E472, $F472, $H472, V$3)*1.3*1.3,0)),"-")</f>
        <v>-</v>
      </c>
      <c r="W472" s="70" t="str">
        <f>IF($J472=W$3,IF(W$3&gt;$I472,"-",ROUNDUP(Ld_cal($B472, $C472, $D472, $G472,$E472, $F472, $H472, W$3)*1.3*1.3,0)),"-")</f>
        <v>-</v>
      </c>
      <c r="X472" s="70" t="str">
        <f>IF($J472=X$3,IF(X$3&gt;$I472,"-",ROUNDUP(Ld_cal($B472, $C472, $D472, $G472,$E472, $F472, $H472, X$3)*1.3*1.3,0)),"-")</f>
        <v>-</v>
      </c>
      <c r="Y472" s="70" t="str">
        <f>IF($J472=Y$3,IF(Y$3&gt;$I472,"-",ROUNDUP(Ld_cal($B472, $C472, $D472, $G472,$E472, $F472, $H472, Y$3)*1.3*1.3,0)),"-")</f>
        <v>-</v>
      </c>
      <c r="Z472" s="70" t="str">
        <f>IF($J472=Z$3,IF(Z$3&gt;$I472,"-",ROUNDUP(Ld_cal($B472, $C472, $D472, $G472,$E472, $F472, $H472, Z$3)*1.3*1.3,0)),"-")</f>
        <v>-</v>
      </c>
      <c r="AA472" s="70" t="str">
        <f>IF($J472=AA$3,IF(AA$3&gt;$I472,"-",ROUNDUP(Ld_cal($B472, $C472, $D472, $G472,$E472, $F472, $H472, AA$3)*1.3*1.3,0)),"-")</f>
        <v>-</v>
      </c>
      <c r="AB472" s="70" t="str">
        <f>IF($J472=AB$3,IF(AB$3&gt;$I472,"-",ROUNDUP(Ld_cal($B472, $C472, $D472, $G472,$E472, $F472, $H472, AB$3)*1.3*1.3,0)),"-")</f>
        <v>-</v>
      </c>
      <c r="AC472" s="70" t="str">
        <f>IF($J472=AC$3,IF(AC$3&gt;$I472,"-",ROUNDUP(Ld_cal($B472, $C472, $D472, $G472,$E472, $F472, $H472, AC$3)*1.3*1.3,0)),"-")</f>
        <v>-</v>
      </c>
      <c r="AD472" s="70" t="str">
        <f t="shared" ref="AD472" si="462">IF(J472&gt;I472,"依標準圖",MAX(L472:AC472))</f>
        <v>依標準圖</v>
      </c>
    </row>
    <row r="473" spans="1:30">
      <c r="A473" s="106"/>
      <c r="B473" s="107"/>
      <c r="C473" s="108"/>
      <c r="D473" s="107"/>
      <c r="E473" s="109"/>
      <c r="F473" s="110"/>
      <c r="G473" s="107"/>
      <c r="H473" s="109"/>
      <c r="I473" s="111"/>
      <c r="J473" s="73">
        <v>11</v>
      </c>
      <c r="K473" s="40" t="s">
        <v>29</v>
      </c>
      <c r="L473" s="70" t="str">
        <f>IF($J473=L$3,IF(L$3&gt;$I472,"-",ROUNDUP(Ld_cal($B472, $C472, $D472, $G472,$E472, $F472, $H472, L$3)*1.3,0)),"-")</f>
        <v>-</v>
      </c>
      <c r="M473" s="70" t="str">
        <f>IF($J473=M$3,IF(M$3&gt;$I472,"-",ROUNDUP(Ld_cal($B472, $C472, $D472, $G472,$E472, $F472, $H472, M$3)*1.3,0)),"-")</f>
        <v>-</v>
      </c>
      <c r="N473" s="70" t="str">
        <f>IF($J473=N$3,IF(N$3&gt;$I472,"-",ROUNDUP(Ld_cal($B472, $C472, $D472, $G472,$E472, $F472, $H472, N$3)*1.3,0)),"-")</f>
        <v>-</v>
      </c>
      <c r="O473" s="70" t="str">
        <f>IF($J473=O$3,IF(O$3&gt;$I472,"-",ROUNDUP(Ld_cal($B472, $C472, $D472, $G472,$E472, $F472, $H472, O$3)*1.3,0)),"-")</f>
        <v>-</v>
      </c>
      <c r="P473" s="70" t="str">
        <f>IF($J473=P$3,IF(P$3&gt;$I472,"-",ROUNDUP(Ld_cal($B472, $C472, $D472, $G472,$E472, $F472, $H472, P$3)*1.3,0)),"-")</f>
        <v>-</v>
      </c>
      <c r="Q473" s="70" t="str">
        <f>IF($J473=Q$3,IF(Q$3&gt;$I472,"-",ROUNDUP(Ld_cal($B472, $C472, $D472, $G472,$E472, $F472, $H472, Q$3)*1.3,0)),"-")</f>
        <v>-</v>
      </c>
      <c r="R473" s="70" t="str">
        <f>IF($J473=R$3,IF(R$3&gt;$I472,"-",ROUNDUP(Ld_cal($B472, $C472, $D472, $G472,$E472, $F472, $H472, R$3)*1.3,0)),"-")</f>
        <v>-</v>
      </c>
      <c r="S473" s="70" t="str">
        <f>IF($J473=S$3,IF(S$3&gt;$I472,"-",ROUNDUP(Ld_cal($B472, $C472, $D472, $G472,$E472, $F472, $H472, S$3)*1.3,0)),"-")</f>
        <v>-</v>
      </c>
      <c r="T473" s="70" t="str">
        <f>IF($J473=T$3,IF(T$3&gt;$I472,"-",ROUNDUP(Ld_cal($B472, $C472, $D472, $G472,$E472, $F472, $H472, T$3)*1.3,0)),"-")</f>
        <v>-</v>
      </c>
      <c r="U473" s="70" t="str">
        <f>IF($J473=U$3,IF(U$3&gt;$I472,"-",ROUNDUP(Ld_cal($B472, $C472, $D472, $G472,$E472, $F472, $H472, U$3)*1.3,0)),"-")</f>
        <v>-</v>
      </c>
      <c r="V473" s="70" t="str">
        <f>IF($J473=V$3,IF(V$3&gt;$I472,"-",ROUNDUP(Ld_cal($B472, $C472, $D472, $G472,$E472, $F472, $H472, V$3)*1.3,0)),"-")</f>
        <v>-</v>
      </c>
      <c r="W473" s="70" t="str">
        <f>IF($J473=W$3,IF(W$3&gt;$I472,"-",ROUNDUP(Ld_cal($B472, $C472, $D472, $G472,$E472, $F472, $H472, W$3)*1.3,0)),"-")</f>
        <v>-</v>
      </c>
      <c r="X473" s="70" t="str">
        <f>IF($J473=X$3,IF(X$3&gt;$I472,"-",ROUNDUP(Ld_cal($B472, $C472, $D472, $G472,$E472, $F472, $H472, X$3)*1.3,0)),"-")</f>
        <v>-</v>
      </c>
      <c r="Y473" s="70" t="str">
        <f>IF($J473=Y$3,IF(Y$3&gt;$I472,"-",ROUNDUP(Ld_cal($B472, $C472, $D472, $G472,$E472, $F472, $H472, Y$3)*1.3,0)),"-")</f>
        <v>-</v>
      </c>
      <c r="Z473" s="70" t="str">
        <f>IF($J473=Z$3,IF(Z$3&gt;$I472,"-",ROUNDUP(Ld_cal($B472, $C472, $D472, $G472,$E472, $F472, $H472, Z$3)*1.3,0)),"-")</f>
        <v>-</v>
      </c>
      <c r="AA473" s="70" t="str">
        <f>IF($J473=AA$3,IF(AA$3&gt;$I472,"-",ROUNDUP(Ld_cal($B472, $C472, $D472, $G472,$E472, $F472, $H472, AA$3)*1.3,0)),"-")</f>
        <v>-</v>
      </c>
      <c r="AB473" s="70" t="str">
        <f>IF($J473=AB$3,IF(AB$3&gt;$I472,"-",ROUNDUP(Ld_cal($B472, $C472, $D472, $G472,$E472, $F472, $H472, AB$3)*1.3,0)),"-")</f>
        <v>-</v>
      </c>
      <c r="AC473" s="70" t="str">
        <f>IF($J473=AC$3,IF(AC$3&gt;$I472,"-",ROUNDUP(Ld_cal($B472, $C472, $D472, $G472,$E472, $F472, $H472, AC$3)*1.3,0)),"-")</f>
        <v>-</v>
      </c>
      <c r="AD473" s="70" t="str">
        <f t="shared" ref="AD473" si="463">IF(J473&gt;I472,"依標準圖",MAX(L473:AC473))</f>
        <v>依標準圖</v>
      </c>
    </row>
    <row r="474" spans="1:30">
      <c r="A474" s="97" t="s">
        <v>278</v>
      </c>
      <c r="B474" s="99">
        <v>80</v>
      </c>
      <c r="C474" s="100">
        <v>7.5</v>
      </c>
      <c r="D474" s="101">
        <v>4200</v>
      </c>
      <c r="E474" s="102">
        <v>16</v>
      </c>
      <c r="F474" s="103">
        <v>25</v>
      </c>
      <c r="G474" s="101">
        <v>350</v>
      </c>
      <c r="H474" s="102">
        <v>32</v>
      </c>
      <c r="I474" s="104">
        <f>ROUNDDOWN(($B474-2*$C474-2*$E474/10-$H474/10)/(($D$1+1)*$H474/10),0)+1</f>
        <v>10</v>
      </c>
      <c r="J474" s="72">
        <v>6</v>
      </c>
      <c r="K474" s="74" t="s">
        <v>30</v>
      </c>
      <c r="L474" s="71" t="str">
        <f>IF($J474=L$3,IF(L$3&gt;$I474,"-",ROUNDUP(Ld_cal($B474, $C474, $D474, $G474,$E474, $F474, $H474, L$3)*1.3*1.3,0)),"-")</f>
        <v>-</v>
      </c>
      <c r="M474" s="71" t="str">
        <f>IF($J474=M$3,IF(M$3&gt;$I474,"-",ROUNDUP(Ld_cal($B474, $C474, $D474, $G474,$E474, $F474, $H474, M$3)*1.3*1.3,0)),"-")</f>
        <v>-</v>
      </c>
      <c r="N474" s="71" t="str">
        <f>IF($J474=N$3,IF(N$3&gt;$I474,"-",ROUNDUP(Ld_cal($B474, $C474, $D474, $G474,$E474, $F474, $H474, N$3)*1.3*1.3,0)),"-")</f>
        <v>-</v>
      </c>
      <c r="O474" s="71">
        <f>IF($J474=O$3,IF(O$3&gt;$I474,"-",ROUNDUP(Ld_cal($B474, $C474, $D474, $G474,$E474, $F474, $H474, O$3)*1.3*1.3,0)),"-")</f>
        <v>157</v>
      </c>
      <c r="P474" s="71" t="str">
        <f>IF($J474=P$3,IF(P$3&gt;$I474,"-",ROUNDUP(Ld_cal($B474, $C474, $D474, $G474,$E474, $F474, $H474, P$3)*1.3*1.3,0)),"-")</f>
        <v>-</v>
      </c>
      <c r="Q474" s="71" t="str">
        <f>IF($J474=Q$3,IF(Q$3&gt;$I474,"-",ROUNDUP(Ld_cal($B474, $C474, $D474, $G474,$E474, $F474, $H474, Q$3)*1.3*1.3,0)),"-")</f>
        <v>-</v>
      </c>
      <c r="R474" s="71" t="str">
        <f>IF($J474=R$3,IF(R$3&gt;$I474,"-",ROUNDUP(Ld_cal($B474, $C474, $D474, $G474,$E474, $F474, $H474, R$3)*1.3*1.3,0)),"-")</f>
        <v>-</v>
      </c>
      <c r="S474" s="71" t="str">
        <f>IF($J474=S$3,IF(S$3&gt;$I474,"-",ROUNDUP(Ld_cal($B474, $C474, $D474, $G474,$E474, $F474, $H474, S$3)*1.3*1.3,0)),"-")</f>
        <v>-</v>
      </c>
      <c r="T474" s="71" t="str">
        <f>IF($J474=T$3,IF(T$3&gt;$I474,"-",ROUNDUP(Ld_cal($B474, $C474, $D474, $G474,$E474, $F474, $H474, T$3)*1.3*1.3,0)),"-")</f>
        <v>-</v>
      </c>
      <c r="U474" s="71" t="str">
        <f>IF($J474=U$3,IF(U$3&gt;$I474,"-",ROUNDUP(Ld_cal($B474, $C474, $D474, $G474,$E474, $F474, $H474, U$3)*1.3*1.3,0)),"-")</f>
        <v>-</v>
      </c>
      <c r="V474" s="71" t="str">
        <f>IF($J474=V$3,IF(V$3&gt;$I474,"-",ROUNDUP(Ld_cal($B474, $C474, $D474, $G474,$E474, $F474, $H474, V$3)*1.3*1.3,0)),"-")</f>
        <v>-</v>
      </c>
      <c r="W474" s="71" t="str">
        <f>IF($J474=W$3,IF(W$3&gt;$I474,"-",ROUNDUP(Ld_cal($B474, $C474, $D474, $G474,$E474, $F474, $H474, W$3)*1.3*1.3,0)),"-")</f>
        <v>-</v>
      </c>
      <c r="X474" s="71" t="str">
        <f>IF($J474=X$3,IF(X$3&gt;$I474,"-",ROUNDUP(Ld_cal($B474, $C474, $D474, $G474,$E474, $F474, $H474, X$3)*1.3*1.3,0)),"-")</f>
        <v>-</v>
      </c>
      <c r="Y474" s="71" t="str">
        <f>IF($J474=Y$3,IF(Y$3&gt;$I474,"-",ROUNDUP(Ld_cal($B474, $C474, $D474, $G474,$E474, $F474, $H474, Y$3)*1.3*1.3,0)),"-")</f>
        <v>-</v>
      </c>
      <c r="Z474" s="71" t="str">
        <f>IF($J474=Z$3,IF(Z$3&gt;$I474,"-",ROUNDUP(Ld_cal($B474, $C474, $D474, $G474,$E474, $F474, $H474, Z$3)*1.3*1.3,0)),"-")</f>
        <v>-</v>
      </c>
      <c r="AA474" s="71" t="str">
        <f>IF($J474=AA$3,IF(AA$3&gt;$I474,"-",ROUNDUP(Ld_cal($B474, $C474, $D474, $G474,$E474, $F474, $H474, AA$3)*1.3*1.3,0)),"-")</f>
        <v>-</v>
      </c>
      <c r="AB474" s="71" t="str">
        <f>IF($J474=AB$3,IF(AB$3&gt;$I474,"-",ROUNDUP(Ld_cal($B474, $C474, $D474, $G474,$E474, $F474, $H474, AB$3)*1.3*1.3,0)),"-")</f>
        <v>-</v>
      </c>
      <c r="AC474" s="71" t="str">
        <f>IF($J474=AC$3,IF(AC$3&gt;$I474,"-",ROUNDUP(Ld_cal($B474, $C474, $D474, $G474,$E474, $F474, $H474, AC$3)*1.3*1.3,0)),"-")</f>
        <v>-</v>
      </c>
      <c r="AD474" s="71">
        <f t="shared" ref="AD474" si="464">IF(J474&gt;I474,"依標準圖",MAX(L474:AC474))</f>
        <v>157</v>
      </c>
    </row>
    <row r="475" spans="1:30">
      <c r="A475" s="98"/>
      <c r="B475" s="99"/>
      <c r="C475" s="100"/>
      <c r="D475" s="101"/>
      <c r="E475" s="102"/>
      <c r="F475" s="103"/>
      <c r="G475" s="101"/>
      <c r="H475" s="102"/>
      <c r="I475" s="104"/>
      <c r="J475" s="72">
        <v>4</v>
      </c>
      <c r="K475" s="74" t="s">
        <v>29</v>
      </c>
      <c r="L475" s="71" t="str">
        <f>IF($J475=L$3,IF(L$3&gt;$I474,"-",ROUNDUP(Ld_cal($B474, $C474, $D474, $G474,$E474, $F474, $H474, L$3)*1.3,0)),"-")</f>
        <v>-</v>
      </c>
      <c r="M475" s="71">
        <f>IF($J475=M$3,IF(M$3&gt;$I474,"-",ROUNDUP(Ld_cal($B474, $C474, $D474, $G474,$E474, $F474, $H474, M$3)*1.3,0)),"-")</f>
        <v>105</v>
      </c>
      <c r="N475" s="71" t="str">
        <f>IF($J475=N$3,IF(N$3&gt;$I474,"-",ROUNDUP(Ld_cal($B474, $C474, $D474, $G474,$E474, $F474, $H474, N$3)*1.3,0)),"-")</f>
        <v>-</v>
      </c>
      <c r="O475" s="71" t="str">
        <f>IF($J475=O$3,IF(O$3&gt;$I474,"-",ROUNDUP(Ld_cal($B474, $C474, $D474, $G474,$E474, $F474, $H474, O$3)*1.3,0)),"-")</f>
        <v>-</v>
      </c>
      <c r="P475" s="71" t="str">
        <f>IF($J475=P$3,IF(P$3&gt;$I474,"-",ROUNDUP(Ld_cal($B474, $C474, $D474, $G474,$E474, $F474, $H474, P$3)*1.3,0)),"-")</f>
        <v>-</v>
      </c>
      <c r="Q475" s="71" t="str">
        <f>IF($J475=Q$3,IF(Q$3&gt;$I474,"-",ROUNDUP(Ld_cal($B474, $C474, $D474, $G474,$E474, $F474, $H474, Q$3)*1.3,0)),"-")</f>
        <v>-</v>
      </c>
      <c r="R475" s="71" t="str">
        <f>IF($J475=R$3,IF(R$3&gt;$I474,"-",ROUNDUP(Ld_cal($B474, $C474, $D474, $G474,$E474, $F474, $H474, R$3)*1.3,0)),"-")</f>
        <v>-</v>
      </c>
      <c r="S475" s="71" t="str">
        <f>IF($J475=S$3,IF(S$3&gt;$I474,"-",ROUNDUP(Ld_cal($B474, $C474, $D474, $G474,$E474, $F474, $H474, S$3)*1.3,0)),"-")</f>
        <v>-</v>
      </c>
      <c r="T475" s="71" t="str">
        <f>IF($J475=T$3,IF(T$3&gt;$I474,"-",ROUNDUP(Ld_cal($B474, $C474, $D474, $G474,$E474, $F474, $H474, T$3)*1.3,0)),"-")</f>
        <v>-</v>
      </c>
      <c r="U475" s="71" t="str">
        <f>IF($J475=U$3,IF(U$3&gt;$I474,"-",ROUNDUP(Ld_cal($B474, $C474, $D474, $G474,$E474, $F474, $H474, U$3)*1.3,0)),"-")</f>
        <v>-</v>
      </c>
      <c r="V475" s="71" t="str">
        <f>IF($J475=V$3,IF(V$3&gt;$I474,"-",ROUNDUP(Ld_cal($B474, $C474, $D474, $G474,$E474, $F474, $H474, V$3)*1.3,0)),"-")</f>
        <v>-</v>
      </c>
      <c r="W475" s="71" t="str">
        <f>IF($J475=W$3,IF(W$3&gt;$I474,"-",ROUNDUP(Ld_cal($B474, $C474, $D474, $G474,$E474, $F474, $H474, W$3)*1.3,0)),"-")</f>
        <v>-</v>
      </c>
      <c r="X475" s="71" t="str">
        <f>IF($J475=X$3,IF(X$3&gt;$I474,"-",ROUNDUP(Ld_cal($B474, $C474, $D474, $G474,$E474, $F474, $H474, X$3)*1.3,0)),"-")</f>
        <v>-</v>
      </c>
      <c r="Y475" s="71" t="str">
        <f>IF($J475=Y$3,IF(Y$3&gt;$I474,"-",ROUNDUP(Ld_cal($B474, $C474, $D474, $G474,$E474, $F474, $H474, Y$3)*1.3,0)),"-")</f>
        <v>-</v>
      </c>
      <c r="Z475" s="71" t="str">
        <f>IF($J475=Z$3,IF(Z$3&gt;$I474,"-",ROUNDUP(Ld_cal($B474, $C474, $D474, $G474,$E474, $F474, $H474, Z$3)*1.3,0)),"-")</f>
        <v>-</v>
      </c>
      <c r="AA475" s="71" t="str">
        <f>IF($J475=AA$3,IF(AA$3&gt;$I474,"-",ROUNDUP(Ld_cal($B474, $C474, $D474, $G474,$E474, $F474, $H474, AA$3)*1.3,0)),"-")</f>
        <v>-</v>
      </c>
      <c r="AB475" s="71" t="str">
        <f>IF($J475=AB$3,IF(AB$3&gt;$I474,"-",ROUNDUP(Ld_cal($B474, $C474, $D474, $G474,$E474, $F474, $H474, AB$3)*1.3,0)),"-")</f>
        <v>-</v>
      </c>
      <c r="AC475" s="71" t="str">
        <f>IF($J475=AC$3,IF(AC$3&gt;$I474,"-",ROUNDUP(Ld_cal($B474, $C474, $D474, $G474,$E474, $F474, $H474, AC$3)*1.3,0)),"-")</f>
        <v>-</v>
      </c>
      <c r="AD475" s="71">
        <f t="shared" ref="AD475" si="465">IF(J475&gt;I474,"依標準圖",MAX(L475:AC475))</f>
        <v>105</v>
      </c>
    </row>
    <row r="476" spans="1:30">
      <c r="A476" s="105" t="s">
        <v>279</v>
      </c>
      <c r="B476" s="107">
        <v>80</v>
      </c>
      <c r="C476" s="108">
        <v>7.5</v>
      </c>
      <c r="D476" s="107">
        <v>4200</v>
      </c>
      <c r="E476" s="109">
        <v>16</v>
      </c>
      <c r="F476" s="110">
        <v>25</v>
      </c>
      <c r="G476" s="107">
        <v>350</v>
      </c>
      <c r="H476" s="109">
        <v>32</v>
      </c>
      <c r="I476" s="111">
        <f>ROUNDDOWN(($B476-2*$C476-2*$E476/10-$H476/10)/(($D$1+1)*$H476/10),0)+1</f>
        <v>10</v>
      </c>
      <c r="J476" s="73">
        <v>11</v>
      </c>
      <c r="K476" s="40" t="s">
        <v>30</v>
      </c>
      <c r="L476" s="70" t="str">
        <f>IF($J476=L$3,IF(L$3&gt;$I476,"-",ROUNDUP(Ld_cal($B476, $C476, $D476, $G476,$E476, $F476, $H476, L$3)*1.3*1.3,0)),"-")</f>
        <v>-</v>
      </c>
      <c r="M476" s="70" t="str">
        <f>IF($J476=M$3,IF(M$3&gt;$I476,"-",ROUNDUP(Ld_cal($B476, $C476, $D476, $G476,$E476, $F476, $H476, M$3)*1.3*1.3,0)),"-")</f>
        <v>-</v>
      </c>
      <c r="N476" s="70" t="str">
        <f>IF($J476=N$3,IF(N$3&gt;$I476,"-",ROUNDUP(Ld_cal($B476, $C476, $D476, $G476,$E476, $F476, $H476, N$3)*1.3*1.3,0)),"-")</f>
        <v>-</v>
      </c>
      <c r="O476" s="70" t="str">
        <f>IF($J476=O$3,IF(O$3&gt;$I476,"-",ROUNDUP(Ld_cal($B476, $C476, $D476, $G476,$E476, $F476, $H476, O$3)*1.3*1.3,0)),"-")</f>
        <v>-</v>
      </c>
      <c r="P476" s="70" t="str">
        <f>IF($J476=P$3,IF(P$3&gt;$I476,"-",ROUNDUP(Ld_cal($B476, $C476, $D476, $G476,$E476, $F476, $H476, P$3)*1.3*1.3,0)),"-")</f>
        <v>-</v>
      </c>
      <c r="Q476" s="70" t="str">
        <f>IF($J476=Q$3,IF(Q$3&gt;$I476,"-",ROUNDUP(Ld_cal($B476, $C476, $D476, $G476,$E476, $F476, $H476, Q$3)*1.3*1.3,0)),"-")</f>
        <v>-</v>
      </c>
      <c r="R476" s="70" t="str">
        <f>IF($J476=R$3,IF(R$3&gt;$I476,"-",ROUNDUP(Ld_cal($B476, $C476, $D476, $G476,$E476, $F476, $H476, R$3)*1.3*1.3,0)),"-")</f>
        <v>-</v>
      </c>
      <c r="S476" s="70" t="str">
        <f>IF($J476=S$3,IF(S$3&gt;$I476,"-",ROUNDUP(Ld_cal($B476, $C476, $D476, $G476,$E476, $F476, $H476, S$3)*1.3*1.3,0)),"-")</f>
        <v>-</v>
      </c>
      <c r="T476" s="70" t="str">
        <f>IF($J476=T$3,IF(T$3&gt;$I476,"-",ROUNDUP(Ld_cal($B476, $C476, $D476, $G476,$E476, $F476, $H476, T$3)*1.3*1.3,0)),"-")</f>
        <v>-</v>
      </c>
      <c r="U476" s="70" t="str">
        <f>IF($J476=U$3,IF(U$3&gt;$I476,"-",ROUNDUP(Ld_cal($B476, $C476, $D476, $G476,$E476, $F476, $H476, U$3)*1.3*1.3,0)),"-")</f>
        <v>-</v>
      </c>
      <c r="V476" s="70" t="str">
        <f>IF($J476=V$3,IF(V$3&gt;$I476,"-",ROUNDUP(Ld_cal($B476, $C476, $D476, $G476,$E476, $F476, $H476, V$3)*1.3*1.3,0)),"-")</f>
        <v>-</v>
      </c>
      <c r="W476" s="70" t="str">
        <f>IF($J476=W$3,IF(W$3&gt;$I476,"-",ROUNDUP(Ld_cal($B476, $C476, $D476, $G476,$E476, $F476, $H476, W$3)*1.3*1.3,0)),"-")</f>
        <v>-</v>
      </c>
      <c r="X476" s="70" t="str">
        <f>IF($J476=X$3,IF(X$3&gt;$I476,"-",ROUNDUP(Ld_cal($B476, $C476, $D476, $G476,$E476, $F476, $H476, X$3)*1.3*1.3,0)),"-")</f>
        <v>-</v>
      </c>
      <c r="Y476" s="70" t="str">
        <f>IF($J476=Y$3,IF(Y$3&gt;$I476,"-",ROUNDUP(Ld_cal($B476, $C476, $D476, $G476,$E476, $F476, $H476, Y$3)*1.3*1.3,0)),"-")</f>
        <v>-</v>
      </c>
      <c r="Z476" s="70" t="str">
        <f>IF($J476=Z$3,IF(Z$3&gt;$I476,"-",ROUNDUP(Ld_cal($B476, $C476, $D476, $G476,$E476, $F476, $H476, Z$3)*1.3*1.3,0)),"-")</f>
        <v>-</v>
      </c>
      <c r="AA476" s="70" t="str">
        <f>IF($J476=AA$3,IF(AA$3&gt;$I476,"-",ROUNDUP(Ld_cal($B476, $C476, $D476, $G476,$E476, $F476, $H476, AA$3)*1.3*1.3,0)),"-")</f>
        <v>-</v>
      </c>
      <c r="AB476" s="70" t="str">
        <f>IF($J476=AB$3,IF(AB$3&gt;$I476,"-",ROUNDUP(Ld_cal($B476, $C476, $D476, $G476,$E476, $F476, $H476, AB$3)*1.3*1.3,0)),"-")</f>
        <v>-</v>
      </c>
      <c r="AC476" s="70" t="str">
        <f>IF($J476=AC$3,IF(AC$3&gt;$I476,"-",ROUNDUP(Ld_cal($B476, $C476, $D476, $G476,$E476, $F476, $H476, AC$3)*1.3*1.3,0)),"-")</f>
        <v>-</v>
      </c>
      <c r="AD476" s="70" t="str">
        <f t="shared" ref="AD476" si="466">IF(J476&gt;I476,"依標準圖",MAX(L476:AC476))</f>
        <v>依標準圖</v>
      </c>
    </row>
    <row r="477" spans="1:30">
      <c r="A477" s="106"/>
      <c r="B477" s="107"/>
      <c r="C477" s="108"/>
      <c r="D477" s="107"/>
      <c r="E477" s="109"/>
      <c r="F477" s="110"/>
      <c r="G477" s="107"/>
      <c r="H477" s="109"/>
      <c r="I477" s="111"/>
      <c r="J477" s="73">
        <v>4</v>
      </c>
      <c r="K477" s="40" t="s">
        <v>29</v>
      </c>
      <c r="L477" s="70" t="str">
        <f>IF($J477=L$3,IF(L$3&gt;$I476,"-",ROUNDUP(Ld_cal($B476, $C476, $D476, $G476,$E476, $F476, $H476, L$3)*1.3,0)),"-")</f>
        <v>-</v>
      </c>
      <c r="M477" s="70">
        <f>IF($J477=M$3,IF(M$3&gt;$I476,"-",ROUNDUP(Ld_cal($B476, $C476, $D476, $G476,$E476, $F476, $H476, M$3)*1.3,0)),"-")</f>
        <v>105</v>
      </c>
      <c r="N477" s="70" t="str">
        <f>IF($J477=N$3,IF(N$3&gt;$I476,"-",ROUNDUP(Ld_cal($B476, $C476, $D476, $G476,$E476, $F476, $H476, N$3)*1.3,0)),"-")</f>
        <v>-</v>
      </c>
      <c r="O477" s="70" t="str">
        <f>IF($J477=O$3,IF(O$3&gt;$I476,"-",ROUNDUP(Ld_cal($B476, $C476, $D476, $G476,$E476, $F476, $H476, O$3)*1.3,0)),"-")</f>
        <v>-</v>
      </c>
      <c r="P477" s="70" t="str">
        <f>IF($J477=P$3,IF(P$3&gt;$I476,"-",ROUNDUP(Ld_cal($B476, $C476, $D476, $G476,$E476, $F476, $H476, P$3)*1.3,0)),"-")</f>
        <v>-</v>
      </c>
      <c r="Q477" s="70" t="str">
        <f>IF($J477=Q$3,IF(Q$3&gt;$I476,"-",ROUNDUP(Ld_cal($B476, $C476, $D476, $G476,$E476, $F476, $H476, Q$3)*1.3,0)),"-")</f>
        <v>-</v>
      </c>
      <c r="R477" s="70" t="str">
        <f>IF($J477=R$3,IF(R$3&gt;$I476,"-",ROUNDUP(Ld_cal($B476, $C476, $D476, $G476,$E476, $F476, $H476, R$3)*1.3,0)),"-")</f>
        <v>-</v>
      </c>
      <c r="S477" s="70" t="str">
        <f>IF($J477=S$3,IF(S$3&gt;$I476,"-",ROUNDUP(Ld_cal($B476, $C476, $D476, $G476,$E476, $F476, $H476, S$3)*1.3,0)),"-")</f>
        <v>-</v>
      </c>
      <c r="T477" s="70" t="str">
        <f>IF($J477=T$3,IF(T$3&gt;$I476,"-",ROUNDUP(Ld_cal($B476, $C476, $D476, $G476,$E476, $F476, $H476, T$3)*1.3,0)),"-")</f>
        <v>-</v>
      </c>
      <c r="U477" s="70" t="str">
        <f>IF($J477=U$3,IF(U$3&gt;$I476,"-",ROUNDUP(Ld_cal($B476, $C476, $D476, $G476,$E476, $F476, $H476, U$3)*1.3,0)),"-")</f>
        <v>-</v>
      </c>
      <c r="V477" s="70" t="str">
        <f>IF($J477=V$3,IF(V$3&gt;$I476,"-",ROUNDUP(Ld_cal($B476, $C476, $D476, $G476,$E476, $F476, $H476, V$3)*1.3,0)),"-")</f>
        <v>-</v>
      </c>
      <c r="W477" s="70" t="str">
        <f>IF($J477=W$3,IF(W$3&gt;$I476,"-",ROUNDUP(Ld_cal($B476, $C476, $D476, $G476,$E476, $F476, $H476, W$3)*1.3,0)),"-")</f>
        <v>-</v>
      </c>
      <c r="X477" s="70" t="str">
        <f>IF($J477=X$3,IF(X$3&gt;$I476,"-",ROUNDUP(Ld_cal($B476, $C476, $D476, $G476,$E476, $F476, $H476, X$3)*1.3,0)),"-")</f>
        <v>-</v>
      </c>
      <c r="Y477" s="70" t="str">
        <f>IF($J477=Y$3,IF(Y$3&gt;$I476,"-",ROUNDUP(Ld_cal($B476, $C476, $D476, $G476,$E476, $F476, $H476, Y$3)*1.3,0)),"-")</f>
        <v>-</v>
      </c>
      <c r="Z477" s="70" t="str">
        <f>IF($J477=Z$3,IF(Z$3&gt;$I476,"-",ROUNDUP(Ld_cal($B476, $C476, $D476, $G476,$E476, $F476, $H476, Z$3)*1.3,0)),"-")</f>
        <v>-</v>
      </c>
      <c r="AA477" s="70" t="str">
        <f>IF($J477=AA$3,IF(AA$3&gt;$I476,"-",ROUNDUP(Ld_cal($B476, $C476, $D476, $G476,$E476, $F476, $H476, AA$3)*1.3,0)),"-")</f>
        <v>-</v>
      </c>
      <c r="AB477" s="70" t="str">
        <f>IF($J477=AB$3,IF(AB$3&gt;$I476,"-",ROUNDUP(Ld_cal($B476, $C476, $D476, $G476,$E476, $F476, $H476, AB$3)*1.3,0)),"-")</f>
        <v>-</v>
      </c>
      <c r="AC477" s="70" t="str">
        <f>IF($J477=AC$3,IF(AC$3&gt;$I476,"-",ROUNDUP(Ld_cal($B476, $C476, $D476, $G476,$E476, $F476, $H476, AC$3)*1.3,0)),"-")</f>
        <v>-</v>
      </c>
      <c r="AD477" s="70">
        <f t="shared" ref="AD477" si="467">IF(J477&gt;I476,"依標準圖",MAX(L477:AC477))</f>
        <v>105</v>
      </c>
    </row>
    <row r="478" spans="1:30">
      <c r="A478" s="125" t="s">
        <v>280</v>
      </c>
      <c r="B478" s="127">
        <v>80</v>
      </c>
      <c r="C478" s="128">
        <v>7.5</v>
      </c>
      <c r="D478" s="127">
        <v>4200</v>
      </c>
      <c r="E478" s="129">
        <v>16</v>
      </c>
      <c r="F478" s="130">
        <v>25</v>
      </c>
      <c r="G478" s="127">
        <v>350</v>
      </c>
      <c r="H478" s="129">
        <v>32</v>
      </c>
      <c r="I478" s="131">
        <f>ROUNDDOWN(($B478-2*$C478-2*$E478/10-$H478/10)/(($D$1+1)*$H478/10),0)+1</f>
        <v>10</v>
      </c>
      <c r="J478" s="75">
        <v>11</v>
      </c>
      <c r="K478" s="76" t="s">
        <v>30</v>
      </c>
      <c r="L478" s="77" t="str">
        <f>IF($J478=L$3,IF(L$3&gt;$I478,"-",ROUNDUP(Ld_cal($B478, $C478, $D478, $G478,$E478, $F478, $H478, L$3)*1.3*1.3,0)),"-")</f>
        <v>-</v>
      </c>
      <c r="M478" s="77" t="str">
        <f>IF($J478=M$3,IF(M$3&gt;$I478,"-",ROUNDUP(Ld_cal($B478, $C478, $D478, $G478,$E478, $F478, $H478, M$3)*1.3*1.3,0)),"-")</f>
        <v>-</v>
      </c>
      <c r="N478" s="77" t="str">
        <f>IF($J478=N$3,IF(N$3&gt;$I478,"-",ROUNDUP(Ld_cal($B478, $C478, $D478, $G478,$E478, $F478, $H478, N$3)*1.3*1.3,0)),"-")</f>
        <v>-</v>
      </c>
      <c r="O478" s="77" t="str">
        <f>IF($J478=O$3,IF(O$3&gt;$I478,"-",ROUNDUP(Ld_cal($B478, $C478, $D478, $G478,$E478, $F478, $H478, O$3)*1.3*1.3,0)),"-")</f>
        <v>-</v>
      </c>
      <c r="P478" s="77" t="str">
        <f>IF($J478=P$3,IF(P$3&gt;$I478,"-",ROUNDUP(Ld_cal($B478, $C478, $D478, $G478,$E478, $F478, $H478, P$3)*1.3*1.3,0)),"-")</f>
        <v>-</v>
      </c>
      <c r="Q478" s="77" t="str">
        <f>IF($J478=Q$3,IF(Q$3&gt;$I478,"-",ROUNDUP(Ld_cal($B478, $C478, $D478, $G478,$E478, $F478, $H478, Q$3)*1.3*1.3,0)),"-")</f>
        <v>-</v>
      </c>
      <c r="R478" s="77" t="str">
        <f>IF($J478=R$3,IF(R$3&gt;$I478,"-",ROUNDUP(Ld_cal($B478, $C478, $D478, $G478,$E478, $F478, $H478, R$3)*1.3*1.3,0)),"-")</f>
        <v>-</v>
      </c>
      <c r="S478" s="77" t="str">
        <f>IF($J478=S$3,IF(S$3&gt;$I478,"-",ROUNDUP(Ld_cal($B478, $C478, $D478, $G478,$E478, $F478, $H478, S$3)*1.3*1.3,0)),"-")</f>
        <v>-</v>
      </c>
      <c r="T478" s="77" t="str">
        <f>IF($J478=T$3,IF(T$3&gt;$I478,"-",ROUNDUP(Ld_cal($B478, $C478, $D478, $G478,$E478, $F478, $H478, T$3)*1.3*1.3,0)),"-")</f>
        <v>-</v>
      </c>
      <c r="U478" s="77" t="str">
        <f>IF($J478=U$3,IF(U$3&gt;$I478,"-",ROUNDUP(Ld_cal($B478, $C478, $D478, $G478,$E478, $F478, $H478, U$3)*1.3*1.3,0)),"-")</f>
        <v>-</v>
      </c>
      <c r="V478" s="77" t="str">
        <f>IF($J478=V$3,IF(V$3&gt;$I478,"-",ROUNDUP(Ld_cal($B478, $C478, $D478, $G478,$E478, $F478, $H478, V$3)*1.3*1.3,0)),"-")</f>
        <v>-</v>
      </c>
      <c r="W478" s="77" t="str">
        <f>IF($J478=W$3,IF(W$3&gt;$I478,"-",ROUNDUP(Ld_cal($B478, $C478, $D478, $G478,$E478, $F478, $H478, W$3)*1.3*1.3,0)),"-")</f>
        <v>-</v>
      </c>
      <c r="X478" s="77" t="str">
        <f>IF($J478=X$3,IF(X$3&gt;$I478,"-",ROUNDUP(Ld_cal($B478, $C478, $D478, $G478,$E478, $F478, $H478, X$3)*1.3*1.3,0)),"-")</f>
        <v>-</v>
      </c>
      <c r="Y478" s="77" t="str">
        <f>IF($J478=Y$3,IF(Y$3&gt;$I478,"-",ROUNDUP(Ld_cal($B478, $C478, $D478, $G478,$E478, $F478, $H478, Y$3)*1.3*1.3,0)),"-")</f>
        <v>-</v>
      </c>
      <c r="Z478" s="77" t="str">
        <f>IF($J478=Z$3,IF(Z$3&gt;$I478,"-",ROUNDUP(Ld_cal($B478, $C478, $D478, $G478,$E478, $F478, $H478, Z$3)*1.3*1.3,0)),"-")</f>
        <v>-</v>
      </c>
      <c r="AA478" s="77" t="str">
        <f>IF($J478=AA$3,IF(AA$3&gt;$I478,"-",ROUNDUP(Ld_cal($B478, $C478, $D478, $G478,$E478, $F478, $H478, AA$3)*1.3*1.3,0)),"-")</f>
        <v>-</v>
      </c>
      <c r="AB478" s="77" t="str">
        <f>IF($J478=AB$3,IF(AB$3&gt;$I478,"-",ROUNDUP(Ld_cal($B478, $C478, $D478, $G478,$E478, $F478, $H478, AB$3)*1.3*1.3,0)),"-")</f>
        <v>-</v>
      </c>
      <c r="AC478" s="77" t="str">
        <f>IF($J478=AC$3,IF(AC$3&gt;$I478,"-",ROUNDUP(Ld_cal($B478, $C478, $D478, $G478,$E478, $F478, $H478, AC$3)*1.3*1.3,0)),"-")</f>
        <v>-</v>
      </c>
      <c r="AD478" s="77" t="str">
        <f t="shared" ref="AD478" si="468">IF(J478&gt;I478,"依標準圖",MAX(L478:AC478))</f>
        <v>依標準圖</v>
      </c>
    </row>
    <row r="479" spans="1:30">
      <c r="A479" s="126"/>
      <c r="B479" s="127"/>
      <c r="C479" s="128"/>
      <c r="D479" s="127"/>
      <c r="E479" s="129"/>
      <c r="F479" s="130"/>
      <c r="G479" s="127"/>
      <c r="H479" s="129"/>
      <c r="I479" s="131"/>
      <c r="J479" s="75">
        <v>4</v>
      </c>
      <c r="K479" s="76" t="s">
        <v>29</v>
      </c>
      <c r="L479" s="77" t="str">
        <f>IF($J479=L$3,IF(L$3&gt;$I478,"-",ROUNDUP(Ld_cal($B478, $C478, $D478, $G478,$E478, $F478, $H478, L$3)*1.3,0)),"-")</f>
        <v>-</v>
      </c>
      <c r="M479" s="77">
        <f>IF($J479=M$3,IF(M$3&gt;$I478,"-",ROUNDUP(Ld_cal($B478, $C478, $D478, $G478,$E478, $F478, $H478, M$3)*1.3,0)),"-")</f>
        <v>105</v>
      </c>
      <c r="N479" s="77" t="str">
        <f>IF($J479=N$3,IF(N$3&gt;$I478,"-",ROUNDUP(Ld_cal($B478, $C478, $D478, $G478,$E478, $F478, $H478, N$3)*1.3,0)),"-")</f>
        <v>-</v>
      </c>
      <c r="O479" s="77" t="str">
        <f>IF($J479=O$3,IF(O$3&gt;$I478,"-",ROUNDUP(Ld_cal($B478, $C478, $D478, $G478,$E478, $F478, $H478, O$3)*1.3,0)),"-")</f>
        <v>-</v>
      </c>
      <c r="P479" s="77" t="str">
        <f>IF($J479=P$3,IF(P$3&gt;$I478,"-",ROUNDUP(Ld_cal($B478, $C478, $D478, $G478,$E478, $F478, $H478, P$3)*1.3,0)),"-")</f>
        <v>-</v>
      </c>
      <c r="Q479" s="77" t="str">
        <f>IF($J479=Q$3,IF(Q$3&gt;$I478,"-",ROUNDUP(Ld_cal($B478, $C478, $D478, $G478,$E478, $F478, $H478, Q$3)*1.3,0)),"-")</f>
        <v>-</v>
      </c>
      <c r="R479" s="77" t="str">
        <f>IF($J479=R$3,IF(R$3&gt;$I478,"-",ROUNDUP(Ld_cal($B478, $C478, $D478, $G478,$E478, $F478, $H478, R$3)*1.3,0)),"-")</f>
        <v>-</v>
      </c>
      <c r="S479" s="77" t="str">
        <f>IF($J479=S$3,IF(S$3&gt;$I478,"-",ROUNDUP(Ld_cal($B478, $C478, $D478, $G478,$E478, $F478, $H478, S$3)*1.3,0)),"-")</f>
        <v>-</v>
      </c>
      <c r="T479" s="77" t="str">
        <f>IF($J479=T$3,IF(T$3&gt;$I478,"-",ROUNDUP(Ld_cal($B478, $C478, $D478, $G478,$E478, $F478, $H478, T$3)*1.3,0)),"-")</f>
        <v>-</v>
      </c>
      <c r="U479" s="77" t="str">
        <f>IF($J479=U$3,IF(U$3&gt;$I478,"-",ROUNDUP(Ld_cal($B478, $C478, $D478, $G478,$E478, $F478, $H478, U$3)*1.3,0)),"-")</f>
        <v>-</v>
      </c>
      <c r="V479" s="77" t="str">
        <f>IF($J479=V$3,IF(V$3&gt;$I478,"-",ROUNDUP(Ld_cal($B478, $C478, $D478, $G478,$E478, $F478, $H478, V$3)*1.3,0)),"-")</f>
        <v>-</v>
      </c>
      <c r="W479" s="77" t="str">
        <f>IF($J479=W$3,IF(W$3&gt;$I478,"-",ROUNDUP(Ld_cal($B478, $C478, $D478, $G478,$E478, $F478, $H478, W$3)*1.3,0)),"-")</f>
        <v>-</v>
      </c>
      <c r="X479" s="77" t="str">
        <f>IF($J479=X$3,IF(X$3&gt;$I478,"-",ROUNDUP(Ld_cal($B478, $C478, $D478, $G478,$E478, $F478, $H478, X$3)*1.3,0)),"-")</f>
        <v>-</v>
      </c>
      <c r="Y479" s="77" t="str">
        <f>IF($J479=Y$3,IF(Y$3&gt;$I478,"-",ROUNDUP(Ld_cal($B478, $C478, $D478, $G478,$E478, $F478, $H478, Y$3)*1.3,0)),"-")</f>
        <v>-</v>
      </c>
      <c r="Z479" s="77" t="str">
        <f>IF($J479=Z$3,IF(Z$3&gt;$I478,"-",ROUNDUP(Ld_cal($B478, $C478, $D478, $G478,$E478, $F478, $H478, Z$3)*1.3,0)),"-")</f>
        <v>-</v>
      </c>
      <c r="AA479" s="77" t="str">
        <f>IF($J479=AA$3,IF(AA$3&gt;$I478,"-",ROUNDUP(Ld_cal($B478, $C478, $D478, $G478,$E478, $F478, $H478, AA$3)*1.3,0)),"-")</f>
        <v>-</v>
      </c>
      <c r="AB479" s="77" t="str">
        <f>IF($J479=AB$3,IF(AB$3&gt;$I478,"-",ROUNDUP(Ld_cal($B478, $C478, $D478, $G478,$E478, $F478, $H478, AB$3)*1.3,0)),"-")</f>
        <v>-</v>
      </c>
      <c r="AC479" s="77" t="str">
        <f>IF($J479=AC$3,IF(AC$3&gt;$I478,"-",ROUNDUP(Ld_cal($B478, $C478, $D478, $G478,$E478, $F478, $H478, AC$3)*1.3,0)),"-")</f>
        <v>-</v>
      </c>
      <c r="AD479" s="77">
        <f t="shared" ref="AD479" si="469">IF(J479&gt;I478,"依標準圖",MAX(L479:AC479))</f>
        <v>105</v>
      </c>
    </row>
    <row r="480" spans="1:30">
      <c r="A480" s="105" t="s">
        <v>281</v>
      </c>
      <c r="B480" s="107">
        <v>80</v>
      </c>
      <c r="C480" s="108">
        <v>7.5</v>
      </c>
      <c r="D480" s="107">
        <v>4200</v>
      </c>
      <c r="E480" s="109">
        <v>13</v>
      </c>
      <c r="F480" s="110">
        <v>10</v>
      </c>
      <c r="G480" s="107">
        <v>350</v>
      </c>
      <c r="H480" s="109">
        <v>32</v>
      </c>
      <c r="I480" s="111">
        <f>ROUNDDOWN(($B480-2*$C480-2*$E480/10-$H480/10)/(($D$1+1)*$H480/10),0)+1</f>
        <v>10</v>
      </c>
      <c r="J480" s="73">
        <v>6</v>
      </c>
      <c r="K480" s="40" t="s">
        <v>30</v>
      </c>
      <c r="L480" s="70" t="str">
        <f>IF($J480=L$3,IF(L$3&gt;$I480,"-",ROUNDUP(Ld_cal($B480, $C480, $D480, $G480,$E480, $F480, $H480, L$3)*1.3*1.3,0)),"-")</f>
        <v>-</v>
      </c>
      <c r="M480" s="70" t="str">
        <f>IF($J480=M$3,IF(M$3&gt;$I480,"-",ROUNDUP(Ld_cal($B480, $C480, $D480, $G480,$E480, $F480, $H480, M$3)*1.3*1.3,0)),"-")</f>
        <v>-</v>
      </c>
      <c r="N480" s="70" t="str">
        <f>IF($J480=N$3,IF(N$3&gt;$I480,"-",ROUNDUP(Ld_cal($B480, $C480, $D480, $G480,$E480, $F480, $H480, N$3)*1.3*1.3,0)),"-")</f>
        <v>-</v>
      </c>
      <c r="O480" s="70">
        <f>IF($J480=O$3,IF(O$3&gt;$I480,"-",ROUNDUP(Ld_cal($B480, $C480, $D480, $G480,$E480, $F480, $H480, O$3)*1.3*1.3,0)),"-")</f>
        <v>142</v>
      </c>
      <c r="P480" s="70" t="str">
        <f>IF($J480=P$3,IF(P$3&gt;$I480,"-",ROUNDUP(Ld_cal($B480, $C480, $D480, $G480,$E480, $F480, $H480, P$3)*1.3*1.3,0)),"-")</f>
        <v>-</v>
      </c>
      <c r="Q480" s="70" t="str">
        <f>IF($J480=Q$3,IF(Q$3&gt;$I480,"-",ROUNDUP(Ld_cal($B480, $C480, $D480, $G480,$E480, $F480, $H480, Q$3)*1.3*1.3,0)),"-")</f>
        <v>-</v>
      </c>
      <c r="R480" s="70" t="str">
        <f>IF($J480=R$3,IF(R$3&gt;$I480,"-",ROUNDUP(Ld_cal($B480, $C480, $D480, $G480,$E480, $F480, $H480, R$3)*1.3*1.3,0)),"-")</f>
        <v>-</v>
      </c>
      <c r="S480" s="70" t="str">
        <f>IF($J480=S$3,IF(S$3&gt;$I480,"-",ROUNDUP(Ld_cal($B480, $C480, $D480, $G480,$E480, $F480, $H480, S$3)*1.3*1.3,0)),"-")</f>
        <v>-</v>
      </c>
      <c r="T480" s="70" t="str">
        <f>IF($J480=T$3,IF(T$3&gt;$I480,"-",ROUNDUP(Ld_cal($B480, $C480, $D480, $G480,$E480, $F480, $H480, T$3)*1.3*1.3,0)),"-")</f>
        <v>-</v>
      </c>
      <c r="U480" s="70" t="str">
        <f>IF($J480=U$3,IF(U$3&gt;$I480,"-",ROUNDUP(Ld_cal($B480, $C480, $D480, $G480,$E480, $F480, $H480, U$3)*1.3*1.3,0)),"-")</f>
        <v>-</v>
      </c>
      <c r="V480" s="70" t="str">
        <f>IF($J480=V$3,IF(V$3&gt;$I480,"-",ROUNDUP(Ld_cal($B480, $C480, $D480, $G480,$E480, $F480, $H480, V$3)*1.3*1.3,0)),"-")</f>
        <v>-</v>
      </c>
      <c r="W480" s="70" t="str">
        <f>IF($J480=W$3,IF(W$3&gt;$I480,"-",ROUNDUP(Ld_cal($B480, $C480, $D480, $G480,$E480, $F480, $H480, W$3)*1.3*1.3,0)),"-")</f>
        <v>-</v>
      </c>
      <c r="X480" s="70" t="str">
        <f>IF($J480=X$3,IF(X$3&gt;$I480,"-",ROUNDUP(Ld_cal($B480, $C480, $D480, $G480,$E480, $F480, $H480, X$3)*1.3*1.3,0)),"-")</f>
        <v>-</v>
      </c>
      <c r="Y480" s="70" t="str">
        <f>IF($J480=Y$3,IF(Y$3&gt;$I480,"-",ROUNDUP(Ld_cal($B480, $C480, $D480, $G480,$E480, $F480, $H480, Y$3)*1.3*1.3,0)),"-")</f>
        <v>-</v>
      </c>
      <c r="Z480" s="70" t="str">
        <f>IF($J480=Z$3,IF(Z$3&gt;$I480,"-",ROUNDUP(Ld_cal($B480, $C480, $D480, $G480,$E480, $F480, $H480, Z$3)*1.3*1.3,0)),"-")</f>
        <v>-</v>
      </c>
      <c r="AA480" s="70" t="str">
        <f>IF($J480=AA$3,IF(AA$3&gt;$I480,"-",ROUNDUP(Ld_cal($B480, $C480, $D480, $G480,$E480, $F480, $H480, AA$3)*1.3*1.3,0)),"-")</f>
        <v>-</v>
      </c>
      <c r="AB480" s="70" t="str">
        <f>IF($J480=AB$3,IF(AB$3&gt;$I480,"-",ROUNDUP(Ld_cal($B480, $C480, $D480, $G480,$E480, $F480, $H480, AB$3)*1.3*1.3,0)),"-")</f>
        <v>-</v>
      </c>
      <c r="AC480" s="70" t="str">
        <f>IF($J480=AC$3,IF(AC$3&gt;$I480,"-",ROUNDUP(Ld_cal($B480, $C480, $D480, $G480,$E480, $F480, $H480, AC$3)*1.3*1.3,0)),"-")</f>
        <v>-</v>
      </c>
      <c r="AD480" s="70">
        <f t="shared" ref="AD480" si="470">IF(J480&gt;I480,"依標準圖",MAX(L480:AC480))</f>
        <v>142</v>
      </c>
    </row>
    <row r="481" spans="1:30">
      <c r="A481" s="106"/>
      <c r="B481" s="107"/>
      <c r="C481" s="108"/>
      <c r="D481" s="107"/>
      <c r="E481" s="109"/>
      <c r="F481" s="110"/>
      <c r="G481" s="107"/>
      <c r="H481" s="109"/>
      <c r="I481" s="111"/>
      <c r="J481" s="73">
        <v>8</v>
      </c>
      <c r="K481" s="40" t="s">
        <v>29</v>
      </c>
      <c r="L481" s="70" t="str">
        <f>IF($J481=L$3,IF(L$3&gt;$I480,"-",ROUNDUP(Ld_cal($B480, $C480, $D480, $G480,$E480, $F480, $H480, L$3)*1.3,0)),"-")</f>
        <v>-</v>
      </c>
      <c r="M481" s="70" t="str">
        <f>IF($J481=M$3,IF(M$3&gt;$I480,"-",ROUNDUP(Ld_cal($B480, $C480, $D480, $G480,$E480, $F480, $H480, M$3)*1.3,0)),"-")</f>
        <v>-</v>
      </c>
      <c r="N481" s="70" t="str">
        <f>IF($J481=N$3,IF(N$3&gt;$I480,"-",ROUNDUP(Ld_cal($B480, $C480, $D480, $G480,$E480, $F480, $H480, N$3)*1.3,0)),"-")</f>
        <v>-</v>
      </c>
      <c r="O481" s="70" t="str">
        <f>IF($J481=O$3,IF(O$3&gt;$I480,"-",ROUNDUP(Ld_cal($B480, $C480, $D480, $G480,$E480, $F480, $H480, O$3)*1.3,0)),"-")</f>
        <v>-</v>
      </c>
      <c r="P481" s="70" t="str">
        <f>IF($J481=P$3,IF(P$3&gt;$I480,"-",ROUNDUP(Ld_cal($B480, $C480, $D480, $G480,$E480, $F480, $H480, P$3)*1.3,0)),"-")</f>
        <v>-</v>
      </c>
      <c r="Q481" s="70">
        <f>IF($J481=Q$3,IF(Q$3&gt;$I480,"-",ROUNDUP(Ld_cal($B480, $C480, $D480, $G480,$E480, $F480, $H480, Q$3)*1.3,0)),"-")</f>
        <v>151</v>
      </c>
      <c r="R481" s="70" t="str">
        <f>IF($J481=R$3,IF(R$3&gt;$I480,"-",ROUNDUP(Ld_cal($B480, $C480, $D480, $G480,$E480, $F480, $H480, R$3)*1.3,0)),"-")</f>
        <v>-</v>
      </c>
      <c r="S481" s="70" t="str">
        <f>IF($J481=S$3,IF(S$3&gt;$I480,"-",ROUNDUP(Ld_cal($B480, $C480, $D480, $G480,$E480, $F480, $H480, S$3)*1.3,0)),"-")</f>
        <v>-</v>
      </c>
      <c r="T481" s="70" t="str">
        <f>IF($J481=T$3,IF(T$3&gt;$I480,"-",ROUNDUP(Ld_cal($B480, $C480, $D480, $G480,$E480, $F480, $H480, T$3)*1.3,0)),"-")</f>
        <v>-</v>
      </c>
      <c r="U481" s="70" t="str">
        <f>IF($J481=U$3,IF(U$3&gt;$I480,"-",ROUNDUP(Ld_cal($B480, $C480, $D480, $G480,$E480, $F480, $H480, U$3)*1.3,0)),"-")</f>
        <v>-</v>
      </c>
      <c r="V481" s="70" t="str">
        <f>IF($J481=V$3,IF(V$3&gt;$I480,"-",ROUNDUP(Ld_cal($B480, $C480, $D480, $G480,$E480, $F480, $H480, V$3)*1.3,0)),"-")</f>
        <v>-</v>
      </c>
      <c r="W481" s="70" t="str">
        <f>IF($J481=W$3,IF(W$3&gt;$I480,"-",ROUNDUP(Ld_cal($B480, $C480, $D480, $G480,$E480, $F480, $H480, W$3)*1.3,0)),"-")</f>
        <v>-</v>
      </c>
      <c r="X481" s="70" t="str">
        <f>IF($J481=X$3,IF(X$3&gt;$I480,"-",ROUNDUP(Ld_cal($B480, $C480, $D480, $G480,$E480, $F480, $H480, X$3)*1.3,0)),"-")</f>
        <v>-</v>
      </c>
      <c r="Y481" s="70" t="str">
        <f>IF($J481=Y$3,IF(Y$3&gt;$I480,"-",ROUNDUP(Ld_cal($B480, $C480, $D480, $G480,$E480, $F480, $H480, Y$3)*1.3,0)),"-")</f>
        <v>-</v>
      </c>
      <c r="Z481" s="70" t="str">
        <f>IF($J481=Z$3,IF(Z$3&gt;$I480,"-",ROUNDUP(Ld_cal($B480, $C480, $D480, $G480,$E480, $F480, $H480, Z$3)*1.3,0)),"-")</f>
        <v>-</v>
      </c>
      <c r="AA481" s="70" t="str">
        <f>IF($J481=AA$3,IF(AA$3&gt;$I480,"-",ROUNDUP(Ld_cal($B480, $C480, $D480, $G480,$E480, $F480, $H480, AA$3)*1.3,0)),"-")</f>
        <v>-</v>
      </c>
      <c r="AB481" s="70" t="str">
        <f>IF($J481=AB$3,IF(AB$3&gt;$I480,"-",ROUNDUP(Ld_cal($B480, $C480, $D480, $G480,$E480, $F480, $H480, AB$3)*1.3,0)),"-")</f>
        <v>-</v>
      </c>
      <c r="AC481" s="70" t="str">
        <f>IF($J481=AC$3,IF(AC$3&gt;$I480,"-",ROUNDUP(Ld_cal($B480, $C480, $D480, $G480,$E480, $F480, $H480, AC$3)*1.3,0)),"-")</f>
        <v>-</v>
      </c>
      <c r="AD481" s="70">
        <f t="shared" ref="AD481" si="471">IF(J481&gt;I480,"依標準圖",MAX(L481:AC481))</f>
        <v>151</v>
      </c>
    </row>
    <row r="482" spans="1:30">
      <c r="A482" s="125" t="s">
        <v>282</v>
      </c>
      <c r="B482" s="127">
        <v>80</v>
      </c>
      <c r="C482" s="128">
        <v>7.5</v>
      </c>
      <c r="D482" s="127">
        <v>4200</v>
      </c>
      <c r="E482" s="129">
        <v>13</v>
      </c>
      <c r="F482" s="130">
        <v>9</v>
      </c>
      <c r="G482" s="127">
        <v>350</v>
      </c>
      <c r="H482" s="129">
        <v>32</v>
      </c>
      <c r="I482" s="131">
        <f>ROUNDDOWN(($B482-2*$C482-2*$E482/10-$H482/10)/(($D$1+1)*$H482/10),0)+1</f>
        <v>10</v>
      </c>
      <c r="J482" s="75">
        <v>10</v>
      </c>
      <c r="K482" s="76" t="s">
        <v>30</v>
      </c>
      <c r="L482" s="77" t="str">
        <f>IF($J482=L$3,IF(L$3&gt;$I482,"-",ROUNDUP(Ld_cal($B482, $C482, $D482, $G482,$E482, $F482, $H482, L$3)*1.3*1.3,0)),"-")</f>
        <v>-</v>
      </c>
      <c r="M482" s="77" t="str">
        <f>IF($J482=M$3,IF(M$3&gt;$I482,"-",ROUNDUP(Ld_cal($B482, $C482, $D482, $G482,$E482, $F482, $H482, M$3)*1.3*1.3,0)),"-")</f>
        <v>-</v>
      </c>
      <c r="N482" s="77" t="str">
        <f>IF($J482=N$3,IF(N$3&gt;$I482,"-",ROUNDUP(Ld_cal($B482, $C482, $D482, $G482,$E482, $F482, $H482, N$3)*1.3*1.3,0)),"-")</f>
        <v>-</v>
      </c>
      <c r="O482" s="77" t="str">
        <f>IF($J482=O$3,IF(O$3&gt;$I482,"-",ROUNDUP(Ld_cal($B482, $C482, $D482, $G482,$E482, $F482, $H482, O$3)*1.3*1.3,0)),"-")</f>
        <v>-</v>
      </c>
      <c r="P482" s="77" t="str">
        <f>IF($J482=P$3,IF(P$3&gt;$I482,"-",ROUNDUP(Ld_cal($B482, $C482, $D482, $G482,$E482, $F482, $H482, P$3)*1.3*1.3,0)),"-")</f>
        <v>-</v>
      </c>
      <c r="Q482" s="77" t="str">
        <f>IF($J482=Q$3,IF(Q$3&gt;$I482,"-",ROUNDUP(Ld_cal($B482, $C482, $D482, $G482,$E482, $F482, $H482, Q$3)*1.3*1.3,0)),"-")</f>
        <v>-</v>
      </c>
      <c r="R482" s="77" t="str">
        <f>IF($J482=R$3,IF(R$3&gt;$I482,"-",ROUNDUP(Ld_cal($B482, $C482, $D482, $G482,$E482, $F482, $H482, R$3)*1.3*1.3,0)),"-")</f>
        <v>-</v>
      </c>
      <c r="S482" s="77">
        <f>IF($J482=S$3,IF(S$3&gt;$I482,"-",ROUNDUP(Ld_cal($B482, $C482, $D482, $G482,$E482, $F482, $H482, S$3)*1.3*1.3,0)),"-")</f>
        <v>244</v>
      </c>
      <c r="T482" s="77" t="str">
        <f>IF($J482=T$3,IF(T$3&gt;$I482,"-",ROUNDUP(Ld_cal($B482, $C482, $D482, $G482,$E482, $F482, $H482, T$3)*1.3*1.3,0)),"-")</f>
        <v>-</v>
      </c>
      <c r="U482" s="77" t="str">
        <f>IF($J482=U$3,IF(U$3&gt;$I482,"-",ROUNDUP(Ld_cal($B482, $C482, $D482, $G482,$E482, $F482, $H482, U$3)*1.3*1.3,0)),"-")</f>
        <v>-</v>
      </c>
      <c r="V482" s="77" t="str">
        <f>IF($J482=V$3,IF(V$3&gt;$I482,"-",ROUNDUP(Ld_cal($B482, $C482, $D482, $G482,$E482, $F482, $H482, V$3)*1.3*1.3,0)),"-")</f>
        <v>-</v>
      </c>
      <c r="W482" s="77" t="str">
        <f>IF($J482=W$3,IF(W$3&gt;$I482,"-",ROUNDUP(Ld_cal($B482, $C482, $D482, $G482,$E482, $F482, $H482, W$3)*1.3*1.3,0)),"-")</f>
        <v>-</v>
      </c>
      <c r="X482" s="77" t="str">
        <f>IF($J482=X$3,IF(X$3&gt;$I482,"-",ROUNDUP(Ld_cal($B482, $C482, $D482, $G482,$E482, $F482, $H482, X$3)*1.3*1.3,0)),"-")</f>
        <v>-</v>
      </c>
      <c r="Y482" s="77" t="str">
        <f>IF($J482=Y$3,IF(Y$3&gt;$I482,"-",ROUNDUP(Ld_cal($B482, $C482, $D482, $G482,$E482, $F482, $H482, Y$3)*1.3*1.3,0)),"-")</f>
        <v>-</v>
      </c>
      <c r="Z482" s="77" t="str">
        <f>IF($J482=Z$3,IF(Z$3&gt;$I482,"-",ROUNDUP(Ld_cal($B482, $C482, $D482, $G482,$E482, $F482, $H482, Z$3)*1.3*1.3,0)),"-")</f>
        <v>-</v>
      </c>
      <c r="AA482" s="77" t="str">
        <f>IF($J482=AA$3,IF(AA$3&gt;$I482,"-",ROUNDUP(Ld_cal($B482, $C482, $D482, $G482,$E482, $F482, $H482, AA$3)*1.3*1.3,0)),"-")</f>
        <v>-</v>
      </c>
      <c r="AB482" s="77" t="str">
        <f>IF($J482=AB$3,IF(AB$3&gt;$I482,"-",ROUNDUP(Ld_cal($B482, $C482, $D482, $G482,$E482, $F482, $H482, AB$3)*1.3*1.3,0)),"-")</f>
        <v>-</v>
      </c>
      <c r="AC482" s="77" t="str">
        <f>IF($J482=AC$3,IF(AC$3&gt;$I482,"-",ROUNDUP(Ld_cal($B482, $C482, $D482, $G482,$E482, $F482, $H482, AC$3)*1.3*1.3,0)),"-")</f>
        <v>-</v>
      </c>
      <c r="AD482" s="77">
        <f t="shared" ref="AD482" si="472">IF(J482&gt;I482,"依標準圖",MAX(L482:AC482))</f>
        <v>244</v>
      </c>
    </row>
    <row r="483" spans="1:30">
      <c r="A483" s="126"/>
      <c r="B483" s="127"/>
      <c r="C483" s="128"/>
      <c r="D483" s="127"/>
      <c r="E483" s="129"/>
      <c r="F483" s="130"/>
      <c r="G483" s="127"/>
      <c r="H483" s="129"/>
      <c r="I483" s="131"/>
      <c r="J483" s="75">
        <v>8</v>
      </c>
      <c r="K483" s="76" t="s">
        <v>29</v>
      </c>
      <c r="L483" s="77" t="str">
        <f>IF($J483=L$3,IF(L$3&gt;$I482,"-",ROUNDUP(Ld_cal($B482, $C482, $D482, $G482,$E482, $F482, $H482, L$3)*1.3,0)),"-")</f>
        <v>-</v>
      </c>
      <c r="M483" s="77" t="str">
        <f>IF($J483=M$3,IF(M$3&gt;$I482,"-",ROUNDUP(Ld_cal($B482, $C482, $D482, $G482,$E482, $F482, $H482, M$3)*1.3,0)),"-")</f>
        <v>-</v>
      </c>
      <c r="N483" s="77" t="str">
        <f>IF($J483=N$3,IF(N$3&gt;$I482,"-",ROUNDUP(Ld_cal($B482, $C482, $D482, $G482,$E482, $F482, $H482, N$3)*1.3,0)),"-")</f>
        <v>-</v>
      </c>
      <c r="O483" s="77" t="str">
        <f>IF($J483=O$3,IF(O$3&gt;$I482,"-",ROUNDUP(Ld_cal($B482, $C482, $D482, $G482,$E482, $F482, $H482, O$3)*1.3,0)),"-")</f>
        <v>-</v>
      </c>
      <c r="P483" s="77" t="str">
        <f>IF($J483=P$3,IF(P$3&gt;$I482,"-",ROUNDUP(Ld_cal($B482, $C482, $D482, $G482,$E482, $F482, $H482, P$3)*1.3,0)),"-")</f>
        <v>-</v>
      </c>
      <c r="Q483" s="77">
        <f>IF($J483=Q$3,IF(Q$3&gt;$I482,"-",ROUNDUP(Ld_cal($B482, $C482, $D482, $G482,$E482, $F482, $H482, Q$3)*1.3,0)),"-")</f>
        <v>147</v>
      </c>
      <c r="R483" s="77" t="str">
        <f>IF($J483=R$3,IF(R$3&gt;$I482,"-",ROUNDUP(Ld_cal($B482, $C482, $D482, $G482,$E482, $F482, $H482, R$3)*1.3,0)),"-")</f>
        <v>-</v>
      </c>
      <c r="S483" s="77" t="str">
        <f>IF($J483=S$3,IF(S$3&gt;$I482,"-",ROUNDUP(Ld_cal($B482, $C482, $D482, $G482,$E482, $F482, $H482, S$3)*1.3,0)),"-")</f>
        <v>-</v>
      </c>
      <c r="T483" s="77" t="str">
        <f>IF($J483=T$3,IF(T$3&gt;$I482,"-",ROUNDUP(Ld_cal($B482, $C482, $D482, $G482,$E482, $F482, $H482, T$3)*1.3,0)),"-")</f>
        <v>-</v>
      </c>
      <c r="U483" s="77" t="str">
        <f>IF($J483=U$3,IF(U$3&gt;$I482,"-",ROUNDUP(Ld_cal($B482, $C482, $D482, $G482,$E482, $F482, $H482, U$3)*1.3,0)),"-")</f>
        <v>-</v>
      </c>
      <c r="V483" s="77" t="str">
        <f>IF($J483=V$3,IF(V$3&gt;$I482,"-",ROUNDUP(Ld_cal($B482, $C482, $D482, $G482,$E482, $F482, $H482, V$3)*1.3,0)),"-")</f>
        <v>-</v>
      </c>
      <c r="W483" s="77" t="str">
        <f>IF($J483=W$3,IF(W$3&gt;$I482,"-",ROUNDUP(Ld_cal($B482, $C482, $D482, $G482,$E482, $F482, $H482, W$3)*1.3,0)),"-")</f>
        <v>-</v>
      </c>
      <c r="X483" s="77" t="str">
        <f>IF($J483=X$3,IF(X$3&gt;$I482,"-",ROUNDUP(Ld_cal($B482, $C482, $D482, $G482,$E482, $F482, $H482, X$3)*1.3,0)),"-")</f>
        <v>-</v>
      </c>
      <c r="Y483" s="77" t="str">
        <f>IF($J483=Y$3,IF(Y$3&gt;$I482,"-",ROUNDUP(Ld_cal($B482, $C482, $D482, $G482,$E482, $F482, $H482, Y$3)*1.3,0)),"-")</f>
        <v>-</v>
      </c>
      <c r="Z483" s="77" t="str">
        <f>IF($J483=Z$3,IF(Z$3&gt;$I482,"-",ROUNDUP(Ld_cal($B482, $C482, $D482, $G482,$E482, $F482, $H482, Z$3)*1.3,0)),"-")</f>
        <v>-</v>
      </c>
      <c r="AA483" s="77" t="str">
        <f>IF($J483=AA$3,IF(AA$3&gt;$I482,"-",ROUNDUP(Ld_cal($B482, $C482, $D482, $G482,$E482, $F482, $H482, AA$3)*1.3,0)),"-")</f>
        <v>-</v>
      </c>
      <c r="AB483" s="77" t="str">
        <f>IF($J483=AB$3,IF(AB$3&gt;$I482,"-",ROUNDUP(Ld_cal($B482, $C482, $D482, $G482,$E482, $F482, $H482, AB$3)*1.3,0)),"-")</f>
        <v>-</v>
      </c>
      <c r="AC483" s="77" t="str">
        <f>IF($J483=AC$3,IF(AC$3&gt;$I482,"-",ROUNDUP(Ld_cal($B482, $C482, $D482, $G482,$E482, $F482, $H482, AC$3)*1.3,0)),"-")</f>
        <v>-</v>
      </c>
      <c r="AD483" s="77">
        <f t="shared" ref="AD483" si="473">IF(J483&gt;I482,"依標準圖",MAX(L483:AC483))</f>
        <v>147</v>
      </c>
    </row>
    <row r="484" spans="1:30">
      <c r="A484" s="105" t="s">
        <v>283</v>
      </c>
      <c r="B484" s="107">
        <v>80</v>
      </c>
      <c r="C484" s="108">
        <v>7.5</v>
      </c>
      <c r="D484" s="107">
        <v>4200</v>
      </c>
      <c r="E484" s="109">
        <v>16</v>
      </c>
      <c r="F484" s="110">
        <v>25</v>
      </c>
      <c r="G484" s="107">
        <v>350</v>
      </c>
      <c r="H484" s="109">
        <v>32</v>
      </c>
      <c r="I484" s="111">
        <f>ROUNDDOWN(($B484-2*$C484-2*$E484/10-$H484/10)/(($D$1+1)*$H484/10),0)+1</f>
        <v>10</v>
      </c>
      <c r="J484" s="73">
        <v>5</v>
      </c>
      <c r="K484" s="40" t="s">
        <v>30</v>
      </c>
      <c r="L484" s="70" t="str">
        <f>IF($J484=L$3,IF(L$3&gt;$I484,"-",ROUNDUP(Ld_cal($B484, $C484, $D484, $G484,$E484, $F484, $H484, L$3)*1.3*1.3,0)),"-")</f>
        <v>-</v>
      </c>
      <c r="M484" s="70" t="str">
        <f>IF($J484=M$3,IF(M$3&gt;$I484,"-",ROUNDUP(Ld_cal($B484, $C484, $D484, $G484,$E484, $F484, $H484, M$3)*1.3*1.3,0)),"-")</f>
        <v>-</v>
      </c>
      <c r="N484" s="70">
        <f>IF($J484=N$3,IF(N$3&gt;$I484,"-",ROUNDUP(Ld_cal($B484, $C484, $D484, $G484,$E484, $F484, $H484, N$3)*1.3*1.3,0)),"-")</f>
        <v>136</v>
      </c>
      <c r="O484" s="70" t="str">
        <f>IF($J484=O$3,IF(O$3&gt;$I484,"-",ROUNDUP(Ld_cal($B484, $C484, $D484, $G484,$E484, $F484, $H484, O$3)*1.3*1.3,0)),"-")</f>
        <v>-</v>
      </c>
      <c r="P484" s="70" t="str">
        <f>IF($J484=P$3,IF(P$3&gt;$I484,"-",ROUNDUP(Ld_cal($B484, $C484, $D484, $G484,$E484, $F484, $H484, P$3)*1.3*1.3,0)),"-")</f>
        <v>-</v>
      </c>
      <c r="Q484" s="70" t="str">
        <f>IF($J484=Q$3,IF(Q$3&gt;$I484,"-",ROUNDUP(Ld_cal($B484, $C484, $D484, $G484,$E484, $F484, $H484, Q$3)*1.3*1.3,0)),"-")</f>
        <v>-</v>
      </c>
      <c r="R484" s="70" t="str">
        <f>IF($J484=R$3,IF(R$3&gt;$I484,"-",ROUNDUP(Ld_cal($B484, $C484, $D484, $G484,$E484, $F484, $H484, R$3)*1.3*1.3,0)),"-")</f>
        <v>-</v>
      </c>
      <c r="S484" s="70" t="str">
        <f>IF($J484=S$3,IF(S$3&gt;$I484,"-",ROUNDUP(Ld_cal($B484, $C484, $D484, $G484,$E484, $F484, $H484, S$3)*1.3*1.3,0)),"-")</f>
        <v>-</v>
      </c>
      <c r="T484" s="70" t="str">
        <f>IF($J484=T$3,IF(T$3&gt;$I484,"-",ROUNDUP(Ld_cal($B484, $C484, $D484, $G484,$E484, $F484, $H484, T$3)*1.3*1.3,0)),"-")</f>
        <v>-</v>
      </c>
      <c r="U484" s="70" t="str">
        <f>IF($J484=U$3,IF(U$3&gt;$I484,"-",ROUNDUP(Ld_cal($B484, $C484, $D484, $G484,$E484, $F484, $H484, U$3)*1.3*1.3,0)),"-")</f>
        <v>-</v>
      </c>
      <c r="V484" s="70" t="str">
        <f>IF($J484=V$3,IF(V$3&gt;$I484,"-",ROUNDUP(Ld_cal($B484, $C484, $D484, $G484,$E484, $F484, $H484, V$3)*1.3*1.3,0)),"-")</f>
        <v>-</v>
      </c>
      <c r="W484" s="70" t="str">
        <f>IF($J484=W$3,IF(W$3&gt;$I484,"-",ROUNDUP(Ld_cal($B484, $C484, $D484, $G484,$E484, $F484, $H484, W$3)*1.3*1.3,0)),"-")</f>
        <v>-</v>
      </c>
      <c r="X484" s="70" t="str">
        <f>IF($J484=X$3,IF(X$3&gt;$I484,"-",ROUNDUP(Ld_cal($B484, $C484, $D484, $G484,$E484, $F484, $H484, X$3)*1.3*1.3,0)),"-")</f>
        <v>-</v>
      </c>
      <c r="Y484" s="70" t="str">
        <f>IF($J484=Y$3,IF(Y$3&gt;$I484,"-",ROUNDUP(Ld_cal($B484, $C484, $D484, $G484,$E484, $F484, $H484, Y$3)*1.3*1.3,0)),"-")</f>
        <v>-</v>
      </c>
      <c r="Z484" s="70" t="str">
        <f>IF($J484=Z$3,IF(Z$3&gt;$I484,"-",ROUNDUP(Ld_cal($B484, $C484, $D484, $G484,$E484, $F484, $H484, Z$3)*1.3*1.3,0)),"-")</f>
        <v>-</v>
      </c>
      <c r="AA484" s="70" t="str">
        <f>IF($J484=AA$3,IF(AA$3&gt;$I484,"-",ROUNDUP(Ld_cal($B484, $C484, $D484, $G484,$E484, $F484, $H484, AA$3)*1.3*1.3,0)),"-")</f>
        <v>-</v>
      </c>
      <c r="AB484" s="70" t="str">
        <f>IF($J484=AB$3,IF(AB$3&gt;$I484,"-",ROUNDUP(Ld_cal($B484, $C484, $D484, $G484,$E484, $F484, $H484, AB$3)*1.3*1.3,0)),"-")</f>
        <v>-</v>
      </c>
      <c r="AC484" s="70" t="str">
        <f>IF($J484=AC$3,IF(AC$3&gt;$I484,"-",ROUNDUP(Ld_cal($B484, $C484, $D484, $G484,$E484, $F484, $H484, AC$3)*1.3*1.3,0)),"-")</f>
        <v>-</v>
      </c>
      <c r="AD484" s="70">
        <f t="shared" ref="AD484" si="474">IF(J484&gt;I484,"依標準圖",MAX(L484:AC484))</f>
        <v>136</v>
      </c>
    </row>
    <row r="485" spans="1:30">
      <c r="A485" s="106"/>
      <c r="B485" s="107"/>
      <c r="C485" s="108"/>
      <c r="D485" s="107"/>
      <c r="E485" s="109"/>
      <c r="F485" s="110"/>
      <c r="G485" s="107"/>
      <c r="H485" s="109"/>
      <c r="I485" s="111"/>
      <c r="J485" s="73">
        <v>4</v>
      </c>
      <c r="K485" s="40" t="s">
        <v>29</v>
      </c>
      <c r="L485" s="70" t="str">
        <f>IF($J485=L$3,IF(L$3&gt;$I484,"-",ROUNDUP(Ld_cal($B484, $C484, $D484, $G484,$E484, $F484, $H484, L$3)*1.3,0)),"-")</f>
        <v>-</v>
      </c>
      <c r="M485" s="70">
        <f>IF($J485=M$3,IF(M$3&gt;$I484,"-",ROUNDUP(Ld_cal($B484, $C484, $D484, $G484,$E484, $F484, $H484, M$3)*1.3,0)),"-")</f>
        <v>105</v>
      </c>
      <c r="N485" s="70" t="str">
        <f>IF($J485=N$3,IF(N$3&gt;$I484,"-",ROUNDUP(Ld_cal($B484, $C484, $D484, $G484,$E484, $F484, $H484, N$3)*1.3,0)),"-")</f>
        <v>-</v>
      </c>
      <c r="O485" s="70" t="str">
        <f>IF($J485=O$3,IF(O$3&gt;$I484,"-",ROUNDUP(Ld_cal($B484, $C484, $D484, $G484,$E484, $F484, $H484, O$3)*1.3,0)),"-")</f>
        <v>-</v>
      </c>
      <c r="P485" s="70" t="str">
        <f>IF($J485=P$3,IF(P$3&gt;$I484,"-",ROUNDUP(Ld_cal($B484, $C484, $D484, $G484,$E484, $F484, $H484, P$3)*1.3,0)),"-")</f>
        <v>-</v>
      </c>
      <c r="Q485" s="70" t="str">
        <f>IF($J485=Q$3,IF(Q$3&gt;$I484,"-",ROUNDUP(Ld_cal($B484, $C484, $D484, $G484,$E484, $F484, $H484, Q$3)*1.3,0)),"-")</f>
        <v>-</v>
      </c>
      <c r="R485" s="70" t="str">
        <f>IF($J485=R$3,IF(R$3&gt;$I484,"-",ROUNDUP(Ld_cal($B484, $C484, $D484, $G484,$E484, $F484, $H484, R$3)*1.3,0)),"-")</f>
        <v>-</v>
      </c>
      <c r="S485" s="70" t="str">
        <f>IF($J485=S$3,IF(S$3&gt;$I484,"-",ROUNDUP(Ld_cal($B484, $C484, $D484, $G484,$E484, $F484, $H484, S$3)*1.3,0)),"-")</f>
        <v>-</v>
      </c>
      <c r="T485" s="70" t="str">
        <f>IF($J485=T$3,IF(T$3&gt;$I484,"-",ROUNDUP(Ld_cal($B484, $C484, $D484, $G484,$E484, $F484, $H484, T$3)*1.3,0)),"-")</f>
        <v>-</v>
      </c>
      <c r="U485" s="70" t="str">
        <f>IF($J485=U$3,IF(U$3&gt;$I484,"-",ROUNDUP(Ld_cal($B484, $C484, $D484, $G484,$E484, $F484, $H484, U$3)*1.3,0)),"-")</f>
        <v>-</v>
      </c>
      <c r="V485" s="70" t="str">
        <f>IF($J485=V$3,IF(V$3&gt;$I484,"-",ROUNDUP(Ld_cal($B484, $C484, $D484, $G484,$E484, $F484, $H484, V$3)*1.3,0)),"-")</f>
        <v>-</v>
      </c>
      <c r="W485" s="70" t="str">
        <f>IF($J485=W$3,IF(W$3&gt;$I484,"-",ROUNDUP(Ld_cal($B484, $C484, $D484, $G484,$E484, $F484, $H484, W$3)*1.3,0)),"-")</f>
        <v>-</v>
      </c>
      <c r="X485" s="70" t="str">
        <f>IF($J485=X$3,IF(X$3&gt;$I484,"-",ROUNDUP(Ld_cal($B484, $C484, $D484, $G484,$E484, $F484, $H484, X$3)*1.3,0)),"-")</f>
        <v>-</v>
      </c>
      <c r="Y485" s="70" t="str">
        <f>IF($J485=Y$3,IF(Y$3&gt;$I484,"-",ROUNDUP(Ld_cal($B484, $C484, $D484, $G484,$E484, $F484, $H484, Y$3)*1.3,0)),"-")</f>
        <v>-</v>
      </c>
      <c r="Z485" s="70" t="str">
        <f>IF($J485=Z$3,IF(Z$3&gt;$I484,"-",ROUNDUP(Ld_cal($B484, $C484, $D484, $G484,$E484, $F484, $H484, Z$3)*1.3,0)),"-")</f>
        <v>-</v>
      </c>
      <c r="AA485" s="70" t="str">
        <f>IF($J485=AA$3,IF(AA$3&gt;$I484,"-",ROUNDUP(Ld_cal($B484, $C484, $D484, $G484,$E484, $F484, $H484, AA$3)*1.3,0)),"-")</f>
        <v>-</v>
      </c>
      <c r="AB485" s="70" t="str">
        <f>IF($J485=AB$3,IF(AB$3&gt;$I484,"-",ROUNDUP(Ld_cal($B484, $C484, $D484, $G484,$E484, $F484, $H484, AB$3)*1.3,0)),"-")</f>
        <v>-</v>
      </c>
      <c r="AC485" s="70" t="str">
        <f>IF($J485=AC$3,IF(AC$3&gt;$I484,"-",ROUNDUP(Ld_cal($B484, $C484, $D484, $G484,$E484, $F484, $H484, AC$3)*1.3,0)),"-")</f>
        <v>-</v>
      </c>
      <c r="AD485" s="70">
        <f t="shared" ref="AD485" si="475">IF(J485&gt;I484,"依標準圖",MAX(L485:AC485))</f>
        <v>105</v>
      </c>
    </row>
    <row r="486" spans="1:30">
      <c r="A486" s="125" t="s">
        <v>284</v>
      </c>
      <c r="B486" s="127">
        <v>80</v>
      </c>
      <c r="C486" s="128">
        <v>7.5</v>
      </c>
      <c r="D486" s="127">
        <v>4200</v>
      </c>
      <c r="E486" s="129">
        <v>16</v>
      </c>
      <c r="F486" s="130">
        <v>25</v>
      </c>
      <c r="G486" s="127">
        <v>350</v>
      </c>
      <c r="H486" s="129">
        <v>32</v>
      </c>
      <c r="I486" s="131">
        <f>ROUNDDOWN(($B486-2*$C486-2*$E486/10-$H486/10)/(($D$1+1)*$H486/10),0)+1</f>
        <v>10</v>
      </c>
      <c r="J486" s="75">
        <v>9</v>
      </c>
      <c r="K486" s="76" t="s">
        <v>30</v>
      </c>
      <c r="L486" s="77" t="str">
        <f>IF($J486=L$3,IF(L$3&gt;$I486,"-",ROUNDUP(Ld_cal($B486, $C486, $D486, $G486,$E486, $F486, $H486, L$3)*1.3*1.3,0)),"-")</f>
        <v>-</v>
      </c>
      <c r="M486" s="77" t="str">
        <f>IF($J486=M$3,IF(M$3&gt;$I486,"-",ROUNDUP(Ld_cal($B486, $C486, $D486, $G486,$E486, $F486, $H486, M$3)*1.3*1.3,0)),"-")</f>
        <v>-</v>
      </c>
      <c r="N486" s="77" t="str">
        <f>IF($J486=N$3,IF(N$3&gt;$I486,"-",ROUNDUP(Ld_cal($B486, $C486, $D486, $G486,$E486, $F486, $H486, N$3)*1.3*1.3,0)),"-")</f>
        <v>-</v>
      </c>
      <c r="O486" s="77" t="str">
        <f>IF($J486=O$3,IF(O$3&gt;$I486,"-",ROUNDUP(Ld_cal($B486, $C486, $D486, $G486,$E486, $F486, $H486, O$3)*1.3*1.3,0)),"-")</f>
        <v>-</v>
      </c>
      <c r="P486" s="77" t="str">
        <f>IF($J486=P$3,IF(P$3&gt;$I486,"-",ROUNDUP(Ld_cal($B486, $C486, $D486, $G486,$E486, $F486, $H486, P$3)*1.3*1.3,0)),"-")</f>
        <v>-</v>
      </c>
      <c r="Q486" s="77" t="str">
        <f>IF($J486=Q$3,IF(Q$3&gt;$I486,"-",ROUNDUP(Ld_cal($B486, $C486, $D486, $G486,$E486, $F486, $H486, Q$3)*1.3*1.3,0)),"-")</f>
        <v>-</v>
      </c>
      <c r="R486" s="77">
        <f>IF($J486=R$3,IF(R$3&gt;$I486,"-",ROUNDUP(Ld_cal($B486, $C486, $D486, $G486,$E486, $F486, $H486, R$3)*1.3*1.3,0)),"-")</f>
        <v>249</v>
      </c>
      <c r="S486" s="77" t="str">
        <f>IF($J486=S$3,IF(S$3&gt;$I486,"-",ROUNDUP(Ld_cal($B486, $C486, $D486, $G486,$E486, $F486, $H486, S$3)*1.3*1.3,0)),"-")</f>
        <v>-</v>
      </c>
      <c r="T486" s="77" t="str">
        <f>IF($J486=T$3,IF(T$3&gt;$I486,"-",ROUNDUP(Ld_cal($B486, $C486, $D486, $G486,$E486, $F486, $H486, T$3)*1.3*1.3,0)),"-")</f>
        <v>-</v>
      </c>
      <c r="U486" s="77" t="str">
        <f>IF($J486=U$3,IF(U$3&gt;$I486,"-",ROUNDUP(Ld_cal($B486, $C486, $D486, $G486,$E486, $F486, $H486, U$3)*1.3*1.3,0)),"-")</f>
        <v>-</v>
      </c>
      <c r="V486" s="77" t="str">
        <f>IF($J486=V$3,IF(V$3&gt;$I486,"-",ROUNDUP(Ld_cal($B486, $C486, $D486, $G486,$E486, $F486, $H486, V$3)*1.3*1.3,0)),"-")</f>
        <v>-</v>
      </c>
      <c r="W486" s="77" t="str">
        <f>IF($J486=W$3,IF(W$3&gt;$I486,"-",ROUNDUP(Ld_cal($B486, $C486, $D486, $G486,$E486, $F486, $H486, W$3)*1.3*1.3,0)),"-")</f>
        <v>-</v>
      </c>
      <c r="X486" s="77" t="str">
        <f>IF($J486=X$3,IF(X$3&gt;$I486,"-",ROUNDUP(Ld_cal($B486, $C486, $D486, $G486,$E486, $F486, $H486, X$3)*1.3*1.3,0)),"-")</f>
        <v>-</v>
      </c>
      <c r="Y486" s="77" t="str">
        <f>IF($J486=Y$3,IF(Y$3&gt;$I486,"-",ROUNDUP(Ld_cal($B486, $C486, $D486, $G486,$E486, $F486, $H486, Y$3)*1.3*1.3,0)),"-")</f>
        <v>-</v>
      </c>
      <c r="Z486" s="77" t="str">
        <f>IF($J486=Z$3,IF(Z$3&gt;$I486,"-",ROUNDUP(Ld_cal($B486, $C486, $D486, $G486,$E486, $F486, $H486, Z$3)*1.3*1.3,0)),"-")</f>
        <v>-</v>
      </c>
      <c r="AA486" s="77" t="str">
        <f>IF($J486=AA$3,IF(AA$3&gt;$I486,"-",ROUNDUP(Ld_cal($B486, $C486, $D486, $G486,$E486, $F486, $H486, AA$3)*1.3*1.3,0)),"-")</f>
        <v>-</v>
      </c>
      <c r="AB486" s="77" t="str">
        <f>IF($J486=AB$3,IF(AB$3&gt;$I486,"-",ROUNDUP(Ld_cal($B486, $C486, $D486, $G486,$E486, $F486, $H486, AB$3)*1.3*1.3,0)),"-")</f>
        <v>-</v>
      </c>
      <c r="AC486" s="77" t="str">
        <f>IF($J486=AC$3,IF(AC$3&gt;$I486,"-",ROUNDUP(Ld_cal($B486, $C486, $D486, $G486,$E486, $F486, $H486, AC$3)*1.3*1.3,0)),"-")</f>
        <v>-</v>
      </c>
      <c r="AD486" s="77">
        <f t="shared" ref="AD486" si="476">IF(J486&gt;I486,"依標準圖",MAX(L486:AC486))</f>
        <v>249</v>
      </c>
    </row>
    <row r="487" spans="1:30">
      <c r="A487" s="126"/>
      <c r="B487" s="127"/>
      <c r="C487" s="128"/>
      <c r="D487" s="127"/>
      <c r="E487" s="129"/>
      <c r="F487" s="130"/>
      <c r="G487" s="127"/>
      <c r="H487" s="129"/>
      <c r="I487" s="131"/>
      <c r="J487" s="75">
        <v>4</v>
      </c>
      <c r="K487" s="76" t="s">
        <v>29</v>
      </c>
      <c r="L487" s="77" t="str">
        <f>IF($J487=L$3,IF(L$3&gt;$I486,"-",ROUNDUP(Ld_cal($B486, $C486, $D486, $G486,$E486, $F486, $H486, L$3)*1.3,0)),"-")</f>
        <v>-</v>
      </c>
      <c r="M487" s="77">
        <f>IF($J487=M$3,IF(M$3&gt;$I486,"-",ROUNDUP(Ld_cal($B486, $C486, $D486, $G486,$E486, $F486, $H486, M$3)*1.3,0)),"-")</f>
        <v>105</v>
      </c>
      <c r="N487" s="77" t="str">
        <f>IF($J487=N$3,IF(N$3&gt;$I486,"-",ROUNDUP(Ld_cal($B486, $C486, $D486, $G486,$E486, $F486, $H486, N$3)*1.3,0)),"-")</f>
        <v>-</v>
      </c>
      <c r="O487" s="77" t="str">
        <f>IF($J487=O$3,IF(O$3&gt;$I486,"-",ROUNDUP(Ld_cal($B486, $C486, $D486, $G486,$E486, $F486, $H486, O$3)*1.3,0)),"-")</f>
        <v>-</v>
      </c>
      <c r="P487" s="77" t="str">
        <f>IF($J487=P$3,IF(P$3&gt;$I486,"-",ROUNDUP(Ld_cal($B486, $C486, $D486, $G486,$E486, $F486, $H486, P$3)*1.3,0)),"-")</f>
        <v>-</v>
      </c>
      <c r="Q487" s="77" t="str">
        <f>IF($J487=Q$3,IF(Q$3&gt;$I486,"-",ROUNDUP(Ld_cal($B486, $C486, $D486, $G486,$E486, $F486, $H486, Q$3)*1.3,0)),"-")</f>
        <v>-</v>
      </c>
      <c r="R487" s="77" t="str">
        <f>IF($J487=R$3,IF(R$3&gt;$I486,"-",ROUNDUP(Ld_cal($B486, $C486, $D486, $G486,$E486, $F486, $H486, R$3)*1.3,0)),"-")</f>
        <v>-</v>
      </c>
      <c r="S487" s="77" t="str">
        <f>IF($J487=S$3,IF(S$3&gt;$I486,"-",ROUNDUP(Ld_cal($B486, $C486, $D486, $G486,$E486, $F486, $H486, S$3)*1.3,0)),"-")</f>
        <v>-</v>
      </c>
      <c r="T487" s="77" t="str">
        <f>IF($J487=T$3,IF(T$3&gt;$I486,"-",ROUNDUP(Ld_cal($B486, $C486, $D486, $G486,$E486, $F486, $H486, T$3)*1.3,0)),"-")</f>
        <v>-</v>
      </c>
      <c r="U487" s="77" t="str">
        <f>IF($J487=U$3,IF(U$3&gt;$I486,"-",ROUNDUP(Ld_cal($B486, $C486, $D486, $G486,$E486, $F486, $H486, U$3)*1.3,0)),"-")</f>
        <v>-</v>
      </c>
      <c r="V487" s="77" t="str">
        <f>IF($J487=V$3,IF(V$3&gt;$I486,"-",ROUNDUP(Ld_cal($B486, $C486, $D486, $G486,$E486, $F486, $H486, V$3)*1.3,0)),"-")</f>
        <v>-</v>
      </c>
      <c r="W487" s="77" t="str">
        <f>IF($J487=W$3,IF(W$3&gt;$I486,"-",ROUNDUP(Ld_cal($B486, $C486, $D486, $G486,$E486, $F486, $H486, W$3)*1.3,0)),"-")</f>
        <v>-</v>
      </c>
      <c r="X487" s="77" t="str">
        <f>IF($J487=X$3,IF(X$3&gt;$I486,"-",ROUNDUP(Ld_cal($B486, $C486, $D486, $G486,$E486, $F486, $H486, X$3)*1.3,0)),"-")</f>
        <v>-</v>
      </c>
      <c r="Y487" s="77" t="str">
        <f>IF($J487=Y$3,IF(Y$3&gt;$I486,"-",ROUNDUP(Ld_cal($B486, $C486, $D486, $G486,$E486, $F486, $H486, Y$3)*1.3,0)),"-")</f>
        <v>-</v>
      </c>
      <c r="Z487" s="77" t="str">
        <f>IF($J487=Z$3,IF(Z$3&gt;$I486,"-",ROUNDUP(Ld_cal($B486, $C486, $D486, $G486,$E486, $F486, $H486, Z$3)*1.3,0)),"-")</f>
        <v>-</v>
      </c>
      <c r="AA487" s="77" t="str">
        <f>IF($J487=AA$3,IF(AA$3&gt;$I486,"-",ROUNDUP(Ld_cal($B486, $C486, $D486, $G486,$E486, $F486, $H486, AA$3)*1.3,0)),"-")</f>
        <v>-</v>
      </c>
      <c r="AB487" s="77" t="str">
        <f>IF($J487=AB$3,IF(AB$3&gt;$I486,"-",ROUNDUP(Ld_cal($B486, $C486, $D486, $G486,$E486, $F486, $H486, AB$3)*1.3,0)),"-")</f>
        <v>-</v>
      </c>
      <c r="AC487" s="77" t="str">
        <f>IF($J487=AC$3,IF(AC$3&gt;$I486,"-",ROUNDUP(Ld_cal($B486, $C486, $D486, $G486,$E486, $F486, $H486, AC$3)*1.3,0)),"-")</f>
        <v>-</v>
      </c>
      <c r="AD487" s="77">
        <f t="shared" ref="AD487" si="477">IF(J487&gt;I486,"依標準圖",MAX(L487:AC487))</f>
        <v>105</v>
      </c>
    </row>
    <row r="488" spans="1:30">
      <c r="A488" s="105" t="s">
        <v>285</v>
      </c>
      <c r="B488" s="107">
        <v>80</v>
      </c>
      <c r="C488" s="108">
        <v>7.5</v>
      </c>
      <c r="D488" s="107">
        <v>4200</v>
      </c>
      <c r="E488" s="109">
        <v>16</v>
      </c>
      <c r="F488" s="110">
        <v>25</v>
      </c>
      <c r="G488" s="107">
        <v>350</v>
      </c>
      <c r="H488" s="109">
        <v>32</v>
      </c>
      <c r="I488" s="111">
        <f>ROUNDDOWN(($B488-2*$C488-2*$E488/10-$H488/10)/(($D$1+1)*$H488/10),0)+1</f>
        <v>10</v>
      </c>
      <c r="J488" s="73">
        <v>10</v>
      </c>
      <c r="K488" s="40" t="s">
        <v>30</v>
      </c>
      <c r="L488" s="70" t="str">
        <f>IF($J488=L$3,IF(L$3&gt;$I488,"-",ROUNDUP(Ld_cal($B488, $C488, $D488, $G488,$E488, $F488, $H488, L$3)*1.3*1.3,0)),"-")</f>
        <v>-</v>
      </c>
      <c r="M488" s="70" t="str">
        <f>IF($J488=M$3,IF(M$3&gt;$I488,"-",ROUNDUP(Ld_cal($B488, $C488, $D488, $G488,$E488, $F488, $H488, M$3)*1.3*1.3,0)),"-")</f>
        <v>-</v>
      </c>
      <c r="N488" s="70" t="str">
        <f>IF($J488=N$3,IF(N$3&gt;$I488,"-",ROUNDUP(Ld_cal($B488, $C488, $D488, $G488,$E488, $F488, $H488, N$3)*1.3*1.3,0)),"-")</f>
        <v>-</v>
      </c>
      <c r="O488" s="70" t="str">
        <f>IF($J488=O$3,IF(O$3&gt;$I488,"-",ROUNDUP(Ld_cal($B488, $C488, $D488, $G488,$E488, $F488, $H488, O$3)*1.3*1.3,0)),"-")</f>
        <v>-</v>
      </c>
      <c r="P488" s="70" t="str">
        <f>IF($J488=P$3,IF(P$3&gt;$I488,"-",ROUNDUP(Ld_cal($B488, $C488, $D488, $G488,$E488, $F488, $H488, P$3)*1.3*1.3,0)),"-")</f>
        <v>-</v>
      </c>
      <c r="Q488" s="70" t="str">
        <f>IF($J488=Q$3,IF(Q$3&gt;$I488,"-",ROUNDUP(Ld_cal($B488, $C488, $D488, $G488,$E488, $F488, $H488, Q$3)*1.3*1.3,0)),"-")</f>
        <v>-</v>
      </c>
      <c r="R488" s="70" t="str">
        <f>IF($J488=R$3,IF(R$3&gt;$I488,"-",ROUNDUP(Ld_cal($B488, $C488, $D488, $G488,$E488, $F488, $H488, R$3)*1.3*1.3,0)),"-")</f>
        <v>-</v>
      </c>
      <c r="S488" s="70">
        <f>IF($J488=S$3,IF(S$3&gt;$I488,"-",ROUNDUP(Ld_cal($B488, $C488, $D488, $G488,$E488, $F488, $H488, S$3)*1.3*1.3,0)),"-")</f>
        <v>280</v>
      </c>
      <c r="T488" s="70" t="str">
        <f>IF($J488=T$3,IF(T$3&gt;$I488,"-",ROUNDUP(Ld_cal($B488, $C488, $D488, $G488,$E488, $F488, $H488, T$3)*1.3*1.3,0)),"-")</f>
        <v>-</v>
      </c>
      <c r="U488" s="70" t="str">
        <f>IF($J488=U$3,IF(U$3&gt;$I488,"-",ROUNDUP(Ld_cal($B488, $C488, $D488, $G488,$E488, $F488, $H488, U$3)*1.3*1.3,0)),"-")</f>
        <v>-</v>
      </c>
      <c r="V488" s="70" t="str">
        <f>IF($J488=V$3,IF(V$3&gt;$I488,"-",ROUNDUP(Ld_cal($B488, $C488, $D488, $G488,$E488, $F488, $H488, V$3)*1.3*1.3,0)),"-")</f>
        <v>-</v>
      </c>
      <c r="W488" s="70" t="str">
        <f>IF($J488=W$3,IF(W$3&gt;$I488,"-",ROUNDUP(Ld_cal($B488, $C488, $D488, $G488,$E488, $F488, $H488, W$3)*1.3*1.3,0)),"-")</f>
        <v>-</v>
      </c>
      <c r="X488" s="70" t="str">
        <f>IF($J488=X$3,IF(X$3&gt;$I488,"-",ROUNDUP(Ld_cal($B488, $C488, $D488, $G488,$E488, $F488, $H488, X$3)*1.3*1.3,0)),"-")</f>
        <v>-</v>
      </c>
      <c r="Y488" s="70" t="str">
        <f>IF($J488=Y$3,IF(Y$3&gt;$I488,"-",ROUNDUP(Ld_cal($B488, $C488, $D488, $G488,$E488, $F488, $H488, Y$3)*1.3*1.3,0)),"-")</f>
        <v>-</v>
      </c>
      <c r="Z488" s="70" t="str">
        <f>IF($J488=Z$3,IF(Z$3&gt;$I488,"-",ROUNDUP(Ld_cal($B488, $C488, $D488, $G488,$E488, $F488, $H488, Z$3)*1.3*1.3,0)),"-")</f>
        <v>-</v>
      </c>
      <c r="AA488" s="70" t="str">
        <f>IF($J488=AA$3,IF(AA$3&gt;$I488,"-",ROUNDUP(Ld_cal($B488, $C488, $D488, $G488,$E488, $F488, $H488, AA$3)*1.3*1.3,0)),"-")</f>
        <v>-</v>
      </c>
      <c r="AB488" s="70" t="str">
        <f>IF($J488=AB$3,IF(AB$3&gt;$I488,"-",ROUNDUP(Ld_cal($B488, $C488, $D488, $G488,$E488, $F488, $H488, AB$3)*1.3*1.3,0)),"-")</f>
        <v>-</v>
      </c>
      <c r="AC488" s="70" t="str">
        <f>IF($J488=AC$3,IF(AC$3&gt;$I488,"-",ROUNDUP(Ld_cal($B488, $C488, $D488, $G488,$E488, $F488, $H488, AC$3)*1.3*1.3,0)),"-")</f>
        <v>-</v>
      </c>
      <c r="AD488" s="70">
        <f t="shared" ref="AD488" si="478">IF(J488&gt;I488,"依標準圖",MAX(L488:AC488))</f>
        <v>280</v>
      </c>
    </row>
    <row r="489" spans="1:30">
      <c r="A489" s="106"/>
      <c r="B489" s="107"/>
      <c r="C489" s="108"/>
      <c r="D489" s="107"/>
      <c r="E489" s="109"/>
      <c r="F489" s="110"/>
      <c r="G489" s="107"/>
      <c r="H489" s="109"/>
      <c r="I489" s="111"/>
      <c r="J489" s="73">
        <v>4</v>
      </c>
      <c r="K489" s="40" t="s">
        <v>29</v>
      </c>
      <c r="L489" s="70" t="str">
        <f>IF($J489=L$3,IF(L$3&gt;$I488,"-",ROUNDUP(Ld_cal($B488, $C488, $D488, $G488,$E488, $F488, $H488, L$3)*1.3,0)),"-")</f>
        <v>-</v>
      </c>
      <c r="M489" s="70">
        <f>IF($J489=M$3,IF(M$3&gt;$I488,"-",ROUNDUP(Ld_cal($B488, $C488, $D488, $G488,$E488, $F488, $H488, M$3)*1.3,0)),"-")</f>
        <v>105</v>
      </c>
      <c r="N489" s="70" t="str">
        <f>IF($J489=N$3,IF(N$3&gt;$I488,"-",ROUNDUP(Ld_cal($B488, $C488, $D488, $G488,$E488, $F488, $H488, N$3)*1.3,0)),"-")</f>
        <v>-</v>
      </c>
      <c r="O489" s="70" t="str">
        <f>IF($J489=O$3,IF(O$3&gt;$I488,"-",ROUNDUP(Ld_cal($B488, $C488, $D488, $G488,$E488, $F488, $H488, O$3)*1.3,0)),"-")</f>
        <v>-</v>
      </c>
      <c r="P489" s="70" t="str">
        <f>IF($J489=P$3,IF(P$3&gt;$I488,"-",ROUNDUP(Ld_cal($B488, $C488, $D488, $G488,$E488, $F488, $H488, P$3)*1.3,0)),"-")</f>
        <v>-</v>
      </c>
      <c r="Q489" s="70" t="str">
        <f>IF($J489=Q$3,IF(Q$3&gt;$I488,"-",ROUNDUP(Ld_cal($B488, $C488, $D488, $G488,$E488, $F488, $H488, Q$3)*1.3,0)),"-")</f>
        <v>-</v>
      </c>
      <c r="R489" s="70" t="str">
        <f>IF($J489=R$3,IF(R$3&gt;$I488,"-",ROUNDUP(Ld_cal($B488, $C488, $D488, $G488,$E488, $F488, $H488, R$3)*1.3,0)),"-")</f>
        <v>-</v>
      </c>
      <c r="S489" s="70" t="str">
        <f>IF($J489=S$3,IF(S$3&gt;$I488,"-",ROUNDUP(Ld_cal($B488, $C488, $D488, $G488,$E488, $F488, $H488, S$3)*1.3,0)),"-")</f>
        <v>-</v>
      </c>
      <c r="T489" s="70" t="str">
        <f>IF($J489=T$3,IF(T$3&gt;$I488,"-",ROUNDUP(Ld_cal($B488, $C488, $D488, $G488,$E488, $F488, $H488, T$3)*1.3,0)),"-")</f>
        <v>-</v>
      </c>
      <c r="U489" s="70" t="str">
        <f>IF($J489=U$3,IF(U$3&gt;$I488,"-",ROUNDUP(Ld_cal($B488, $C488, $D488, $G488,$E488, $F488, $H488, U$3)*1.3,0)),"-")</f>
        <v>-</v>
      </c>
      <c r="V489" s="70" t="str">
        <f>IF($J489=V$3,IF(V$3&gt;$I488,"-",ROUNDUP(Ld_cal($B488, $C488, $D488, $G488,$E488, $F488, $H488, V$3)*1.3,0)),"-")</f>
        <v>-</v>
      </c>
      <c r="W489" s="70" t="str">
        <f>IF($J489=W$3,IF(W$3&gt;$I488,"-",ROUNDUP(Ld_cal($B488, $C488, $D488, $G488,$E488, $F488, $H488, W$3)*1.3,0)),"-")</f>
        <v>-</v>
      </c>
      <c r="X489" s="70" t="str">
        <f>IF($J489=X$3,IF(X$3&gt;$I488,"-",ROUNDUP(Ld_cal($B488, $C488, $D488, $G488,$E488, $F488, $H488, X$3)*1.3,0)),"-")</f>
        <v>-</v>
      </c>
      <c r="Y489" s="70" t="str">
        <f>IF($J489=Y$3,IF(Y$3&gt;$I488,"-",ROUNDUP(Ld_cal($B488, $C488, $D488, $G488,$E488, $F488, $H488, Y$3)*1.3,0)),"-")</f>
        <v>-</v>
      </c>
      <c r="Z489" s="70" t="str">
        <f>IF($J489=Z$3,IF(Z$3&gt;$I488,"-",ROUNDUP(Ld_cal($B488, $C488, $D488, $G488,$E488, $F488, $H488, Z$3)*1.3,0)),"-")</f>
        <v>-</v>
      </c>
      <c r="AA489" s="70" t="str">
        <f>IF($J489=AA$3,IF(AA$3&gt;$I488,"-",ROUNDUP(Ld_cal($B488, $C488, $D488, $G488,$E488, $F488, $H488, AA$3)*1.3,0)),"-")</f>
        <v>-</v>
      </c>
      <c r="AB489" s="70" t="str">
        <f>IF($J489=AB$3,IF(AB$3&gt;$I488,"-",ROUNDUP(Ld_cal($B488, $C488, $D488, $G488,$E488, $F488, $H488, AB$3)*1.3,0)),"-")</f>
        <v>-</v>
      </c>
      <c r="AC489" s="70" t="str">
        <f>IF($J489=AC$3,IF(AC$3&gt;$I488,"-",ROUNDUP(Ld_cal($B488, $C488, $D488, $G488,$E488, $F488, $H488, AC$3)*1.3,0)),"-")</f>
        <v>-</v>
      </c>
      <c r="AD489" s="70">
        <f t="shared" ref="AD489" si="479">IF(J489&gt;I488,"依標準圖",MAX(L489:AC489))</f>
        <v>105</v>
      </c>
    </row>
    <row r="490" spans="1:30">
      <c r="A490" s="125" t="s">
        <v>286</v>
      </c>
      <c r="B490" s="127">
        <v>80</v>
      </c>
      <c r="C490" s="128">
        <v>7.5</v>
      </c>
      <c r="D490" s="127">
        <v>4200</v>
      </c>
      <c r="E490" s="129">
        <v>16</v>
      </c>
      <c r="F490" s="130">
        <v>25</v>
      </c>
      <c r="G490" s="127">
        <v>350</v>
      </c>
      <c r="H490" s="129">
        <v>32</v>
      </c>
      <c r="I490" s="131">
        <f>ROUNDDOWN(($B490-2*$C490-2*$E490/10-$H490/10)/(($D$1+1)*$H490/10),0)+1</f>
        <v>10</v>
      </c>
      <c r="J490" s="75">
        <v>4</v>
      </c>
      <c r="K490" s="76" t="s">
        <v>30</v>
      </c>
      <c r="L490" s="77" t="str">
        <f>IF($J490=L$3,IF(L$3&gt;$I490,"-",ROUNDUP(Ld_cal($B490, $C490, $D490, $G490,$E490, $F490, $H490, L$3)*1.3*1.3,0)),"-")</f>
        <v>-</v>
      </c>
      <c r="M490" s="77">
        <f>IF($J490=M$3,IF(M$3&gt;$I490,"-",ROUNDUP(Ld_cal($B490, $C490, $D490, $G490,$E490, $F490, $H490, M$3)*1.3*1.3,0)),"-")</f>
        <v>136</v>
      </c>
      <c r="N490" s="77" t="str">
        <f>IF($J490=N$3,IF(N$3&gt;$I490,"-",ROUNDUP(Ld_cal($B490, $C490, $D490, $G490,$E490, $F490, $H490, N$3)*1.3*1.3,0)),"-")</f>
        <v>-</v>
      </c>
      <c r="O490" s="77" t="str">
        <f>IF($J490=O$3,IF(O$3&gt;$I490,"-",ROUNDUP(Ld_cal($B490, $C490, $D490, $G490,$E490, $F490, $H490, O$3)*1.3*1.3,0)),"-")</f>
        <v>-</v>
      </c>
      <c r="P490" s="77" t="str">
        <f>IF($J490=P$3,IF(P$3&gt;$I490,"-",ROUNDUP(Ld_cal($B490, $C490, $D490, $G490,$E490, $F490, $H490, P$3)*1.3*1.3,0)),"-")</f>
        <v>-</v>
      </c>
      <c r="Q490" s="77" t="str">
        <f>IF($J490=Q$3,IF(Q$3&gt;$I490,"-",ROUNDUP(Ld_cal($B490, $C490, $D490, $G490,$E490, $F490, $H490, Q$3)*1.3*1.3,0)),"-")</f>
        <v>-</v>
      </c>
      <c r="R490" s="77" t="str">
        <f>IF($J490=R$3,IF(R$3&gt;$I490,"-",ROUNDUP(Ld_cal($B490, $C490, $D490, $G490,$E490, $F490, $H490, R$3)*1.3*1.3,0)),"-")</f>
        <v>-</v>
      </c>
      <c r="S490" s="77" t="str">
        <f>IF($J490=S$3,IF(S$3&gt;$I490,"-",ROUNDUP(Ld_cal($B490, $C490, $D490, $G490,$E490, $F490, $H490, S$3)*1.3*1.3,0)),"-")</f>
        <v>-</v>
      </c>
      <c r="T490" s="77" t="str">
        <f>IF($J490=T$3,IF(T$3&gt;$I490,"-",ROUNDUP(Ld_cal($B490, $C490, $D490, $G490,$E490, $F490, $H490, T$3)*1.3*1.3,0)),"-")</f>
        <v>-</v>
      </c>
      <c r="U490" s="77" t="str">
        <f>IF($J490=U$3,IF(U$3&gt;$I490,"-",ROUNDUP(Ld_cal($B490, $C490, $D490, $G490,$E490, $F490, $H490, U$3)*1.3*1.3,0)),"-")</f>
        <v>-</v>
      </c>
      <c r="V490" s="77" t="str">
        <f>IF($J490=V$3,IF(V$3&gt;$I490,"-",ROUNDUP(Ld_cal($B490, $C490, $D490, $G490,$E490, $F490, $H490, V$3)*1.3*1.3,0)),"-")</f>
        <v>-</v>
      </c>
      <c r="W490" s="77" t="str">
        <f>IF($J490=W$3,IF(W$3&gt;$I490,"-",ROUNDUP(Ld_cal($B490, $C490, $D490, $G490,$E490, $F490, $H490, W$3)*1.3*1.3,0)),"-")</f>
        <v>-</v>
      </c>
      <c r="X490" s="77" t="str">
        <f>IF($J490=X$3,IF(X$3&gt;$I490,"-",ROUNDUP(Ld_cal($B490, $C490, $D490, $G490,$E490, $F490, $H490, X$3)*1.3*1.3,0)),"-")</f>
        <v>-</v>
      </c>
      <c r="Y490" s="77" t="str">
        <f>IF($J490=Y$3,IF(Y$3&gt;$I490,"-",ROUNDUP(Ld_cal($B490, $C490, $D490, $G490,$E490, $F490, $H490, Y$3)*1.3*1.3,0)),"-")</f>
        <v>-</v>
      </c>
      <c r="Z490" s="77" t="str">
        <f>IF($J490=Z$3,IF(Z$3&gt;$I490,"-",ROUNDUP(Ld_cal($B490, $C490, $D490, $G490,$E490, $F490, $H490, Z$3)*1.3*1.3,0)),"-")</f>
        <v>-</v>
      </c>
      <c r="AA490" s="77" t="str">
        <f>IF($J490=AA$3,IF(AA$3&gt;$I490,"-",ROUNDUP(Ld_cal($B490, $C490, $D490, $G490,$E490, $F490, $H490, AA$3)*1.3*1.3,0)),"-")</f>
        <v>-</v>
      </c>
      <c r="AB490" s="77" t="str">
        <f>IF($J490=AB$3,IF(AB$3&gt;$I490,"-",ROUNDUP(Ld_cal($B490, $C490, $D490, $G490,$E490, $F490, $H490, AB$3)*1.3*1.3,0)),"-")</f>
        <v>-</v>
      </c>
      <c r="AC490" s="77" t="str">
        <f>IF($J490=AC$3,IF(AC$3&gt;$I490,"-",ROUNDUP(Ld_cal($B490, $C490, $D490, $G490,$E490, $F490, $H490, AC$3)*1.3*1.3,0)),"-")</f>
        <v>-</v>
      </c>
      <c r="AD490" s="77">
        <f t="shared" ref="AD490" si="480">IF(J490&gt;I490,"依標準圖",MAX(L490:AC490))</f>
        <v>136</v>
      </c>
    </row>
    <row r="491" spans="1:30">
      <c r="A491" s="126"/>
      <c r="B491" s="127"/>
      <c r="C491" s="128"/>
      <c r="D491" s="127"/>
      <c r="E491" s="129"/>
      <c r="F491" s="130"/>
      <c r="G491" s="127"/>
      <c r="H491" s="129"/>
      <c r="I491" s="131"/>
      <c r="J491" s="75">
        <v>9</v>
      </c>
      <c r="K491" s="76" t="s">
        <v>29</v>
      </c>
      <c r="L491" s="77" t="str">
        <f>IF($J491=L$3,IF(L$3&gt;$I490,"-",ROUNDUP(Ld_cal($B490, $C490, $D490, $G490,$E490, $F490, $H490, L$3)*1.3,0)),"-")</f>
        <v>-</v>
      </c>
      <c r="M491" s="77" t="str">
        <f>IF($J491=M$3,IF(M$3&gt;$I490,"-",ROUNDUP(Ld_cal($B490, $C490, $D490, $G490,$E490, $F490, $H490, M$3)*1.3,0)),"-")</f>
        <v>-</v>
      </c>
      <c r="N491" s="77" t="str">
        <f>IF($J491=N$3,IF(N$3&gt;$I490,"-",ROUNDUP(Ld_cal($B490, $C490, $D490, $G490,$E490, $F490, $H490, N$3)*1.3,0)),"-")</f>
        <v>-</v>
      </c>
      <c r="O491" s="77" t="str">
        <f>IF($J491=O$3,IF(O$3&gt;$I490,"-",ROUNDUP(Ld_cal($B490, $C490, $D490, $G490,$E490, $F490, $H490, O$3)*1.3,0)),"-")</f>
        <v>-</v>
      </c>
      <c r="P491" s="77" t="str">
        <f>IF($J491=P$3,IF(P$3&gt;$I490,"-",ROUNDUP(Ld_cal($B490, $C490, $D490, $G490,$E490, $F490, $H490, P$3)*1.3,0)),"-")</f>
        <v>-</v>
      </c>
      <c r="Q491" s="77" t="str">
        <f>IF($J491=Q$3,IF(Q$3&gt;$I490,"-",ROUNDUP(Ld_cal($B490, $C490, $D490, $G490,$E490, $F490, $H490, Q$3)*1.3,0)),"-")</f>
        <v>-</v>
      </c>
      <c r="R491" s="77">
        <f>IF($J491=R$3,IF(R$3&gt;$I490,"-",ROUNDUP(Ld_cal($B490, $C490, $D490, $G490,$E490, $F490, $H490, R$3)*1.3,0)),"-")</f>
        <v>192</v>
      </c>
      <c r="S491" s="77" t="str">
        <f>IF($J491=S$3,IF(S$3&gt;$I490,"-",ROUNDUP(Ld_cal($B490, $C490, $D490, $G490,$E490, $F490, $H490, S$3)*1.3,0)),"-")</f>
        <v>-</v>
      </c>
      <c r="T491" s="77" t="str">
        <f>IF($J491=T$3,IF(T$3&gt;$I490,"-",ROUNDUP(Ld_cal($B490, $C490, $D490, $G490,$E490, $F490, $H490, T$3)*1.3,0)),"-")</f>
        <v>-</v>
      </c>
      <c r="U491" s="77" t="str">
        <f>IF($J491=U$3,IF(U$3&gt;$I490,"-",ROUNDUP(Ld_cal($B490, $C490, $D490, $G490,$E490, $F490, $H490, U$3)*1.3,0)),"-")</f>
        <v>-</v>
      </c>
      <c r="V491" s="77" t="str">
        <f>IF($J491=V$3,IF(V$3&gt;$I490,"-",ROUNDUP(Ld_cal($B490, $C490, $D490, $G490,$E490, $F490, $H490, V$3)*1.3,0)),"-")</f>
        <v>-</v>
      </c>
      <c r="W491" s="77" t="str">
        <f>IF($J491=W$3,IF(W$3&gt;$I490,"-",ROUNDUP(Ld_cal($B490, $C490, $D490, $G490,$E490, $F490, $H490, W$3)*1.3,0)),"-")</f>
        <v>-</v>
      </c>
      <c r="X491" s="77" t="str">
        <f>IF($J491=X$3,IF(X$3&gt;$I490,"-",ROUNDUP(Ld_cal($B490, $C490, $D490, $G490,$E490, $F490, $H490, X$3)*1.3,0)),"-")</f>
        <v>-</v>
      </c>
      <c r="Y491" s="77" t="str">
        <f>IF($J491=Y$3,IF(Y$3&gt;$I490,"-",ROUNDUP(Ld_cal($B490, $C490, $D490, $G490,$E490, $F490, $H490, Y$3)*1.3,0)),"-")</f>
        <v>-</v>
      </c>
      <c r="Z491" s="77" t="str">
        <f>IF($J491=Z$3,IF(Z$3&gt;$I490,"-",ROUNDUP(Ld_cal($B490, $C490, $D490, $G490,$E490, $F490, $H490, Z$3)*1.3,0)),"-")</f>
        <v>-</v>
      </c>
      <c r="AA491" s="77" t="str">
        <f>IF($J491=AA$3,IF(AA$3&gt;$I490,"-",ROUNDUP(Ld_cal($B490, $C490, $D490, $G490,$E490, $F490, $H490, AA$3)*1.3,0)),"-")</f>
        <v>-</v>
      </c>
      <c r="AB491" s="77" t="str">
        <f>IF($J491=AB$3,IF(AB$3&gt;$I490,"-",ROUNDUP(Ld_cal($B490, $C490, $D490, $G490,$E490, $F490, $H490, AB$3)*1.3,0)),"-")</f>
        <v>-</v>
      </c>
      <c r="AC491" s="77" t="str">
        <f>IF($J491=AC$3,IF(AC$3&gt;$I490,"-",ROUNDUP(Ld_cal($B490, $C490, $D490, $G490,$E490, $F490, $H490, AC$3)*1.3,0)),"-")</f>
        <v>-</v>
      </c>
      <c r="AD491" s="77">
        <f t="shared" ref="AD491" si="481">IF(J491&gt;I490,"依標準圖",MAX(L491:AC491))</f>
        <v>192</v>
      </c>
    </row>
    <row r="492" spans="1:30">
      <c r="A492" s="105" t="s">
        <v>287</v>
      </c>
      <c r="B492" s="107">
        <v>80</v>
      </c>
      <c r="C492" s="108">
        <v>7.5</v>
      </c>
      <c r="D492" s="107">
        <v>4200</v>
      </c>
      <c r="E492" s="109">
        <v>16</v>
      </c>
      <c r="F492" s="110">
        <v>25</v>
      </c>
      <c r="G492" s="107">
        <v>350</v>
      </c>
      <c r="H492" s="109">
        <v>32</v>
      </c>
      <c r="I492" s="111">
        <f>ROUNDDOWN(($B492-2*$C492-2*$E492/10-$H492/10)/(($D$1+1)*$H492/10),0)+1</f>
        <v>10</v>
      </c>
      <c r="J492" s="73">
        <v>4</v>
      </c>
      <c r="K492" s="40" t="s">
        <v>30</v>
      </c>
      <c r="L492" s="70" t="str">
        <f>IF($J492=L$3,IF(L$3&gt;$I492,"-",ROUNDUP(Ld_cal($B492, $C492, $D492, $G492,$E492, $F492, $H492, L$3)*1.3*1.3,0)),"-")</f>
        <v>-</v>
      </c>
      <c r="M492" s="70">
        <f>IF($J492=M$3,IF(M$3&gt;$I492,"-",ROUNDUP(Ld_cal($B492, $C492, $D492, $G492,$E492, $F492, $H492, M$3)*1.3*1.3,0)),"-")</f>
        <v>136</v>
      </c>
      <c r="N492" s="70" t="str">
        <f>IF($J492=N$3,IF(N$3&gt;$I492,"-",ROUNDUP(Ld_cal($B492, $C492, $D492, $G492,$E492, $F492, $H492, N$3)*1.3*1.3,0)),"-")</f>
        <v>-</v>
      </c>
      <c r="O492" s="70" t="str">
        <f>IF($J492=O$3,IF(O$3&gt;$I492,"-",ROUNDUP(Ld_cal($B492, $C492, $D492, $G492,$E492, $F492, $H492, O$3)*1.3*1.3,0)),"-")</f>
        <v>-</v>
      </c>
      <c r="P492" s="70" t="str">
        <f>IF($J492=P$3,IF(P$3&gt;$I492,"-",ROUNDUP(Ld_cal($B492, $C492, $D492, $G492,$E492, $F492, $H492, P$3)*1.3*1.3,0)),"-")</f>
        <v>-</v>
      </c>
      <c r="Q492" s="70" t="str">
        <f>IF($J492=Q$3,IF(Q$3&gt;$I492,"-",ROUNDUP(Ld_cal($B492, $C492, $D492, $G492,$E492, $F492, $H492, Q$3)*1.3*1.3,0)),"-")</f>
        <v>-</v>
      </c>
      <c r="R492" s="70" t="str">
        <f>IF($J492=R$3,IF(R$3&gt;$I492,"-",ROUNDUP(Ld_cal($B492, $C492, $D492, $G492,$E492, $F492, $H492, R$3)*1.3*1.3,0)),"-")</f>
        <v>-</v>
      </c>
      <c r="S492" s="70" t="str">
        <f>IF($J492=S$3,IF(S$3&gt;$I492,"-",ROUNDUP(Ld_cal($B492, $C492, $D492, $G492,$E492, $F492, $H492, S$3)*1.3*1.3,0)),"-")</f>
        <v>-</v>
      </c>
      <c r="T492" s="70" t="str">
        <f>IF($J492=T$3,IF(T$3&gt;$I492,"-",ROUNDUP(Ld_cal($B492, $C492, $D492, $G492,$E492, $F492, $H492, T$3)*1.3*1.3,0)),"-")</f>
        <v>-</v>
      </c>
      <c r="U492" s="70" t="str">
        <f>IF($J492=U$3,IF(U$3&gt;$I492,"-",ROUNDUP(Ld_cal($B492, $C492, $D492, $G492,$E492, $F492, $H492, U$3)*1.3*1.3,0)),"-")</f>
        <v>-</v>
      </c>
      <c r="V492" s="70" t="str">
        <f>IF($J492=V$3,IF(V$3&gt;$I492,"-",ROUNDUP(Ld_cal($B492, $C492, $D492, $G492,$E492, $F492, $H492, V$3)*1.3*1.3,0)),"-")</f>
        <v>-</v>
      </c>
      <c r="W492" s="70" t="str">
        <f>IF($J492=W$3,IF(W$3&gt;$I492,"-",ROUNDUP(Ld_cal($B492, $C492, $D492, $G492,$E492, $F492, $H492, W$3)*1.3*1.3,0)),"-")</f>
        <v>-</v>
      </c>
      <c r="X492" s="70" t="str">
        <f>IF($J492=X$3,IF(X$3&gt;$I492,"-",ROUNDUP(Ld_cal($B492, $C492, $D492, $G492,$E492, $F492, $H492, X$3)*1.3*1.3,0)),"-")</f>
        <v>-</v>
      </c>
      <c r="Y492" s="70" t="str">
        <f>IF($J492=Y$3,IF(Y$3&gt;$I492,"-",ROUNDUP(Ld_cal($B492, $C492, $D492, $G492,$E492, $F492, $H492, Y$3)*1.3*1.3,0)),"-")</f>
        <v>-</v>
      </c>
      <c r="Z492" s="70" t="str">
        <f>IF($J492=Z$3,IF(Z$3&gt;$I492,"-",ROUNDUP(Ld_cal($B492, $C492, $D492, $G492,$E492, $F492, $H492, Z$3)*1.3*1.3,0)),"-")</f>
        <v>-</v>
      </c>
      <c r="AA492" s="70" t="str">
        <f>IF($J492=AA$3,IF(AA$3&gt;$I492,"-",ROUNDUP(Ld_cal($B492, $C492, $D492, $G492,$E492, $F492, $H492, AA$3)*1.3*1.3,0)),"-")</f>
        <v>-</v>
      </c>
      <c r="AB492" s="70" t="str">
        <f>IF($J492=AB$3,IF(AB$3&gt;$I492,"-",ROUNDUP(Ld_cal($B492, $C492, $D492, $G492,$E492, $F492, $H492, AB$3)*1.3*1.3,0)),"-")</f>
        <v>-</v>
      </c>
      <c r="AC492" s="70" t="str">
        <f>IF($J492=AC$3,IF(AC$3&gt;$I492,"-",ROUNDUP(Ld_cal($B492, $C492, $D492, $G492,$E492, $F492, $H492, AC$3)*1.3*1.3,0)),"-")</f>
        <v>-</v>
      </c>
      <c r="AD492" s="70">
        <f t="shared" ref="AD492" si="482">IF(J492&gt;I492,"依標準圖",MAX(L492:AC492))</f>
        <v>136</v>
      </c>
    </row>
    <row r="493" spans="1:30">
      <c r="A493" s="106"/>
      <c r="B493" s="107"/>
      <c r="C493" s="108"/>
      <c r="D493" s="107"/>
      <c r="E493" s="109"/>
      <c r="F493" s="110"/>
      <c r="G493" s="107"/>
      <c r="H493" s="109"/>
      <c r="I493" s="111"/>
      <c r="J493" s="73">
        <v>11</v>
      </c>
      <c r="K493" s="40" t="s">
        <v>29</v>
      </c>
      <c r="L493" s="70" t="str">
        <f>IF($J493=L$3,IF(L$3&gt;$I492,"-",ROUNDUP(Ld_cal($B492, $C492, $D492, $G492,$E492, $F492, $H492, L$3)*1.3,0)),"-")</f>
        <v>-</v>
      </c>
      <c r="M493" s="70" t="str">
        <f>IF($J493=M$3,IF(M$3&gt;$I492,"-",ROUNDUP(Ld_cal($B492, $C492, $D492, $G492,$E492, $F492, $H492, M$3)*1.3,0)),"-")</f>
        <v>-</v>
      </c>
      <c r="N493" s="70" t="str">
        <f>IF($J493=N$3,IF(N$3&gt;$I492,"-",ROUNDUP(Ld_cal($B492, $C492, $D492, $G492,$E492, $F492, $H492, N$3)*1.3,0)),"-")</f>
        <v>-</v>
      </c>
      <c r="O493" s="70" t="str">
        <f>IF($J493=O$3,IF(O$3&gt;$I492,"-",ROUNDUP(Ld_cal($B492, $C492, $D492, $G492,$E492, $F492, $H492, O$3)*1.3,0)),"-")</f>
        <v>-</v>
      </c>
      <c r="P493" s="70" t="str">
        <f>IF($J493=P$3,IF(P$3&gt;$I492,"-",ROUNDUP(Ld_cal($B492, $C492, $D492, $G492,$E492, $F492, $H492, P$3)*1.3,0)),"-")</f>
        <v>-</v>
      </c>
      <c r="Q493" s="70" t="str">
        <f>IF($J493=Q$3,IF(Q$3&gt;$I492,"-",ROUNDUP(Ld_cal($B492, $C492, $D492, $G492,$E492, $F492, $H492, Q$3)*1.3,0)),"-")</f>
        <v>-</v>
      </c>
      <c r="R493" s="70" t="str">
        <f>IF($J493=R$3,IF(R$3&gt;$I492,"-",ROUNDUP(Ld_cal($B492, $C492, $D492, $G492,$E492, $F492, $H492, R$3)*1.3,0)),"-")</f>
        <v>-</v>
      </c>
      <c r="S493" s="70" t="str">
        <f>IF($J493=S$3,IF(S$3&gt;$I492,"-",ROUNDUP(Ld_cal($B492, $C492, $D492, $G492,$E492, $F492, $H492, S$3)*1.3,0)),"-")</f>
        <v>-</v>
      </c>
      <c r="T493" s="70" t="str">
        <f>IF($J493=T$3,IF(T$3&gt;$I492,"-",ROUNDUP(Ld_cal($B492, $C492, $D492, $G492,$E492, $F492, $H492, T$3)*1.3,0)),"-")</f>
        <v>-</v>
      </c>
      <c r="U493" s="70" t="str">
        <f>IF($J493=U$3,IF(U$3&gt;$I492,"-",ROUNDUP(Ld_cal($B492, $C492, $D492, $G492,$E492, $F492, $H492, U$3)*1.3,0)),"-")</f>
        <v>-</v>
      </c>
      <c r="V493" s="70" t="str">
        <f>IF($J493=V$3,IF(V$3&gt;$I492,"-",ROUNDUP(Ld_cal($B492, $C492, $D492, $G492,$E492, $F492, $H492, V$3)*1.3,0)),"-")</f>
        <v>-</v>
      </c>
      <c r="W493" s="70" t="str">
        <f>IF($J493=W$3,IF(W$3&gt;$I492,"-",ROUNDUP(Ld_cal($B492, $C492, $D492, $G492,$E492, $F492, $H492, W$3)*1.3,0)),"-")</f>
        <v>-</v>
      </c>
      <c r="X493" s="70" t="str">
        <f>IF($J493=X$3,IF(X$3&gt;$I492,"-",ROUNDUP(Ld_cal($B492, $C492, $D492, $G492,$E492, $F492, $H492, X$3)*1.3,0)),"-")</f>
        <v>-</v>
      </c>
      <c r="Y493" s="70" t="str">
        <f>IF($J493=Y$3,IF(Y$3&gt;$I492,"-",ROUNDUP(Ld_cal($B492, $C492, $D492, $G492,$E492, $F492, $H492, Y$3)*1.3,0)),"-")</f>
        <v>-</v>
      </c>
      <c r="Z493" s="70" t="str">
        <f>IF($J493=Z$3,IF(Z$3&gt;$I492,"-",ROUNDUP(Ld_cal($B492, $C492, $D492, $G492,$E492, $F492, $H492, Z$3)*1.3,0)),"-")</f>
        <v>-</v>
      </c>
      <c r="AA493" s="70" t="str">
        <f>IF($J493=AA$3,IF(AA$3&gt;$I492,"-",ROUNDUP(Ld_cal($B492, $C492, $D492, $G492,$E492, $F492, $H492, AA$3)*1.3,0)),"-")</f>
        <v>-</v>
      </c>
      <c r="AB493" s="70" t="str">
        <f>IF($J493=AB$3,IF(AB$3&gt;$I492,"-",ROUNDUP(Ld_cal($B492, $C492, $D492, $G492,$E492, $F492, $H492, AB$3)*1.3,0)),"-")</f>
        <v>-</v>
      </c>
      <c r="AC493" s="70" t="str">
        <f>IF($J493=AC$3,IF(AC$3&gt;$I492,"-",ROUNDUP(Ld_cal($B492, $C492, $D492, $G492,$E492, $F492, $H492, AC$3)*1.3,0)),"-")</f>
        <v>-</v>
      </c>
      <c r="AD493" s="70" t="str">
        <f t="shared" ref="AD493" si="483">IF(J493&gt;I492,"依標準圖",MAX(L493:AC493))</f>
        <v>依標準圖</v>
      </c>
    </row>
    <row r="494" spans="1:30">
      <c r="A494" s="125" t="s">
        <v>288</v>
      </c>
      <c r="B494" s="127">
        <v>80</v>
      </c>
      <c r="C494" s="128">
        <v>7.5</v>
      </c>
      <c r="D494" s="127">
        <v>4200</v>
      </c>
      <c r="E494" s="129">
        <v>16</v>
      </c>
      <c r="F494" s="130">
        <v>14</v>
      </c>
      <c r="G494" s="127">
        <v>350</v>
      </c>
      <c r="H494" s="129">
        <v>32</v>
      </c>
      <c r="I494" s="131">
        <f>ROUNDDOWN(($B494-2*$C494-2*$E494/10-$H494/10)/(($D$1+1)*$H494/10),0)+1</f>
        <v>10</v>
      </c>
      <c r="J494" s="75">
        <v>10</v>
      </c>
      <c r="K494" s="76" t="s">
        <v>30</v>
      </c>
      <c r="L494" s="77" t="str">
        <f>IF($J494=L$3,IF(L$3&gt;$I494,"-",ROUNDUP(Ld_cal($B494, $C494, $D494, $G494,$E494, $F494, $H494, L$3)*1.3*1.3,0)),"-")</f>
        <v>-</v>
      </c>
      <c r="M494" s="77" t="str">
        <f>IF($J494=M$3,IF(M$3&gt;$I494,"-",ROUNDUP(Ld_cal($B494, $C494, $D494, $G494,$E494, $F494, $H494, M$3)*1.3*1.3,0)),"-")</f>
        <v>-</v>
      </c>
      <c r="N494" s="77" t="str">
        <f>IF($J494=N$3,IF(N$3&gt;$I494,"-",ROUNDUP(Ld_cal($B494, $C494, $D494, $G494,$E494, $F494, $H494, N$3)*1.3*1.3,0)),"-")</f>
        <v>-</v>
      </c>
      <c r="O494" s="77" t="str">
        <f>IF($J494=O$3,IF(O$3&gt;$I494,"-",ROUNDUP(Ld_cal($B494, $C494, $D494, $G494,$E494, $F494, $H494, O$3)*1.3*1.3,0)),"-")</f>
        <v>-</v>
      </c>
      <c r="P494" s="77" t="str">
        <f>IF($J494=P$3,IF(P$3&gt;$I494,"-",ROUNDUP(Ld_cal($B494, $C494, $D494, $G494,$E494, $F494, $H494, P$3)*1.3*1.3,0)),"-")</f>
        <v>-</v>
      </c>
      <c r="Q494" s="77" t="str">
        <f>IF($J494=Q$3,IF(Q$3&gt;$I494,"-",ROUNDUP(Ld_cal($B494, $C494, $D494, $G494,$E494, $F494, $H494, Q$3)*1.3*1.3,0)),"-")</f>
        <v>-</v>
      </c>
      <c r="R494" s="77" t="str">
        <f>IF($J494=R$3,IF(R$3&gt;$I494,"-",ROUNDUP(Ld_cal($B494, $C494, $D494, $G494,$E494, $F494, $H494, R$3)*1.3*1.3,0)),"-")</f>
        <v>-</v>
      </c>
      <c r="S494" s="77">
        <f>IF($J494=S$3,IF(S$3&gt;$I494,"-",ROUNDUP(Ld_cal($B494, $C494, $D494, $G494,$E494, $F494, $H494, S$3)*1.3*1.3,0)),"-")</f>
        <v>247</v>
      </c>
      <c r="T494" s="77" t="str">
        <f>IF($J494=T$3,IF(T$3&gt;$I494,"-",ROUNDUP(Ld_cal($B494, $C494, $D494, $G494,$E494, $F494, $H494, T$3)*1.3*1.3,0)),"-")</f>
        <v>-</v>
      </c>
      <c r="U494" s="77" t="str">
        <f>IF($J494=U$3,IF(U$3&gt;$I494,"-",ROUNDUP(Ld_cal($B494, $C494, $D494, $G494,$E494, $F494, $H494, U$3)*1.3*1.3,0)),"-")</f>
        <v>-</v>
      </c>
      <c r="V494" s="77" t="str">
        <f>IF($J494=V$3,IF(V$3&gt;$I494,"-",ROUNDUP(Ld_cal($B494, $C494, $D494, $G494,$E494, $F494, $H494, V$3)*1.3*1.3,0)),"-")</f>
        <v>-</v>
      </c>
      <c r="W494" s="77" t="str">
        <f>IF($J494=W$3,IF(W$3&gt;$I494,"-",ROUNDUP(Ld_cal($B494, $C494, $D494, $G494,$E494, $F494, $H494, W$3)*1.3*1.3,0)),"-")</f>
        <v>-</v>
      </c>
      <c r="X494" s="77" t="str">
        <f>IF($J494=X$3,IF(X$3&gt;$I494,"-",ROUNDUP(Ld_cal($B494, $C494, $D494, $G494,$E494, $F494, $H494, X$3)*1.3*1.3,0)),"-")</f>
        <v>-</v>
      </c>
      <c r="Y494" s="77" t="str">
        <f>IF($J494=Y$3,IF(Y$3&gt;$I494,"-",ROUNDUP(Ld_cal($B494, $C494, $D494, $G494,$E494, $F494, $H494, Y$3)*1.3*1.3,0)),"-")</f>
        <v>-</v>
      </c>
      <c r="Z494" s="77" t="str">
        <f>IF($J494=Z$3,IF(Z$3&gt;$I494,"-",ROUNDUP(Ld_cal($B494, $C494, $D494, $G494,$E494, $F494, $H494, Z$3)*1.3*1.3,0)),"-")</f>
        <v>-</v>
      </c>
      <c r="AA494" s="77" t="str">
        <f>IF($J494=AA$3,IF(AA$3&gt;$I494,"-",ROUNDUP(Ld_cal($B494, $C494, $D494, $G494,$E494, $F494, $H494, AA$3)*1.3*1.3,0)),"-")</f>
        <v>-</v>
      </c>
      <c r="AB494" s="77" t="str">
        <f>IF($J494=AB$3,IF(AB$3&gt;$I494,"-",ROUNDUP(Ld_cal($B494, $C494, $D494, $G494,$E494, $F494, $H494, AB$3)*1.3*1.3,0)),"-")</f>
        <v>-</v>
      </c>
      <c r="AC494" s="77" t="str">
        <f>IF($J494=AC$3,IF(AC$3&gt;$I494,"-",ROUNDUP(Ld_cal($B494, $C494, $D494, $G494,$E494, $F494, $H494, AC$3)*1.3*1.3,0)),"-")</f>
        <v>-</v>
      </c>
      <c r="AD494" s="77">
        <f t="shared" ref="AD494" si="484">IF(J494&gt;I494,"依標準圖",MAX(L494:AC494))</f>
        <v>247</v>
      </c>
    </row>
    <row r="495" spans="1:30">
      <c r="A495" s="126"/>
      <c r="B495" s="127"/>
      <c r="C495" s="128"/>
      <c r="D495" s="127"/>
      <c r="E495" s="129"/>
      <c r="F495" s="130"/>
      <c r="G495" s="127"/>
      <c r="H495" s="129"/>
      <c r="I495" s="131"/>
      <c r="J495" s="75">
        <v>9</v>
      </c>
      <c r="K495" s="76" t="s">
        <v>29</v>
      </c>
      <c r="L495" s="77" t="str">
        <f>IF($J495=L$3,IF(L$3&gt;$I494,"-",ROUNDUP(Ld_cal($B494, $C494, $D494, $G494,$E494, $F494, $H494, L$3)*1.3,0)),"-")</f>
        <v>-</v>
      </c>
      <c r="M495" s="77" t="str">
        <f>IF($J495=M$3,IF(M$3&gt;$I494,"-",ROUNDUP(Ld_cal($B494, $C494, $D494, $G494,$E494, $F494, $H494, M$3)*1.3,0)),"-")</f>
        <v>-</v>
      </c>
      <c r="N495" s="77" t="str">
        <f>IF($J495=N$3,IF(N$3&gt;$I494,"-",ROUNDUP(Ld_cal($B494, $C494, $D494, $G494,$E494, $F494, $H494, N$3)*1.3,0)),"-")</f>
        <v>-</v>
      </c>
      <c r="O495" s="77" t="str">
        <f>IF($J495=O$3,IF(O$3&gt;$I494,"-",ROUNDUP(Ld_cal($B494, $C494, $D494, $G494,$E494, $F494, $H494, O$3)*1.3,0)),"-")</f>
        <v>-</v>
      </c>
      <c r="P495" s="77" t="str">
        <f>IF($J495=P$3,IF(P$3&gt;$I494,"-",ROUNDUP(Ld_cal($B494, $C494, $D494, $G494,$E494, $F494, $H494, P$3)*1.3,0)),"-")</f>
        <v>-</v>
      </c>
      <c r="Q495" s="77" t="str">
        <f>IF($J495=Q$3,IF(Q$3&gt;$I494,"-",ROUNDUP(Ld_cal($B494, $C494, $D494, $G494,$E494, $F494, $H494, Q$3)*1.3,0)),"-")</f>
        <v>-</v>
      </c>
      <c r="R495" s="77">
        <f>IF($J495=R$3,IF(R$3&gt;$I494,"-",ROUNDUP(Ld_cal($B494, $C494, $D494, $G494,$E494, $F494, $H494, R$3)*1.3,0)),"-")</f>
        <v>170</v>
      </c>
      <c r="S495" s="77" t="str">
        <f>IF($J495=S$3,IF(S$3&gt;$I494,"-",ROUNDUP(Ld_cal($B494, $C494, $D494, $G494,$E494, $F494, $H494, S$3)*1.3,0)),"-")</f>
        <v>-</v>
      </c>
      <c r="T495" s="77" t="str">
        <f>IF($J495=T$3,IF(T$3&gt;$I494,"-",ROUNDUP(Ld_cal($B494, $C494, $D494, $G494,$E494, $F494, $H494, T$3)*1.3,0)),"-")</f>
        <v>-</v>
      </c>
      <c r="U495" s="77" t="str">
        <f>IF($J495=U$3,IF(U$3&gt;$I494,"-",ROUNDUP(Ld_cal($B494, $C494, $D494, $G494,$E494, $F494, $H494, U$3)*1.3,0)),"-")</f>
        <v>-</v>
      </c>
      <c r="V495" s="77" t="str">
        <f>IF($J495=V$3,IF(V$3&gt;$I494,"-",ROUNDUP(Ld_cal($B494, $C494, $D494, $G494,$E494, $F494, $H494, V$3)*1.3,0)),"-")</f>
        <v>-</v>
      </c>
      <c r="W495" s="77" t="str">
        <f>IF($J495=W$3,IF(W$3&gt;$I494,"-",ROUNDUP(Ld_cal($B494, $C494, $D494, $G494,$E494, $F494, $H494, W$3)*1.3,0)),"-")</f>
        <v>-</v>
      </c>
      <c r="X495" s="77" t="str">
        <f>IF($J495=X$3,IF(X$3&gt;$I494,"-",ROUNDUP(Ld_cal($B494, $C494, $D494, $G494,$E494, $F494, $H494, X$3)*1.3,0)),"-")</f>
        <v>-</v>
      </c>
      <c r="Y495" s="77" t="str">
        <f>IF($J495=Y$3,IF(Y$3&gt;$I494,"-",ROUNDUP(Ld_cal($B494, $C494, $D494, $G494,$E494, $F494, $H494, Y$3)*1.3,0)),"-")</f>
        <v>-</v>
      </c>
      <c r="Z495" s="77" t="str">
        <f>IF($J495=Z$3,IF(Z$3&gt;$I494,"-",ROUNDUP(Ld_cal($B494, $C494, $D494, $G494,$E494, $F494, $H494, Z$3)*1.3,0)),"-")</f>
        <v>-</v>
      </c>
      <c r="AA495" s="77" t="str">
        <f>IF($J495=AA$3,IF(AA$3&gt;$I494,"-",ROUNDUP(Ld_cal($B494, $C494, $D494, $G494,$E494, $F494, $H494, AA$3)*1.3,0)),"-")</f>
        <v>-</v>
      </c>
      <c r="AB495" s="77" t="str">
        <f>IF($J495=AB$3,IF(AB$3&gt;$I494,"-",ROUNDUP(Ld_cal($B494, $C494, $D494, $G494,$E494, $F494, $H494, AB$3)*1.3,0)),"-")</f>
        <v>-</v>
      </c>
      <c r="AC495" s="77" t="str">
        <f>IF($J495=AC$3,IF(AC$3&gt;$I494,"-",ROUNDUP(Ld_cal($B494, $C494, $D494, $G494,$E494, $F494, $H494, AC$3)*1.3,0)),"-")</f>
        <v>-</v>
      </c>
      <c r="AD495" s="77">
        <f t="shared" ref="AD495" si="485">IF(J495&gt;I494,"依標準圖",MAX(L495:AC495))</f>
        <v>170</v>
      </c>
    </row>
    <row r="496" spans="1:30">
      <c r="A496" s="105" t="s">
        <v>289</v>
      </c>
      <c r="B496" s="107">
        <v>80</v>
      </c>
      <c r="C496" s="108">
        <v>7.5</v>
      </c>
      <c r="D496" s="107">
        <v>4200</v>
      </c>
      <c r="E496" s="109">
        <v>16</v>
      </c>
      <c r="F496" s="110">
        <v>25</v>
      </c>
      <c r="G496" s="107">
        <v>350</v>
      </c>
      <c r="H496" s="109">
        <v>32</v>
      </c>
      <c r="I496" s="111">
        <f>ROUNDDOWN(($B496-2*$C496-2*$E496/10-$H496/10)/(($D$1+1)*$H496/10),0)+1</f>
        <v>10</v>
      </c>
      <c r="J496" s="73">
        <v>4</v>
      </c>
      <c r="K496" s="40" t="s">
        <v>30</v>
      </c>
      <c r="L496" s="70" t="str">
        <f>IF($J496=L$3,IF(L$3&gt;$I496,"-",ROUNDUP(Ld_cal($B496, $C496, $D496, $G496,$E496, $F496, $H496, L$3)*1.3*1.3,0)),"-")</f>
        <v>-</v>
      </c>
      <c r="M496" s="70">
        <f>IF($J496=M$3,IF(M$3&gt;$I496,"-",ROUNDUP(Ld_cal($B496, $C496, $D496, $G496,$E496, $F496, $H496, M$3)*1.3*1.3,0)),"-")</f>
        <v>136</v>
      </c>
      <c r="N496" s="70" t="str">
        <f>IF($J496=N$3,IF(N$3&gt;$I496,"-",ROUNDUP(Ld_cal($B496, $C496, $D496, $G496,$E496, $F496, $H496, N$3)*1.3*1.3,0)),"-")</f>
        <v>-</v>
      </c>
      <c r="O496" s="70" t="str">
        <f>IF($J496=O$3,IF(O$3&gt;$I496,"-",ROUNDUP(Ld_cal($B496, $C496, $D496, $G496,$E496, $F496, $H496, O$3)*1.3*1.3,0)),"-")</f>
        <v>-</v>
      </c>
      <c r="P496" s="70" t="str">
        <f>IF($J496=P$3,IF(P$3&gt;$I496,"-",ROUNDUP(Ld_cal($B496, $C496, $D496, $G496,$E496, $F496, $H496, P$3)*1.3*1.3,0)),"-")</f>
        <v>-</v>
      </c>
      <c r="Q496" s="70" t="str">
        <f>IF($J496=Q$3,IF(Q$3&gt;$I496,"-",ROUNDUP(Ld_cal($B496, $C496, $D496, $G496,$E496, $F496, $H496, Q$3)*1.3*1.3,0)),"-")</f>
        <v>-</v>
      </c>
      <c r="R496" s="70" t="str">
        <f>IF($J496=R$3,IF(R$3&gt;$I496,"-",ROUNDUP(Ld_cal($B496, $C496, $D496, $G496,$E496, $F496, $H496, R$3)*1.3*1.3,0)),"-")</f>
        <v>-</v>
      </c>
      <c r="S496" s="70" t="str">
        <f>IF($J496=S$3,IF(S$3&gt;$I496,"-",ROUNDUP(Ld_cal($B496, $C496, $D496, $G496,$E496, $F496, $H496, S$3)*1.3*1.3,0)),"-")</f>
        <v>-</v>
      </c>
      <c r="T496" s="70" t="str">
        <f>IF($J496=T$3,IF(T$3&gt;$I496,"-",ROUNDUP(Ld_cal($B496, $C496, $D496, $G496,$E496, $F496, $H496, T$3)*1.3*1.3,0)),"-")</f>
        <v>-</v>
      </c>
      <c r="U496" s="70" t="str">
        <f>IF($J496=U$3,IF(U$3&gt;$I496,"-",ROUNDUP(Ld_cal($B496, $C496, $D496, $G496,$E496, $F496, $H496, U$3)*1.3*1.3,0)),"-")</f>
        <v>-</v>
      </c>
      <c r="V496" s="70" t="str">
        <f>IF($J496=V$3,IF(V$3&gt;$I496,"-",ROUNDUP(Ld_cal($B496, $C496, $D496, $G496,$E496, $F496, $H496, V$3)*1.3*1.3,0)),"-")</f>
        <v>-</v>
      </c>
      <c r="W496" s="70" t="str">
        <f>IF($J496=W$3,IF(W$3&gt;$I496,"-",ROUNDUP(Ld_cal($B496, $C496, $D496, $G496,$E496, $F496, $H496, W$3)*1.3*1.3,0)),"-")</f>
        <v>-</v>
      </c>
      <c r="X496" s="70" t="str">
        <f>IF($J496=X$3,IF(X$3&gt;$I496,"-",ROUNDUP(Ld_cal($B496, $C496, $D496, $G496,$E496, $F496, $H496, X$3)*1.3*1.3,0)),"-")</f>
        <v>-</v>
      </c>
      <c r="Y496" s="70" t="str">
        <f>IF($J496=Y$3,IF(Y$3&gt;$I496,"-",ROUNDUP(Ld_cal($B496, $C496, $D496, $G496,$E496, $F496, $H496, Y$3)*1.3*1.3,0)),"-")</f>
        <v>-</v>
      </c>
      <c r="Z496" s="70" t="str">
        <f>IF($J496=Z$3,IF(Z$3&gt;$I496,"-",ROUNDUP(Ld_cal($B496, $C496, $D496, $G496,$E496, $F496, $H496, Z$3)*1.3*1.3,0)),"-")</f>
        <v>-</v>
      </c>
      <c r="AA496" s="70" t="str">
        <f>IF($J496=AA$3,IF(AA$3&gt;$I496,"-",ROUNDUP(Ld_cal($B496, $C496, $D496, $G496,$E496, $F496, $H496, AA$3)*1.3*1.3,0)),"-")</f>
        <v>-</v>
      </c>
      <c r="AB496" s="70" t="str">
        <f>IF($J496=AB$3,IF(AB$3&gt;$I496,"-",ROUNDUP(Ld_cal($B496, $C496, $D496, $G496,$E496, $F496, $H496, AB$3)*1.3*1.3,0)),"-")</f>
        <v>-</v>
      </c>
      <c r="AC496" s="70" t="str">
        <f>IF($J496=AC$3,IF(AC$3&gt;$I496,"-",ROUNDUP(Ld_cal($B496, $C496, $D496, $G496,$E496, $F496, $H496, AC$3)*1.3*1.3,0)),"-")</f>
        <v>-</v>
      </c>
      <c r="AD496" s="70">
        <f t="shared" ref="AD496" si="486">IF(J496&gt;I496,"依標準圖",MAX(L496:AC496))</f>
        <v>136</v>
      </c>
    </row>
    <row r="497" spans="1:30">
      <c r="A497" s="106"/>
      <c r="B497" s="107"/>
      <c r="C497" s="108"/>
      <c r="D497" s="107"/>
      <c r="E497" s="109"/>
      <c r="F497" s="110"/>
      <c r="G497" s="107"/>
      <c r="H497" s="109"/>
      <c r="I497" s="111"/>
      <c r="J497" s="73">
        <v>5</v>
      </c>
      <c r="K497" s="40" t="s">
        <v>29</v>
      </c>
      <c r="L497" s="70" t="str">
        <f>IF($J497=L$3,IF(L$3&gt;$I496,"-",ROUNDUP(Ld_cal($B496, $C496, $D496, $G496,$E496, $F496, $H496, L$3)*1.3,0)),"-")</f>
        <v>-</v>
      </c>
      <c r="M497" s="70" t="str">
        <f>IF($J497=M$3,IF(M$3&gt;$I496,"-",ROUNDUP(Ld_cal($B496, $C496, $D496, $G496,$E496, $F496, $H496, M$3)*1.3,0)),"-")</f>
        <v>-</v>
      </c>
      <c r="N497" s="70">
        <f>IF($J497=N$3,IF(N$3&gt;$I496,"-",ROUNDUP(Ld_cal($B496, $C496, $D496, $G496,$E496, $F496, $H496, N$3)*1.3,0)),"-")</f>
        <v>105</v>
      </c>
      <c r="O497" s="70" t="str">
        <f>IF($J497=O$3,IF(O$3&gt;$I496,"-",ROUNDUP(Ld_cal($B496, $C496, $D496, $G496,$E496, $F496, $H496, O$3)*1.3,0)),"-")</f>
        <v>-</v>
      </c>
      <c r="P497" s="70" t="str">
        <f>IF($J497=P$3,IF(P$3&gt;$I496,"-",ROUNDUP(Ld_cal($B496, $C496, $D496, $G496,$E496, $F496, $H496, P$3)*1.3,0)),"-")</f>
        <v>-</v>
      </c>
      <c r="Q497" s="70" t="str">
        <f>IF($J497=Q$3,IF(Q$3&gt;$I496,"-",ROUNDUP(Ld_cal($B496, $C496, $D496, $G496,$E496, $F496, $H496, Q$3)*1.3,0)),"-")</f>
        <v>-</v>
      </c>
      <c r="R497" s="70" t="str">
        <f>IF($J497=R$3,IF(R$3&gt;$I496,"-",ROUNDUP(Ld_cal($B496, $C496, $D496, $G496,$E496, $F496, $H496, R$3)*1.3,0)),"-")</f>
        <v>-</v>
      </c>
      <c r="S497" s="70" t="str">
        <f>IF($J497=S$3,IF(S$3&gt;$I496,"-",ROUNDUP(Ld_cal($B496, $C496, $D496, $G496,$E496, $F496, $H496, S$3)*1.3,0)),"-")</f>
        <v>-</v>
      </c>
      <c r="T497" s="70" t="str">
        <f>IF($J497=T$3,IF(T$3&gt;$I496,"-",ROUNDUP(Ld_cal($B496, $C496, $D496, $G496,$E496, $F496, $H496, T$3)*1.3,0)),"-")</f>
        <v>-</v>
      </c>
      <c r="U497" s="70" t="str">
        <f>IF($J497=U$3,IF(U$3&gt;$I496,"-",ROUNDUP(Ld_cal($B496, $C496, $D496, $G496,$E496, $F496, $H496, U$3)*1.3,0)),"-")</f>
        <v>-</v>
      </c>
      <c r="V497" s="70" t="str">
        <f>IF($J497=V$3,IF(V$3&gt;$I496,"-",ROUNDUP(Ld_cal($B496, $C496, $D496, $G496,$E496, $F496, $H496, V$3)*1.3,0)),"-")</f>
        <v>-</v>
      </c>
      <c r="W497" s="70" t="str">
        <f>IF($J497=W$3,IF(W$3&gt;$I496,"-",ROUNDUP(Ld_cal($B496, $C496, $D496, $G496,$E496, $F496, $H496, W$3)*1.3,0)),"-")</f>
        <v>-</v>
      </c>
      <c r="X497" s="70" t="str">
        <f>IF($J497=X$3,IF(X$3&gt;$I496,"-",ROUNDUP(Ld_cal($B496, $C496, $D496, $G496,$E496, $F496, $H496, X$3)*1.3,0)),"-")</f>
        <v>-</v>
      </c>
      <c r="Y497" s="70" t="str">
        <f>IF($J497=Y$3,IF(Y$3&gt;$I496,"-",ROUNDUP(Ld_cal($B496, $C496, $D496, $G496,$E496, $F496, $H496, Y$3)*1.3,0)),"-")</f>
        <v>-</v>
      </c>
      <c r="Z497" s="70" t="str">
        <f>IF($J497=Z$3,IF(Z$3&gt;$I496,"-",ROUNDUP(Ld_cal($B496, $C496, $D496, $G496,$E496, $F496, $H496, Z$3)*1.3,0)),"-")</f>
        <v>-</v>
      </c>
      <c r="AA497" s="70" t="str">
        <f>IF($J497=AA$3,IF(AA$3&gt;$I496,"-",ROUNDUP(Ld_cal($B496, $C496, $D496, $G496,$E496, $F496, $H496, AA$3)*1.3,0)),"-")</f>
        <v>-</v>
      </c>
      <c r="AB497" s="70" t="str">
        <f>IF($J497=AB$3,IF(AB$3&gt;$I496,"-",ROUNDUP(Ld_cal($B496, $C496, $D496, $G496,$E496, $F496, $H496, AB$3)*1.3,0)),"-")</f>
        <v>-</v>
      </c>
      <c r="AC497" s="70" t="str">
        <f>IF($J497=AC$3,IF(AC$3&gt;$I496,"-",ROUNDUP(Ld_cal($B496, $C496, $D496, $G496,$E496, $F496, $H496, AC$3)*1.3,0)),"-")</f>
        <v>-</v>
      </c>
      <c r="AD497" s="70">
        <f t="shared" ref="AD497" si="487">IF(J497&gt;I496,"依標準圖",MAX(L497:AC497))</f>
        <v>105</v>
      </c>
    </row>
    <row r="498" spans="1:30">
      <c r="A498" s="125" t="s">
        <v>290</v>
      </c>
      <c r="B498" s="127">
        <v>80</v>
      </c>
      <c r="C498" s="128">
        <v>7.5</v>
      </c>
      <c r="D498" s="127">
        <v>4200</v>
      </c>
      <c r="E498" s="129">
        <v>16</v>
      </c>
      <c r="F498" s="130">
        <v>25</v>
      </c>
      <c r="G498" s="127">
        <v>350</v>
      </c>
      <c r="H498" s="129">
        <v>32</v>
      </c>
      <c r="I498" s="131">
        <f>ROUNDDOWN(($B498-2*$C498-2*$E498/10-$H498/10)/(($D$1+1)*$H498/10),0)+1</f>
        <v>10</v>
      </c>
      <c r="J498" s="75">
        <v>10</v>
      </c>
      <c r="K498" s="76" t="s">
        <v>30</v>
      </c>
      <c r="L498" s="77" t="str">
        <f>IF($J498=L$3,IF(L$3&gt;$I498,"-",ROUNDUP(Ld_cal($B498, $C498, $D498, $G498,$E498, $F498, $H498, L$3)*1.3*1.3,0)),"-")</f>
        <v>-</v>
      </c>
      <c r="M498" s="77" t="str">
        <f>IF($J498=M$3,IF(M$3&gt;$I498,"-",ROUNDUP(Ld_cal($B498, $C498, $D498, $G498,$E498, $F498, $H498, M$3)*1.3*1.3,0)),"-")</f>
        <v>-</v>
      </c>
      <c r="N498" s="77" t="str">
        <f>IF($J498=N$3,IF(N$3&gt;$I498,"-",ROUNDUP(Ld_cal($B498, $C498, $D498, $G498,$E498, $F498, $H498, N$3)*1.3*1.3,0)),"-")</f>
        <v>-</v>
      </c>
      <c r="O498" s="77" t="str">
        <f>IF($J498=O$3,IF(O$3&gt;$I498,"-",ROUNDUP(Ld_cal($B498, $C498, $D498, $G498,$E498, $F498, $H498, O$3)*1.3*1.3,0)),"-")</f>
        <v>-</v>
      </c>
      <c r="P498" s="77" t="str">
        <f>IF($J498=P$3,IF(P$3&gt;$I498,"-",ROUNDUP(Ld_cal($B498, $C498, $D498, $G498,$E498, $F498, $H498, P$3)*1.3*1.3,0)),"-")</f>
        <v>-</v>
      </c>
      <c r="Q498" s="77" t="str">
        <f>IF($J498=Q$3,IF(Q$3&gt;$I498,"-",ROUNDUP(Ld_cal($B498, $C498, $D498, $G498,$E498, $F498, $H498, Q$3)*1.3*1.3,0)),"-")</f>
        <v>-</v>
      </c>
      <c r="R498" s="77" t="str">
        <f>IF($J498=R$3,IF(R$3&gt;$I498,"-",ROUNDUP(Ld_cal($B498, $C498, $D498, $G498,$E498, $F498, $H498, R$3)*1.3*1.3,0)),"-")</f>
        <v>-</v>
      </c>
      <c r="S498" s="77">
        <f>IF($J498=S$3,IF(S$3&gt;$I498,"-",ROUNDUP(Ld_cal($B498, $C498, $D498, $G498,$E498, $F498, $H498, S$3)*1.3*1.3,0)),"-")</f>
        <v>280</v>
      </c>
      <c r="T498" s="77" t="str">
        <f>IF($J498=T$3,IF(T$3&gt;$I498,"-",ROUNDUP(Ld_cal($B498, $C498, $D498, $G498,$E498, $F498, $H498, T$3)*1.3*1.3,0)),"-")</f>
        <v>-</v>
      </c>
      <c r="U498" s="77" t="str">
        <f>IF($J498=U$3,IF(U$3&gt;$I498,"-",ROUNDUP(Ld_cal($B498, $C498, $D498, $G498,$E498, $F498, $H498, U$3)*1.3*1.3,0)),"-")</f>
        <v>-</v>
      </c>
      <c r="V498" s="77" t="str">
        <f>IF($J498=V$3,IF(V$3&gt;$I498,"-",ROUNDUP(Ld_cal($B498, $C498, $D498, $G498,$E498, $F498, $H498, V$3)*1.3*1.3,0)),"-")</f>
        <v>-</v>
      </c>
      <c r="W498" s="77" t="str">
        <f>IF($J498=W$3,IF(W$3&gt;$I498,"-",ROUNDUP(Ld_cal($B498, $C498, $D498, $G498,$E498, $F498, $H498, W$3)*1.3*1.3,0)),"-")</f>
        <v>-</v>
      </c>
      <c r="X498" s="77" t="str">
        <f>IF($J498=X$3,IF(X$3&gt;$I498,"-",ROUNDUP(Ld_cal($B498, $C498, $D498, $G498,$E498, $F498, $H498, X$3)*1.3*1.3,0)),"-")</f>
        <v>-</v>
      </c>
      <c r="Y498" s="77" t="str">
        <f>IF($J498=Y$3,IF(Y$3&gt;$I498,"-",ROUNDUP(Ld_cal($B498, $C498, $D498, $G498,$E498, $F498, $H498, Y$3)*1.3*1.3,0)),"-")</f>
        <v>-</v>
      </c>
      <c r="Z498" s="77" t="str">
        <f>IF($J498=Z$3,IF(Z$3&gt;$I498,"-",ROUNDUP(Ld_cal($B498, $C498, $D498, $G498,$E498, $F498, $H498, Z$3)*1.3*1.3,0)),"-")</f>
        <v>-</v>
      </c>
      <c r="AA498" s="77" t="str">
        <f>IF($J498=AA$3,IF(AA$3&gt;$I498,"-",ROUNDUP(Ld_cal($B498, $C498, $D498, $G498,$E498, $F498, $H498, AA$3)*1.3*1.3,0)),"-")</f>
        <v>-</v>
      </c>
      <c r="AB498" s="77" t="str">
        <f>IF($J498=AB$3,IF(AB$3&gt;$I498,"-",ROUNDUP(Ld_cal($B498, $C498, $D498, $G498,$E498, $F498, $H498, AB$3)*1.3*1.3,0)),"-")</f>
        <v>-</v>
      </c>
      <c r="AC498" s="77" t="str">
        <f>IF($J498=AC$3,IF(AC$3&gt;$I498,"-",ROUNDUP(Ld_cal($B498, $C498, $D498, $G498,$E498, $F498, $H498, AC$3)*1.3*1.3,0)),"-")</f>
        <v>-</v>
      </c>
      <c r="AD498" s="77">
        <f t="shared" ref="AD498" si="488">IF(J498&gt;I498,"依標準圖",MAX(L498:AC498))</f>
        <v>280</v>
      </c>
    </row>
    <row r="499" spans="1:30">
      <c r="A499" s="126"/>
      <c r="B499" s="127"/>
      <c r="C499" s="128"/>
      <c r="D499" s="127"/>
      <c r="E499" s="129"/>
      <c r="F499" s="130"/>
      <c r="G499" s="127"/>
      <c r="H499" s="129"/>
      <c r="I499" s="131"/>
      <c r="J499" s="75">
        <v>9</v>
      </c>
      <c r="K499" s="76" t="s">
        <v>29</v>
      </c>
      <c r="L499" s="77" t="str">
        <f>IF($J499=L$3,IF(L$3&gt;$I498,"-",ROUNDUP(Ld_cal($B498, $C498, $D498, $G498,$E498, $F498, $H498, L$3)*1.3,0)),"-")</f>
        <v>-</v>
      </c>
      <c r="M499" s="77" t="str">
        <f>IF($J499=M$3,IF(M$3&gt;$I498,"-",ROUNDUP(Ld_cal($B498, $C498, $D498, $G498,$E498, $F498, $H498, M$3)*1.3,0)),"-")</f>
        <v>-</v>
      </c>
      <c r="N499" s="77" t="str">
        <f>IF($J499=N$3,IF(N$3&gt;$I498,"-",ROUNDUP(Ld_cal($B498, $C498, $D498, $G498,$E498, $F498, $H498, N$3)*1.3,0)),"-")</f>
        <v>-</v>
      </c>
      <c r="O499" s="77" t="str">
        <f>IF($J499=O$3,IF(O$3&gt;$I498,"-",ROUNDUP(Ld_cal($B498, $C498, $D498, $G498,$E498, $F498, $H498, O$3)*1.3,0)),"-")</f>
        <v>-</v>
      </c>
      <c r="P499" s="77" t="str">
        <f>IF($J499=P$3,IF(P$3&gt;$I498,"-",ROUNDUP(Ld_cal($B498, $C498, $D498, $G498,$E498, $F498, $H498, P$3)*1.3,0)),"-")</f>
        <v>-</v>
      </c>
      <c r="Q499" s="77" t="str">
        <f>IF($J499=Q$3,IF(Q$3&gt;$I498,"-",ROUNDUP(Ld_cal($B498, $C498, $D498, $G498,$E498, $F498, $H498, Q$3)*1.3,0)),"-")</f>
        <v>-</v>
      </c>
      <c r="R499" s="77">
        <f>IF($J499=R$3,IF(R$3&gt;$I498,"-",ROUNDUP(Ld_cal($B498, $C498, $D498, $G498,$E498, $F498, $H498, R$3)*1.3,0)),"-")</f>
        <v>192</v>
      </c>
      <c r="S499" s="77" t="str">
        <f>IF($J499=S$3,IF(S$3&gt;$I498,"-",ROUNDUP(Ld_cal($B498, $C498, $D498, $G498,$E498, $F498, $H498, S$3)*1.3,0)),"-")</f>
        <v>-</v>
      </c>
      <c r="T499" s="77" t="str">
        <f>IF($J499=T$3,IF(T$3&gt;$I498,"-",ROUNDUP(Ld_cal($B498, $C498, $D498, $G498,$E498, $F498, $H498, T$3)*1.3,0)),"-")</f>
        <v>-</v>
      </c>
      <c r="U499" s="77" t="str">
        <f>IF($J499=U$3,IF(U$3&gt;$I498,"-",ROUNDUP(Ld_cal($B498, $C498, $D498, $G498,$E498, $F498, $H498, U$3)*1.3,0)),"-")</f>
        <v>-</v>
      </c>
      <c r="V499" s="77" t="str">
        <f>IF($J499=V$3,IF(V$3&gt;$I498,"-",ROUNDUP(Ld_cal($B498, $C498, $D498, $G498,$E498, $F498, $H498, V$3)*1.3,0)),"-")</f>
        <v>-</v>
      </c>
      <c r="W499" s="77" t="str">
        <f>IF($J499=W$3,IF(W$3&gt;$I498,"-",ROUNDUP(Ld_cal($B498, $C498, $D498, $G498,$E498, $F498, $H498, W$3)*1.3,0)),"-")</f>
        <v>-</v>
      </c>
      <c r="X499" s="77" t="str">
        <f>IF($J499=X$3,IF(X$3&gt;$I498,"-",ROUNDUP(Ld_cal($B498, $C498, $D498, $G498,$E498, $F498, $H498, X$3)*1.3,0)),"-")</f>
        <v>-</v>
      </c>
      <c r="Y499" s="77" t="str">
        <f>IF($J499=Y$3,IF(Y$3&gt;$I498,"-",ROUNDUP(Ld_cal($B498, $C498, $D498, $G498,$E498, $F498, $H498, Y$3)*1.3,0)),"-")</f>
        <v>-</v>
      </c>
      <c r="Z499" s="77" t="str">
        <f>IF($J499=Z$3,IF(Z$3&gt;$I498,"-",ROUNDUP(Ld_cal($B498, $C498, $D498, $G498,$E498, $F498, $H498, Z$3)*1.3,0)),"-")</f>
        <v>-</v>
      </c>
      <c r="AA499" s="77" t="str">
        <f>IF($J499=AA$3,IF(AA$3&gt;$I498,"-",ROUNDUP(Ld_cal($B498, $C498, $D498, $G498,$E498, $F498, $H498, AA$3)*1.3,0)),"-")</f>
        <v>-</v>
      </c>
      <c r="AB499" s="77" t="str">
        <f>IF($J499=AB$3,IF(AB$3&gt;$I498,"-",ROUNDUP(Ld_cal($B498, $C498, $D498, $G498,$E498, $F498, $H498, AB$3)*1.3,0)),"-")</f>
        <v>-</v>
      </c>
      <c r="AC499" s="77" t="str">
        <f>IF($J499=AC$3,IF(AC$3&gt;$I498,"-",ROUNDUP(Ld_cal($B498, $C498, $D498, $G498,$E498, $F498, $H498, AC$3)*1.3,0)),"-")</f>
        <v>-</v>
      </c>
      <c r="AD499" s="77">
        <f t="shared" ref="AD499" si="489">IF(J499&gt;I498,"依標準圖",MAX(L499:AC499))</f>
        <v>192</v>
      </c>
    </row>
    <row r="500" spans="1:30">
      <c r="A500" s="105" t="s">
        <v>291</v>
      </c>
      <c r="B500" s="107">
        <v>80</v>
      </c>
      <c r="C500" s="108">
        <v>7.5</v>
      </c>
      <c r="D500" s="107">
        <v>4200</v>
      </c>
      <c r="E500" s="109">
        <v>16</v>
      </c>
      <c r="F500" s="110">
        <v>25</v>
      </c>
      <c r="G500" s="107">
        <v>350</v>
      </c>
      <c r="H500" s="109">
        <v>32</v>
      </c>
      <c r="I500" s="111">
        <f>ROUNDDOWN(($B500-2*$C500-2*$E500/10-$H500/10)/(($D$1+1)*$H500/10),0)+1</f>
        <v>10</v>
      </c>
      <c r="J500" s="73">
        <v>6</v>
      </c>
      <c r="K500" s="40" t="s">
        <v>30</v>
      </c>
      <c r="L500" s="70" t="str">
        <f>IF($J500=L$3,IF(L$3&gt;$I500,"-",ROUNDUP(Ld_cal($B500, $C500, $D500, $G500,$E500, $F500, $H500, L$3)*1.3*1.3,0)),"-")</f>
        <v>-</v>
      </c>
      <c r="M500" s="70" t="str">
        <f>IF($J500=M$3,IF(M$3&gt;$I500,"-",ROUNDUP(Ld_cal($B500, $C500, $D500, $G500,$E500, $F500, $H500, M$3)*1.3*1.3,0)),"-")</f>
        <v>-</v>
      </c>
      <c r="N500" s="70" t="str">
        <f>IF($J500=N$3,IF(N$3&gt;$I500,"-",ROUNDUP(Ld_cal($B500, $C500, $D500, $G500,$E500, $F500, $H500, N$3)*1.3*1.3,0)),"-")</f>
        <v>-</v>
      </c>
      <c r="O500" s="70">
        <f>IF($J500=O$3,IF(O$3&gt;$I500,"-",ROUNDUP(Ld_cal($B500, $C500, $D500, $G500,$E500, $F500, $H500, O$3)*1.3*1.3,0)),"-")</f>
        <v>157</v>
      </c>
      <c r="P500" s="70" t="str">
        <f>IF($J500=P$3,IF(P$3&gt;$I500,"-",ROUNDUP(Ld_cal($B500, $C500, $D500, $G500,$E500, $F500, $H500, P$3)*1.3*1.3,0)),"-")</f>
        <v>-</v>
      </c>
      <c r="Q500" s="70" t="str">
        <f>IF($J500=Q$3,IF(Q$3&gt;$I500,"-",ROUNDUP(Ld_cal($B500, $C500, $D500, $G500,$E500, $F500, $H500, Q$3)*1.3*1.3,0)),"-")</f>
        <v>-</v>
      </c>
      <c r="R500" s="70" t="str">
        <f>IF($J500=R$3,IF(R$3&gt;$I500,"-",ROUNDUP(Ld_cal($B500, $C500, $D500, $G500,$E500, $F500, $H500, R$3)*1.3*1.3,0)),"-")</f>
        <v>-</v>
      </c>
      <c r="S500" s="70" t="str">
        <f>IF($J500=S$3,IF(S$3&gt;$I500,"-",ROUNDUP(Ld_cal($B500, $C500, $D500, $G500,$E500, $F500, $H500, S$3)*1.3*1.3,0)),"-")</f>
        <v>-</v>
      </c>
      <c r="T500" s="70" t="str">
        <f>IF($J500=T$3,IF(T$3&gt;$I500,"-",ROUNDUP(Ld_cal($B500, $C500, $D500, $G500,$E500, $F500, $H500, T$3)*1.3*1.3,0)),"-")</f>
        <v>-</v>
      </c>
      <c r="U500" s="70" t="str">
        <f>IF($J500=U$3,IF(U$3&gt;$I500,"-",ROUNDUP(Ld_cal($B500, $C500, $D500, $G500,$E500, $F500, $H500, U$3)*1.3*1.3,0)),"-")</f>
        <v>-</v>
      </c>
      <c r="V500" s="70" t="str">
        <f>IF($J500=V$3,IF(V$3&gt;$I500,"-",ROUNDUP(Ld_cal($B500, $C500, $D500, $G500,$E500, $F500, $H500, V$3)*1.3*1.3,0)),"-")</f>
        <v>-</v>
      </c>
      <c r="W500" s="70" t="str">
        <f>IF($J500=W$3,IF(W$3&gt;$I500,"-",ROUNDUP(Ld_cal($B500, $C500, $D500, $G500,$E500, $F500, $H500, W$3)*1.3*1.3,0)),"-")</f>
        <v>-</v>
      </c>
      <c r="X500" s="70" t="str">
        <f>IF($J500=X$3,IF(X$3&gt;$I500,"-",ROUNDUP(Ld_cal($B500, $C500, $D500, $G500,$E500, $F500, $H500, X$3)*1.3*1.3,0)),"-")</f>
        <v>-</v>
      </c>
      <c r="Y500" s="70" t="str">
        <f>IF($J500=Y$3,IF(Y$3&gt;$I500,"-",ROUNDUP(Ld_cal($B500, $C500, $D500, $G500,$E500, $F500, $H500, Y$3)*1.3*1.3,0)),"-")</f>
        <v>-</v>
      </c>
      <c r="Z500" s="70" t="str">
        <f>IF($J500=Z$3,IF(Z$3&gt;$I500,"-",ROUNDUP(Ld_cal($B500, $C500, $D500, $G500,$E500, $F500, $H500, Z$3)*1.3*1.3,0)),"-")</f>
        <v>-</v>
      </c>
      <c r="AA500" s="70" t="str">
        <f>IF($J500=AA$3,IF(AA$3&gt;$I500,"-",ROUNDUP(Ld_cal($B500, $C500, $D500, $G500,$E500, $F500, $H500, AA$3)*1.3*1.3,0)),"-")</f>
        <v>-</v>
      </c>
      <c r="AB500" s="70" t="str">
        <f>IF($J500=AB$3,IF(AB$3&gt;$I500,"-",ROUNDUP(Ld_cal($B500, $C500, $D500, $G500,$E500, $F500, $H500, AB$3)*1.3*1.3,0)),"-")</f>
        <v>-</v>
      </c>
      <c r="AC500" s="70" t="str">
        <f>IF($J500=AC$3,IF(AC$3&gt;$I500,"-",ROUNDUP(Ld_cal($B500, $C500, $D500, $G500,$E500, $F500, $H500, AC$3)*1.3*1.3,0)),"-")</f>
        <v>-</v>
      </c>
      <c r="AD500" s="70">
        <f t="shared" ref="AD500" si="490">IF(J500&gt;I500,"依標準圖",MAX(L500:AC500))</f>
        <v>157</v>
      </c>
    </row>
    <row r="501" spans="1:30">
      <c r="A501" s="106"/>
      <c r="B501" s="107"/>
      <c r="C501" s="108"/>
      <c r="D501" s="107"/>
      <c r="E501" s="109"/>
      <c r="F501" s="110"/>
      <c r="G501" s="107"/>
      <c r="H501" s="109"/>
      <c r="I501" s="111"/>
      <c r="J501" s="73">
        <v>4</v>
      </c>
      <c r="K501" s="40" t="s">
        <v>29</v>
      </c>
      <c r="L501" s="70" t="str">
        <f>IF($J501=L$3,IF(L$3&gt;$I500,"-",ROUNDUP(Ld_cal($B500, $C500, $D500, $G500,$E500, $F500, $H500, L$3)*1.3,0)),"-")</f>
        <v>-</v>
      </c>
      <c r="M501" s="70">
        <f>IF($J501=M$3,IF(M$3&gt;$I500,"-",ROUNDUP(Ld_cal($B500, $C500, $D500, $G500,$E500, $F500, $H500, M$3)*1.3,0)),"-")</f>
        <v>105</v>
      </c>
      <c r="N501" s="70" t="str">
        <f>IF($J501=N$3,IF(N$3&gt;$I500,"-",ROUNDUP(Ld_cal($B500, $C500, $D500, $G500,$E500, $F500, $H500, N$3)*1.3,0)),"-")</f>
        <v>-</v>
      </c>
      <c r="O501" s="70" t="str">
        <f>IF($J501=O$3,IF(O$3&gt;$I500,"-",ROUNDUP(Ld_cal($B500, $C500, $D500, $G500,$E500, $F500, $H500, O$3)*1.3,0)),"-")</f>
        <v>-</v>
      </c>
      <c r="P501" s="70" t="str">
        <f>IF($J501=P$3,IF(P$3&gt;$I500,"-",ROUNDUP(Ld_cal($B500, $C500, $D500, $G500,$E500, $F500, $H500, P$3)*1.3,0)),"-")</f>
        <v>-</v>
      </c>
      <c r="Q501" s="70" t="str">
        <f>IF($J501=Q$3,IF(Q$3&gt;$I500,"-",ROUNDUP(Ld_cal($B500, $C500, $D500, $G500,$E500, $F500, $H500, Q$3)*1.3,0)),"-")</f>
        <v>-</v>
      </c>
      <c r="R501" s="70" t="str">
        <f>IF($J501=R$3,IF(R$3&gt;$I500,"-",ROUNDUP(Ld_cal($B500, $C500, $D500, $G500,$E500, $F500, $H500, R$3)*1.3,0)),"-")</f>
        <v>-</v>
      </c>
      <c r="S501" s="70" t="str">
        <f>IF($J501=S$3,IF(S$3&gt;$I500,"-",ROUNDUP(Ld_cal($B500, $C500, $D500, $G500,$E500, $F500, $H500, S$3)*1.3,0)),"-")</f>
        <v>-</v>
      </c>
      <c r="T501" s="70" t="str">
        <f>IF($J501=T$3,IF(T$3&gt;$I500,"-",ROUNDUP(Ld_cal($B500, $C500, $D500, $G500,$E500, $F500, $H500, T$3)*1.3,0)),"-")</f>
        <v>-</v>
      </c>
      <c r="U501" s="70" t="str">
        <f>IF($J501=U$3,IF(U$3&gt;$I500,"-",ROUNDUP(Ld_cal($B500, $C500, $D500, $G500,$E500, $F500, $H500, U$3)*1.3,0)),"-")</f>
        <v>-</v>
      </c>
      <c r="V501" s="70" t="str">
        <f>IF($J501=V$3,IF(V$3&gt;$I500,"-",ROUNDUP(Ld_cal($B500, $C500, $D500, $G500,$E500, $F500, $H500, V$3)*1.3,0)),"-")</f>
        <v>-</v>
      </c>
      <c r="W501" s="70" t="str">
        <f>IF($J501=W$3,IF(W$3&gt;$I500,"-",ROUNDUP(Ld_cal($B500, $C500, $D500, $G500,$E500, $F500, $H500, W$3)*1.3,0)),"-")</f>
        <v>-</v>
      </c>
      <c r="X501" s="70" t="str">
        <f>IF($J501=X$3,IF(X$3&gt;$I500,"-",ROUNDUP(Ld_cal($B500, $C500, $D500, $G500,$E500, $F500, $H500, X$3)*1.3,0)),"-")</f>
        <v>-</v>
      </c>
      <c r="Y501" s="70" t="str">
        <f>IF($J501=Y$3,IF(Y$3&gt;$I500,"-",ROUNDUP(Ld_cal($B500, $C500, $D500, $G500,$E500, $F500, $H500, Y$3)*1.3,0)),"-")</f>
        <v>-</v>
      </c>
      <c r="Z501" s="70" t="str">
        <f>IF($J501=Z$3,IF(Z$3&gt;$I500,"-",ROUNDUP(Ld_cal($B500, $C500, $D500, $G500,$E500, $F500, $H500, Z$3)*1.3,0)),"-")</f>
        <v>-</v>
      </c>
      <c r="AA501" s="70" t="str">
        <f>IF($J501=AA$3,IF(AA$3&gt;$I500,"-",ROUNDUP(Ld_cal($B500, $C500, $D500, $G500,$E500, $F500, $H500, AA$3)*1.3,0)),"-")</f>
        <v>-</v>
      </c>
      <c r="AB501" s="70" t="str">
        <f>IF($J501=AB$3,IF(AB$3&gt;$I500,"-",ROUNDUP(Ld_cal($B500, $C500, $D500, $G500,$E500, $F500, $H500, AB$3)*1.3,0)),"-")</f>
        <v>-</v>
      </c>
      <c r="AC501" s="70" t="str">
        <f>IF($J501=AC$3,IF(AC$3&gt;$I500,"-",ROUNDUP(Ld_cal($B500, $C500, $D500, $G500,$E500, $F500, $H500, AC$3)*1.3,0)),"-")</f>
        <v>-</v>
      </c>
      <c r="AD501" s="70">
        <f t="shared" ref="AD501" si="491">IF(J501&gt;I500,"依標準圖",MAX(L501:AC501))</f>
        <v>105</v>
      </c>
    </row>
    <row r="502" spans="1:30">
      <c r="A502" s="125" t="s">
        <v>292</v>
      </c>
      <c r="B502" s="127">
        <v>80</v>
      </c>
      <c r="C502" s="128">
        <v>7.5</v>
      </c>
      <c r="D502" s="127">
        <v>4200</v>
      </c>
      <c r="E502" s="129">
        <v>16</v>
      </c>
      <c r="F502" s="130">
        <v>25</v>
      </c>
      <c r="G502" s="127">
        <v>350</v>
      </c>
      <c r="H502" s="129">
        <v>32</v>
      </c>
      <c r="I502" s="131">
        <f>ROUNDDOWN(($B502-2*$C502-2*$E502/10-$H502/10)/(($D$1+1)*$H502/10),0)+1</f>
        <v>10</v>
      </c>
      <c r="J502" s="75">
        <v>4</v>
      </c>
      <c r="K502" s="76" t="s">
        <v>30</v>
      </c>
      <c r="L502" s="77" t="str">
        <f>IF($J502=L$3,IF(L$3&gt;$I502,"-",ROUNDUP(Ld_cal($B502, $C502, $D502, $G502,$E502, $F502, $H502, L$3)*1.3*1.3,0)),"-")</f>
        <v>-</v>
      </c>
      <c r="M502" s="77">
        <f>IF($J502=M$3,IF(M$3&gt;$I502,"-",ROUNDUP(Ld_cal($B502, $C502, $D502, $G502,$E502, $F502, $H502, M$3)*1.3*1.3,0)),"-")</f>
        <v>136</v>
      </c>
      <c r="N502" s="77" t="str">
        <f>IF($J502=N$3,IF(N$3&gt;$I502,"-",ROUNDUP(Ld_cal($B502, $C502, $D502, $G502,$E502, $F502, $H502, N$3)*1.3*1.3,0)),"-")</f>
        <v>-</v>
      </c>
      <c r="O502" s="77" t="str">
        <f>IF($J502=O$3,IF(O$3&gt;$I502,"-",ROUNDUP(Ld_cal($B502, $C502, $D502, $G502,$E502, $F502, $H502, O$3)*1.3*1.3,0)),"-")</f>
        <v>-</v>
      </c>
      <c r="P502" s="77" t="str">
        <f>IF($J502=P$3,IF(P$3&gt;$I502,"-",ROUNDUP(Ld_cal($B502, $C502, $D502, $G502,$E502, $F502, $H502, P$3)*1.3*1.3,0)),"-")</f>
        <v>-</v>
      </c>
      <c r="Q502" s="77" t="str">
        <f>IF($J502=Q$3,IF(Q$3&gt;$I502,"-",ROUNDUP(Ld_cal($B502, $C502, $D502, $G502,$E502, $F502, $H502, Q$3)*1.3*1.3,0)),"-")</f>
        <v>-</v>
      </c>
      <c r="R502" s="77" t="str">
        <f>IF($J502=R$3,IF(R$3&gt;$I502,"-",ROUNDUP(Ld_cal($B502, $C502, $D502, $G502,$E502, $F502, $H502, R$3)*1.3*1.3,0)),"-")</f>
        <v>-</v>
      </c>
      <c r="S502" s="77" t="str">
        <f>IF($J502=S$3,IF(S$3&gt;$I502,"-",ROUNDUP(Ld_cal($B502, $C502, $D502, $G502,$E502, $F502, $H502, S$3)*1.3*1.3,0)),"-")</f>
        <v>-</v>
      </c>
      <c r="T502" s="77" t="str">
        <f>IF($J502=T$3,IF(T$3&gt;$I502,"-",ROUNDUP(Ld_cal($B502, $C502, $D502, $G502,$E502, $F502, $H502, T$3)*1.3*1.3,0)),"-")</f>
        <v>-</v>
      </c>
      <c r="U502" s="77" t="str">
        <f>IF($J502=U$3,IF(U$3&gt;$I502,"-",ROUNDUP(Ld_cal($B502, $C502, $D502, $G502,$E502, $F502, $H502, U$3)*1.3*1.3,0)),"-")</f>
        <v>-</v>
      </c>
      <c r="V502" s="77" t="str">
        <f>IF($J502=V$3,IF(V$3&gt;$I502,"-",ROUNDUP(Ld_cal($B502, $C502, $D502, $G502,$E502, $F502, $H502, V$3)*1.3*1.3,0)),"-")</f>
        <v>-</v>
      </c>
      <c r="W502" s="77" t="str">
        <f>IF($J502=W$3,IF(W$3&gt;$I502,"-",ROUNDUP(Ld_cal($B502, $C502, $D502, $G502,$E502, $F502, $H502, W$3)*1.3*1.3,0)),"-")</f>
        <v>-</v>
      </c>
      <c r="X502" s="77" t="str">
        <f>IF($J502=X$3,IF(X$3&gt;$I502,"-",ROUNDUP(Ld_cal($B502, $C502, $D502, $G502,$E502, $F502, $H502, X$3)*1.3*1.3,0)),"-")</f>
        <v>-</v>
      </c>
      <c r="Y502" s="77" t="str">
        <f>IF($J502=Y$3,IF(Y$3&gt;$I502,"-",ROUNDUP(Ld_cal($B502, $C502, $D502, $G502,$E502, $F502, $H502, Y$3)*1.3*1.3,0)),"-")</f>
        <v>-</v>
      </c>
      <c r="Z502" s="77" t="str">
        <f>IF($J502=Z$3,IF(Z$3&gt;$I502,"-",ROUNDUP(Ld_cal($B502, $C502, $D502, $G502,$E502, $F502, $H502, Z$3)*1.3*1.3,0)),"-")</f>
        <v>-</v>
      </c>
      <c r="AA502" s="77" t="str">
        <f>IF($J502=AA$3,IF(AA$3&gt;$I502,"-",ROUNDUP(Ld_cal($B502, $C502, $D502, $G502,$E502, $F502, $H502, AA$3)*1.3*1.3,0)),"-")</f>
        <v>-</v>
      </c>
      <c r="AB502" s="77" t="str">
        <f>IF($J502=AB$3,IF(AB$3&gt;$I502,"-",ROUNDUP(Ld_cal($B502, $C502, $D502, $G502,$E502, $F502, $H502, AB$3)*1.3*1.3,0)),"-")</f>
        <v>-</v>
      </c>
      <c r="AC502" s="77" t="str">
        <f>IF($J502=AC$3,IF(AC$3&gt;$I502,"-",ROUNDUP(Ld_cal($B502, $C502, $D502, $G502,$E502, $F502, $H502, AC$3)*1.3*1.3,0)),"-")</f>
        <v>-</v>
      </c>
      <c r="AD502" s="77">
        <f t="shared" ref="AD502" si="492">IF(J502&gt;I502,"依標準圖",MAX(L502:AC502))</f>
        <v>136</v>
      </c>
    </row>
    <row r="503" spans="1:30">
      <c r="A503" s="126"/>
      <c r="B503" s="127"/>
      <c r="C503" s="128"/>
      <c r="D503" s="127"/>
      <c r="E503" s="129"/>
      <c r="F503" s="130"/>
      <c r="G503" s="127"/>
      <c r="H503" s="129"/>
      <c r="I503" s="131"/>
      <c r="J503" s="75">
        <v>4</v>
      </c>
      <c r="K503" s="76" t="s">
        <v>29</v>
      </c>
      <c r="L503" s="77" t="str">
        <f>IF($J503=L$3,IF(L$3&gt;$I502,"-",ROUNDUP(Ld_cal($B502, $C502, $D502, $G502,$E502, $F502, $H502, L$3)*1.3,0)),"-")</f>
        <v>-</v>
      </c>
      <c r="M503" s="77">
        <f>IF($J503=M$3,IF(M$3&gt;$I502,"-",ROUNDUP(Ld_cal($B502, $C502, $D502, $G502,$E502, $F502, $H502, M$3)*1.3,0)),"-")</f>
        <v>105</v>
      </c>
      <c r="N503" s="77" t="str">
        <f>IF($J503=N$3,IF(N$3&gt;$I502,"-",ROUNDUP(Ld_cal($B502, $C502, $D502, $G502,$E502, $F502, $H502, N$3)*1.3,0)),"-")</f>
        <v>-</v>
      </c>
      <c r="O503" s="77" t="str">
        <f>IF($J503=O$3,IF(O$3&gt;$I502,"-",ROUNDUP(Ld_cal($B502, $C502, $D502, $G502,$E502, $F502, $H502, O$3)*1.3,0)),"-")</f>
        <v>-</v>
      </c>
      <c r="P503" s="77" t="str">
        <f>IF($J503=P$3,IF(P$3&gt;$I502,"-",ROUNDUP(Ld_cal($B502, $C502, $D502, $G502,$E502, $F502, $H502, P$3)*1.3,0)),"-")</f>
        <v>-</v>
      </c>
      <c r="Q503" s="77" t="str">
        <f>IF($J503=Q$3,IF(Q$3&gt;$I502,"-",ROUNDUP(Ld_cal($B502, $C502, $D502, $G502,$E502, $F502, $H502, Q$3)*1.3,0)),"-")</f>
        <v>-</v>
      </c>
      <c r="R503" s="77" t="str">
        <f>IF($J503=R$3,IF(R$3&gt;$I502,"-",ROUNDUP(Ld_cal($B502, $C502, $D502, $G502,$E502, $F502, $H502, R$3)*1.3,0)),"-")</f>
        <v>-</v>
      </c>
      <c r="S503" s="77" t="str">
        <f>IF($J503=S$3,IF(S$3&gt;$I502,"-",ROUNDUP(Ld_cal($B502, $C502, $D502, $G502,$E502, $F502, $H502, S$3)*1.3,0)),"-")</f>
        <v>-</v>
      </c>
      <c r="T503" s="77" t="str">
        <f>IF($J503=T$3,IF(T$3&gt;$I502,"-",ROUNDUP(Ld_cal($B502, $C502, $D502, $G502,$E502, $F502, $H502, T$3)*1.3,0)),"-")</f>
        <v>-</v>
      </c>
      <c r="U503" s="77" t="str">
        <f>IF($J503=U$3,IF(U$3&gt;$I502,"-",ROUNDUP(Ld_cal($B502, $C502, $D502, $G502,$E502, $F502, $H502, U$3)*1.3,0)),"-")</f>
        <v>-</v>
      </c>
      <c r="V503" s="77" t="str">
        <f>IF($J503=V$3,IF(V$3&gt;$I502,"-",ROUNDUP(Ld_cal($B502, $C502, $D502, $G502,$E502, $F502, $H502, V$3)*1.3,0)),"-")</f>
        <v>-</v>
      </c>
      <c r="W503" s="77" t="str">
        <f>IF($J503=W$3,IF(W$3&gt;$I502,"-",ROUNDUP(Ld_cal($B502, $C502, $D502, $G502,$E502, $F502, $H502, W$3)*1.3,0)),"-")</f>
        <v>-</v>
      </c>
      <c r="X503" s="77" t="str">
        <f>IF($J503=X$3,IF(X$3&gt;$I502,"-",ROUNDUP(Ld_cal($B502, $C502, $D502, $G502,$E502, $F502, $H502, X$3)*1.3,0)),"-")</f>
        <v>-</v>
      </c>
      <c r="Y503" s="77" t="str">
        <f>IF($J503=Y$3,IF(Y$3&gt;$I502,"-",ROUNDUP(Ld_cal($B502, $C502, $D502, $G502,$E502, $F502, $H502, Y$3)*1.3,0)),"-")</f>
        <v>-</v>
      </c>
      <c r="Z503" s="77" t="str">
        <f>IF($J503=Z$3,IF(Z$3&gt;$I502,"-",ROUNDUP(Ld_cal($B502, $C502, $D502, $G502,$E502, $F502, $H502, Z$3)*1.3,0)),"-")</f>
        <v>-</v>
      </c>
      <c r="AA503" s="77" t="str">
        <f>IF($J503=AA$3,IF(AA$3&gt;$I502,"-",ROUNDUP(Ld_cal($B502, $C502, $D502, $G502,$E502, $F502, $H502, AA$3)*1.3,0)),"-")</f>
        <v>-</v>
      </c>
      <c r="AB503" s="77" t="str">
        <f>IF($J503=AB$3,IF(AB$3&gt;$I502,"-",ROUNDUP(Ld_cal($B502, $C502, $D502, $G502,$E502, $F502, $H502, AB$3)*1.3,0)),"-")</f>
        <v>-</v>
      </c>
      <c r="AC503" s="77" t="str">
        <f>IF($J503=AC$3,IF(AC$3&gt;$I502,"-",ROUNDUP(Ld_cal($B502, $C502, $D502, $G502,$E502, $F502, $H502, AC$3)*1.3,0)),"-")</f>
        <v>-</v>
      </c>
      <c r="AD503" s="77">
        <f t="shared" ref="AD503" si="493">IF(J503&gt;I502,"依標準圖",MAX(L503:AC503))</f>
        <v>105</v>
      </c>
    </row>
    <row r="504" spans="1:30">
      <c r="A504" s="105" t="s">
        <v>293</v>
      </c>
      <c r="B504" s="107">
        <v>80</v>
      </c>
      <c r="C504" s="108">
        <v>7.5</v>
      </c>
      <c r="D504" s="107">
        <v>4200</v>
      </c>
      <c r="E504" s="109">
        <v>13</v>
      </c>
      <c r="F504" s="110">
        <v>25</v>
      </c>
      <c r="G504" s="107">
        <v>350</v>
      </c>
      <c r="H504" s="109">
        <v>32</v>
      </c>
      <c r="I504" s="111">
        <f>ROUNDDOWN(($B504-2*$C504-2*$E504/10-$H504/10)/(($D$1+1)*$H504/10),0)+1</f>
        <v>10</v>
      </c>
      <c r="J504" s="73">
        <v>4</v>
      </c>
      <c r="K504" s="40" t="s">
        <v>30</v>
      </c>
      <c r="L504" s="70" t="str">
        <f>IF($J504=L$3,IF(L$3&gt;$I504,"-",ROUNDUP(Ld_cal($B504, $C504, $D504, $G504,$E504, $F504, $H504, L$3)*1.3*1.3,0)),"-")</f>
        <v>-</v>
      </c>
      <c r="M504" s="70">
        <f>IF($J504=M$3,IF(M$3&gt;$I504,"-",ROUNDUP(Ld_cal($B504, $C504, $D504, $G504,$E504, $F504, $H504, M$3)*1.3*1.3,0)),"-")</f>
        <v>136</v>
      </c>
      <c r="N504" s="70" t="str">
        <f>IF($J504=N$3,IF(N$3&gt;$I504,"-",ROUNDUP(Ld_cal($B504, $C504, $D504, $G504,$E504, $F504, $H504, N$3)*1.3*1.3,0)),"-")</f>
        <v>-</v>
      </c>
      <c r="O504" s="70" t="str">
        <f>IF($J504=O$3,IF(O$3&gt;$I504,"-",ROUNDUP(Ld_cal($B504, $C504, $D504, $G504,$E504, $F504, $H504, O$3)*1.3*1.3,0)),"-")</f>
        <v>-</v>
      </c>
      <c r="P504" s="70" t="str">
        <f>IF($J504=P$3,IF(P$3&gt;$I504,"-",ROUNDUP(Ld_cal($B504, $C504, $D504, $G504,$E504, $F504, $H504, P$3)*1.3*1.3,0)),"-")</f>
        <v>-</v>
      </c>
      <c r="Q504" s="70" t="str">
        <f>IF($J504=Q$3,IF(Q$3&gt;$I504,"-",ROUNDUP(Ld_cal($B504, $C504, $D504, $G504,$E504, $F504, $H504, Q$3)*1.3*1.3,0)),"-")</f>
        <v>-</v>
      </c>
      <c r="R504" s="70" t="str">
        <f>IF($J504=R$3,IF(R$3&gt;$I504,"-",ROUNDUP(Ld_cal($B504, $C504, $D504, $G504,$E504, $F504, $H504, R$3)*1.3*1.3,0)),"-")</f>
        <v>-</v>
      </c>
      <c r="S504" s="70" t="str">
        <f>IF($J504=S$3,IF(S$3&gt;$I504,"-",ROUNDUP(Ld_cal($B504, $C504, $D504, $G504,$E504, $F504, $H504, S$3)*1.3*1.3,0)),"-")</f>
        <v>-</v>
      </c>
      <c r="T504" s="70" t="str">
        <f>IF($J504=T$3,IF(T$3&gt;$I504,"-",ROUNDUP(Ld_cal($B504, $C504, $D504, $G504,$E504, $F504, $H504, T$3)*1.3*1.3,0)),"-")</f>
        <v>-</v>
      </c>
      <c r="U504" s="70" t="str">
        <f>IF($J504=U$3,IF(U$3&gt;$I504,"-",ROUNDUP(Ld_cal($B504, $C504, $D504, $G504,$E504, $F504, $H504, U$3)*1.3*1.3,0)),"-")</f>
        <v>-</v>
      </c>
      <c r="V504" s="70" t="str">
        <f>IF($J504=V$3,IF(V$3&gt;$I504,"-",ROUNDUP(Ld_cal($B504, $C504, $D504, $G504,$E504, $F504, $H504, V$3)*1.3*1.3,0)),"-")</f>
        <v>-</v>
      </c>
      <c r="W504" s="70" t="str">
        <f>IF($J504=W$3,IF(W$3&gt;$I504,"-",ROUNDUP(Ld_cal($B504, $C504, $D504, $G504,$E504, $F504, $H504, W$3)*1.3*1.3,0)),"-")</f>
        <v>-</v>
      </c>
      <c r="X504" s="70" t="str">
        <f>IF($J504=X$3,IF(X$3&gt;$I504,"-",ROUNDUP(Ld_cal($B504, $C504, $D504, $G504,$E504, $F504, $H504, X$3)*1.3*1.3,0)),"-")</f>
        <v>-</v>
      </c>
      <c r="Y504" s="70" t="str">
        <f>IF($J504=Y$3,IF(Y$3&gt;$I504,"-",ROUNDUP(Ld_cal($B504, $C504, $D504, $G504,$E504, $F504, $H504, Y$3)*1.3*1.3,0)),"-")</f>
        <v>-</v>
      </c>
      <c r="Z504" s="70" t="str">
        <f>IF($J504=Z$3,IF(Z$3&gt;$I504,"-",ROUNDUP(Ld_cal($B504, $C504, $D504, $G504,$E504, $F504, $H504, Z$3)*1.3*1.3,0)),"-")</f>
        <v>-</v>
      </c>
      <c r="AA504" s="70" t="str">
        <f>IF($J504=AA$3,IF(AA$3&gt;$I504,"-",ROUNDUP(Ld_cal($B504, $C504, $D504, $G504,$E504, $F504, $H504, AA$3)*1.3*1.3,0)),"-")</f>
        <v>-</v>
      </c>
      <c r="AB504" s="70" t="str">
        <f>IF($J504=AB$3,IF(AB$3&gt;$I504,"-",ROUNDUP(Ld_cal($B504, $C504, $D504, $G504,$E504, $F504, $H504, AB$3)*1.3*1.3,0)),"-")</f>
        <v>-</v>
      </c>
      <c r="AC504" s="70" t="str">
        <f>IF($J504=AC$3,IF(AC$3&gt;$I504,"-",ROUNDUP(Ld_cal($B504, $C504, $D504, $G504,$E504, $F504, $H504, AC$3)*1.3*1.3,0)),"-")</f>
        <v>-</v>
      </c>
      <c r="AD504" s="70">
        <f t="shared" ref="AD504" si="494">IF(J504&gt;I504,"依標準圖",MAX(L504:AC504))</f>
        <v>136</v>
      </c>
    </row>
    <row r="505" spans="1:30">
      <c r="A505" s="106"/>
      <c r="B505" s="107"/>
      <c r="C505" s="108"/>
      <c r="D505" s="107"/>
      <c r="E505" s="109"/>
      <c r="F505" s="110"/>
      <c r="G505" s="107"/>
      <c r="H505" s="109"/>
      <c r="I505" s="111"/>
      <c r="J505" s="73">
        <v>4</v>
      </c>
      <c r="K505" s="40" t="s">
        <v>29</v>
      </c>
      <c r="L505" s="70" t="str">
        <f>IF($J505=L$3,IF(L$3&gt;$I504,"-",ROUNDUP(Ld_cal($B504, $C504, $D504, $G504,$E504, $F504, $H504, L$3)*1.3,0)),"-")</f>
        <v>-</v>
      </c>
      <c r="M505" s="70">
        <f>IF($J505=M$3,IF(M$3&gt;$I504,"-",ROUNDUP(Ld_cal($B504, $C504, $D504, $G504,$E504, $F504, $H504, M$3)*1.3,0)),"-")</f>
        <v>105</v>
      </c>
      <c r="N505" s="70" t="str">
        <f>IF($J505=N$3,IF(N$3&gt;$I504,"-",ROUNDUP(Ld_cal($B504, $C504, $D504, $G504,$E504, $F504, $H504, N$3)*1.3,0)),"-")</f>
        <v>-</v>
      </c>
      <c r="O505" s="70" t="str">
        <f>IF($J505=O$3,IF(O$3&gt;$I504,"-",ROUNDUP(Ld_cal($B504, $C504, $D504, $G504,$E504, $F504, $H504, O$3)*1.3,0)),"-")</f>
        <v>-</v>
      </c>
      <c r="P505" s="70" t="str">
        <f>IF($J505=P$3,IF(P$3&gt;$I504,"-",ROUNDUP(Ld_cal($B504, $C504, $D504, $G504,$E504, $F504, $H504, P$3)*1.3,0)),"-")</f>
        <v>-</v>
      </c>
      <c r="Q505" s="70" t="str">
        <f>IF($J505=Q$3,IF(Q$3&gt;$I504,"-",ROUNDUP(Ld_cal($B504, $C504, $D504, $G504,$E504, $F504, $H504, Q$3)*1.3,0)),"-")</f>
        <v>-</v>
      </c>
      <c r="R505" s="70" t="str">
        <f>IF($J505=R$3,IF(R$3&gt;$I504,"-",ROUNDUP(Ld_cal($B504, $C504, $D504, $G504,$E504, $F504, $H504, R$3)*1.3,0)),"-")</f>
        <v>-</v>
      </c>
      <c r="S505" s="70" t="str">
        <f>IF($J505=S$3,IF(S$3&gt;$I504,"-",ROUNDUP(Ld_cal($B504, $C504, $D504, $G504,$E504, $F504, $H504, S$3)*1.3,0)),"-")</f>
        <v>-</v>
      </c>
      <c r="T505" s="70" t="str">
        <f>IF($J505=T$3,IF(T$3&gt;$I504,"-",ROUNDUP(Ld_cal($B504, $C504, $D504, $G504,$E504, $F504, $H504, T$3)*1.3,0)),"-")</f>
        <v>-</v>
      </c>
      <c r="U505" s="70" t="str">
        <f>IF($J505=U$3,IF(U$3&gt;$I504,"-",ROUNDUP(Ld_cal($B504, $C504, $D504, $G504,$E504, $F504, $H504, U$3)*1.3,0)),"-")</f>
        <v>-</v>
      </c>
      <c r="V505" s="70" t="str">
        <f>IF($J505=V$3,IF(V$3&gt;$I504,"-",ROUNDUP(Ld_cal($B504, $C504, $D504, $G504,$E504, $F504, $H504, V$3)*1.3,0)),"-")</f>
        <v>-</v>
      </c>
      <c r="W505" s="70" t="str">
        <f>IF($J505=W$3,IF(W$3&gt;$I504,"-",ROUNDUP(Ld_cal($B504, $C504, $D504, $G504,$E504, $F504, $H504, W$3)*1.3,0)),"-")</f>
        <v>-</v>
      </c>
      <c r="X505" s="70" t="str">
        <f>IF($J505=X$3,IF(X$3&gt;$I504,"-",ROUNDUP(Ld_cal($B504, $C504, $D504, $G504,$E504, $F504, $H504, X$3)*1.3,0)),"-")</f>
        <v>-</v>
      </c>
      <c r="Y505" s="70" t="str">
        <f>IF($J505=Y$3,IF(Y$3&gt;$I504,"-",ROUNDUP(Ld_cal($B504, $C504, $D504, $G504,$E504, $F504, $H504, Y$3)*1.3,0)),"-")</f>
        <v>-</v>
      </c>
      <c r="Z505" s="70" t="str">
        <f>IF($J505=Z$3,IF(Z$3&gt;$I504,"-",ROUNDUP(Ld_cal($B504, $C504, $D504, $G504,$E504, $F504, $H504, Z$3)*1.3,0)),"-")</f>
        <v>-</v>
      </c>
      <c r="AA505" s="70" t="str">
        <f>IF($J505=AA$3,IF(AA$3&gt;$I504,"-",ROUNDUP(Ld_cal($B504, $C504, $D504, $G504,$E504, $F504, $H504, AA$3)*1.3,0)),"-")</f>
        <v>-</v>
      </c>
      <c r="AB505" s="70" t="str">
        <f>IF($J505=AB$3,IF(AB$3&gt;$I504,"-",ROUNDUP(Ld_cal($B504, $C504, $D504, $G504,$E504, $F504, $H504, AB$3)*1.3,0)),"-")</f>
        <v>-</v>
      </c>
      <c r="AC505" s="70" t="str">
        <f>IF($J505=AC$3,IF(AC$3&gt;$I504,"-",ROUNDUP(Ld_cal($B504, $C504, $D504, $G504,$E504, $F504, $H504, AC$3)*1.3,0)),"-")</f>
        <v>-</v>
      </c>
      <c r="AD505" s="70">
        <f t="shared" ref="AD505" si="495">IF(J505&gt;I504,"依標準圖",MAX(L505:AC505))</f>
        <v>105</v>
      </c>
    </row>
    <row r="506" spans="1:30">
      <c r="A506" s="125" t="s">
        <v>294</v>
      </c>
      <c r="B506" s="127">
        <v>80</v>
      </c>
      <c r="C506" s="128">
        <v>7.5</v>
      </c>
      <c r="D506" s="127">
        <v>4200</v>
      </c>
      <c r="E506" s="129">
        <v>13</v>
      </c>
      <c r="F506" s="130">
        <v>20</v>
      </c>
      <c r="G506" s="127">
        <v>350</v>
      </c>
      <c r="H506" s="129">
        <v>32</v>
      </c>
      <c r="I506" s="131">
        <f>ROUNDDOWN(($B506-2*$C506-2*$E506/10-$H506/10)/(($D$1+1)*$H506/10),0)+1</f>
        <v>10</v>
      </c>
      <c r="J506" s="75">
        <v>8</v>
      </c>
      <c r="K506" s="76" t="s">
        <v>30</v>
      </c>
      <c r="L506" s="77" t="str">
        <f>IF($J506=L$3,IF(L$3&gt;$I506,"-",ROUNDUP(Ld_cal($B506, $C506, $D506, $G506,$E506, $F506, $H506, L$3)*1.3*1.3,0)),"-")</f>
        <v>-</v>
      </c>
      <c r="M506" s="77" t="str">
        <f>IF($J506=M$3,IF(M$3&gt;$I506,"-",ROUNDUP(Ld_cal($B506, $C506, $D506, $G506,$E506, $F506, $H506, M$3)*1.3*1.3,0)),"-")</f>
        <v>-</v>
      </c>
      <c r="N506" s="77" t="str">
        <f>IF($J506=N$3,IF(N$3&gt;$I506,"-",ROUNDUP(Ld_cal($B506, $C506, $D506, $G506,$E506, $F506, $H506, N$3)*1.3*1.3,0)),"-")</f>
        <v>-</v>
      </c>
      <c r="O506" s="77" t="str">
        <f>IF($J506=O$3,IF(O$3&gt;$I506,"-",ROUNDUP(Ld_cal($B506, $C506, $D506, $G506,$E506, $F506, $H506, O$3)*1.3*1.3,0)),"-")</f>
        <v>-</v>
      </c>
      <c r="P506" s="77" t="str">
        <f>IF($J506=P$3,IF(P$3&gt;$I506,"-",ROUNDUP(Ld_cal($B506, $C506, $D506, $G506,$E506, $F506, $H506, P$3)*1.3*1.3,0)),"-")</f>
        <v>-</v>
      </c>
      <c r="Q506" s="77">
        <f>IF($J506=Q$3,IF(Q$3&gt;$I506,"-",ROUNDUP(Ld_cal($B506, $C506, $D506, $G506,$E506, $F506, $H506, Q$3)*1.3*1.3,0)),"-")</f>
        <v>223</v>
      </c>
      <c r="R506" s="77" t="str">
        <f>IF($J506=R$3,IF(R$3&gt;$I506,"-",ROUNDUP(Ld_cal($B506, $C506, $D506, $G506,$E506, $F506, $H506, R$3)*1.3*1.3,0)),"-")</f>
        <v>-</v>
      </c>
      <c r="S506" s="77" t="str">
        <f>IF($J506=S$3,IF(S$3&gt;$I506,"-",ROUNDUP(Ld_cal($B506, $C506, $D506, $G506,$E506, $F506, $H506, S$3)*1.3*1.3,0)),"-")</f>
        <v>-</v>
      </c>
      <c r="T506" s="77" t="str">
        <f>IF($J506=T$3,IF(T$3&gt;$I506,"-",ROUNDUP(Ld_cal($B506, $C506, $D506, $G506,$E506, $F506, $H506, T$3)*1.3*1.3,0)),"-")</f>
        <v>-</v>
      </c>
      <c r="U506" s="77" t="str">
        <f>IF($J506=U$3,IF(U$3&gt;$I506,"-",ROUNDUP(Ld_cal($B506, $C506, $D506, $G506,$E506, $F506, $H506, U$3)*1.3*1.3,0)),"-")</f>
        <v>-</v>
      </c>
      <c r="V506" s="77" t="str">
        <f>IF($J506=V$3,IF(V$3&gt;$I506,"-",ROUNDUP(Ld_cal($B506, $C506, $D506, $G506,$E506, $F506, $H506, V$3)*1.3*1.3,0)),"-")</f>
        <v>-</v>
      </c>
      <c r="W506" s="77" t="str">
        <f>IF($J506=W$3,IF(W$3&gt;$I506,"-",ROUNDUP(Ld_cal($B506, $C506, $D506, $G506,$E506, $F506, $H506, W$3)*1.3*1.3,0)),"-")</f>
        <v>-</v>
      </c>
      <c r="X506" s="77" t="str">
        <f>IF($J506=X$3,IF(X$3&gt;$I506,"-",ROUNDUP(Ld_cal($B506, $C506, $D506, $G506,$E506, $F506, $H506, X$3)*1.3*1.3,0)),"-")</f>
        <v>-</v>
      </c>
      <c r="Y506" s="77" t="str">
        <f>IF($J506=Y$3,IF(Y$3&gt;$I506,"-",ROUNDUP(Ld_cal($B506, $C506, $D506, $G506,$E506, $F506, $H506, Y$3)*1.3*1.3,0)),"-")</f>
        <v>-</v>
      </c>
      <c r="Z506" s="77" t="str">
        <f>IF($J506=Z$3,IF(Z$3&gt;$I506,"-",ROUNDUP(Ld_cal($B506, $C506, $D506, $G506,$E506, $F506, $H506, Z$3)*1.3*1.3,0)),"-")</f>
        <v>-</v>
      </c>
      <c r="AA506" s="77" t="str">
        <f>IF($J506=AA$3,IF(AA$3&gt;$I506,"-",ROUNDUP(Ld_cal($B506, $C506, $D506, $G506,$E506, $F506, $H506, AA$3)*1.3*1.3,0)),"-")</f>
        <v>-</v>
      </c>
      <c r="AB506" s="77" t="str">
        <f>IF($J506=AB$3,IF(AB$3&gt;$I506,"-",ROUNDUP(Ld_cal($B506, $C506, $D506, $G506,$E506, $F506, $H506, AB$3)*1.3*1.3,0)),"-")</f>
        <v>-</v>
      </c>
      <c r="AC506" s="77" t="str">
        <f>IF($J506=AC$3,IF(AC$3&gt;$I506,"-",ROUNDUP(Ld_cal($B506, $C506, $D506, $G506,$E506, $F506, $H506, AC$3)*1.3*1.3,0)),"-")</f>
        <v>-</v>
      </c>
      <c r="AD506" s="77">
        <f t="shared" ref="AD506" si="496">IF(J506&gt;I506,"依標準圖",MAX(L506:AC506))</f>
        <v>223</v>
      </c>
    </row>
    <row r="507" spans="1:30">
      <c r="A507" s="126"/>
      <c r="B507" s="127"/>
      <c r="C507" s="128"/>
      <c r="D507" s="127"/>
      <c r="E507" s="129"/>
      <c r="F507" s="130"/>
      <c r="G507" s="127"/>
      <c r="H507" s="129"/>
      <c r="I507" s="131"/>
      <c r="J507" s="75">
        <v>4</v>
      </c>
      <c r="K507" s="76" t="s">
        <v>29</v>
      </c>
      <c r="L507" s="77" t="str">
        <f>IF($J507=L$3,IF(L$3&gt;$I506,"-",ROUNDUP(Ld_cal($B506, $C506, $D506, $G506,$E506, $F506, $H506, L$3)*1.3,0)),"-")</f>
        <v>-</v>
      </c>
      <c r="M507" s="77">
        <f>IF($J507=M$3,IF(M$3&gt;$I506,"-",ROUNDUP(Ld_cal($B506, $C506, $D506, $G506,$E506, $F506, $H506, M$3)*1.3,0)),"-")</f>
        <v>105</v>
      </c>
      <c r="N507" s="77" t="str">
        <f>IF($J507=N$3,IF(N$3&gt;$I506,"-",ROUNDUP(Ld_cal($B506, $C506, $D506, $G506,$E506, $F506, $H506, N$3)*1.3,0)),"-")</f>
        <v>-</v>
      </c>
      <c r="O507" s="77" t="str">
        <f>IF($J507=O$3,IF(O$3&gt;$I506,"-",ROUNDUP(Ld_cal($B506, $C506, $D506, $G506,$E506, $F506, $H506, O$3)*1.3,0)),"-")</f>
        <v>-</v>
      </c>
      <c r="P507" s="77" t="str">
        <f>IF($J507=P$3,IF(P$3&gt;$I506,"-",ROUNDUP(Ld_cal($B506, $C506, $D506, $G506,$E506, $F506, $H506, P$3)*1.3,0)),"-")</f>
        <v>-</v>
      </c>
      <c r="Q507" s="77" t="str">
        <f>IF($J507=Q$3,IF(Q$3&gt;$I506,"-",ROUNDUP(Ld_cal($B506, $C506, $D506, $G506,$E506, $F506, $H506, Q$3)*1.3,0)),"-")</f>
        <v>-</v>
      </c>
      <c r="R507" s="77" t="str">
        <f>IF($J507=R$3,IF(R$3&gt;$I506,"-",ROUNDUP(Ld_cal($B506, $C506, $D506, $G506,$E506, $F506, $H506, R$3)*1.3,0)),"-")</f>
        <v>-</v>
      </c>
      <c r="S507" s="77" t="str">
        <f>IF($J507=S$3,IF(S$3&gt;$I506,"-",ROUNDUP(Ld_cal($B506, $C506, $D506, $G506,$E506, $F506, $H506, S$3)*1.3,0)),"-")</f>
        <v>-</v>
      </c>
      <c r="T507" s="77" t="str">
        <f>IF($J507=T$3,IF(T$3&gt;$I506,"-",ROUNDUP(Ld_cal($B506, $C506, $D506, $G506,$E506, $F506, $H506, T$3)*1.3,0)),"-")</f>
        <v>-</v>
      </c>
      <c r="U507" s="77" t="str">
        <f>IF($J507=U$3,IF(U$3&gt;$I506,"-",ROUNDUP(Ld_cal($B506, $C506, $D506, $G506,$E506, $F506, $H506, U$3)*1.3,0)),"-")</f>
        <v>-</v>
      </c>
      <c r="V507" s="77" t="str">
        <f>IF($J507=V$3,IF(V$3&gt;$I506,"-",ROUNDUP(Ld_cal($B506, $C506, $D506, $G506,$E506, $F506, $H506, V$3)*1.3,0)),"-")</f>
        <v>-</v>
      </c>
      <c r="W507" s="77" t="str">
        <f>IF($J507=W$3,IF(W$3&gt;$I506,"-",ROUNDUP(Ld_cal($B506, $C506, $D506, $G506,$E506, $F506, $H506, W$3)*1.3,0)),"-")</f>
        <v>-</v>
      </c>
      <c r="X507" s="77" t="str">
        <f>IF($J507=X$3,IF(X$3&gt;$I506,"-",ROUNDUP(Ld_cal($B506, $C506, $D506, $G506,$E506, $F506, $H506, X$3)*1.3,0)),"-")</f>
        <v>-</v>
      </c>
      <c r="Y507" s="77" t="str">
        <f>IF($J507=Y$3,IF(Y$3&gt;$I506,"-",ROUNDUP(Ld_cal($B506, $C506, $D506, $G506,$E506, $F506, $H506, Y$3)*1.3,0)),"-")</f>
        <v>-</v>
      </c>
      <c r="Z507" s="77" t="str">
        <f>IF($J507=Z$3,IF(Z$3&gt;$I506,"-",ROUNDUP(Ld_cal($B506, $C506, $D506, $G506,$E506, $F506, $H506, Z$3)*1.3,0)),"-")</f>
        <v>-</v>
      </c>
      <c r="AA507" s="77" t="str">
        <f>IF($J507=AA$3,IF(AA$3&gt;$I506,"-",ROUNDUP(Ld_cal($B506, $C506, $D506, $G506,$E506, $F506, $H506, AA$3)*1.3,0)),"-")</f>
        <v>-</v>
      </c>
      <c r="AB507" s="77" t="str">
        <f>IF($J507=AB$3,IF(AB$3&gt;$I506,"-",ROUNDUP(Ld_cal($B506, $C506, $D506, $G506,$E506, $F506, $H506, AB$3)*1.3,0)),"-")</f>
        <v>-</v>
      </c>
      <c r="AC507" s="77" t="str">
        <f>IF($J507=AC$3,IF(AC$3&gt;$I506,"-",ROUNDUP(Ld_cal($B506, $C506, $D506, $G506,$E506, $F506, $H506, AC$3)*1.3,0)),"-")</f>
        <v>-</v>
      </c>
      <c r="AD507" s="77">
        <f t="shared" ref="AD507" si="497">IF(J507&gt;I506,"依標準圖",MAX(L507:AC507))</f>
        <v>105</v>
      </c>
    </row>
    <row r="508" spans="1:30">
      <c r="A508" s="105" t="s">
        <v>295</v>
      </c>
      <c r="B508" s="107">
        <v>80</v>
      </c>
      <c r="C508" s="108">
        <v>7.5</v>
      </c>
      <c r="D508" s="107">
        <v>4200</v>
      </c>
      <c r="E508" s="109">
        <v>13</v>
      </c>
      <c r="F508" s="110">
        <v>20</v>
      </c>
      <c r="G508" s="107">
        <v>350</v>
      </c>
      <c r="H508" s="109">
        <v>32</v>
      </c>
      <c r="I508" s="111">
        <f>ROUNDDOWN(($B508-2*$C508-2*$E508/10-$H508/10)/(($D$1+1)*$H508/10),0)+1</f>
        <v>10</v>
      </c>
      <c r="J508" s="73">
        <v>5</v>
      </c>
      <c r="K508" s="40" t="s">
        <v>30</v>
      </c>
      <c r="L508" s="70" t="str">
        <f>IF($J508=L$3,IF(L$3&gt;$I508,"-",ROUNDUP(Ld_cal($B508, $C508, $D508, $G508,$E508, $F508, $H508, L$3)*1.3*1.3,0)),"-")</f>
        <v>-</v>
      </c>
      <c r="M508" s="70" t="str">
        <f>IF($J508=M$3,IF(M$3&gt;$I508,"-",ROUNDUP(Ld_cal($B508, $C508, $D508, $G508,$E508, $F508, $H508, M$3)*1.3*1.3,0)),"-")</f>
        <v>-</v>
      </c>
      <c r="N508" s="70">
        <f>IF($J508=N$3,IF(N$3&gt;$I508,"-",ROUNDUP(Ld_cal($B508, $C508, $D508, $G508,$E508, $F508, $H508, N$3)*1.3*1.3,0)),"-")</f>
        <v>136</v>
      </c>
      <c r="O508" s="70" t="str">
        <f>IF($J508=O$3,IF(O$3&gt;$I508,"-",ROUNDUP(Ld_cal($B508, $C508, $D508, $G508,$E508, $F508, $H508, O$3)*1.3*1.3,0)),"-")</f>
        <v>-</v>
      </c>
      <c r="P508" s="70" t="str">
        <f>IF($J508=P$3,IF(P$3&gt;$I508,"-",ROUNDUP(Ld_cal($B508, $C508, $D508, $G508,$E508, $F508, $H508, P$3)*1.3*1.3,0)),"-")</f>
        <v>-</v>
      </c>
      <c r="Q508" s="70" t="str">
        <f>IF($J508=Q$3,IF(Q$3&gt;$I508,"-",ROUNDUP(Ld_cal($B508, $C508, $D508, $G508,$E508, $F508, $H508, Q$3)*1.3*1.3,0)),"-")</f>
        <v>-</v>
      </c>
      <c r="R508" s="70" t="str">
        <f>IF($J508=R$3,IF(R$3&gt;$I508,"-",ROUNDUP(Ld_cal($B508, $C508, $D508, $G508,$E508, $F508, $H508, R$3)*1.3*1.3,0)),"-")</f>
        <v>-</v>
      </c>
      <c r="S508" s="70" t="str">
        <f>IF($J508=S$3,IF(S$3&gt;$I508,"-",ROUNDUP(Ld_cal($B508, $C508, $D508, $G508,$E508, $F508, $H508, S$3)*1.3*1.3,0)),"-")</f>
        <v>-</v>
      </c>
      <c r="T508" s="70" t="str">
        <f>IF($J508=T$3,IF(T$3&gt;$I508,"-",ROUNDUP(Ld_cal($B508, $C508, $D508, $G508,$E508, $F508, $H508, T$3)*1.3*1.3,0)),"-")</f>
        <v>-</v>
      </c>
      <c r="U508" s="70" t="str">
        <f>IF($J508=U$3,IF(U$3&gt;$I508,"-",ROUNDUP(Ld_cal($B508, $C508, $D508, $G508,$E508, $F508, $H508, U$3)*1.3*1.3,0)),"-")</f>
        <v>-</v>
      </c>
      <c r="V508" s="70" t="str">
        <f>IF($J508=V$3,IF(V$3&gt;$I508,"-",ROUNDUP(Ld_cal($B508, $C508, $D508, $G508,$E508, $F508, $H508, V$3)*1.3*1.3,0)),"-")</f>
        <v>-</v>
      </c>
      <c r="W508" s="70" t="str">
        <f>IF($J508=W$3,IF(W$3&gt;$I508,"-",ROUNDUP(Ld_cal($B508, $C508, $D508, $G508,$E508, $F508, $H508, W$3)*1.3*1.3,0)),"-")</f>
        <v>-</v>
      </c>
      <c r="X508" s="70" t="str">
        <f>IF($J508=X$3,IF(X$3&gt;$I508,"-",ROUNDUP(Ld_cal($B508, $C508, $D508, $G508,$E508, $F508, $H508, X$3)*1.3*1.3,0)),"-")</f>
        <v>-</v>
      </c>
      <c r="Y508" s="70" t="str">
        <f>IF($J508=Y$3,IF(Y$3&gt;$I508,"-",ROUNDUP(Ld_cal($B508, $C508, $D508, $G508,$E508, $F508, $H508, Y$3)*1.3*1.3,0)),"-")</f>
        <v>-</v>
      </c>
      <c r="Z508" s="70" t="str">
        <f>IF($J508=Z$3,IF(Z$3&gt;$I508,"-",ROUNDUP(Ld_cal($B508, $C508, $D508, $G508,$E508, $F508, $H508, Z$3)*1.3*1.3,0)),"-")</f>
        <v>-</v>
      </c>
      <c r="AA508" s="70" t="str">
        <f>IF($J508=AA$3,IF(AA$3&gt;$I508,"-",ROUNDUP(Ld_cal($B508, $C508, $D508, $G508,$E508, $F508, $H508, AA$3)*1.3*1.3,0)),"-")</f>
        <v>-</v>
      </c>
      <c r="AB508" s="70" t="str">
        <f>IF($J508=AB$3,IF(AB$3&gt;$I508,"-",ROUNDUP(Ld_cal($B508, $C508, $D508, $G508,$E508, $F508, $H508, AB$3)*1.3*1.3,0)),"-")</f>
        <v>-</v>
      </c>
      <c r="AC508" s="70" t="str">
        <f>IF($J508=AC$3,IF(AC$3&gt;$I508,"-",ROUNDUP(Ld_cal($B508, $C508, $D508, $G508,$E508, $F508, $H508, AC$3)*1.3*1.3,0)),"-")</f>
        <v>-</v>
      </c>
      <c r="AD508" s="70">
        <f t="shared" ref="AD508" si="498">IF(J508&gt;I508,"依標準圖",MAX(L508:AC508))</f>
        <v>136</v>
      </c>
    </row>
    <row r="509" spans="1:30">
      <c r="A509" s="106"/>
      <c r="B509" s="107"/>
      <c r="C509" s="108"/>
      <c r="D509" s="107"/>
      <c r="E509" s="109"/>
      <c r="F509" s="110"/>
      <c r="G509" s="107"/>
      <c r="H509" s="109"/>
      <c r="I509" s="111"/>
      <c r="J509" s="73">
        <v>7</v>
      </c>
      <c r="K509" s="40" t="s">
        <v>29</v>
      </c>
      <c r="L509" s="70" t="str">
        <f>IF($J509=L$3,IF(L$3&gt;$I508,"-",ROUNDUP(Ld_cal($B508, $C508, $D508, $G508,$E508, $F508, $H508, L$3)*1.3,0)),"-")</f>
        <v>-</v>
      </c>
      <c r="M509" s="70" t="str">
        <f>IF($J509=M$3,IF(M$3&gt;$I508,"-",ROUNDUP(Ld_cal($B508, $C508, $D508, $G508,$E508, $F508, $H508, M$3)*1.3,0)),"-")</f>
        <v>-</v>
      </c>
      <c r="N509" s="70" t="str">
        <f>IF($J509=N$3,IF(N$3&gt;$I508,"-",ROUNDUP(Ld_cal($B508, $C508, $D508, $G508,$E508, $F508, $H508, N$3)*1.3,0)),"-")</f>
        <v>-</v>
      </c>
      <c r="O509" s="70" t="str">
        <f>IF($J509=O$3,IF(O$3&gt;$I508,"-",ROUNDUP(Ld_cal($B508, $C508, $D508, $G508,$E508, $F508, $H508, O$3)*1.3,0)),"-")</f>
        <v>-</v>
      </c>
      <c r="P509" s="70">
        <f>IF($J509=P$3,IF(P$3&gt;$I508,"-",ROUNDUP(Ld_cal($B508, $C508, $D508, $G508,$E508, $F508, $H508, P$3)*1.3,0)),"-")</f>
        <v>148</v>
      </c>
      <c r="Q509" s="70" t="str">
        <f>IF($J509=Q$3,IF(Q$3&gt;$I508,"-",ROUNDUP(Ld_cal($B508, $C508, $D508, $G508,$E508, $F508, $H508, Q$3)*1.3,0)),"-")</f>
        <v>-</v>
      </c>
      <c r="R509" s="70" t="str">
        <f>IF($J509=R$3,IF(R$3&gt;$I508,"-",ROUNDUP(Ld_cal($B508, $C508, $D508, $G508,$E508, $F508, $H508, R$3)*1.3,0)),"-")</f>
        <v>-</v>
      </c>
      <c r="S509" s="70" t="str">
        <f>IF($J509=S$3,IF(S$3&gt;$I508,"-",ROUNDUP(Ld_cal($B508, $C508, $D508, $G508,$E508, $F508, $H508, S$3)*1.3,0)),"-")</f>
        <v>-</v>
      </c>
      <c r="T509" s="70" t="str">
        <f>IF($J509=T$3,IF(T$3&gt;$I508,"-",ROUNDUP(Ld_cal($B508, $C508, $D508, $G508,$E508, $F508, $H508, T$3)*1.3,0)),"-")</f>
        <v>-</v>
      </c>
      <c r="U509" s="70" t="str">
        <f>IF($J509=U$3,IF(U$3&gt;$I508,"-",ROUNDUP(Ld_cal($B508, $C508, $D508, $G508,$E508, $F508, $H508, U$3)*1.3,0)),"-")</f>
        <v>-</v>
      </c>
      <c r="V509" s="70" t="str">
        <f>IF($J509=V$3,IF(V$3&gt;$I508,"-",ROUNDUP(Ld_cal($B508, $C508, $D508, $G508,$E508, $F508, $H508, V$3)*1.3,0)),"-")</f>
        <v>-</v>
      </c>
      <c r="W509" s="70" t="str">
        <f>IF($J509=W$3,IF(W$3&gt;$I508,"-",ROUNDUP(Ld_cal($B508, $C508, $D508, $G508,$E508, $F508, $H508, W$3)*1.3,0)),"-")</f>
        <v>-</v>
      </c>
      <c r="X509" s="70" t="str">
        <f>IF($J509=X$3,IF(X$3&gt;$I508,"-",ROUNDUP(Ld_cal($B508, $C508, $D508, $G508,$E508, $F508, $H508, X$3)*1.3,0)),"-")</f>
        <v>-</v>
      </c>
      <c r="Y509" s="70" t="str">
        <f>IF($J509=Y$3,IF(Y$3&gt;$I508,"-",ROUNDUP(Ld_cal($B508, $C508, $D508, $G508,$E508, $F508, $H508, Y$3)*1.3,0)),"-")</f>
        <v>-</v>
      </c>
      <c r="Z509" s="70" t="str">
        <f>IF($J509=Z$3,IF(Z$3&gt;$I508,"-",ROUNDUP(Ld_cal($B508, $C508, $D508, $G508,$E508, $F508, $H508, Z$3)*1.3,0)),"-")</f>
        <v>-</v>
      </c>
      <c r="AA509" s="70" t="str">
        <f>IF($J509=AA$3,IF(AA$3&gt;$I508,"-",ROUNDUP(Ld_cal($B508, $C508, $D508, $G508,$E508, $F508, $H508, AA$3)*1.3,0)),"-")</f>
        <v>-</v>
      </c>
      <c r="AB509" s="70" t="str">
        <f>IF($J509=AB$3,IF(AB$3&gt;$I508,"-",ROUNDUP(Ld_cal($B508, $C508, $D508, $G508,$E508, $F508, $H508, AB$3)*1.3,0)),"-")</f>
        <v>-</v>
      </c>
      <c r="AC509" s="70" t="str">
        <f>IF($J509=AC$3,IF(AC$3&gt;$I508,"-",ROUNDUP(Ld_cal($B508, $C508, $D508, $G508,$E508, $F508, $H508, AC$3)*1.3,0)),"-")</f>
        <v>-</v>
      </c>
      <c r="AD509" s="70">
        <f t="shared" ref="AD509" si="499">IF(J509&gt;I508,"依標準圖",MAX(L509:AC509))</f>
        <v>148</v>
      </c>
    </row>
    <row r="510" spans="1:30">
      <c r="A510" s="125" t="s">
        <v>296</v>
      </c>
      <c r="B510" s="127">
        <v>80</v>
      </c>
      <c r="C510" s="128">
        <v>7.5</v>
      </c>
      <c r="D510" s="127">
        <v>4200</v>
      </c>
      <c r="E510" s="129">
        <v>13</v>
      </c>
      <c r="F510" s="130">
        <v>16</v>
      </c>
      <c r="G510" s="127">
        <v>350</v>
      </c>
      <c r="H510" s="129">
        <v>32</v>
      </c>
      <c r="I510" s="131">
        <f>ROUNDDOWN(($B510-2*$C510-2*$E510/10-$H510/10)/(($D$1+1)*$H510/10),0)+1</f>
        <v>10</v>
      </c>
      <c r="J510" s="75">
        <v>8</v>
      </c>
      <c r="K510" s="76" t="s">
        <v>30</v>
      </c>
      <c r="L510" s="77" t="str">
        <f>IF($J510=L$3,IF(L$3&gt;$I510,"-",ROUNDUP(Ld_cal($B510, $C510, $D510, $G510,$E510, $F510, $H510, L$3)*1.3*1.3,0)),"-")</f>
        <v>-</v>
      </c>
      <c r="M510" s="77" t="str">
        <f>IF($J510=M$3,IF(M$3&gt;$I510,"-",ROUNDUP(Ld_cal($B510, $C510, $D510, $G510,$E510, $F510, $H510, M$3)*1.3*1.3,0)),"-")</f>
        <v>-</v>
      </c>
      <c r="N510" s="77" t="str">
        <f>IF($J510=N$3,IF(N$3&gt;$I510,"-",ROUNDUP(Ld_cal($B510, $C510, $D510, $G510,$E510, $F510, $H510, N$3)*1.3*1.3,0)),"-")</f>
        <v>-</v>
      </c>
      <c r="O510" s="77" t="str">
        <f>IF($J510=O$3,IF(O$3&gt;$I510,"-",ROUNDUP(Ld_cal($B510, $C510, $D510, $G510,$E510, $F510, $H510, O$3)*1.3*1.3,0)),"-")</f>
        <v>-</v>
      </c>
      <c r="P510" s="77" t="str">
        <f>IF($J510=P$3,IF(P$3&gt;$I510,"-",ROUNDUP(Ld_cal($B510, $C510, $D510, $G510,$E510, $F510, $H510, P$3)*1.3*1.3,0)),"-")</f>
        <v>-</v>
      </c>
      <c r="Q510" s="77">
        <f>IF($J510=Q$3,IF(Q$3&gt;$I510,"-",ROUNDUP(Ld_cal($B510, $C510, $D510, $G510,$E510, $F510, $H510, Q$3)*1.3*1.3,0)),"-")</f>
        <v>216</v>
      </c>
      <c r="R510" s="77" t="str">
        <f>IF($J510=R$3,IF(R$3&gt;$I510,"-",ROUNDUP(Ld_cal($B510, $C510, $D510, $G510,$E510, $F510, $H510, R$3)*1.3*1.3,0)),"-")</f>
        <v>-</v>
      </c>
      <c r="S510" s="77" t="str">
        <f>IF($J510=S$3,IF(S$3&gt;$I510,"-",ROUNDUP(Ld_cal($B510, $C510, $D510, $G510,$E510, $F510, $H510, S$3)*1.3*1.3,0)),"-")</f>
        <v>-</v>
      </c>
      <c r="T510" s="77" t="str">
        <f>IF($J510=T$3,IF(T$3&gt;$I510,"-",ROUNDUP(Ld_cal($B510, $C510, $D510, $G510,$E510, $F510, $H510, T$3)*1.3*1.3,0)),"-")</f>
        <v>-</v>
      </c>
      <c r="U510" s="77" t="str">
        <f>IF($J510=U$3,IF(U$3&gt;$I510,"-",ROUNDUP(Ld_cal($B510, $C510, $D510, $G510,$E510, $F510, $H510, U$3)*1.3*1.3,0)),"-")</f>
        <v>-</v>
      </c>
      <c r="V510" s="77" t="str">
        <f>IF($J510=V$3,IF(V$3&gt;$I510,"-",ROUNDUP(Ld_cal($B510, $C510, $D510, $G510,$E510, $F510, $H510, V$3)*1.3*1.3,0)),"-")</f>
        <v>-</v>
      </c>
      <c r="W510" s="77" t="str">
        <f>IF($J510=W$3,IF(W$3&gt;$I510,"-",ROUNDUP(Ld_cal($B510, $C510, $D510, $G510,$E510, $F510, $H510, W$3)*1.3*1.3,0)),"-")</f>
        <v>-</v>
      </c>
      <c r="X510" s="77" t="str">
        <f>IF($J510=X$3,IF(X$3&gt;$I510,"-",ROUNDUP(Ld_cal($B510, $C510, $D510, $G510,$E510, $F510, $H510, X$3)*1.3*1.3,0)),"-")</f>
        <v>-</v>
      </c>
      <c r="Y510" s="77" t="str">
        <f>IF($J510=Y$3,IF(Y$3&gt;$I510,"-",ROUNDUP(Ld_cal($B510, $C510, $D510, $G510,$E510, $F510, $H510, Y$3)*1.3*1.3,0)),"-")</f>
        <v>-</v>
      </c>
      <c r="Z510" s="77" t="str">
        <f>IF($J510=Z$3,IF(Z$3&gt;$I510,"-",ROUNDUP(Ld_cal($B510, $C510, $D510, $G510,$E510, $F510, $H510, Z$3)*1.3*1.3,0)),"-")</f>
        <v>-</v>
      </c>
      <c r="AA510" s="77" t="str">
        <f>IF($J510=AA$3,IF(AA$3&gt;$I510,"-",ROUNDUP(Ld_cal($B510, $C510, $D510, $G510,$E510, $F510, $H510, AA$3)*1.3*1.3,0)),"-")</f>
        <v>-</v>
      </c>
      <c r="AB510" s="77" t="str">
        <f>IF($J510=AB$3,IF(AB$3&gt;$I510,"-",ROUNDUP(Ld_cal($B510, $C510, $D510, $G510,$E510, $F510, $H510, AB$3)*1.3*1.3,0)),"-")</f>
        <v>-</v>
      </c>
      <c r="AC510" s="77" t="str">
        <f>IF($J510=AC$3,IF(AC$3&gt;$I510,"-",ROUNDUP(Ld_cal($B510, $C510, $D510, $G510,$E510, $F510, $H510, AC$3)*1.3*1.3,0)),"-")</f>
        <v>-</v>
      </c>
      <c r="AD510" s="77">
        <f t="shared" ref="AD510" si="500">IF(J510&gt;I510,"依標準圖",MAX(L510:AC510))</f>
        <v>216</v>
      </c>
    </row>
    <row r="511" spans="1:30">
      <c r="A511" s="126"/>
      <c r="B511" s="127"/>
      <c r="C511" s="128"/>
      <c r="D511" s="127"/>
      <c r="E511" s="129"/>
      <c r="F511" s="130"/>
      <c r="G511" s="127"/>
      <c r="H511" s="129"/>
      <c r="I511" s="131"/>
      <c r="J511" s="75">
        <v>7</v>
      </c>
      <c r="K511" s="76" t="s">
        <v>29</v>
      </c>
      <c r="L511" s="77" t="str">
        <f>IF($J511=L$3,IF(L$3&gt;$I510,"-",ROUNDUP(Ld_cal($B510, $C510, $D510, $G510,$E510, $F510, $H510, L$3)*1.3,0)),"-")</f>
        <v>-</v>
      </c>
      <c r="M511" s="77" t="str">
        <f>IF($J511=M$3,IF(M$3&gt;$I510,"-",ROUNDUP(Ld_cal($B510, $C510, $D510, $G510,$E510, $F510, $H510, M$3)*1.3,0)),"-")</f>
        <v>-</v>
      </c>
      <c r="N511" s="77" t="str">
        <f>IF($J511=N$3,IF(N$3&gt;$I510,"-",ROUNDUP(Ld_cal($B510, $C510, $D510, $G510,$E510, $F510, $H510, N$3)*1.3,0)),"-")</f>
        <v>-</v>
      </c>
      <c r="O511" s="77" t="str">
        <f>IF($J511=O$3,IF(O$3&gt;$I510,"-",ROUNDUP(Ld_cal($B510, $C510, $D510, $G510,$E510, $F510, $H510, O$3)*1.3,0)),"-")</f>
        <v>-</v>
      </c>
      <c r="P511" s="77">
        <f>IF($J511=P$3,IF(P$3&gt;$I510,"-",ROUNDUP(Ld_cal($B510, $C510, $D510, $G510,$E510, $F510, $H510, P$3)*1.3,0)),"-")</f>
        <v>143</v>
      </c>
      <c r="Q511" s="77" t="str">
        <f>IF($J511=Q$3,IF(Q$3&gt;$I510,"-",ROUNDUP(Ld_cal($B510, $C510, $D510, $G510,$E510, $F510, $H510, Q$3)*1.3,0)),"-")</f>
        <v>-</v>
      </c>
      <c r="R511" s="77" t="str">
        <f>IF($J511=R$3,IF(R$3&gt;$I510,"-",ROUNDUP(Ld_cal($B510, $C510, $D510, $G510,$E510, $F510, $H510, R$3)*1.3,0)),"-")</f>
        <v>-</v>
      </c>
      <c r="S511" s="77" t="str">
        <f>IF($J511=S$3,IF(S$3&gt;$I510,"-",ROUNDUP(Ld_cal($B510, $C510, $D510, $G510,$E510, $F510, $H510, S$3)*1.3,0)),"-")</f>
        <v>-</v>
      </c>
      <c r="T511" s="77" t="str">
        <f>IF($J511=T$3,IF(T$3&gt;$I510,"-",ROUNDUP(Ld_cal($B510, $C510, $D510, $G510,$E510, $F510, $H510, T$3)*1.3,0)),"-")</f>
        <v>-</v>
      </c>
      <c r="U511" s="77" t="str">
        <f>IF($J511=U$3,IF(U$3&gt;$I510,"-",ROUNDUP(Ld_cal($B510, $C510, $D510, $G510,$E510, $F510, $H510, U$3)*1.3,0)),"-")</f>
        <v>-</v>
      </c>
      <c r="V511" s="77" t="str">
        <f>IF($J511=V$3,IF(V$3&gt;$I510,"-",ROUNDUP(Ld_cal($B510, $C510, $D510, $G510,$E510, $F510, $H510, V$3)*1.3,0)),"-")</f>
        <v>-</v>
      </c>
      <c r="W511" s="77" t="str">
        <f>IF($J511=W$3,IF(W$3&gt;$I510,"-",ROUNDUP(Ld_cal($B510, $C510, $D510, $G510,$E510, $F510, $H510, W$3)*1.3,0)),"-")</f>
        <v>-</v>
      </c>
      <c r="X511" s="77" t="str">
        <f>IF($J511=X$3,IF(X$3&gt;$I510,"-",ROUNDUP(Ld_cal($B510, $C510, $D510, $G510,$E510, $F510, $H510, X$3)*1.3,0)),"-")</f>
        <v>-</v>
      </c>
      <c r="Y511" s="77" t="str">
        <f>IF($J511=Y$3,IF(Y$3&gt;$I510,"-",ROUNDUP(Ld_cal($B510, $C510, $D510, $G510,$E510, $F510, $H510, Y$3)*1.3,0)),"-")</f>
        <v>-</v>
      </c>
      <c r="Z511" s="77" t="str">
        <f>IF($J511=Z$3,IF(Z$3&gt;$I510,"-",ROUNDUP(Ld_cal($B510, $C510, $D510, $G510,$E510, $F510, $H510, Z$3)*1.3,0)),"-")</f>
        <v>-</v>
      </c>
      <c r="AA511" s="77" t="str">
        <f>IF($J511=AA$3,IF(AA$3&gt;$I510,"-",ROUNDUP(Ld_cal($B510, $C510, $D510, $G510,$E510, $F510, $H510, AA$3)*1.3,0)),"-")</f>
        <v>-</v>
      </c>
      <c r="AB511" s="77" t="str">
        <f>IF($J511=AB$3,IF(AB$3&gt;$I510,"-",ROUNDUP(Ld_cal($B510, $C510, $D510, $G510,$E510, $F510, $H510, AB$3)*1.3,0)),"-")</f>
        <v>-</v>
      </c>
      <c r="AC511" s="77" t="str">
        <f>IF($J511=AC$3,IF(AC$3&gt;$I510,"-",ROUNDUP(Ld_cal($B510, $C510, $D510, $G510,$E510, $F510, $H510, AC$3)*1.3,0)),"-")</f>
        <v>-</v>
      </c>
      <c r="AD511" s="77">
        <f t="shared" ref="AD511" si="501">IF(J511&gt;I510,"依標準圖",MAX(L511:AC511))</f>
        <v>143</v>
      </c>
    </row>
    <row r="512" spans="1:30">
      <c r="A512" s="105" t="s">
        <v>297</v>
      </c>
      <c r="B512" s="107">
        <v>80</v>
      </c>
      <c r="C512" s="108">
        <v>7.5</v>
      </c>
      <c r="D512" s="107">
        <v>4200</v>
      </c>
      <c r="E512" s="109">
        <v>16</v>
      </c>
      <c r="F512" s="110">
        <v>14</v>
      </c>
      <c r="G512" s="107">
        <v>350</v>
      </c>
      <c r="H512" s="109">
        <v>32</v>
      </c>
      <c r="I512" s="111">
        <f>ROUNDDOWN(($B512-2*$C512-2*$E512/10-$H512/10)/(($D$1+1)*$H512/10),0)+1</f>
        <v>10</v>
      </c>
      <c r="J512" s="73">
        <v>5</v>
      </c>
      <c r="K512" s="40" t="s">
        <v>30</v>
      </c>
      <c r="L512" s="70" t="str">
        <f>IF($J512=L$3,IF(L$3&gt;$I512,"-",ROUNDUP(Ld_cal($B512, $C512, $D512, $G512,$E512, $F512, $H512, L$3)*1.3*1.3,0)),"-")</f>
        <v>-</v>
      </c>
      <c r="M512" s="70" t="str">
        <f>IF($J512=M$3,IF(M$3&gt;$I512,"-",ROUNDUP(Ld_cal($B512, $C512, $D512, $G512,$E512, $F512, $H512, M$3)*1.3*1.3,0)),"-")</f>
        <v>-</v>
      </c>
      <c r="N512" s="70">
        <f>IF($J512=N$3,IF(N$3&gt;$I512,"-",ROUNDUP(Ld_cal($B512, $C512, $D512, $G512,$E512, $F512, $H512, N$3)*1.3*1.3,0)),"-")</f>
        <v>136</v>
      </c>
      <c r="O512" s="70" t="str">
        <f>IF($J512=O$3,IF(O$3&gt;$I512,"-",ROUNDUP(Ld_cal($B512, $C512, $D512, $G512,$E512, $F512, $H512, O$3)*1.3*1.3,0)),"-")</f>
        <v>-</v>
      </c>
      <c r="P512" s="70" t="str">
        <f>IF($J512=P$3,IF(P$3&gt;$I512,"-",ROUNDUP(Ld_cal($B512, $C512, $D512, $G512,$E512, $F512, $H512, P$3)*1.3*1.3,0)),"-")</f>
        <v>-</v>
      </c>
      <c r="Q512" s="70" t="str">
        <f>IF($J512=Q$3,IF(Q$3&gt;$I512,"-",ROUNDUP(Ld_cal($B512, $C512, $D512, $G512,$E512, $F512, $H512, Q$3)*1.3*1.3,0)),"-")</f>
        <v>-</v>
      </c>
      <c r="R512" s="70" t="str">
        <f>IF($J512=R$3,IF(R$3&gt;$I512,"-",ROUNDUP(Ld_cal($B512, $C512, $D512, $G512,$E512, $F512, $H512, R$3)*1.3*1.3,0)),"-")</f>
        <v>-</v>
      </c>
      <c r="S512" s="70" t="str">
        <f>IF($J512=S$3,IF(S$3&gt;$I512,"-",ROUNDUP(Ld_cal($B512, $C512, $D512, $G512,$E512, $F512, $H512, S$3)*1.3*1.3,0)),"-")</f>
        <v>-</v>
      </c>
      <c r="T512" s="70" t="str">
        <f>IF($J512=T$3,IF(T$3&gt;$I512,"-",ROUNDUP(Ld_cal($B512, $C512, $D512, $G512,$E512, $F512, $H512, T$3)*1.3*1.3,0)),"-")</f>
        <v>-</v>
      </c>
      <c r="U512" s="70" t="str">
        <f>IF($J512=U$3,IF(U$3&gt;$I512,"-",ROUNDUP(Ld_cal($B512, $C512, $D512, $G512,$E512, $F512, $H512, U$3)*1.3*1.3,0)),"-")</f>
        <v>-</v>
      </c>
      <c r="V512" s="70" t="str">
        <f>IF($J512=V$3,IF(V$3&gt;$I512,"-",ROUNDUP(Ld_cal($B512, $C512, $D512, $G512,$E512, $F512, $H512, V$3)*1.3*1.3,0)),"-")</f>
        <v>-</v>
      </c>
      <c r="W512" s="70" t="str">
        <f>IF($J512=W$3,IF(W$3&gt;$I512,"-",ROUNDUP(Ld_cal($B512, $C512, $D512, $G512,$E512, $F512, $H512, W$3)*1.3*1.3,0)),"-")</f>
        <v>-</v>
      </c>
      <c r="X512" s="70" t="str">
        <f>IF($J512=X$3,IF(X$3&gt;$I512,"-",ROUNDUP(Ld_cal($B512, $C512, $D512, $G512,$E512, $F512, $H512, X$3)*1.3*1.3,0)),"-")</f>
        <v>-</v>
      </c>
      <c r="Y512" s="70" t="str">
        <f>IF($J512=Y$3,IF(Y$3&gt;$I512,"-",ROUNDUP(Ld_cal($B512, $C512, $D512, $G512,$E512, $F512, $H512, Y$3)*1.3*1.3,0)),"-")</f>
        <v>-</v>
      </c>
      <c r="Z512" s="70" t="str">
        <f>IF($J512=Z$3,IF(Z$3&gt;$I512,"-",ROUNDUP(Ld_cal($B512, $C512, $D512, $G512,$E512, $F512, $H512, Z$3)*1.3*1.3,0)),"-")</f>
        <v>-</v>
      </c>
      <c r="AA512" s="70" t="str">
        <f>IF($J512=AA$3,IF(AA$3&gt;$I512,"-",ROUNDUP(Ld_cal($B512, $C512, $D512, $G512,$E512, $F512, $H512, AA$3)*1.3*1.3,0)),"-")</f>
        <v>-</v>
      </c>
      <c r="AB512" s="70" t="str">
        <f>IF($J512=AB$3,IF(AB$3&gt;$I512,"-",ROUNDUP(Ld_cal($B512, $C512, $D512, $G512,$E512, $F512, $H512, AB$3)*1.3*1.3,0)),"-")</f>
        <v>-</v>
      </c>
      <c r="AC512" s="70" t="str">
        <f>IF($J512=AC$3,IF(AC$3&gt;$I512,"-",ROUNDUP(Ld_cal($B512, $C512, $D512, $G512,$E512, $F512, $H512, AC$3)*1.3*1.3,0)),"-")</f>
        <v>-</v>
      </c>
      <c r="AD512" s="70">
        <f t="shared" ref="AD512" si="502">IF(J512&gt;I512,"依標準圖",MAX(L512:AC512))</f>
        <v>136</v>
      </c>
    </row>
    <row r="513" spans="1:30">
      <c r="A513" s="106"/>
      <c r="B513" s="107"/>
      <c r="C513" s="108"/>
      <c r="D513" s="107"/>
      <c r="E513" s="109"/>
      <c r="F513" s="110"/>
      <c r="G513" s="107"/>
      <c r="H513" s="109"/>
      <c r="I513" s="111"/>
      <c r="J513" s="73">
        <v>10</v>
      </c>
      <c r="K513" s="40" t="s">
        <v>29</v>
      </c>
      <c r="L513" s="70" t="str">
        <f>IF($J513=L$3,IF(L$3&gt;$I512,"-",ROUNDUP(Ld_cal($B512, $C512, $D512, $G512,$E512, $F512, $H512, L$3)*1.3,0)),"-")</f>
        <v>-</v>
      </c>
      <c r="M513" s="70" t="str">
        <f>IF($J513=M$3,IF(M$3&gt;$I512,"-",ROUNDUP(Ld_cal($B512, $C512, $D512, $G512,$E512, $F512, $H512, M$3)*1.3,0)),"-")</f>
        <v>-</v>
      </c>
      <c r="N513" s="70" t="str">
        <f>IF($J513=N$3,IF(N$3&gt;$I512,"-",ROUNDUP(Ld_cal($B512, $C512, $D512, $G512,$E512, $F512, $H512, N$3)*1.3,0)),"-")</f>
        <v>-</v>
      </c>
      <c r="O513" s="70" t="str">
        <f>IF($J513=O$3,IF(O$3&gt;$I512,"-",ROUNDUP(Ld_cal($B512, $C512, $D512, $G512,$E512, $F512, $H512, O$3)*1.3,0)),"-")</f>
        <v>-</v>
      </c>
      <c r="P513" s="70" t="str">
        <f>IF($J513=P$3,IF(P$3&gt;$I512,"-",ROUNDUP(Ld_cal($B512, $C512, $D512, $G512,$E512, $F512, $H512, P$3)*1.3,0)),"-")</f>
        <v>-</v>
      </c>
      <c r="Q513" s="70" t="str">
        <f>IF($J513=Q$3,IF(Q$3&gt;$I512,"-",ROUNDUP(Ld_cal($B512, $C512, $D512, $G512,$E512, $F512, $H512, Q$3)*1.3,0)),"-")</f>
        <v>-</v>
      </c>
      <c r="R513" s="70" t="str">
        <f>IF($J513=R$3,IF(R$3&gt;$I512,"-",ROUNDUP(Ld_cal($B512, $C512, $D512, $G512,$E512, $F512, $H512, R$3)*1.3,0)),"-")</f>
        <v>-</v>
      </c>
      <c r="S513" s="70">
        <f>IF($J513=S$3,IF(S$3&gt;$I512,"-",ROUNDUP(Ld_cal($B512, $C512, $D512, $G512,$E512, $F512, $H512, S$3)*1.3,0)),"-")</f>
        <v>190</v>
      </c>
      <c r="T513" s="70" t="str">
        <f>IF($J513=T$3,IF(T$3&gt;$I512,"-",ROUNDUP(Ld_cal($B512, $C512, $D512, $G512,$E512, $F512, $H512, T$3)*1.3,0)),"-")</f>
        <v>-</v>
      </c>
      <c r="U513" s="70" t="str">
        <f>IF($J513=U$3,IF(U$3&gt;$I512,"-",ROUNDUP(Ld_cal($B512, $C512, $D512, $G512,$E512, $F512, $H512, U$3)*1.3,0)),"-")</f>
        <v>-</v>
      </c>
      <c r="V513" s="70" t="str">
        <f>IF($J513=V$3,IF(V$3&gt;$I512,"-",ROUNDUP(Ld_cal($B512, $C512, $D512, $G512,$E512, $F512, $H512, V$3)*1.3,0)),"-")</f>
        <v>-</v>
      </c>
      <c r="W513" s="70" t="str">
        <f>IF($J513=W$3,IF(W$3&gt;$I512,"-",ROUNDUP(Ld_cal($B512, $C512, $D512, $G512,$E512, $F512, $H512, W$3)*1.3,0)),"-")</f>
        <v>-</v>
      </c>
      <c r="X513" s="70" t="str">
        <f>IF($J513=X$3,IF(X$3&gt;$I512,"-",ROUNDUP(Ld_cal($B512, $C512, $D512, $G512,$E512, $F512, $H512, X$3)*1.3,0)),"-")</f>
        <v>-</v>
      </c>
      <c r="Y513" s="70" t="str">
        <f>IF($J513=Y$3,IF(Y$3&gt;$I512,"-",ROUNDUP(Ld_cal($B512, $C512, $D512, $G512,$E512, $F512, $H512, Y$3)*1.3,0)),"-")</f>
        <v>-</v>
      </c>
      <c r="Z513" s="70" t="str">
        <f>IF($J513=Z$3,IF(Z$3&gt;$I512,"-",ROUNDUP(Ld_cal($B512, $C512, $D512, $G512,$E512, $F512, $H512, Z$3)*1.3,0)),"-")</f>
        <v>-</v>
      </c>
      <c r="AA513" s="70" t="str">
        <f>IF($J513=AA$3,IF(AA$3&gt;$I512,"-",ROUNDUP(Ld_cal($B512, $C512, $D512, $G512,$E512, $F512, $H512, AA$3)*1.3,0)),"-")</f>
        <v>-</v>
      </c>
      <c r="AB513" s="70" t="str">
        <f>IF($J513=AB$3,IF(AB$3&gt;$I512,"-",ROUNDUP(Ld_cal($B512, $C512, $D512, $G512,$E512, $F512, $H512, AB$3)*1.3,0)),"-")</f>
        <v>-</v>
      </c>
      <c r="AC513" s="70" t="str">
        <f>IF($J513=AC$3,IF(AC$3&gt;$I512,"-",ROUNDUP(Ld_cal($B512, $C512, $D512, $G512,$E512, $F512, $H512, AC$3)*1.3,0)),"-")</f>
        <v>-</v>
      </c>
      <c r="AD513" s="70">
        <f t="shared" ref="AD513" si="503">IF(J513&gt;I512,"依標準圖",MAX(L513:AC513))</f>
        <v>190</v>
      </c>
    </row>
    <row r="514" spans="1:30">
      <c r="A514" s="125" t="s">
        <v>298</v>
      </c>
      <c r="B514" s="127">
        <v>80</v>
      </c>
      <c r="C514" s="128">
        <v>7.5</v>
      </c>
      <c r="D514" s="127">
        <v>4200</v>
      </c>
      <c r="E514" s="129">
        <v>16</v>
      </c>
      <c r="F514" s="130">
        <v>25</v>
      </c>
      <c r="G514" s="127">
        <v>350</v>
      </c>
      <c r="H514" s="129">
        <v>32</v>
      </c>
      <c r="I514" s="131">
        <f>ROUNDDOWN(($B514-2*$C514-2*$E514/10-$H514/10)/(($D$1+1)*$H514/10),0)+1</f>
        <v>10</v>
      </c>
      <c r="J514" s="75">
        <v>5</v>
      </c>
      <c r="K514" s="76" t="s">
        <v>30</v>
      </c>
      <c r="L514" s="77" t="str">
        <f>IF($J514=L$3,IF(L$3&gt;$I514,"-",ROUNDUP(Ld_cal($B514, $C514, $D514, $G514,$E514, $F514, $H514, L$3)*1.3*1.3,0)),"-")</f>
        <v>-</v>
      </c>
      <c r="M514" s="77" t="str">
        <f>IF($J514=M$3,IF(M$3&gt;$I514,"-",ROUNDUP(Ld_cal($B514, $C514, $D514, $G514,$E514, $F514, $H514, M$3)*1.3*1.3,0)),"-")</f>
        <v>-</v>
      </c>
      <c r="N514" s="77">
        <f>IF($J514=N$3,IF(N$3&gt;$I514,"-",ROUNDUP(Ld_cal($B514, $C514, $D514, $G514,$E514, $F514, $H514, N$3)*1.3*1.3,0)),"-")</f>
        <v>136</v>
      </c>
      <c r="O514" s="77" t="str">
        <f>IF($J514=O$3,IF(O$3&gt;$I514,"-",ROUNDUP(Ld_cal($B514, $C514, $D514, $G514,$E514, $F514, $H514, O$3)*1.3*1.3,0)),"-")</f>
        <v>-</v>
      </c>
      <c r="P514" s="77" t="str">
        <f>IF($J514=P$3,IF(P$3&gt;$I514,"-",ROUNDUP(Ld_cal($B514, $C514, $D514, $G514,$E514, $F514, $H514, P$3)*1.3*1.3,0)),"-")</f>
        <v>-</v>
      </c>
      <c r="Q514" s="77" t="str">
        <f>IF($J514=Q$3,IF(Q$3&gt;$I514,"-",ROUNDUP(Ld_cal($B514, $C514, $D514, $G514,$E514, $F514, $H514, Q$3)*1.3*1.3,0)),"-")</f>
        <v>-</v>
      </c>
      <c r="R514" s="77" t="str">
        <f>IF($J514=R$3,IF(R$3&gt;$I514,"-",ROUNDUP(Ld_cal($B514, $C514, $D514, $G514,$E514, $F514, $H514, R$3)*1.3*1.3,0)),"-")</f>
        <v>-</v>
      </c>
      <c r="S514" s="77" t="str">
        <f>IF($J514=S$3,IF(S$3&gt;$I514,"-",ROUNDUP(Ld_cal($B514, $C514, $D514, $G514,$E514, $F514, $H514, S$3)*1.3*1.3,0)),"-")</f>
        <v>-</v>
      </c>
      <c r="T514" s="77" t="str">
        <f>IF($J514=T$3,IF(T$3&gt;$I514,"-",ROUNDUP(Ld_cal($B514, $C514, $D514, $G514,$E514, $F514, $H514, T$3)*1.3*1.3,0)),"-")</f>
        <v>-</v>
      </c>
      <c r="U514" s="77" t="str">
        <f>IF($J514=U$3,IF(U$3&gt;$I514,"-",ROUNDUP(Ld_cal($B514, $C514, $D514, $G514,$E514, $F514, $H514, U$3)*1.3*1.3,0)),"-")</f>
        <v>-</v>
      </c>
      <c r="V514" s="77" t="str">
        <f>IF($J514=V$3,IF(V$3&gt;$I514,"-",ROUNDUP(Ld_cal($B514, $C514, $D514, $G514,$E514, $F514, $H514, V$3)*1.3*1.3,0)),"-")</f>
        <v>-</v>
      </c>
      <c r="W514" s="77" t="str">
        <f>IF($J514=W$3,IF(W$3&gt;$I514,"-",ROUNDUP(Ld_cal($B514, $C514, $D514, $G514,$E514, $F514, $H514, W$3)*1.3*1.3,0)),"-")</f>
        <v>-</v>
      </c>
      <c r="X514" s="77" t="str">
        <f>IF($J514=X$3,IF(X$3&gt;$I514,"-",ROUNDUP(Ld_cal($B514, $C514, $D514, $G514,$E514, $F514, $H514, X$3)*1.3*1.3,0)),"-")</f>
        <v>-</v>
      </c>
      <c r="Y514" s="77" t="str">
        <f>IF($J514=Y$3,IF(Y$3&gt;$I514,"-",ROUNDUP(Ld_cal($B514, $C514, $D514, $G514,$E514, $F514, $H514, Y$3)*1.3*1.3,0)),"-")</f>
        <v>-</v>
      </c>
      <c r="Z514" s="77" t="str">
        <f>IF($J514=Z$3,IF(Z$3&gt;$I514,"-",ROUNDUP(Ld_cal($B514, $C514, $D514, $G514,$E514, $F514, $H514, Z$3)*1.3*1.3,0)),"-")</f>
        <v>-</v>
      </c>
      <c r="AA514" s="77" t="str">
        <f>IF($J514=AA$3,IF(AA$3&gt;$I514,"-",ROUNDUP(Ld_cal($B514, $C514, $D514, $G514,$E514, $F514, $H514, AA$3)*1.3*1.3,0)),"-")</f>
        <v>-</v>
      </c>
      <c r="AB514" s="77" t="str">
        <f>IF($J514=AB$3,IF(AB$3&gt;$I514,"-",ROUNDUP(Ld_cal($B514, $C514, $D514, $G514,$E514, $F514, $H514, AB$3)*1.3*1.3,0)),"-")</f>
        <v>-</v>
      </c>
      <c r="AC514" s="77" t="str">
        <f>IF($J514=AC$3,IF(AC$3&gt;$I514,"-",ROUNDUP(Ld_cal($B514, $C514, $D514, $G514,$E514, $F514, $H514, AC$3)*1.3*1.3,0)),"-")</f>
        <v>-</v>
      </c>
      <c r="AD514" s="77">
        <f t="shared" ref="AD514" si="504">IF(J514&gt;I514,"依標準圖",MAX(L514:AC514))</f>
        <v>136</v>
      </c>
    </row>
    <row r="515" spans="1:30">
      <c r="A515" s="126"/>
      <c r="B515" s="127"/>
      <c r="C515" s="128"/>
      <c r="D515" s="127"/>
      <c r="E515" s="129"/>
      <c r="F515" s="130"/>
      <c r="G515" s="127"/>
      <c r="H515" s="129"/>
      <c r="I515" s="131"/>
      <c r="J515" s="75">
        <v>7</v>
      </c>
      <c r="K515" s="76" t="s">
        <v>29</v>
      </c>
      <c r="L515" s="77" t="str">
        <f>IF($J515=L$3,IF(L$3&gt;$I514,"-",ROUNDUP(Ld_cal($B514, $C514, $D514, $G514,$E514, $F514, $H514, L$3)*1.3,0)),"-")</f>
        <v>-</v>
      </c>
      <c r="M515" s="77" t="str">
        <f>IF($J515=M$3,IF(M$3&gt;$I514,"-",ROUNDUP(Ld_cal($B514, $C514, $D514, $G514,$E514, $F514, $H514, M$3)*1.3,0)),"-")</f>
        <v>-</v>
      </c>
      <c r="N515" s="77" t="str">
        <f>IF($J515=N$3,IF(N$3&gt;$I514,"-",ROUNDUP(Ld_cal($B514, $C514, $D514, $G514,$E514, $F514, $H514, N$3)*1.3,0)),"-")</f>
        <v>-</v>
      </c>
      <c r="O515" s="77" t="str">
        <f>IF($J515=O$3,IF(O$3&gt;$I514,"-",ROUNDUP(Ld_cal($B514, $C514, $D514, $G514,$E514, $F514, $H514, O$3)*1.3,0)),"-")</f>
        <v>-</v>
      </c>
      <c r="P515" s="77">
        <f>IF($J515=P$3,IF(P$3&gt;$I514,"-",ROUNDUP(Ld_cal($B514, $C514, $D514, $G514,$E514, $F514, $H514, P$3)*1.3,0)),"-")</f>
        <v>145</v>
      </c>
      <c r="Q515" s="77" t="str">
        <f>IF($J515=Q$3,IF(Q$3&gt;$I514,"-",ROUNDUP(Ld_cal($B514, $C514, $D514, $G514,$E514, $F514, $H514, Q$3)*1.3,0)),"-")</f>
        <v>-</v>
      </c>
      <c r="R515" s="77" t="str">
        <f>IF($J515=R$3,IF(R$3&gt;$I514,"-",ROUNDUP(Ld_cal($B514, $C514, $D514, $G514,$E514, $F514, $H514, R$3)*1.3,0)),"-")</f>
        <v>-</v>
      </c>
      <c r="S515" s="77" t="str">
        <f>IF($J515=S$3,IF(S$3&gt;$I514,"-",ROUNDUP(Ld_cal($B514, $C514, $D514, $G514,$E514, $F514, $H514, S$3)*1.3,0)),"-")</f>
        <v>-</v>
      </c>
      <c r="T515" s="77" t="str">
        <f>IF($J515=T$3,IF(T$3&gt;$I514,"-",ROUNDUP(Ld_cal($B514, $C514, $D514, $G514,$E514, $F514, $H514, T$3)*1.3,0)),"-")</f>
        <v>-</v>
      </c>
      <c r="U515" s="77" t="str">
        <f>IF($J515=U$3,IF(U$3&gt;$I514,"-",ROUNDUP(Ld_cal($B514, $C514, $D514, $G514,$E514, $F514, $H514, U$3)*1.3,0)),"-")</f>
        <v>-</v>
      </c>
      <c r="V515" s="77" t="str">
        <f>IF($J515=V$3,IF(V$3&gt;$I514,"-",ROUNDUP(Ld_cal($B514, $C514, $D514, $G514,$E514, $F514, $H514, V$3)*1.3,0)),"-")</f>
        <v>-</v>
      </c>
      <c r="W515" s="77" t="str">
        <f>IF($J515=W$3,IF(W$3&gt;$I514,"-",ROUNDUP(Ld_cal($B514, $C514, $D514, $G514,$E514, $F514, $H514, W$3)*1.3,0)),"-")</f>
        <v>-</v>
      </c>
      <c r="X515" s="77" t="str">
        <f>IF($J515=X$3,IF(X$3&gt;$I514,"-",ROUNDUP(Ld_cal($B514, $C514, $D514, $G514,$E514, $F514, $H514, X$3)*1.3,0)),"-")</f>
        <v>-</v>
      </c>
      <c r="Y515" s="77" t="str">
        <f>IF($J515=Y$3,IF(Y$3&gt;$I514,"-",ROUNDUP(Ld_cal($B514, $C514, $D514, $G514,$E514, $F514, $H514, Y$3)*1.3,0)),"-")</f>
        <v>-</v>
      </c>
      <c r="Z515" s="77" t="str">
        <f>IF($J515=Z$3,IF(Z$3&gt;$I514,"-",ROUNDUP(Ld_cal($B514, $C514, $D514, $G514,$E514, $F514, $H514, Z$3)*1.3,0)),"-")</f>
        <v>-</v>
      </c>
      <c r="AA515" s="77" t="str">
        <f>IF($J515=AA$3,IF(AA$3&gt;$I514,"-",ROUNDUP(Ld_cal($B514, $C514, $D514, $G514,$E514, $F514, $H514, AA$3)*1.3,0)),"-")</f>
        <v>-</v>
      </c>
      <c r="AB515" s="77" t="str">
        <f>IF($J515=AB$3,IF(AB$3&gt;$I514,"-",ROUNDUP(Ld_cal($B514, $C514, $D514, $G514,$E514, $F514, $H514, AB$3)*1.3,0)),"-")</f>
        <v>-</v>
      </c>
      <c r="AC515" s="77" t="str">
        <f>IF($J515=AC$3,IF(AC$3&gt;$I514,"-",ROUNDUP(Ld_cal($B514, $C514, $D514, $G514,$E514, $F514, $H514, AC$3)*1.3,0)),"-")</f>
        <v>-</v>
      </c>
      <c r="AD515" s="77">
        <f t="shared" ref="AD515" si="505">IF(J515&gt;I514,"依標準圖",MAX(L515:AC515))</f>
        <v>145</v>
      </c>
    </row>
    <row r="516" spans="1:30">
      <c r="A516" s="105" t="s">
        <v>299</v>
      </c>
      <c r="B516" s="107">
        <v>80</v>
      </c>
      <c r="C516" s="108">
        <v>7.5</v>
      </c>
      <c r="D516" s="107">
        <v>4200</v>
      </c>
      <c r="E516" s="109">
        <v>16</v>
      </c>
      <c r="F516" s="110">
        <v>10</v>
      </c>
      <c r="G516" s="107">
        <v>350</v>
      </c>
      <c r="H516" s="109">
        <v>32</v>
      </c>
      <c r="I516" s="111">
        <f>ROUNDDOWN(($B516-2*$C516-2*$E516/10-$H516/10)/(($D$1+1)*$H516/10),0)+1</f>
        <v>10</v>
      </c>
      <c r="J516" s="73">
        <v>11</v>
      </c>
      <c r="K516" s="40" t="s">
        <v>30</v>
      </c>
      <c r="L516" s="70" t="str">
        <f>IF($J516=L$3,IF(L$3&gt;$I516,"-",ROUNDUP(Ld_cal($B516, $C516, $D516, $G516,$E516, $F516, $H516, L$3)*1.3*1.3,0)),"-")</f>
        <v>-</v>
      </c>
      <c r="M516" s="70" t="str">
        <f>IF($J516=M$3,IF(M$3&gt;$I516,"-",ROUNDUP(Ld_cal($B516, $C516, $D516, $G516,$E516, $F516, $H516, M$3)*1.3*1.3,0)),"-")</f>
        <v>-</v>
      </c>
      <c r="N516" s="70" t="str">
        <f>IF($J516=N$3,IF(N$3&gt;$I516,"-",ROUNDUP(Ld_cal($B516, $C516, $D516, $G516,$E516, $F516, $H516, N$3)*1.3*1.3,0)),"-")</f>
        <v>-</v>
      </c>
      <c r="O516" s="70" t="str">
        <f>IF($J516=O$3,IF(O$3&gt;$I516,"-",ROUNDUP(Ld_cal($B516, $C516, $D516, $G516,$E516, $F516, $H516, O$3)*1.3*1.3,0)),"-")</f>
        <v>-</v>
      </c>
      <c r="P516" s="70" t="str">
        <f>IF($J516=P$3,IF(P$3&gt;$I516,"-",ROUNDUP(Ld_cal($B516, $C516, $D516, $G516,$E516, $F516, $H516, P$3)*1.3*1.3,0)),"-")</f>
        <v>-</v>
      </c>
      <c r="Q516" s="70" t="str">
        <f>IF($J516=Q$3,IF(Q$3&gt;$I516,"-",ROUNDUP(Ld_cal($B516, $C516, $D516, $G516,$E516, $F516, $H516, Q$3)*1.3*1.3,0)),"-")</f>
        <v>-</v>
      </c>
      <c r="R516" s="70" t="str">
        <f>IF($J516=R$3,IF(R$3&gt;$I516,"-",ROUNDUP(Ld_cal($B516, $C516, $D516, $G516,$E516, $F516, $H516, R$3)*1.3*1.3,0)),"-")</f>
        <v>-</v>
      </c>
      <c r="S516" s="70" t="str">
        <f>IF($J516=S$3,IF(S$3&gt;$I516,"-",ROUNDUP(Ld_cal($B516, $C516, $D516, $G516,$E516, $F516, $H516, S$3)*1.3*1.3,0)),"-")</f>
        <v>-</v>
      </c>
      <c r="T516" s="70" t="str">
        <f>IF($J516=T$3,IF(T$3&gt;$I516,"-",ROUNDUP(Ld_cal($B516, $C516, $D516, $G516,$E516, $F516, $H516, T$3)*1.3*1.3,0)),"-")</f>
        <v>-</v>
      </c>
      <c r="U516" s="70" t="str">
        <f>IF($J516=U$3,IF(U$3&gt;$I516,"-",ROUNDUP(Ld_cal($B516, $C516, $D516, $G516,$E516, $F516, $H516, U$3)*1.3*1.3,0)),"-")</f>
        <v>-</v>
      </c>
      <c r="V516" s="70" t="str">
        <f>IF($J516=V$3,IF(V$3&gt;$I516,"-",ROUNDUP(Ld_cal($B516, $C516, $D516, $G516,$E516, $F516, $H516, V$3)*1.3*1.3,0)),"-")</f>
        <v>-</v>
      </c>
      <c r="W516" s="70" t="str">
        <f>IF($J516=W$3,IF(W$3&gt;$I516,"-",ROUNDUP(Ld_cal($B516, $C516, $D516, $G516,$E516, $F516, $H516, W$3)*1.3*1.3,0)),"-")</f>
        <v>-</v>
      </c>
      <c r="X516" s="70" t="str">
        <f>IF($J516=X$3,IF(X$3&gt;$I516,"-",ROUNDUP(Ld_cal($B516, $C516, $D516, $G516,$E516, $F516, $H516, X$3)*1.3*1.3,0)),"-")</f>
        <v>-</v>
      </c>
      <c r="Y516" s="70" t="str">
        <f>IF($J516=Y$3,IF(Y$3&gt;$I516,"-",ROUNDUP(Ld_cal($B516, $C516, $D516, $G516,$E516, $F516, $H516, Y$3)*1.3*1.3,0)),"-")</f>
        <v>-</v>
      </c>
      <c r="Z516" s="70" t="str">
        <f>IF($J516=Z$3,IF(Z$3&gt;$I516,"-",ROUNDUP(Ld_cal($B516, $C516, $D516, $G516,$E516, $F516, $H516, Z$3)*1.3*1.3,0)),"-")</f>
        <v>-</v>
      </c>
      <c r="AA516" s="70" t="str">
        <f>IF($J516=AA$3,IF(AA$3&gt;$I516,"-",ROUNDUP(Ld_cal($B516, $C516, $D516, $G516,$E516, $F516, $H516, AA$3)*1.3*1.3,0)),"-")</f>
        <v>-</v>
      </c>
      <c r="AB516" s="70" t="str">
        <f>IF($J516=AB$3,IF(AB$3&gt;$I516,"-",ROUNDUP(Ld_cal($B516, $C516, $D516, $G516,$E516, $F516, $H516, AB$3)*1.3*1.3,0)),"-")</f>
        <v>-</v>
      </c>
      <c r="AC516" s="70" t="str">
        <f>IF($J516=AC$3,IF(AC$3&gt;$I516,"-",ROUNDUP(Ld_cal($B516, $C516, $D516, $G516,$E516, $F516, $H516, AC$3)*1.3*1.3,0)),"-")</f>
        <v>-</v>
      </c>
      <c r="AD516" s="70" t="str">
        <f t="shared" ref="AD516" si="506">IF(J516&gt;I516,"依標準圖",MAX(L516:AC516))</f>
        <v>依標準圖</v>
      </c>
    </row>
    <row r="517" spans="1:30">
      <c r="A517" s="106"/>
      <c r="B517" s="107"/>
      <c r="C517" s="108"/>
      <c r="D517" s="107"/>
      <c r="E517" s="109"/>
      <c r="F517" s="110"/>
      <c r="G517" s="107"/>
      <c r="H517" s="109"/>
      <c r="I517" s="111"/>
      <c r="J517" s="73">
        <v>11</v>
      </c>
      <c r="K517" s="40" t="s">
        <v>29</v>
      </c>
      <c r="L517" s="70" t="str">
        <f>IF($J517=L$3,IF(L$3&gt;$I516,"-",ROUNDUP(Ld_cal($B516, $C516, $D516, $G516,$E516, $F516, $H516, L$3)*1.3,0)),"-")</f>
        <v>-</v>
      </c>
      <c r="M517" s="70" t="str">
        <f>IF($J517=M$3,IF(M$3&gt;$I516,"-",ROUNDUP(Ld_cal($B516, $C516, $D516, $G516,$E516, $F516, $H516, M$3)*1.3,0)),"-")</f>
        <v>-</v>
      </c>
      <c r="N517" s="70" t="str">
        <f>IF($J517=N$3,IF(N$3&gt;$I516,"-",ROUNDUP(Ld_cal($B516, $C516, $D516, $G516,$E516, $F516, $H516, N$3)*1.3,0)),"-")</f>
        <v>-</v>
      </c>
      <c r="O517" s="70" t="str">
        <f>IF($J517=O$3,IF(O$3&gt;$I516,"-",ROUNDUP(Ld_cal($B516, $C516, $D516, $G516,$E516, $F516, $H516, O$3)*1.3,0)),"-")</f>
        <v>-</v>
      </c>
      <c r="P517" s="70" t="str">
        <f>IF($J517=P$3,IF(P$3&gt;$I516,"-",ROUNDUP(Ld_cal($B516, $C516, $D516, $G516,$E516, $F516, $H516, P$3)*1.3,0)),"-")</f>
        <v>-</v>
      </c>
      <c r="Q517" s="70" t="str">
        <f>IF($J517=Q$3,IF(Q$3&gt;$I516,"-",ROUNDUP(Ld_cal($B516, $C516, $D516, $G516,$E516, $F516, $H516, Q$3)*1.3,0)),"-")</f>
        <v>-</v>
      </c>
      <c r="R517" s="70" t="str">
        <f>IF($J517=R$3,IF(R$3&gt;$I516,"-",ROUNDUP(Ld_cal($B516, $C516, $D516, $G516,$E516, $F516, $H516, R$3)*1.3,0)),"-")</f>
        <v>-</v>
      </c>
      <c r="S517" s="70" t="str">
        <f>IF($J517=S$3,IF(S$3&gt;$I516,"-",ROUNDUP(Ld_cal($B516, $C516, $D516, $G516,$E516, $F516, $H516, S$3)*1.3,0)),"-")</f>
        <v>-</v>
      </c>
      <c r="T517" s="70" t="str">
        <f>IF($J517=T$3,IF(T$3&gt;$I516,"-",ROUNDUP(Ld_cal($B516, $C516, $D516, $G516,$E516, $F516, $H516, T$3)*1.3,0)),"-")</f>
        <v>-</v>
      </c>
      <c r="U517" s="70" t="str">
        <f>IF($J517=U$3,IF(U$3&gt;$I516,"-",ROUNDUP(Ld_cal($B516, $C516, $D516, $G516,$E516, $F516, $H516, U$3)*1.3,0)),"-")</f>
        <v>-</v>
      </c>
      <c r="V517" s="70" t="str">
        <f>IF($J517=V$3,IF(V$3&gt;$I516,"-",ROUNDUP(Ld_cal($B516, $C516, $D516, $G516,$E516, $F516, $H516, V$3)*1.3,0)),"-")</f>
        <v>-</v>
      </c>
      <c r="W517" s="70" t="str">
        <f>IF($J517=W$3,IF(W$3&gt;$I516,"-",ROUNDUP(Ld_cal($B516, $C516, $D516, $G516,$E516, $F516, $H516, W$3)*1.3,0)),"-")</f>
        <v>-</v>
      </c>
      <c r="X517" s="70" t="str">
        <f>IF($J517=X$3,IF(X$3&gt;$I516,"-",ROUNDUP(Ld_cal($B516, $C516, $D516, $G516,$E516, $F516, $H516, X$3)*1.3,0)),"-")</f>
        <v>-</v>
      </c>
      <c r="Y517" s="70" t="str">
        <f>IF($J517=Y$3,IF(Y$3&gt;$I516,"-",ROUNDUP(Ld_cal($B516, $C516, $D516, $G516,$E516, $F516, $H516, Y$3)*1.3,0)),"-")</f>
        <v>-</v>
      </c>
      <c r="Z517" s="70" t="str">
        <f>IF($J517=Z$3,IF(Z$3&gt;$I516,"-",ROUNDUP(Ld_cal($B516, $C516, $D516, $G516,$E516, $F516, $H516, Z$3)*1.3,0)),"-")</f>
        <v>-</v>
      </c>
      <c r="AA517" s="70" t="str">
        <f>IF($J517=AA$3,IF(AA$3&gt;$I516,"-",ROUNDUP(Ld_cal($B516, $C516, $D516, $G516,$E516, $F516, $H516, AA$3)*1.3,0)),"-")</f>
        <v>-</v>
      </c>
      <c r="AB517" s="70" t="str">
        <f>IF($J517=AB$3,IF(AB$3&gt;$I516,"-",ROUNDUP(Ld_cal($B516, $C516, $D516, $G516,$E516, $F516, $H516, AB$3)*1.3,0)),"-")</f>
        <v>-</v>
      </c>
      <c r="AC517" s="70" t="str">
        <f>IF($J517=AC$3,IF(AC$3&gt;$I516,"-",ROUNDUP(Ld_cal($B516, $C516, $D516, $G516,$E516, $F516, $H516, AC$3)*1.3,0)),"-")</f>
        <v>-</v>
      </c>
      <c r="AD517" s="70" t="str">
        <f t="shared" ref="AD517" si="507">IF(J517&gt;I516,"依標準圖",MAX(L517:AC517))</f>
        <v>依標準圖</v>
      </c>
    </row>
    <row r="518" spans="1:30">
      <c r="A518" s="125" t="s">
        <v>300</v>
      </c>
      <c r="B518" s="127">
        <v>80</v>
      </c>
      <c r="C518" s="128">
        <v>7.5</v>
      </c>
      <c r="D518" s="127">
        <v>4200</v>
      </c>
      <c r="E518" s="129">
        <v>13</v>
      </c>
      <c r="F518" s="130">
        <v>20</v>
      </c>
      <c r="G518" s="127">
        <v>350</v>
      </c>
      <c r="H518" s="129">
        <v>32</v>
      </c>
      <c r="I518" s="131">
        <f>ROUNDDOWN(($B518-2*$C518-2*$E518/10-$H518/10)/(($D$1+1)*$H518/10),0)+1</f>
        <v>10</v>
      </c>
      <c r="J518" s="75">
        <v>6</v>
      </c>
      <c r="K518" s="76" t="s">
        <v>30</v>
      </c>
      <c r="L518" s="77" t="str">
        <f>IF($J518=L$3,IF(L$3&gt;$I518,"-",ROUNDUP(Ld_cal($B518, $C518, $D518, $G518,$E518, $F518, $H518, L$3)*1.3*1.3,0)),"-")</f>
        <v>-</v>
      </c>
      <c r="M518" s="77" t="str">
        <f>IF($J518=M$3,IF(M$3&gt;$I518,"-",ROUNDUP(Ld_cal($B518, $C518, $D518, $G518,$E518, $F518, $H518, M$3)*1.3*1.3,0)),"-")</f>
        <v>-</v>
      </c>
      <c r="N518" s="77" t="str">
        <f>IF($J518=N$3,IF(N$3&gt;$I518,"-",ROUNDUP(Ld_cal($B518, $C518, $D518, $G518,$E518, $F518, $H518, N$3)*1.3*1.3,0)),"-")</f>
        <v>-</v>
      </c>
      <c r="O518" s="77">
        <f>IF($J518=O$3,IF(O$3&gt;$I518,"-",ROUNDUP(Ld_cal($B518, $C518, $D518, $G518,$E518, $F518, $H518, O$3)*1.3*1.3,0)),"-")</f>
        <v>160</v>
      </c>
      <c r="P518" s="77" t="str">
        <f>IF($J518=P$3,IF(P$3&gt;$I518,"-",ROUNDUP(Ld_cal($B518, $C518, $D518, $G518,$E518, $F518, $H518, P$3)*1.3*1.3,0)),"-")</f>
        <v>-</v>
      </c>
      <c r="Q518" s="77" t="str">
        <f>IF($J518=Q$3,IF(Q$3&gt;$I518,"-",ROUNDUP(Ld_cal($B518, $C518, $D518, $G518,$E518, $F518, $H518, Q$3)*1.3*1.3,0)),"-")</f>
        <v>-</v>
      </c>
      <c r="R518" s="77" t="str">
        <f>IF($J518=R$3,IF(R$3&gt;$I518,"-",ROUNDUP(Ld_cal($B518, $C518, $D518, $G518,$E518, $F518, $H518, R$3)*1.3*1.3,0)),"-")</f>
        <v>-</v>
      </c>
      <c r="S518" s="77" t="str">
        <f>IF($J518=S$3,IF(S$3&gt;$I518,"-",ROUNDUP(Ld_cal($B518, $C518, $D518, $G518,$E518, $F518, $H518, S$3)*1.3*1.3,0)),"-")</f>
        <v>-</v>
      </c>
      <c r="T518" s="77" t="str">
        <f>IF($J518=T$3,IF(T$3&gt;$I518,"-",ROUNDUP(Ld_cal($B518, $C518, $D518, $G518,$E518, $F518, $H518, T$3)*1.3*1.3,0)),"-")</f>
        <v>-</v>
      </c>
      <c r="U518" s="77" t="str">
        <f>IF($J518=U$3,IF(U$3&gt;$I518,"-",ROUNDUP(Ld_cal($B518, $C518, $D518, $G518,$E518, $F518, $H518, U$3)*1.3*1.3,0)),"-")</f>
        <v>-</v>
      </c>
      <c r="V518" s="77" t="str">
        <f>IF($J518=V$3,IF(V$3&gt;$I518,"-",ROUNDUP(Ld_cal($B518, $C518, $D518, $G518,$E518, $F518, $H518, V$3)*1.3*1.3,0)),"-")</f>
        <v>-</v>
      </c>
      <c r="W518" s="77" t="str">
        <f>IF($J518=W$3,IF(W$3&gt;$I518,"-",ROUNDUP(Ld_cal($B518, $C518, $D518, $G518,$E518, $F518, $H518, W$3)*1.3*1.3,0)),"-")</f>
        <v>-</v>
      </c>
      <c r="X518" s="77" t="str">
        <f>IF($J518=X$3,IF(X$3&gt;$I518,"-",ROUNDUP(Ld_cal($B518, $C518, $D518, $G518,$E518, $F518, $H518, X$3)*1.3*1.3,0)),"-")</f>
        <v>-</v>
      </c>
      <c r="Y518" s="77" t="str">
        <f>IF($J518=Y$3,IF(Y$3&gt;$I518,"-",ROUNDUP(Ld_cal($B518, $C518, $D518, $G518,$E518, $F518, $H518, Y$3)*1.3*1.3,0)),"-")</f>
        <v>-</v>
      </c>
      <c r="Z518" s="77" t="str">
        <f>IF($J518=Z$3,IF(Z$3&gt;$I518,"-",ROUNDUP(Ld_cal($B518, $C518, $D518, $G518,$E518, $F518, $H518, Z$3)*1.3*1.3,0)),"-")</f>
        <v>-</v>
      </c>
      <c r="AA518" s="77" t="str">
        <f>IF($J518=AA$3,IF(AA$3&gt;$I518,"-",ROUNDUP(Ld_cal($B518, $C518, $D518, $G518,$E518, $F518, $H518, AA$3)*1.3*1.3,0)),"-")</f>
        <v>-</v>
      </c>
      <c r="AB518" s="77" t="str">
        <f>IF($J518=AB$3,IF(AB$3&gt;$I518,"-",ROUNDUP(Ld_cal($B518, $C518, $D518, $G518,$E518, $F518, $H518, AB$3)*1.3*1.3,0)),"-")</f>
        <v>-</v>
      </c>
      <c r="AC518" s="77" t="str">
        <f>IF($J518=AC$3,IF(AC$3&gt;$I518,"-",ROUNDUP(Ld_cal($B518, $C518, $D518, $G518,$E518, $F518, $H518, AC$3)*1.3*1.3,0)),"-")</f>
        <v>-</v>
      </c>
      <c r="AD518" s="77">
        <f t="shared" ref="AD518" si="508">IF(J518&gt;I518,"依標準圖",MAX(L518:AC518))</f>
        <v>160</v>
      </c>
    </row>
    <row r="519" spans="1:30">
      <c r="A519" s="126"/>
      <c r="B519" s="127"/>
      <c r="C519" s="128"/>
      <c r="D519" s="127"/>
      <c r="E519" s="129"/>
      <c r="F519" s="130"/>
      <c r="G519" s="127"/>
      <c r="H519" s="129"/>
      <c r="I519" s="131"/>
      <c r="J519" s="75">
        <v>7</v>
      </c>
      <c r="K519" s="76" t="s">
        <v>29</v>
      </c>
      <c r="L519" s="77" t="str">
        <f>IF($J519=L$3,IF(L$3&gt;$I518,"-",ROUNDUP(Ld_cal($B518, $C518, $D518, $G518,$E518, $F518, $H518, L$3)*1.3,0)),"-")</f>
        <v>-</v>
      </c>
      <c r="M519" s="77" t="str">
        <f>IF($J519=M$3,IF(M$3&gt;$I518,"-",ROUNDUP(Ld_cal($B518, $C518, $D518, $G518,$E518, $F518, $H518, M$3)*1.3,0)),"-")</f>
        <v>-</v>
      </c>
      <c r="N519" s="77" t="str">
        <f>IF($J519=N$3,IF(N$3&gt;$I518,"-",ROUNDUP(Ld_cal($B518, $C518, $D518, $G518,$E518, $F518, $H518, N$3)*1.3,0)),"-")</f>
        <v>-</v>
      </c>
      <c r="O519" s="77" t="str">
        <f>IF($J519=O$3,IF(O$3&gt;$I518,"-",ROUNDUP(Ld_cal($B518, $C518, $D518, $G518,$E518, $F518, $H518, O$3)*1.3,0)),"-")</f>
        <v>-</v>
      </c>
      <c r="P519" s="77">
        <f>IF($J519=P$3,IF(P$3&gt;$I518,"-",ROUNDUP(Ld_cal($B518, $C518, $D518, $G518,$E518, $F518, $H518, P$3)*1.3,0)),"-")</f>
        <v>148</v>
      </c>
      <c r="Q519" s="77" t="str">
        <f>IF($J519=Q$3,IF(Q$3&gt;$I518,"-",ROUNDUP(Ld_cal($B518, $C518, $D518, $G518,$E518, $F518, $H518, Q$3)*1.3,0)),"-")</f>
        <v>-</v>
      </c>
      <c r="R519" s="77" t="str">
        <f>IF($J519=R$3,IF(R$3&gt;$I518,"-",ROUNDUP(Ld_cal($B518, $C518, $D518, $G518,$E518, $F518, $H518, R$3)*1.3,0)),"-")</f>
        <v>-</v>
      </c>
      <c r="S519" s="77" t="str">
        <f>IF($J519=S$3,IF(S$3&gt;$I518,"-",ROUNDUP(Ld_cal($B518, $C518, $D518, $G518,$E518, $F518, $H518, S$3)*1.3,0)),"-")</f>
        <v>-</v>
      </c>
      <c r="T519" s="77" t="str">
        <f>IF($J519=T$3,IF(T$3&gt;$I518,"-",ROUNDUP(Ld_cal($B518, $C518, $D518, $G518,$E518, $F518, $H518, T$3)*1.3,0)),"-")</f>
        <v>-</v>
      </c>
      <c r="U519" s="77" t="str">
        <f>IF($J519=U$3,IF(U$3&gt;$I518,"-",ROUNDUP(Ld_cal($B518, $C518, $D518, $G518,$E518, $F518, $H518, U$3)*1.3,0)),"-")</f>
        <v>-</v>
      </c>
      <c r="V519" s="77" t="str">
        <f>IF($J519=V$3,IF(V$3&gt;$I518,"-",ROUNDUP(Ld_cal($B518, $C518, $D518, $G518,$E518, $F518, $H518, V$3)*1.3,0)),"-")</f>
        <v>-</v>
      </c>
      <c r="W519" s="77" t="str">
        <f>IF($J519=W$3,IF(W$3&gt;$I518,"-",ROUNDUP(Ld_cal($B518, $C518, $D518, $G518,$E518, $F518, $H518, W$3)*1.3,0)),"-")</f>
        <v>-</v>
      </c>
      <c r="X519" s="77" t="str">
        <f>IF($J519=X$3,IF(X$3&gt;$I518,"-",ROUNDUP(Ld_cal($B518, $C518, $D518, $G518,$E518, $F518, $H518, X$3)*1.3,0)),"-")</f>
        <v>-</v>
      </c>
      <c r="Y519" s="77" t="str">
        <f>IF($J519=Y$3,IF(Y$3&gt;$I518,"-",ROUNDUP(Ld_cal($B518, $C518, $D518, $G518,$E518, $F518, $H518, Y$3)*1.3,0)),"-")</f>
        <v>-</v>
      </c>
      <c r="Z519" s="77" t="str">
        <f>IF($J519=Z$3,IF(Z$3&gt;$I518,"-",ROUNDUP(Ld_cal($B518, $C518, $D518, $G518,$E518, $F518, $H518, Z$3)*1.3,0)),"-")</f>
        <v>-</v>
      </c>
      <c r="AA519" s="77" t="str">
        <f>IF($J519=AA$3,IF(AA$3&gt;$I518,"-",ROUNDUP(Ld_cal($B518, $C518, $D518, $G518,$E518, $F518, $H518, AA$3)*1.3,0)),"-")</f>
        <v>-</v>
      </c>
      <c r="AB519" s="77" t="str">
        <f>IF($J519=AB$3,IF(AB$3&gt;$I518,"-",ROUNDUP(Ld_cal($B518, $C518, $D518, $G518,$E518, $F518, $H518, AB$3)*1.3,0)),"-")</f>
        <v>-</v>
      </c>
      <c r="AC519" s="77" t="str">
        <f>IF($J519=AC$3,IF(AC$3&gt;$I518,"-",ROUNDUP(Ld_cal($B518, $C518, $D518, $G518,$E518, $F518, $H518, AC$3)*1.3,0)),"-")</f>
        <v>-</v>
      </c>
      <c r="AD519" s="77">
        <f t="shared" ref="AD519" si="509">IF(J519&gt;I518,"依標準圖",MAX(L519:AC519))</f>
        <v>148</v>
      </c>
    </row>
    <row r="520" spans="1:30">
      <c r="A520" s="105" t="s">
        <v>301</v>
      </c>
      <c r="B520" s="107">
        <v>80</v>
      </c>
      <c r="C520" s="108">
        <v>7.5</v>
      </c>
      <c r="D520" s="107">
        <v>4200</v>
      </c>
      <c r="E520" s="109">
        <v>13</v>
      </c>
      <c r="F520" s="110">
        <v>25</v>
      </c>
      <c r="G520" s="107">
        <v>350</v>
      </c>
      <c r="H520" s="109">
        <v>32</v>
      </c>
      <c r="I520" s="111">
        <f>ROUNDDOWN(($B520-2*$C520-2*$E520/10-$H520/10)/(($D$1+1)*$H520/10),0)+1</f>
        <v>10</v>
      </c>
      <c r="J520" s="73">
        <v>8</v>
      </c>
      <c r="K520" s="40" t="s">
        <v>30</v>
      </c>
      <c r="L520" s="70" t="str">
        <f>IF($J520=L$3,IF(L$3&gt;$I520,"-",ROUNDUP(Ld_cal($B520, $C520, $D520, $G520,$E520, $F520, $H520, L$3)*1.3*1.3,0)),"-")</f>
        <v>-</v>
      </c>
      <c r="M520" s="70" t="str">
        <f>IF($J520=M$3,IF(M$3&gt;$I520,"-",ROUNDUP(Ld_cal($B520, $C520, $D520, $G520,$E520, $F520, $H520, M$3)*1.3*1.3,0)),"-")</f>
        <v>-</v>
      </c>
      <c r="N520" s="70" t="str">
        <f>IF($J520=N$3,IF(N$3&gt;$I520,"-",ROUNDUP(Ld_cal($B520, $C520, $D520, $G520,$E520, $F520, $H520, N$3)*1.3*1.3,0)),"-")</f>
        <v>-</v>
      </c>
      <c r="O520" s="70" t="str">
        <f>IF($J520=O$3,IF(O$3&gt;$I520,"-",ROUNDUP(Ld_cal($B520, $C520, $D520, $G520,$E520, $F520, $H520, O$3)*1.3*1.3,0)),"-")</f>
        <v>-</v>
      </c>
      <c r="P520" s="70" t="str">
        <f>IF($J520=P$3,IF(P$3&gt;$I520,"-",ROUNDUP(Ld_cal($B520, $C520, $D520, $G520,$E520, $F520, $H520, P$3)*1.3*1.3,0)),"-")</f>
        <v>-</v>
      </c>
      <c r="Q520" s="70">
        <f>IF($J520=Q$3,IF(Q$3&gt;$I520,"-",ROUNDUP(Ld_cal($B520, $C520, $D520, $G520,$E520, $F520, $H520, Q$3)*1.3*1.3,0)),"-")</f>
        <v>229</v>
      </c>
      <c r="R520" s="70" t="str">
        <f>IF($J520=R$3,IF(R$3&gt;$I520,"-",ROUNDUP(Ld_cal($B520, $C520, $D520, $G520,$E520, $F520, $H520, R$3)*1.3*1.3,0)),"-")</f>
        <v>-</v>
      </c>
      <c r="S520" s="70" t="str">
        <f>IF($J520=S$3,IF(S$3&gt;$I520,"-",ROUNDUP(Ld_cal($B520, $C520, $D520, $G520,$E520, $F520, $H520, S$3)*1.3*1.3,0)),"-")</f>
        <v>-</v>
      </c>
      <c r="T520" s="70" t="str">
        <f>IF($J520=T$3,IF(T$3&gt;$I520,"-",ROUNDUP(Ld_cal($B520, $C520, $D520, $G520,$E520, $F520, $H520, T$3)*1.3*1.3,0)),"-")</f>
        <v>-</v>
      </c>
      <c r="U520" s="70" t="str">
        <f>IF($J520=U$3,IF(U$3&gt;$I520,"-",ROUNDUP(Ld_cal($B520, $C520, $D520, $G520,$E520, $F520, $H520, U$3)*1.3*1.3,0)),"-")</f>
        <v>-</v>
      </c>
      <c r="V520" s="70" t="str">
        <f>IF($J520=V$3,IF(V$3&gt;$I520,"-",ROUNDUP(Ld_cal($B520, $C520, $D520, $G520,$E520, $F520, $H520, V$3)*1.3*1.3,0)),"-")</f>
        <v>-</v>
      </c>
      <c r="W520" s="70" t="str">
        <f>IF($J520=W$3,IF(W$3&gt;$I520,"-",ROUNDUP(Ld_cal($B520, $C520, $D520, $G520,$E520, $F520, $H520, W$3)*1.3*1.3,0)),"-")</f>
        <v>-</v>
      </c>
      <c r="X520" s="70" t="str">
        <f>IF($J520=X$3,IF(X$3&gt;$I520,"-",ROUNDUP(Ld_cal($B520, $C520, $D520, $G520,$E520, $F520, $H520, X$3)*1.3*1.3,0)),"-")</f>
        <v>-</v>
      </c>
      <c r="Y520" s="70" t="str">
        <f>IF($J520=Y$3,IF(Y$3&gt;$I520,"-",ROUNDUP(Ld_cal($B520, $C520, $D520, $G520,$E520, $F520, $H520, Y$3)*1.3*1.3,0)),"-")</f>
        <v>-</v>
      </c>
      <c r="Z520" s="70" t="str">
        <f>IF($J520=Z$3,IF(Z$3&gt;$I520,"-",ROUNDUP(Ld_cal($B520, $C520, $D520, $G520,$E520, $F520, $H520, Z$3)*1.3*1.3,0)),"-")</f>
        <v>-</v>
      </c>
      <c r="AA520" s="70" t="str">
        <f>IF($J520=AA$3,IF(AA$3&gt;$I520,"-",ROUNDUP(Ld_cal($B520, $C520, $D520, $G520,$E520, $F520, $H520, AA$3)*1.3*1.3,0)),"-")</f>
        <v>-</v>
      </c>
      <c r="AB520" s="70" t="str">
        <f>IF($J520=AB$3,IF(AB$3&gt;$I520,"-",ROUNDUP(Ld_cal($B520, $C520, $D520, $G520,$E520, $F520, $H520, AB$3)*1.3*1.3,0)),"-")</f>
        <v>-</v>
      </c>
      <c r="AC520" s="70" t="str">
        <f>IF($J520=AC$3,IF(AC$3&gt;$I520,"-",ROUNDUP(Ld_cal($B520, $C520, $D520, $G520,$E520, $F520, $H520, AC$3)*1.3*1.3,0)),"-")</f>
        <v>-</v>
      </c>
      <c r="AD520" s="70">
        <f t="shared" ref="AD520" si="510">IF(J520&gt;I520,"依標準圖",MAX(L520:AC520))</f>
        <v>229</v>
      </c>
    </row>
    <row r="521" spans="1:30">
      <c r="A521" s="106"/>
      <c r="B521" s="107"/>
      <c r="C521" s="108"/>
      <c r="D521" s="107"/>
      <c r="E521" s="109"/>
      <c r="F521" s="110"/>
      <c r="G521" s="107"/>
      <c r="H521" s="109"/>
      <c r="I521" s="111"/>
      <c r="J521" s="73">
        <v>5</v>
      </c>
      <c r="K521" s="40" t="s">
        <v>29</v>
      </c>
      <c r="L521" s="70" t="str">
        <f>IF($J521=L$3,IF(L$3&gt;$I520,"-",ROUNDUP(Ld_cal($B520, $C520, $D520, $G520,$E520, $F520, $H520, L$3)*1.3,0)),"-")</f>
        <v>-</v>
      </c>
      <c r="M521" s="70" t="str">
        <f>IF($J521=M$3,IF(M$3&gt;$I520,"-",ROUNDUP(Ld_cal($B520, $C520, $D520, $G520,$E520, $F520, $H520, M$3)*1.3,0)),"-")</f>
        <v>-</v>
      </c>
      <c r="N521" s="70">
        <f>IF($J521=N$3,IF(N$3&gt;$I520,"-",ROUNDUP(Ld_cal($B520, $C520, $D520, $G520,$E520, $F520, $H520, N$3)*1.3,0)),"-")</f>
        <v>105</v>
      </c>
      <c r="O521" s="70" t="str">
        <f>IF($J521=O$3,IF(O$3&gt;$I520,"-",ROUNDUP(Ld_cal($B520, $C520, $D520, $G520,$E520, $F520, $H520, O$3)*1.3,0)),"-")</f>
        <v>-</v>
      </c>
      <c r="P521" s="70" t="str">
        <f>IF($J521=P$3,IF(P$3&gt;$I520,"-",ROUNDUP(Ld_cal($B520, $C520, $D520, $G520,$E520, $F520, $H520, P$3)*1.3,0)),"-")</f>
        <v>-</v>
      </c>
      <c r="Q521" s="70" t="str">
        <f>IF($J521=Q$3,IF(Q$3&gt;$I520,"-",ROUNDUP(Ld_cal($B520, $C520, $D520, $G520,$E520, $F520, $H520, Q$3)*1.3,0)),"-")</f>
        <v>-</v>
      </c>
      <c r="R521" s="70" t="str">
        <f>IF($J521=R$3,IF(R$3&gt;$I520,"-",ROUNDUP(Ld_cal($B520, $C520, $D520, $G520,$E520, $F520, $H520, R$3)*1.3,0)),"-")</f>
        <v>-</v>
      </c>
      <c r="S521" s="70" t="str">
        <f>IF($J521=S$3,IF(S$3&gt;$I520,"-",ROUNDUP(Ld_cal($B520, $C520, $D520, $G520,$E520, $F520, $H520, S$3)*1.3,0)),"-")</f>
        <v>-</v>
      </c>
      <c r="T521" s="70" t="str">
        <f>IF($J521=T$3,IF(T$3&gt;$I520,"-",ROUNDUP(Ld_cal($B520, $C520, $D520, $G520,$E520, $F520, $H520, T$3)*1.3,0)),"-")</f>
        <v>-</v>
      </c>
      <c r="U521" s="70" t="str">
        <f>IF($J521=U$3,IF(U$3&gt;$I520,"-",ROUNDUP(Ld_cal($B520, $C520, $D520, $G520,$E520, $F520, $H520, U$3)*1.3,0)),"-")</f>
        <v>-</v>
      </c>
      <c r="V521" s="70" t="str">
        <f>IF($J521=V$3,IF(V$3&gt;$I520,"-",ROUNDUP(Ld_cal($B520, $C520, $D520, $G520,$E520, $F520, $H520, V$3)*1.3,0)),"-")</f>
        <v>-</v>
      </c>
      <c r="W521" s="70" t="str">
        <f>IF($J521=W$3,IF(W$3&gt;$I520,"-",ROUNDUP(Ld_cal($B520, $C520, $D520, $G520,$E520, $F520, $H520, W$3)*1.3,0)),"-")</f>
        <v>-</v>
      </c>
      <c r="X521" s="70" t="str">
        <f>IF($J521=X$3,IF(X$3&gt;$I520,"-",ROUNDUP(Ld_cal($B520, $C520, $D520, $G520,$E520, $F520, $H520, X$3)*1.3,0)),"-")</f>
        <v>-</v>
      </c>
      <c r="Y521" s="70" t="str">
        <f>IF($J521=Y$3,IF(Y$3&gt;$I520,"-",ROUNDUP(Ld_cal($B520, $C520, $D520, $G520,$E520, $F520, $H520, Y$3)*1.3,0)),"-")</f>
        <v>-</v>
      </c>
      <c r="Z521" s="70" t="str">
        <f>IF($J521=Z$3,IF(Z$3&gt;$I520,"-",ROUNDUP(Ld_cal($B520, $C520, $D520, $G520,$E520, $F520, $H520, Z$3)*1.3,0)),"-")</f>
        <v>-</v>
      </c>
      <c r="AA521" s="70" t="str">
        <f>IF($J521=AA$3,IF(AA$3&gt;$I520,"-",ROUNDUP(Ld_cal($B520, $C520, $D520, $G520,$E520, $F520, $H520, AA$3)*1.3,0)),"-")</f>
        <v>-</v>
      </c>
      <c r="AB521" s="70" t="str">
        <f>IF($J521=AB$3,IF(AB$3&gt;$I520,"-",ROUNDUP(Ld_cal($B520, $C520, $D520, $G520,$E520, $F520, $H520, AB$3)*1.3,0)),"-")</f>
        <v>-</v>
      </c>
      <c r="AC521" s="70" t="str">
        <f>IF($J521=AC$3,IF(AC$3&gt;$I520,"-",ROUNDUP(Ld_cal($B520, $C520, $D520, $G520,$E520, $F520, $H520, AC$3)*1.3,0)),"-")</f>
        <v>-</v>
      </c>
      <c r="AD521" s="70">
        <f t="shared" ref="AD521" si="511">IF(J521&gt;I520,"依標準圖",MAX(L521:AC521))</f>
        <v>105</v>
      </c>
    </row>
    <row r="522" spans="1:30">
      <c r="A522" s="125" t="s">
        <v>302</v>
      </c>
      <c r="B522" s="127">
        <v>80</v>
      </c>
      <c r="C522" s="128">
        <v>7.5</v>
      </c>
      <c r="D522" s="127">
        <v>4200</v>
      </c>
      <c r="E522" s="129">
        <v>13</v>
      </c>
      <c r="F522" s="130">
        <v>18</v>
      </c>
      <c r="G522" s="127">
        <v>350</v>
      </c>
      <c r="H522" s="129">
        <v>32</v>
      </c>
      <c r="I522" s="131">
        <f>ROUNDDOWN(($B522-2*$C522-2*$E522/10-$H522/10)/(($D$1+1)*$H522/10),0)+1</f>
        <v>10</v>
      </c>
      <c r="J522" s="75">
        <v>4</v>
      </c>
      <c r="K522" s="76" t="s">
        <v>30</v>
      </c>
      <c r="L522" s="77" t="str">
        <f>IF($J522=L$3,IF(L$3&gt;$I522,"-",ROUNDUP(Ld_cal($B522, $C522, $D522, $G522,$E522, $F522, $H522, L$3)*1.3*1.3,0)),"-")</f>
        <v>-</v>
      </c>
      <c r="M522" s="77">
        <f>IF($J522=M$3,IF(M$3&gt;$I522,"-",ROUNDUP(Ld_cal($B522, $C522, $D522, $G522,$E522, $F522, $H522, M$3)*1.3*1.3,0)),"-")</f>
        <v>136</v>
      </c>
      <c r="N522" s="77" t="str">
        <f>IF($J522=N$3,IF(N$3&gt;$I522,"-",ROUNDUP(Ld_cal($B522, $C522, $D522, $G522,$E522, $F522, $H522, N$3)*1.3*1.3,0)),"-")</f>
        <v>-</v>
      </c>
      <c r="O522" s="77" t="str">
        <f>IF($J522=O$3,IF(O$3&gt;$I522,"-",ROUNDUP(Ld_cal($B522, $C522, $D522, $G522,$E522, $F522, $H522, O$3)*1.3*1.3,0)),"-")</f>
        <v>-</v>
      </c>
      <c r="P522" s="77" t="str">
        <f>IF($J522=P$3,IF(P$3&gt;$I522,"-",ROUNDUP(Ld_cal($B522, $C522, $D522, $G522,$E522, $F522, $H522, P$3)*1.3*1.3,0)),"-")</f>
        <v>-</v>
      </c>
      <c r="Q522" s="77" t="str">
        <f>IF($J522=Q$3,IF(Q$3&gt;$I522,"-",ROUNDUP(Ld_cal($B522, $C522, $D522, $G522,$E522, $F522, $H522, Q$3)*1.3*1.3,0)),"-")</f>
        <v>-</v>
      </c>
      <c r="R522" s="77" t="str">
        <f>IF($J522=R$3,IF(R$3&gt;$I522,"-",ROUNDUP(Ld_cal($B522, $C522, $D522, $G522,$E522, $F522, $H522, R$3)*1.3*1.3,0)),"-")</f>
        <v>-</v>
      </c>
      <c r="S522" s="77" t="str">
        <f>IF($J522=S$3,IF(S$3&gt;$I522,"-",ROUNDUP(Ld_cal($B522, $C522, $D522, $G522,$E522, $F522, $H522, S$3)*1.3*1.3,0)),"-")</f>
        <v>-</v>
      </c>
      <c r="T522" s="77" t="str">
        <f>IF($J522=T$3,IF(T$3&gt;$I522,"-",ROUNDUP(Ld_cal($B522, $C522, $D522, $G522,$E522, $F522, $H522, T$3)*1.3*1.3,0)),"-")</f>
        <v>-</v>
      </c>
      <c r="U522" s="77" t="str">
        <f>IF($J522=U$3,IF(U$3&gt;$I522,"-",ROUNDUP(Ld_cal($B522, $C522, $D522, $G522,$E522, $F522, $H522, U$3)*1.3*1.3,0)),"-")</f>
        <v>-</v>
      </c>
      <c r="V522" s="77" t="str">
        <f>IF($J522=V$3,IF(V$3&gt;$I522,"-",ROUNDUP(Ld_cal($B522, $C522, $D522, $G522,$E522, $F522, $H522, V$3)*1.3*1.3,0)),"-")</f>
        <v>-</v>
      </c>
      <c r="W522" s="77" t="str">
        <f>IF($J522=W$3,IF(W$3&gt;$I522,"-",ROUNDUP(Ld_cal($B522, $C522, $D522, $G522,$E522, $F522, $H522, W$3)*1.3*1.3,0)),"-")</f>
        <v>-</v>
      </c>
      <c r="X522" s="77" t="str">
        <f>IF($J522=X$3,IF(X$3&gt;$I522,"-",ROUNDUP(Ld_cal($B522, $C522, $D522, $G522,$E522, $F522, $H522, X$3)*1.3*1.3,0)),"-")</f>
        <v>-</v>
      </c>
      <c r="Y522" s="77" t="str">
        <f>IF($J522=Y$3,IF(Y$3&gt;$I522,"-",ROUNDUP(Ld_cal($B522, $C522, $D522, $G522,$E522, $F522, $H522, Y$3)*1.3*1.3,0)),"-")</f>
        <v>-</v>
      </c>
      <c r="Z522" s="77" t="str">
        <f>IF($J522=Z$3,IF(Z$3&gt;$I522,"-",ROUNDUP(Ld_cal($B522, $C522, $D522, $G522,$E522, $F522, $H522, Z$3)*1.3*1.3,0)),"-")</f>
        <v>-</v>
      </c>
      <c r="AA522" s="77" t="str">
        <f>IF($J522=AA$3,IF(AA$3&gt;$I522,"-",ROUNDUP(Ld_cal($B522, $C522, $D522, $G522,$E522, $F522, $H522, AA$3)*1.3*1.3,0)),"-")</f>
        <v>-</v>
      </c>
      <c r="AB522" s="77" t="str">
        <f>IF($J522=AB$3,IF(AB$3&gt;$I522,"-",ROUNDUP(Ld_cal($B522, $C522, $D522, $G522,$E522, $F522, $H522, AB$3)*1.3*1.3,0)),"-")</f>
        <v>-</v>
      </c>
      <c r="AC522" s="77" t="str">
        <f>IF($J522=AC$3,IF(AC$3&gt;$I522,"-",ROUNDUP(Ld_cal($B522, $C522, $D522, $G522,$E522, $F522, $H522, AC$3)*1.3*1.3,0)),"-")</f>
        <v>-</v>
      </c>
      <c r="AD522" s="77">
        <f t="shared" ref="AD522" si="512">IF(J522&gt;I522,"依標準圖",MAX(L522:AC522))</f>
        <v>136</v>
      </c>
    </row>
    <row r="523" spans="1:30">
      <c r="A523" s="126"/>
      <c r="B523" s="127"/>
      <c r="C523" s="128"/>
      <c r="D523" s="127"/>
      <c r="E523" s="129"/>
      <c r="F523" s="130"/>
      <c r="G523" s="127"/>
      <c r="H523" s="129"/>
      <c r="I523" s="131"/>
      <c r="J523" s="75">
        <v>6</v>
      </c>
      <c r="K523" s="76" t="s">
        <v>29</v>
      </c>
      <c r="L523" s="77" t="str">
        <f>IF($J523=L$3,IF(L$3&gt;$I522,"-",ROUNDUP(Ld_cal($B522, $C522, $D522, $G522,$E522, $F522, $H522, L$3)*1.3,0)),"-")</f>
        <v>-</v>
      </c>
      <c r="M523" s="77" t="str">
        <f>IF($J523=M$3,IF(M$3&gt;$I522,"-",ROUNDUP(Ld_cal($B522, $C522, $D522, $G522,$E522, $F522, $H522, M$3)*1.3,0)),"-")</f>
        <v>-</v>
      </c>
      <c r="N523" s="77" t="str">
        <f>IF($J523=N$3,IF(N$3&gt;$I522,"-",ROUNDUP(Ld_cal($B522, $C522, $D522, $G522,$E522, $F522, $H522, N$3)*1.3,0)),"-")</f>
        <v>-</v>
      </c>
      <c r="O523" s="77">
        <f>IF($J523=O$3,IF(O$3&gt;$I522,"-",ROUNDUP(Ld_cal($B522, $C522, $D522, $G522,$E522, $F522, $H522, O$3)*1.3,0)),"-")</f>
        <v>122</v>
      </c>
      <c r="P523" s="77" t="str">
        <f>IF($J523=P$3,IF(P$3&gt;$I522,"-",ROUNDUP(Ld_cal($B522, $C522, $D522, $G522,$E522, $F522, $H522, P$3)*1.3,0)),"-")</f>
        <v>-</v>
      </c>
      <c r="Q523" s="77" t="str">
        <f>IF($J523=Q$3,IF(Q$3&gt;$I522,"-",ROUNDUP(Ld_cal($B522, $C522, $D522, $G522,$E522, $F522, $H522, Q$3)*1.3,0)),"-")</f>
        <v>-</v>
      </c>
      <c r="R523" s="77" t="str">
        <f>IF($J523=R$3,IF(R$3&gt;$I522,"-",ROUNDUP(Ld_cal($B522, $C522, $D522, $G522,$E522, $F522, $H522, R$3)*1.3,0)),"-")</f>
        <v>-</v>
      </c>
      <c r="S523" s="77" t="str">
        <f>IF($J523=S$3,IF(S$3&gt;$I522,"-",ROUNDUP(Ld_cal($B522, $C522, $D522, $G522,$E522, $F522, $H522, S$3)*1.3,0)),"-")</f>
        <v>-</v>
      </c>
      <c r="T523" s="77" t="str">
        <f>IF($J523=T$3,IF(T$3&gt;$I522,"-",ROUNDUP(Ld_cal($B522, $C522, $D522, $G522,$E522, $F522, $H522, T$3)*1.3,0)),"-")</f>
        <v>-</v>
      </c>
      <c r="U523" s="77" t="str">
        <f>IF($J523=U$3,IF(U$3&gt;$I522,"-",ROUNDUP(Ld_cal($B522, $C522, $D522, $G522,$E522, $F522, $H522, U$3)*1.3,0)),"-")</f>
        <v>-</v>
      </c>
      <c r="V523" s="77" t="str">
        <f>IF($J523=V$3,IF(V$3&gt;$I522,"-",ROUNDUP(Ld_cal($B522, $C522, $D522, $G522,$E522, $F522, $H522, V$3)*1.3,0)),"-")</f>
        <v>-</v>
      </c>
      <c r="W523" s="77" t="str">
        <f>IF($J523=W$3,IF(W$3&gt;$I522,"-",ROUNDUP(Ld_cal($B522, $C522, $D522, $G522,$E522, $F522, $H522, W$3)*1.3,0)),"-")</f>
        <v>-</v>
      </c>
      <c r="X523" s="77" t="str">
        <f>IF($J523=X$3,IF(X$3&gt;$I522,"-",ROUNDUP(Ld_cal($B522, $C522, $D522, $G522,$E522, $F522, $H522, X$3)*1.3,0)),"-")</f>
        <v>-</v>
      </c>
      <c r="Y523" s="77" t="str">
        <f>IF($J523=Y$3,IF(Y$3&gt;$I522,"-",ROUNDUP(Ld_cal($B522, $C522, $D522, $G522,$E522, $F522, $H522, Y$3)*1.3,0)),"-")</f>
        <v>-</v>
      </c>
      <c r="Z523" s="77" t="str">
        <f>IF($J523=Z$3,IF(Z$3&gt;$I522,"-",ROUNDUP(Ld_cal($B522, $C522, $D522, $G522,$E522, $F522, $H522, Z$3)*1.3,0)),"-")</f>
        <v>-</v>
      </c>
      <c r="AA523" s="77" t="str">
        <f>IF($J523=AA$3,IF(AA$3&gt;$I522,"-",ROUNDUP(Ld_cal($B522, $C522, $D522, $G522,$E522, $F522, $H522, AA$3)*1.3,0)),"-")</f>
        <v>-</v>
      </c>
      <c r="AB523" s="77" t="str">
        <f>IF($J523=AB$3,IF(AB$3&gt;$I522,"-",ROUNDUP(Ld_cal($B522, $C522, $D522, $G522,$E522, $F522, $H522, AB$3)*1.3,0)),"-")</f>
        <v>-</v>
      </c>
      <c r="AC523" s="77" t="str">
        <f>IF($J523=AC$3,IF(AC$3&gt;$I522,"-",ROUNDUP(Ld_cal($B522, $C522, $D522, $G522,$E522, $F522, $H522, AC$3)*1.3,0)),"-")</f>
        <v>-</v>
      </c>
      <c r="AD523" s="77">
        <f t="shared" ref="AD523" si="513">IF(J523&gt;I522,"依標準圖",MAX(L523:AC523))</f>
        <v>122</v>
      </c>
    </row>
    <row r="524" spans="1:30">
      <c r="A524" s="105" t="s">
        <v>303</v>
      </c>
      <c r="B524" s="107">
        <v>80</v>
      </c>
      <c r="C524" s="108">
        <v>7.5</v>
      </c>
      <c r="D524" s="107">
        <v>4200</v>
      </c>
      <c r="E524" s="109">
        <v>13</v>
      </c>
      <c r="F524" s="110">
        <v>12</v>
      </c>
      <c r="G524" s="107">
        <v>350</v>
      </c>
      <c r="H524" s="109">
        <v>32</v>
      </c>
      <c r="I524" s="111">
        <f>ROUNDDOWN(($B524-2*$C524-2*$E524/10-$H524/10)/(($D$1+1)*$H524/10),0)+1</f>
        <v>10</v>
      </c>
      <c r="J524" s="73">
        <v>4</v>
      </c>
      <c r="K524" s="40" t="s">
        <v>30</v>
      </c>
      <c r="L524" s="70" t="str">
        <f>IF($J524=L$3,IF(L$3&gt;$I524,"-",ROUNDUP(Ld_cal($B524, $C524, $D524, $G524,$E524, $F524, $H524, L$3)*1.3*1.3,0)),"-")</f>
        <v>-</v>
      </c>
      <c r="M524" s="70">
        <f>IF($J524=M$3,IF(M$3&gt;$I524,"-",ROUNDUP(Ld_cal($B524, $C524, $D524, $G524,$E524, $F524, $H524, M$3)*1.3*1.3,0)),"-")</f>
        <v>136</v>
      </c>
      <c r="N524" s="70" t="str">
        <f>IF($J524=N$3,IF(N$3&gt;$I524,"-",ROUNDUP(Ld_cal($B524, $C524, $D524, $G524,$E524, $F524, $H524, N$3)*1.3*1.3,0)),"-")</f>
        <v>-</v>
      </c>
      <c r="O524" s="70" t="str">
        <f>IF($J524=O$3,IF(O$3&gt;$I524,"-",ROUNDUP(Ld_cal($B524, $C524, $D524, $G524,$E524, $F524, $H524, O$3)*1.3*1.3,0)),"-")</f>
        <v>-</v>
      </c>
      <c r="P524" s="70" t="str">
        <f>IF($J524=P$3,IF(P$3&gt;$I524,"-",ROUNDUP(Ld_cal($B524, $C524, $D524, $G524,$E524, $F524, $H524, P$3)*1.3*1.3,0)),"-")</f>
        <v>-</v>
      </c>
      <c r="Q524" s="70" t="str">
        <f>IF($J524=Q$3,IF(Q$3&gt;$I524,"-",ROUNDUP(Ld_cal($B524, $C524, $D524, $G524,$E524, $F524, $H524, Q$3)*1.3*1.3,0)),"-")</f>
        <v>-</v>
      </c>
      <c r="R524" s="70" t="str">
        <f>IF($J524=R$3,IF(R$3&gt;$I524,"-",ROUNDUP(Ld_cal($B524, $C524, $D524, $G524,$E524, $F524, $H524, R$3)*1.3*1.3,0)),"-")</f>
        <v>-</v>
      </c>
      <c r="S524" s="70" t="str">
        <f>IF($J524=S$3,IF(S$3&gt;$I524,"-",ROUNDUP(Ld_cal($B524, $C524, $D524, $G524,$E524, $F524, $H524, S$3)*1.3*1.3,0)),"-")</f>
        <v>-</v>
      </c>
      <c r="T524" s="70" t="str">
        <f>IF($J524=T$3,IF(T$3&gt;$I524,"-",ROUNDUP(Ld_cal($B524, $C524, $D524, $G524,$E524, $F524, $H524, T$3)*1.3*1.3,0)),"-")</f>
        <v>-</v>
      </c>
      <c r="U524" s="70" t="str">
        <f>IF($J524=U$3,IF(U$3&gt;$I524,"-",ROUNDUP(Ld_cal($B524, $C524, $D524, $G524,$E524, $F524, $H524, U$3)*1.3*1.3,0)),"-")</f>
        <v>-</v>
      </c>
      <c r="V524" s="70" t="str">
        <f>IF($J524=V$3,IF(V$3&gt;$I524,"-",ROUNDUP(Ld_cal($B524, $C524, $D524, $G524,$E524, $F524, $H524, V$3)*1.3*1.3,0)),"-")</f>
        <v>-</v>
      </c>
      <c r="W524" s="70" t="str">
        <f>IF($J524=W$3,IF(W$3&gt;$I524,"-",ROUNDUP(Ld_cal($B524, $C524, $D524, $G524,$E524, $F524, $H524, W$3)*1.3*1.3,0)),"-")</f>
        <v>-</v>
      </c>
      <c r="X524" s="70" t="str">
        <f>IF($J524=X$3,IF(X$3&gt;$I524,"-",ROUNDUP(Ld_cal($B524, $C524, $D524, $G524,$E524, $F524, $H524, X$3)*1.3*1.3,0)),"-")</f>
        <v>-</v>
      </c>
      <c r="Y524" s="70" t="str">
        <f>IF($J524=Y$3,IF(Y$3&gt;$I524,"-",ROUNDUP(Ld_cal($B524, $C524, $D524, $G524,$E524, $F524, $H524, Y$3)*1.3*1.3,0)),"-")</f>
        <v>-</v>
      </c>
      <c r="Z524" s="70" t="str">
        <f>IF($J524=Z$3,IF(Z$3&gt;$I524,"-",ROUNDUP(Ld_cal($B524, $C524, $D524, $G524,$E524, $F524, $H524, Z$3)*1.3*1.3,0)),"-")</f>
        <v>-</v>
      </c>
      <c r="AA524" s="70" t="str">
        <f>IF($J524=AA$3,IF(AA$3&gt;$I524,"-",ROUNDUP(Ld_cal($B524, $C524, $D524, $G524,$E524, $F524, $H524, AA$3)*1.3*1.3,0)),"-")</f>
        <v>-</v>
      </c>
      <c r="AB524" s="70" t="str">
        <f>IF($J524=AB$3,IF(AB$3&gt;$I524,"-",ROUNDUP(Ld_cal($B524, $C524, $D524, $G524,$E524, $F524, $H524, AB$3)*1.3*1.3,0)),"-")</f>
        <v>-</v>
      </c>
      <c r="AC524" s="70" t="str">
        <f>IF($J524=AC$3,IF(AC$3&gt;$I524,"-",ROUNDUP(Ld_cal($B524, $C524, $D524, $G524,$E524, $F524, $H524, AC$3)*1.3*1.3,0)),"-")</f>
        <v>-</v>
      </c>
      <c r="AD524" s="70">
        <f t="shared" ref="AD524" si="514">IF(J524&gt;I524,"依標準圖",MAX(L524:AC524))</f>
        <v>136</v>
      </c>
    </row>
    <row r="525" spans="1:30">
      <c r="A525" s="106"/>
      <c r="B525" s="107"/>
      <c r="C525" s="108"/>
      <c r="D525" s="107"/>
      <c r="E525" s="109"/>
      <c r="F525" s="110"/>
      <c r="G525" s="107"/>
      <c r="H525" s="109"/>
      <c r="I525" s="111"/>
      <c r="J525" s="73">
        <v>8</v>
      </c>
      <c r="K525" s="40" t="s">
        <v>29</v>
      </c>
      <c r="L525" s="70" t="str">
        <f>IF($J525=L$3,IF(L$3&gt;$I524,"-",ROUNDUP(Ld_cal($B524, $C524, $D524, $G524,$E524, $F524, $H524, L$3)*1.3,0)),"-")</f>
        <v>-</v>
      </c>
      <c r="M525" s="70" t="str">
        <f>IF($J525=M$3,IF(M$3&gt;$I524,"-",ROUNDUP(Ld_cal($B524, $C524, $D524, $G524,$E524, $F524, $H524, M$3)*1.3,0)),"-")</f>
        <v>-</v>
      </c>
      <c r="N525" s="70" t="str">
        <f>IF($J525=N$3,IF(N$3&gt;$I524,"-",ROUNDUP(Ld_cal($B524, $C524, $D524, $G524,$E524, $F524, $H524, N$3)*1.3,0)),"-")</f>
        <v>-</v>
      </c>
      <c r="O525" s="70" t="str">
        <f>IF($J525=O$3,IF(O$3&gt;$I524,"-",ROUNDUP(Ld_cal($B524, $C524, $D524, $G524,$E524, $F524, $H524, O$3)*1.3,0)),"-")</f>
        <v>-</v>
      </c>
      <c r="P525" s="70" t="str">
        <f>IF($J525=P$3,IF(P$3&gt;$I524,"-",ROUNDUP(Ld_cal($B524, $C524, $D524, $G524,$E524, $F524, $H524, P$3)*1.3,0)),"-")</f>
        <v>-</v>
      </c>
      <c r="Q525" s="70">
        <f>IF($J525=Q$3,IF(Q$3&gt;$I524,"-",ROUNDUP(Ld_cal($B524, $C524, $D524, $G524,$E524, $F524, $H524, Q$3)*1.3,0)),"-")</f>
        <v>157</v>
      </c>
      <c r="R525" s="70" t="str">
        <f>IF($J525=R$3,IF(R$3&gt;$I524,"-",ROUNDUP(Ld_cal($B524, $C524, $D524, $G524,$E524, $F524, $H524, R$3)*1.3,0)),"-")</f>
        <v>-</v>
      </c>
      <c r="S525" s="70" t="str">
        <f>IF($J525=S$3,IF(S$3&gt;$I524,"-",ROUNDUP(Ld_cal($B524, $C524, $D524, $G524,$E524, $F524, $H524, S$3)*1.3,0)),"-")</f>
        <v>-</v>
      </c>
      <c r="T525" s="70" t="str">
        <f>IF($J525=T$3,IF(T$3&gt;$I524,"-",ROUNDUP(Ld_cal($B524, $C524, $D524, $G524,$E524, $F524, $H524, T$3)*1.3,0)),"-")</f>
        <v>-</v>
      </c>
      <c r="U525" s="70" t="str">
        <f>IF($J525=U$3,IF(U$3&gt;$I524,"-",ROUNDUP(Ld_cal($B524, $C524, $D524, $G524,$E524, $F524, $H524, U$3)*1.3,0)),"-")</f>
        <v>-</v>
      </c>
      <c r="V525" s="70" t="str">
        <f>IF($J525=V$3,IF(V$3&gt;$I524,"-",ROUNDUP(Ld_cal($B524, $C524, $D524, $G524,$E524, $F524, $H524, V$3)*1.3,0)),"-")</f>
        <v>-</v>
      </c>
      <c r="W525" s="70" t="str">
        <f>IF($J525=W$3,IF(W$3&gt;$I524,"-",ROUNDUP(Ld_cal($B524, $C524, $D524, $G524,$E524, $F524, $H524, W$3)*1.3,0)),"-")</f>
        <v>-</v>
      </c>
      <c r="X525" s="70" t="str">
        <f>IF($J525=X$3,IF(X$3&gt;$I524,"-",ROUNDUP(Ld_cal($B524, $C524, $D524, $G524,$E524, $F524, $H524, X$3)*1.3,0)),"-")</f>
        <v>-</v>
      </c>
      <c r="Y525" s="70" t="str">
        <f>IF($J525=Y$3,IF(Y$3&gt;$I524,"-",ROUNDUP(Ld_cal($B524, $C524, $D524, $G524,$E524, $F524, $H524, Y$3)*1.3,0)),"-")</f>
        <v>-</v>
      </c>
      <c r="Z525" s="70" t="str">
        <f>IF($J525=Z$3,IF(Z$3&gt;$I524,"-",ROUNDUP(Ld_cal($B524, $C524, $D524, $G524,$E524, $F524, $H524, Z$3)*1.3,0)),"-")</f>
        <v>-</v>
      </c>
      <c r="AA525" s="70" t="str">
        <f>IF($J525=AA$3,IF(AA$3&gt;$I524,"-",ROUNDUP(Ld_cal($B524, $C524, $D524, $G524,$E524, $F524, $H524, AA$3)*1.3,0)),"-")</f>
        <v>-</v>
      </c>
      <c r="AB525" s="70" t="str">
        <f>IF($J525=AB$3,IF(AB$3&gt;$I524,"-",ROUNDUP(Ld_cal($B524, $C524, $D524, $G524,$E524, $F524, $H524, AB$3)*1.3,0)),"-")</f>
        <v>-</v>
      </c>
      <c r="AC525" s="70" t="str">
        <f>IF($J525=AC$3,IF(AC$3&gt;$I524,"-",ROUNDUP(Ld_cal($B524, $C524, $D524, $G524,$E524, $F524, $H524, AC$3)*1.3,0)),"-")</f>
        <v>-</v>
      </c>
      <c r="AD525" s="70">
        <f t="shared" ref="AD525" si="515">IF(J525&gt;I524,"依標準圖",MAX(L525:AC525))</f>
        <v>157</v>
      </c>
    </row>
    <row r="526" spans="1:30">
      <c r="A526" s="125" t="s">
        <v>304</v>
      </c>
      <c r="B526" s="127">
        <v>80</v>
      </c>
      <c r="C526" s="128">
        <v>7.5</v>
      </c>
      <c r="D526" s="127">
        <v>4200</v>
      </c>
      <c r="E526" s="129">
        <v>13</v>
      </c>
      <c r="F526" s="130">
        <v>9</v>
      </c>
      <c r="G526" s="127">
        <v>350</v>
      </c>
      <c r="H526" s="129">
        <v>32</v>
      </c>
      <c r="I526" s="131">
        <f>ROUNDDOWN(($B526-2*$C526-2*$E526/10-$H526/10)/(($D$1+1)*$H526/10),0)+1</f>
        <v>10</v>
      </c>
      <c r="J526" s="75">
        <v>11</v>
      </c>
      <c r="K526" s="76" t="s">
        <v>30</v>
      </c>
      <c r="L526" s="77" t="str">
        <f>IF($J526=L$3,IF(L$3&gt;$I526,"-",ROUNDUP(Ld_cal($B526, $C526, $D526, $G526,$E526, $F526, $H526, L$3)*1.3*1.3,0)),"-")</f>
        <v>-</v>
      </c>
      <c r="M526" s="77" t="str">
        <f>IF($J526=M$3,IF(M$3&gt;$I526,"-",ROUNDUP(Ld_cal($B526, $C526, $D526, $G526,$E526, $F526, $H526, M$3)*1.3*1.3,0)),"-")</f>
        <v>-</v>
      </c>
      <c r="N526" s="77" t="str">
        <f>IF($J526=N$3,IF(N$3&gt;$I526,"-",ROUNDUP(Ld_cal($B526, $C526, $D526, $G526,$E526, $F526, $H526, N$3)*1.3*1.3,0)),"-")</f>
        <v>-</v>
      </c>
      <c r="O526" s="77" t="str">
        <f>IF($J526=O$3,IF(O$3&gt;$I526,"-",ROUNDUP(Ld_cal($B526, $C526, $D526, $G526,$E526, $F526, $H526, O$3)*1.3*1.3,0)),"-")</f>
        <v>-</v>
      </c>
      <c r="P526" s="77" t="str">
        <f>IF($J526=P$3,IF(P$3&gt;$I526,"-",ROUNDUP(Ld_cal($B526, $C526, $D526, $G526,$E526, $F526, $H526, P$3)*1.3*1.3,0)),"-")</f>
        <v>-</v>
      </c>
      <c r="Q526" s="77" t="str">
        <f>IF($J526=Q$3,IF(Q$3&gt;$I526,"-",ROUNDUP(Ld_cal($B526, $C526, $D526, $G526,$E526, $F526, $H526, Q$3)*1.3*1.3,0)),"-")</f>
        <v>-</v>
      </c>
      <c r="R526" s="77" t="str">
        <f>IF($J526=R$3,IF(R$3&gt;$I526,"-",ROUNDUP(Ld_cal($B526, $C526, $D526, $G526,$E526, $F526, $H526, R$3)*1.3*1.3,0)),"-")</f>
        <v>-</v>
      </c>
      <c r="S526" s="77" t="str">
        <f>IF($J526=S$3,IF(S$3&gt;$I526,"-",ROUNDUP(Ld_cal($B526, $C526, $D526, $G526,$E526, $F526, $H526, S$3)*1.3*1.3,0)),"-")</f>
        <v>-</v>
      </c>
      <c r="T526" s="77" t="str">
        <f>IF($J526=T$3,IF(T$3&gt;$I526,"-",ROUNDUP(Ld_cal($B526, $C526, $D526, $G526,$E526, $F526, $H526, T$3)*1.3*1.3,0)),"-")</f>
        <v>-</v>
      </c>
      <c r="U526" s="77" t="str">
        <f>IF($J526=U$3,IF(U$3&gt;$I526,"-",ROUNDUP(Ld_cal($B526, $C526, $D526, $G526,$E526, $F526, $H526, U$3)*1.3*1.3,0)),"-")</f>
        <v>-</v>
      </c>
      <c r="V526" s="77" t="str">
        <f>IF($J526=V$3,IF(V$3&gt;$I526,"-",ROUNDUP(Ld_cal($B526, $C526, $D526, $G526,$E526, $F526, $H526, V$3)*1.3*1.3,0)),"-")</f>
        <v>-</v>
      </c>
      <c r="W526" s="77" t="str">
        <f>IF($J526=W$3,IF(W$3&gt;$I526,"-",ROUNDUP(Ld_cal($B526, $C526, $D526, $G526,$E526, $F526, $H526, W$3)*1.3*1.3,0)),"-")</f>
        <v>-</v>
      </c>
      <c r="X526" s="77" t="str">
        <f>IF($J526=X$3,IF(X$3&gt;$I526,"-",ROUNDUP(Ld_cal($B526, $C526, $D526, $G526,$E526, $F526, $H526, X$3)*1.3*1.3,0)),"-")</f>
        <v>-</v>
      </c>
      <c r="Y526" s="77" t="str">
        <f>IF($J526=Y$3,IF(Y$3&gt;$I526,"-",ROUNDUP(Ld_cal($B526, $C526, $D526, $G526,$E526, $F526, $H526, Y$3)*1.3*1.3,0)),"-")</f>
        <v>-</v>
      </c>
      <c r="Z526" s="77" t="str">
        <f>IF($J526=Z$3,IF(Z$3&gt;$I526,"-",ROUNDUP(Ld_cal($B526, $C526, $D526, $G526,$E526, $F526, $H526, Z$3)*1.3*1.3,0)),"-")</f>
        <v>-</v>
      </c>
      <c r="AA526" s="77" t="str">
        <f>IF($J526=AA$3,IF(AA$3&gt;$I526,"-",ROUNDUP(Ld_cal($B526, $C526, $D526, $G526,$E526, $F526, $H526, AA$3)*1.3*1.3,0)),"-")</f>
        <v>-</v>
      </c>
      <c r="AB526" s="77" t="str">
        <f>IF($J526=AB$3,IF(AB$3&gt;$I526,"-",ROUNDUP(Ld_cal($B526, $C526, $D526, $G526,$E526, $F526, $H526, AB$3)*1.3*1.3,0)),"-")</f>
        <v>-</v>
      </c>
      <c r="AC526" s="77" t="str">
        <f>IF($J526=AC$3,IF(AC$3&gt;$I526,"-",ROUNDUP(Ld_cal($B526, $C526, $D526, $G526,$E526, $F526, $H526, AC$3)*1.3*1.3,0)),"-")</f>
        <v>-</v>
      </c>
      <c r="AD526" s="77" t="str">
        <f t="shared" ref="AD526" si="516">IF(J526&gt;I526,"依標準圖",MAX(L526:AC526))</f>
        <v>依標準圖</v>
      </c>
    </row>
    <row r="527" spans="1:30">
      <c r="A527" s="126"/>
      <c r="B527" s="127"/>
      <c r="C527" s="128"/>
      <c r="D527" s="127"/>
      <c r="E527" s="129"/>
      <c r="F527" s="130"/>
      <c r="G527" s="127"/>
      <c r="H527" s="129"/>
      <c r="I527" s="131"/>
      <c r="J527" s="75">
        <v>8</v>
      </c>
      <c r="K527" s="76" t="s">
        <v>29</v>
      </c>
      <c r="L527" s="77" t="str">
        <f>IF($J527=L$3,IF(L$3&gt;$I526,"-",ROUNDUP(Ld_cal($B526, $C526, $D526, $G526,$E526, $F526, $H526, L$3)*1.3,0)),"-")</f>
        <v>-</v>
      </c>
      <c r="M527" s="77" t="str">
        <f>IF($J527=M$3,IF(M$3&gt;$I526,"-",ROUNDUP(Ld_cal($B526, $C526, $D526, $G526,$E526, $F526, $H526, M$3)*1.3,0)),"-")</f>
        <v>-</v>
      </c>
      <c r="N527" s="77" t="str">
        <f>IF($J527=N$3,IF(N$3&gt;$I526,"-",ROUNDUP(Ld_cal($B526, $C526, $D526, $G526,$E526, $F526, $H526, N$3)*1.3,0)),"-")</f>
        <v>-</v>
      </c>
      <c r="O527" s="77" t="str">
        <f>IF($J527=O$3,IF(O$3&gt;$I526,"-",ROUNDUP(Ld_cal($B526, $C526, $D526, $G526,$E526, $F526, $H526, O$3)*1.3,0)),"-")</f>
        <v>-</v>
      </c>
      <c r="P527" s="77" t="str">
        <f>IF($J527=P$3,IF(P$3&gt;$I526,"-",ROUNDUP(Ld_cal($B526, $C526, $D526, $G526,$E526, $F526, $H526, P$3)*1.3,0)),"-")</f>
        <v>-</v>
      </c>
      <c r="Q527" s="77">
        <f>IF($J527=Q$3,IF(Q$3&gt;$I526,"-",ROUNDUP(Ld_cal($B526, $C526, $D526, $G526,$E526, $F526, $H526, Q$3)*1.3,0)),"-")</f>
        <v>147</v>
      </c>
      <c r="R527" s="77" t="str">
        <f>IF($J527=R$3,IF(R$3&gt;$I526,"-",ROUNDUP(Ld_cal($B526, $C526, $D526, $G526,$E526, $F526, $H526, R$3)*1.3,0)),"-")</f>
        <v>-</v>
      </c>
      <c r="S527" s="77" t="str">
        <f>IF($J527=S$3,IF(S$3&gt;$I526,"-",ROUNDUP(Ld_cal($B526, $C526, $D526, $G526,$E526, $F526, $H526, S$3)*1.3,0)),"-")</f>
        <v>-</v>
      </c>
      <c r="T527" s="77" t="str">
        <f>IF($J527=T$3,IF(T$3&gt;$I526,"-",ROUNDUP(Ld_cal($B526, $C526, $D526, $G526,$E526, $F526, $H526, T$3)*1.3,0)),"-")</f>
        <v>-</v>
      </c>
      <c r="U527" s="77" t="str">
        <f>IF($J527=U$3,IF(U$3&gt;$I526,"-",ROUNDUP(Ld_cal($B526, $C526, $D526, $G526,$E526, $F526, $H526, U$3)*1.3,0)),"-")</f>
        <v>-</v>
      </c>
      <c r="V527" s="77" t="str">
        <f>IF($J527=V$3,IF(V$3&gt;$I526,"-",ROUNDUP(Ld_cal($B526, $C526, $D526, $G526,$E526, $F526, $H526, V$3)*1.3,0)),"-")</f>
        <v>-</v>
      </c>
      <c r="W527" s="77" t="str">
        <f>IF($J527=W$3,IF(W$3&gt;$I526,"-",ROUNDUP(Ld_cal($B526, $C526, $D526, $G526,$E526, $F526, $H526, W$3)*1.3,0)),"-")</f>
        <v>-</v>
      </c>
      <c r="X527" s="77" t="str">
        <f>IF($J527=X$3,IF(X$3&gt;$I526,"-",ROUNDUP(Ld_cal($B526, $C526, $D526, $G526,$E526, $F526, $H526, X$3)*1.3,0)),"-")</f>
        <v>-</v>
      </c>
      <c r="Y527" s="77" t="str">
        <f>IF($J527=Y$3,IF(Y$3&gt;$I526,"-",ROUNDUP(Ld_cal($B526, $C526, $D526, $G526,$E526, $F526, $H526, Y$3)*1.3,0)),"-")</f>
        <v>-</v>
      </c>
      <c r="Z527" s="77" t="str">
        <f>IF($J527=Z$3,IF(Z$3&gt;$I526,"-",ROUNDUP(Ld_cal($B526, $C526, $D526, $G526,$E526, $F526, $H526, Z$3)*1.3,0)),"-")</f>
        <v>-</v>
      </c>
      <c r="AA527" s="77" t="str">
        <f>IF($J527=AA$3,IF(AA$3&gt;$I526,"-",ROUNDUP(Ld_cal($B526, $C526, $D526, $G526,$E526, $F526, $H526, AA$3)*1.3,0)),"-")</f>
        <v>-</v>
      </c>
      <c r="AB527" s="77" t="str">
        <f>IF($J527=AB$3,IF(AB$3&gt;$I526,"-",ROUNDUP(Ld_cal($B526, $C526, $D526, $G526,$E526, $F526, $H526, AB$3)*1.3,0)),"-")</f>
        <v>-</v>
      </c>
      <c r="AC527" s="77" t="str">
        <f>IF($J527=AC$3,IF(AC$3&gt;$I526,"-",ROUNDUP(Ld_cal($B526, $C526, $D526, $G526,$E526, $F526, $H526, AC$3)*1.3,0)),"-")</f>
        <v>-</v>
      </c>
      <c r="AD527" s="77">
        <f t="shared" ref="AD527" si="517">IF(J527&gt;I526,"依標準圖",MAX(L527:AC527))</f>
        <v>147</v>
      </c>
    </row>
    <row r="528" spans="1:30">
      <c r="A528" s="105" t="s">
        <v>305</v>
      </c>
      <c r="B528" s="107">
        <v>80</v>
      </c>
      <c r="C528" s="108">
        <v>7.5</v>
      </c>
      <c r="D528" s="107">
        <v>4200</v>
      </c>
      <c r="E528" s="109">
        <v>13</v>
      </c>
      <c r="F528" s="110">
        <v>20</v>
      </c>
      <c r="G528" s="107">
        <v>350</v>
      </c>
      <c r="H528" s="109">
        <v>32</v>
      </c>
      <c r="I528" s="111">
        <f>ROUNDDOWN(($B528-2*$C528-2*$E528/10-$H528/10)/(($D$1+1)*$H528/10),0)+1</f>
        <v>10</v>
      </c>
      <c r="J528" s="73">
        <v>6</v>
      </c>
      <c r="K528" s="40" t="s">
        <v>30</v>
      </c>
      <c r="L528" s="70" t="str">
        <f>IF($J528=L$3,IF(L$3&gt;$I528,"-",ROUNDUP(Ld_cal($B528, $C528, $D528, $G528,$E528, $F528, $H528, L$3)*1.3*1.3,0)),"-")</f>
        <v>-</v>
      </c>
      <c r="M528" s="70" t="str">
        <f>IF($J528=M$3,IF(M$3&gt;$I528,"-",ROUNDUP(Ld_cal($B528, $C528, $D528, $G528,$E528, $F528, $H528, M$3)*1.3*1.3,0)),"-")</f>
        <v>-</v>
      </c>
      <c r="N528" s="70" t="str">
        <f>IF($J528=N$3,IF(N$3&gt;$I528,"-",ROUNDUP(Ld_cal($B528, $C528, $D528, $G528,$E528, $F528, $H528, N$3)*1.3*1.3,0)),"-")</f>
        <v>-</v>
      </c>
      <c r="O528" s="70">
        <f>IF($J528=O$3,IF(O$3&gt;$I528,"-",ROUNDUP(Ld_cal($B528, $C528, $D528, $G528,$E528, $F528, $H528, O$3)*1.3*1.3,0)),"-")</f>
        <v>160</v>
      </c>
      <c r="P528" s="70" t="str">
        <f>IF($J528=P$3,IF(P$3&gt;$I528,"-",ROUNDUP(Ld_cal($B528, $C528, $D528, $G528,$E528, $F528, $H528, P$3)*1.3*1.3,0)),"-")</f>
        <v>-</v>
      </c>
      <c r="Q528" s="70" t="str">
        <f>IF($J528=Q$3,IF(Q$3&gt;$I528,"-",ROUNDUP(Ld_cal($B528, $C528, $D528, $G528,$E528, $F528, $H528, Q$3)*1.3*1.3,0)),"-")</f>
        <v>-</v>
      </c>
      <c r="R528" s="70" t="str">
        <f>IF($J528=R$3,IF(R$3&gt;$I528,"-",ROUNDUP(Ld_cal($B528, $C528, $D528, $G528,$E528, $F528, $H528, R$3)*1.3*1.3,0)),"-")</f>
        <v>-</v>
      </c>
      <c r="S528" s="70" t="str">
        <f>IF($J528=S$3,IF(S$3&gt;$I528,"-",ROUNDUP(Ld_cal($B528, $C528, $D528, $G528,$E528, $F528, $H528, S$3)*1.3*1.3,0)),"-")</f>
        <v>-</v>
      </c>
      <c r="T528" s="70" t="str">
        <f>IF($J528=T$3,IF(T$3&gt;$I528,"-",ROUNDUP(Ld_cal($B528, $C528, $D528, $G528,$E528, $F528, $H528, T$3)*1.3*1.3,0)),"-")</f>
        <v>-</v>
      </c>
      <c r="U528" s="70" t="str">
        <f>IF($J528=U$3,IF(U$3&gt;$I528,"-",ROUNDUP(Ld_cal($B528, $C528, $D528, $G528,$E528, $F528, $H528, U$3)*1.3*1.3,0)),"-")</f>
        <v>-</v>
      </c>
      <c r="V528" s="70" t="str">
        <f>IF($J528=V$3,IF(V$3&gt;$I528,"-",ROUNDUP(Ld_cal($B528, $C528, $D528, $G528,$E528, $F528, $H528, V$3)*1.3*1.3,0)),"-")</f>
        <v>-</v>
      </c>
      <c r="W528" s="70" t="str">
        <f>IF($J528=W$3,IF(W$3&gt;$I528,"-",ROUNDUP(Ld_cal($B528, $C528, $D528, $G528,$E528, $F528, $H528, W$3)*1.3*1.3,0)),"-")</f>
        <v>-</v>
      </c>
      <c r="X528" s="70" t="str">
        <f>IF($J528=X$3,IF(X$3&gt;$I528,"-",ROUNDUP(Ld_cal($B528, $C528, $D528, $G528,$E528, $F528, $H528, X$3)*1.3*1.3,0)),"-")</f>
        <v>-</v>
      </c>
      <c r="Y528" s="70" t="str">
        <f>IF($J528=Y$3,IF(Y$3&gt;$I528,"-",ROUNDUP(Ld_cal($B528, $C528, $D528, $G528,$E528, $F528, $H528, Y$3)*1.3*1.3,0)),"-")</f>
        <v>-</v>
      </c>
      <c r="Z528" s="70" t="str">
        <f>IF($J528=Z$3,IF(Z$3&gt;$I528,"-",ROUNDUP(Ld_cal($B528, $C528, $D528, $G528,$E528, $F528, $H528, Z$3)*1.3*1.3,0)),"-")</f>
        <v>-</v>
      </c>
      <c r="AA528" s="70" t="str">
        <f>IF($J528=AA$3,IF(AA$3&gt;$I528,"-",ROUNDUP(Ld_cal($B528, $C528, $D528, $G528,$E528, $F528, $H528, AA$3)*1.3*1.3,0)),"-")</f>
        <v>-</v>
      </c>
      <c r="AB528" s="70" t="str">
        <f>IF($J528=AB$3,IF(AB$3&gt;$I528,"-",ROUNDUP(Ld_cal($B528, $C528, $D528, $G528,$E528, $F528, $H528, AB$3)*1.3*1.3,0)),"-")</f>
        <v>-</v>
      </c>
      <c r="AC528" s="70" t="str">
        <f>IF($J528=AC$3,IF(AC$3&gt;$I528,"-",ROUNDUP(Ld_cal($B528, $C528, $D528, $G528,$E528, $F528, $H528, AC$3)*1.3*1.3,0)),"-")</f>
        <v>-</v>
      </c>
      <c r="AD528" s="70">
        <f t="shared" ref="AD528" si="518">IF(J528&gt;I528,"依標準圖",MAX(L528:AC528))</f>
        <v>160</v>
      </c>
    </row>
    <row r="529" spans="1:30">
      <c r="A529" s="106"/>
      <c r="B529" s="107"/>
      <c r="C529" s="108"/>
      <c r="D529" s="107"/>
      <c r="E529" s="109"/>
      <c r="F529" s="110"/>
      <c r="G529" s="107"/>
      <c r="H529" s="109"/>
      <c r="I529" s="111"/>
      <c r="J529" s="73">
        <v>7</v>
      </c>
      <c r="K529" s="40" t="s">
        <v>29</v>
      </c>
      <c r="L529" s="70" t="str">
        <f>IF($J529=L$3,IF(L$3&gt;$I528,"-",ROUNDUP(Ld_cal($B528, $C528, $D528, $G528,$E528, $F528, $H528, L$3)*1.3,0)),"-")</f>
        <v>-</v>
      </c>
      <c r="M529" s="70" t="str">
        <f>IF($J529=M$3,IF(M$3&gt;$I528,"-",ROUNDUP(Ld_cal($B528, $C528, $D528, $G528,$E528, $F528, $H528, M$3)*1.3,0)),"-")</f>
        <v>-</v>
      </c>
      <c r="N529" s="70" t="str">
        <f>IF($J529=N$3,IF(N$3&gt;$I528,"-",ROUNDUP(Ld_cal($B528, $C528, $D528, $G528,$E528, $F528, $H528, N$3)*1.3,0)),"-")</f>
        <v>-</v>
      </c>
      <c r="O529" s="70" t="str">
        <f>IF($J529=O$3,IF(O$3&gt;$I528,"-",ROUNDUP(Ld_cal($B528, $C528, $D528, $G528,$E528, $F528, $H528, O$3)*1.3,0)),"-")</f>
        <v>-</v>
      </c>
      <c r="P529" s="70">
        <f>IF($J529=P$3,IF(P$3&gt;$I528,"-",ROUNDUP(Ld_cal($B528, $C528, $D528, $G528,$E528, $F528, $H528, P$3)*1.3,0)),"-")</f>
        <v>148</v>
      </c>
      <c r="Q529" s="70" t="str">
        <f>IF($J529=Q$3,IF(Q$3&gt;$I528,"-",ROUNDUP(Ld_cal($B528, $C528, $D528, $G528,$E528, $F528, $H528, Q$3)*1.3,0)),"-")</f>
        <v>-</v>
      </c>
      <c r="R529" s="70" t="str">
        <f>IF($J529=R$3,IF(R$3&gt;$I528,"-",ROUNDUP(Ld_cal($B528, $C528, $D528, $G528,$E528, $F528, $H528, R$3)*1.3,0)),"-")</f>
        <v>-</v>
      </c>
      <c r="S529" s="70" t="str">
        <f>IF($J529=S$3,IF(S$3&gt;$I528,"-",ROUNDUP(Ld_cal($B528, $C528, $D528, $G528,$E528, $F528, $H528, S$3)*1.3,0)),"-")</f>
        <v>-</v>
      </c>
      <c r="T529" s="70" t="str">
        <f>IF($J529=T$3,IF(T$3&gt;$I528,"-",ROUNDUP(Ld_cal($B528, $C528, $D528, $G528,$E528, $F528, $H528, T$3)*1.3,0)),"-")</f>
        <v>-</v>
      </c>
      <c r="U529" s="70" t="str">
        <f>IF($J529=U$3,IF(U$3&gt;$I528,"-",ROUNDUP(Ld_cal($B528, $C528, $D528, $G528,$E528, $F528, $H528, U$3)*1.3,0)),"-")</f>
        <v>-</v>
      </c>
      <c r="V529" s="70" t="str">
        <f>IF($J529=V$3,IF(V$3&gt;$I528,"-",ROUNDUP(Ld_cal($B528, $C528, $D528, $G528,$E528, $F528, $H528, V$3)*1.3,0)),"-")</f>
        <v>-</v>
      </c>
      <c r="W529" s="70" t="str">
        <f>IF($J529=W$3,IF(W$3&gt;$I528,"-",ROUNDUP(Ld_cal($B528, $C528, $D528, $G528,$E528, $F528, $H528, W$3)*1.3,0)),"-")</f>
        <v>-</v>
      </c>
      <c r="X529" s="70" t="str">
        <f>IF($J529=X$3,IF(X$3&gt;$I528,"-",ROUNDUP(Ld_cal($B528, $C528, $D528, $G528,$E528, $F528, $H528, X$3)*1.3,0)),"-")</f>
        <v>-</v>
      </c>
      <c r="Y529" s="70" t="str">
        <f>IF($J529=Y$3,IF(Y$3&gt;$I528,"-",ROUNDUP(Ld_cal($B528, $C528, $D528, $G528,$E528, $F528, $H528, Y$3)*1.3,0)),"-")</f>
        <v>-</v>
      </c>
      <c r="Z529" s="70" t="str">
        <f>IF($J529=Z$3,IF(Z$3&gt;$I528,"-",ROUNDUP(Ld_cal($B528, $C528, $D528, $G528,$E528, $F528, $H528, Z$3)*1.3,0)),"-")</f>
        <v>-</v>
      </c>
      <c r="AA529" s="70" t="str">
        <f>IF($J529=AA$3,IF(AA$3&gt;$I528,"-",ROUNDUP(Ld_cal($B528, $C528, $D528, $G528,$E528, $F528, $H528, AA$3)*1.3,0)),"-")</f>
        <v>-</v>
      </c>
      <c r="AB529" s="70" t="str">
        <f>IF($J529=AB$3,IF(AB$3&gt;$I528,"-",ROUNDUP(Ld_cal($B528, $C528, $D528, $G528,$E528, $F528, $H528, AB$3)*1.3,0)),"-")</f>
        <v>-</v>
      </c>
      <c r="AC529" s="70" t="str">
        <f>IF($J529=AC$3,IF(AC$3&gt;$I528,"-",ROUNDUP(Ld_cal($B528, $C528, $D528, $G528,$E528, $F528, $H528, AC$3)*1.3,0)),"-")</f>
        <v>-</v>
      </c>
      <c r="AD529" s="70">
        <f t="shared" ref="AD529" si="519">IF(J529&gt;I528,"依標準圖",MAX(L529:AC529))</f>
        <v>148</v>
      </c>
    </row>
    <row r="530" spans="1:30">
      <c r="A530" s="125" t="s">
        <v>306</v>
      </c>
      <c r="B530" s="127">
        <v>80</v>
      </c>
      <c r="C530" s="128">
        <v>7.5</v>
      </c>
      <c r="D530" s="127">
        <v>4200</v>
      </c>
      <c r="E530" s="129">
        <v>13</v>
      </c>
      <c r="F530" s="130">
        <v>25</v>
      </c>
      <c r="G530" s="127">
        <v>350</v>
      </c>
      <c r="H530" s="129">
        <v>32</v>
      </c>
      <c r="I530" s="131">
        <f>ROUNDDOWN(($B530-2*$C530-2*$E530/10-$H530/10)/(($D$1+1)*$H530/10),0)+1</f>
        <v>10</v>
      </c>
      <c r="J530" s="75">
        <v>8</v>
      </c>
      <c r="K530" s="76" t="s">
        <v>30</v>
      </c>
      <c r="L530" s="77" t="str">
        <f>IF($J530=L$3,IF(L$3&gt;$I530,"-",ROUNDUP(Ld_cal($B530, $C530, $D530, $G530,$E530, $F530, $H530, L$3)*1.3*1.3,0)),"-")</f>
        <v>-</v>
      </c>
      <c r="M530" s="77" t="str">
        <f>IF($J530=M$3,IF(M$3&gt;$I530,"-",ROUNDUP(Ld_cal($B530, $C530, $D530, $G530,$E530, $F530, $H530, M$3)*1.3*1.3,0)),"-")</f>
        <v>-</v>
      </c>
      <c r="N530" s="77" t="str">
        <f>IF($J530=N$3,IF(N$3&gt;$I530,"-",ROUNDUP(Ld_cal($B530, $C530, $D530, $G530,$E530, $F530, $H530, N$3)*1.3*1.3,0)),"-")</f>
        <v>-</v>
      </c>
      <c r="O530" s="77" t="str">
        <f>IF($J530=O$3,IF(O$3&gt;$I530,"-",ROUNDUP(Ld_cal($B530, $C530, $D530, $G530,$E530, $F530, $H530, O$3)*1.3*1.3,0)),"-")</f>
        <v>-</v>
      </c>
      <c r="P530" s="77" t="str">
        <f>IF($J530=P$3,IF(P$3&gt;$I530,"-",ROUNDUP(Ld_cal($B530, $C530, $D530, $G530,$E530, $F530, $H530, P$3)*1.3*1.3,0)),"-")</f>
        <v>-</v>
      </c>
      <c r="Q530" s="77">
        <f>IF($J530=Q$3,IF(Q$3&gt;$I530,"-",ROUNDUP(Ld_cal($B530, $C530, $D530, $G530,$E530, $F530, $H530, Q$3)*1.3*1.3,0)),"-")</f>
        <v>229</v>
      </c>
      <c r="R530" s="77" t="str">
        <f>IF($J530=R$3,IF(R$3&gt;$I530,"-",ROUNDUP(Ld_cal($B530, $C530, $D530, $G530,$E530, $F530, $H530, R$3)*1.3*1.3,0)),"-")</f>
        <v>-</v>
      </c>
      <c r="S530" s="77" t="str">
        <f>IF($J530=S$3,IF(S$3&gt;$I530,"-",ROUNDUP(Ld_cal($B530, $C530, $D530, $G530,$E530, $F530, $H530, S$3)*1.3*1.3,0)),"-")</f>
        <v>-</v>
      </c>
      <c r="T530" s="77" t="str">
        <f>IF($J530=T$3,IF(T$3&gt;$I530,"-",ROUNDUP(Ld_cal($B530, $C530, $D530, $G530,$E530, $F530, $H530, T$3)*1.3*1.3,0)),"-")</f>
        <v>-</v>
      </c>
      <c r="U530" s="77" t="str">
        <f>IF($J530=U$3,IF(U$3&gt;$I530,"-",ROUNDUP(Ld_cal($B530, $C530, $D530, $G530,$E530, $F530, $H530, U$3)*1.3*1.3,0)),"-")</f>
        <v>-</v>
      </c>
      <c r="V530" s="77" t="str">
        <f>IF($J530=V$3,IF(V$3&gt;$I530,"-",ROUNDUP(Ld_cal($B530, $C530, $D530, $G530,$E530, $F530, $H530, V$3)*1.3*1.3,0)),"-")</f>
        <v>-</v>
      </c>
      <c r="W530" s="77" t="str">
        <f>IF($J530=W$3,IF(W$3&gt;$I530,"-",ROUNDUP(Ld_cal($B530, $C530, $D530, $G530,$E530, $F530, $H530, W$3)*1.3*1.3,0)),"-")</f>
        <v>-</v>
      </c>
      <c r="X530" s="77" t="str">
        <f>IF($J530=X$3,IF(X$3&gt;$I530,"-",ROUNDUP(Ld_cal($B530, $C530, $D530, $G530,$E530, $F530, $H530, X$3)*1.3*1.3,0)),"-")</f>
        <v>-</v>
      </c>
      <c r="Y530" s="77" t="str">
        <f>IF($J530=Y$3,IF(Y$3&gt;$I530,"-",ROUNDUP(Ld_cal($B530, $C530, $D530, $G530,$E530, $F530, $H530, Y$3)*1.3*1.3,0)),"-")</f>
        <v>-</v>
      </c>
      <c r="Z530" s="77" t="str">
        <f>IF($J530=Z$3,IF(Z$3&gt;$I530,"-",ROUNDUP(Ld_cal($B530, $C530, $D530, $G530,$E530, $F530, $H530, Z$3)*1.3*1.3,0)),"-")</f>
        <v>-</v>
      </c>
      <c r="AA530" s="77" t="str">
        <f>IF($J530=AA$3,IF(AA$3&gt;$I530,"-",ROUNDUP(Ld_cal($B530, $C530, $D530, $G530,$E530, $F530, $H530, AA$3)*1.3*1.3,0)),"-")</f>
        <v>-</v>
      </c>
      <c r="AB530" s="77" t="str">
        <f>IF($J530=AB$3,IF(AB$3&gt;$I530,"-",ROUNDUP(Ld_cal($B530, $C530, $D530, $G530,$E530, $F530, $H530, AB$3)*1.3*1.3,0)),"-")</f>
        <v>-</v>
      </c>
      <c r="AC530" s="77" t="str">
        <f>IF($J530=AC$3,IF(AC$3&gt;$I530,"-",ROUNDUP(Ld_cal($B530, $C530, $D530, $G530,$E530, $F530, $H530, AC$3)*1.3*1.3,0)),"-")</f>
        <v>-</v>
      </c>
      <c r="AD530" s="77">
        <f t="shared" ref="AD530" si="520">IF(J530&gt;I530,"依標準圖",MAX(L530:AC530))</f>
        <v>229</v>
      </c>
    </row>
    <row r="531" spans="1:30">
      <c r="A531" s="126"/>
      <c r="B531" s="127"/>
      <c r="C531" s="128"/>
      <c r="D531" s="127"/>
      <c r="E531" s="129"/>
      <c r="F531" s="130"/>
      <c r="G531" s="127"/>
      <c r="H531" s="129"/>
      <c r="I531" s="131"/>
      <c r="J531" s="75">
        <v>4</v>
      </c>
      <c r="K531" s="76" t="s">
        <v>29</v>
      </c>
      <c r="L531" s="77" t="str">
        <f>IF($J531=L$3,IF(L$3&gt;$I530,"-",ROUNDUP(Ld_cal($B530, $C530, $D530, $G530,$E530, $F530, $H530, L$3)*1.3,0)),"-")</f>
        <v>-</v>
      </c>
      <c r="M531" s="77">
        <f>IF($J531=M$3,IF(M$3&gt;$I530,"-",ROUNDUP(Ld_cal($B530, $C530, $D530, $G530,$E530, $F530, $H530, M$3)*1.3,0)),"-")</f>
        <v>105</v>
      </c>
      <c r="N531" s="77" t="str">
        <f>IF($J531=N$3,IF(N$3&gt;$I530,"-",ROUNDUP(Ld_cal($B530, $C530, $D530, $G530,$E530, $F530, $H530, N$3)*1.3,0)),"-")</f>
        <v>-</v>
      </c>
      <c r="O531" s="77" t="str">
        <f>IF($J531=O$3,IF(O$3&gt;$I530,"-",ROUNDUP(Ld_cal($B530, $C530, $D530, $G530,$E530, $F530, $H530, O$3)*1.3,0)),"-")</f>
        <v>-</v>
      </c>
      <c r="P531" s="77" t="str">
        <f>IF($J531=P$3,IF(P$3&gt;$I530,"-",ROUNDUP(Ld_cal($B530, $C530, $D530, $G530,$E530, $F530, $H530, P$3)*1.3,0)),"-")</f>
        <v>-</v>
      </c>
      <c r="Q531" s="77" t="str">
        <f>IF($J531=Q$3,IF(Q$3&gt;$I530,"-",ROUNDUP(Ld_cal($B530, $C530, $D530, $G530,$E530, $F530, $H530, Q$3)*1.3,0)),"-")</f>
        <v>-</v>
      </c>
      <c r="R531" s="77" t="str">
        <f>IF($J531=R$3,IF(R$3&gt;$I530,"-",ROUNDUP(Ld_cal($B530, $C530, $D530, $G530,$E530, $F530, $H530, R$3)*1.3,0)),"-")</f>
        <v>-</v>
      </c>
      <c r="S531" s="77" t="str">
        <f>IF($J531=S$3,IF(S$3&gt;$I530,"-",ROUNDUP(Ld_cal($B530, $C530, $D530, $G530,$E530, $F530, $H530, S$3)*1.3,0)),"-")</f>
        <v>-</v>
      </c>
      <c r="T531" s="77" t="str">
        <f>IF($J531=T$3,IF(T$3&gt;$I530,"-",ROUNDUP(Ld_cal($B530, $C530, $D530, $G530,$E530, $F530, $H530, T$3)*1.3,0)),"-")</f>
        <v>-</v>
      </c>
      <c r="U531" s="77" t="str">
        <f>IF($J531=U$3,IF(U$3&gt;$I530,"-",ROUNDUP(Ld_cal($B530, $C530, $D530, $G530,$E530, $F530, $H530, U$3)*1.3,0)),"-")</f>
        <v>-</v>
      </c>
      <c r="V531" s="77" t="str">
        <f>IF($J531=V$3,IF(V$3&gt;$I530,"-",ROUNDUP(Ld_cal($B530, $C530, $D530, $G530,$E530, $F530, $H530, V$3)*1.3,0)),"-")</f>
        <v>-</v>
      </c>
      <c r="W531" s="77" t="str">
        <f>IF($J531=W$3,IF(W$3&gt;$I530,"-",ROUNDUP(Ld_cal($B530, $C530, $D530, $G530,$E530, $F530, $H530, W$3)*1.3,0)),"-")</f>
        <v>-</v>
      </c>
      <c r="X531" s="77" t="str">
        <f>IF($J531=X$3,IF(X$3&gt;$I530,"-",ROUNDUP(Ld_cal($B530, $C530, $D530, $G530,$E530, $F530, $H530, X$3)*1.3,0)),"-")</f>
        <v>-</v>
      </c>
      <c r="Y531" s="77" t="str">
        <f>IF($J531=Y$3,IF(Y$3&gt;$I530,"-",ROUNDUP(Ld_cal($B530, $C530, $D530, $G530,$E530, $F530, $H530, Y$3)*1.3,0)),"-")</f>
        <v>-</v>
      </c>
      <c r="Z531" s="77" t="str">
        <f>IF($J531=Z$3,IF(Z$3&gt;$I530,"-",ROUNDUP(Ld_cal($B530, $C530, $D530, $G530,$E530, $F530, $H530, Z$3)*1.3,0)),"-")</f>
        <v>-</v>
      </c>
      <c r="AA531" s="77" t="str">
        <f>IF($J531=AA$3,IF(AA$3&gt;$I530,"-",ROUNDUP(Ld_cal($B530, $C530, $D530, $G530,$E530, $F530, $H530, AA$3)*1.3,0)),"-")</f>
        <v>-</v>
      </c>
      <c r="AB531" s="77" t="str">
        <f>IF($J531=AB$3,IF(AB$3&gt;$I530,"-",ROUNDUP(Ld_cal($B530, $C530, $D530, $G530,$E530, $F530, $H530, AB$3)*1.3,0)),"-")</f>
        <v>-</v>
      </c>
      <c r="AC531" s="77" t="str">
        <f>IF($J531=AC$3,IF(AC$3&gt;$I530,"-",ROUNDUP(Ld_cal($B530, $C530, $D530, $G530,$E530, $F530, $H530, AC$3)*1.3,0)),"-")</f>
        <v>-</v>
      </c>
      <c r="AD531" s="77">
        <f t="shared" ref="AD531" si="521">IF(J531&gt;I530,"依標準圖",MAX(L531:AC531))</f>
        <v>105</v>
      </c>
    </row>
    <row r="532" spans="1:30">
      <c r="A532" s="105" t="s">
        <v>307</v>
      </c>
      <c r="B532" s="107">
        <v>80</v>
      </c>
      <c r="C532" s="108">
        <v>7.5</v>
      </c>
      <c r="D532" s="107">
        <v>4200</v>
      </c>
      <c r="E532" s="109">
        <v>13</v>
      </c>
      <c r="F532" s="110">
        <v>10</v>
      </c>
      <c r="G532" s="107">
        <v>350</v>
      </c>
      <c r="H532" s="109">
        <v>32</v>
      </c>
      <c r="I532" s="111">
        <f>ROUNDDOWN(($B532-2*$C532-2*$E532/10-$H532/10)/(($D$1+1)*$H532/10),0)+1</f>
        <v>10</v>
      </c>
      <c r="J532" s="73">
        <v>8</v>
      </c>
      <c r="K532" s="40" t="s">
        <v>30</v>
      </c>
      <c r="L532" s="70" t="str">
        <f>IF($J532=L$3,IF(L$3&gt;$I532,"-",ROUNDUP(Ld_cal($B532, $C532, $D532, $G532,$E532, $F532, $H532, L$3)*1.3*1.3,0)),"-")</f>
        <v>-</v>
      </c>
      <c r="M532" s="70" t="str">
        <f>IF($J532=M$3,IF(M$3&gt;$I532,"-",ROUNDUP(Ld_cal($B532, $C532, $D532, $G532,$E532, $F532, $H532, M$3)*1.3*1.3,0)),"-")</f>
        <v>-</v>
      </c>
      <c r="N532" s="70" t="str">
        <f>IF($J532=N$3,IF(N$3&gt;$I532,"-",ROUNDUP(Ld_cal($B532, $C532, $D532, $G532,$E532, $F532, $H532, N$3)*1.3*1.3,0)),"-")</f>
        <v>-</v>
      </c>
      <c r="O532" s="70" t="str">
        <f>IF($J532=O$3,IF(O$3&gt;$I532,"-",ROUNDUP(Ld_cal($B532, $C532, $D532, $G532,$E532, $F532, $H532, O$3)*1.3*1.3,0)),"-")</f>
        <v>-</v>
      </c>
      <c r="P532" s="70" t="str">
        <f>IF($J532=P$3,IF(P$3&gt;$I532,"-",ROUNDUP(Ld_cal($B532, $C532, $D532, $G532,$E532, $F532, $H532, P$3)*1.3*1.3,0)),"-")</f>
        <v>-</v>
      </c>
      <c r="Q532" s="70">
        <f>IF($J532=Q$3,IF(Q$3&gt;$I532,"-",ROUNDUP(Ld_cal($B532, $C532, $D532, $G532,$E532, $F532, $H532, Q$3)*1.3*1.3,0)),"-")</f>
        <v>196</v>
      </c>
      <c r="R532" s="70" t="str">
        <f>IF($J532=R$3,IF(R$3&gt;$I532,"-",ROUNDUP(Ld_cal($B532, $C532, $D532, $G532,$E532, $F532, $H532, R$3)*1.3*1.3,0)),"-")</f>
        <v>-</v>
      </c>
      <c r="S532" s="70" t="str">
        <f>IF($J532=S$3,IF(S$3&gt;$I532,"-",ROUNDUP(Ld_cal($B532, $C532, $D532, $G532,$E532, $F532, $H532, S$3)*1.3*1.3,0)),"-")</f>
        <v>-</v>
      </c>
      <c r="T532" s="70" t="str">
        <f>IF($J532=T$3,IF(T$3&gt;$I532,"-",ROUNDUP(Ld_cal($B532, $C532, $D532, $G532,$E532, $F532, $H532, T$3)*1.3*1.3,0)),"-")</f>
        <v>-</v>
      </c>
      <c r="U532" s="70" t="str">
        <f>IF($J532=U$3,IF(U$3&gt;$I532,"-",ROUNDUP(Ld_cal($B532, $C532, $D532, $G532,$E532, $F532, $H532, U$3)*1.3*1.3,0)),"-")</f>
        <v>-</v>
      </c>
      <c r="V532" s="70" t="str">
        <f>IF($J532=V$3,IF(V$3&gt;$I532,"-",ROUNDUP(Ld_cal($B532, $C532, $D532, $G532,$E532, $F532, $H532, V$3)*1.3*1.3,0)),"-")</f>
        <v>-</v>
      </c>
      <c r="W532" s="70" t="str">
        <f>IF($J532=W$3,IF(W$3&gt;$I532,"-",ROUNDUP(Ld_cal($B532, $C532, $D532, $G532,$E532, $F532, $H532, W$3)*1.3*1.3,0)),"-")</f>
        <v>-</v>
      </c>
      <c r="X532" s="70" t="str">
        <f>IF($J532=X$3,IF(X$3&gt;$I532,"-",ROUNDUP(Ld_cal($B532, $C532, $D532, $G532,$E532, $F532, $H532, X$3)*1.3*1.3,0)),"-")</f>
        <v>-</v>
      </c>
      <c r="Y532" s="70" t="str">
        <f>IF($J532=Y$3,IF(Y$3&gt;$I532,"-",ROUNDUP(Ld_cal($B532, $C532, $D532, $G532,$E532, $F532, $H532, Y$3)*1.3*1.3,0)),"-")</f>
        <v>-</v>
      </c>
      <c r="Z532" s="70" t="str">
        <f>IF($J532=Z$3,IF(Z$3&gt;$I532,"-",ROUNDUP(Ld_cal($B532, $C532, $D532, $G532,$E532, $F532, $H532, Z$3)*1.3*1.3,0)),"-")</f>
        <v>-</v>
      </c>
      <c r="AA532" s="70" t="str">
        <f>IF($J532=AA$3,IF(AA$3&gt;$I532,"-",ROUNDUP(Ld_cal($B532, $C532, $D532, $G532,$E532, $F532, $H532, AA$3)*1.3*1.3,0)),"-")</f>
        <v>-</v>
      </c>
      <c r="AB532" s="70" t="str">
        <f>IF($J532=AB$3,IF(AB$3&gt;$I532,"-",ROUNDUP(Ld_cal($B532, $C532, $D532, $G532,$E532, $F532, $H532, AB$3)*1.3*1.3,0)),"-")</f>
        <v>-</v>
      </c>
      <c r="AC532" s="70" t="str">
        <f>IF($J532=AC$3,IF(AC$3&gt;$I532,"-",ROUNDUP(Ld_cal($B532, $C532, $D532, $G532,$E532, $F532, $H532, AC$3)*1.3*1.3,0)),"-")</f>
        <v>-</v>
      </c>
      <c r="AD532" s="70">
        <f t="shared" ref="AD532" si="522">IF(J532&gt;I532,"依標準圖",MAX(L532:AC532))</f>
        <v>196</v>
      </c>
    </row>
    <row r="533" spans="1:30">
      <c r="A533" s="106"/>
      <c r="B533" s="107"/>
      <c r="C533" s="108"/>
      <c r="D533" s="107"/>
      <c r="E533" s="109"/>
      <c r="F533" s="110"/>
      <c r="G533" s="107"/>
      <c r="H533" s="109"/>
      <c r="I533" s="111"/>
      <c r="J533" s="73">
        <v>8</v>
      </c>
      <c r="K533" s="40" t="s">
        <v>29</v>
      </c>
      <c r="L533" s="70" t="str">
        <f>IF($J533=L$3,IF(L$3&gt;$I532,"-",ROUNDUP(Ld_cal($B532, $C532, $D532, $G532,$E532, $F532, $H532, L$3)*1.3,0)),"-")</f>
        <v>-</v>
      </c>
      <c r="M533" s="70" t="str">
        <f>IF($J533=M$3,IF(M$3&gt;$I532,"-",ROUNDUP(Ld_cal($B532, $C532, $D532, $G532,$E532, $F532, $H532, M$3)*1.3,0)),"-")</f>
        <v>-</v>
      </c>
      <c r="N533" s="70" t="str">
        <f>IF($J533=N$3,IF(N$3&gt;$I532,"-",ROUNDUP(Ld_cal($B532, $C532, $D532, $G532,$E532, $F532, $H532, N$3)*1.3,0)),"-")</f>
        <v>-</v>
      </c>
      <c r="O533" s="70" t="str">
        <f>IF($J533=O$3,IF(O$3&gt;$I532,"-",ROUNDUP(Ld_cal($B532, $C532, $D532, $G532,$E532, $F532, $H532, O$3)*1.3,0)),"-")</f>
        <v>-</v>
      </c>
      <c r="P533" s="70" t="str">
        <f>IF($J533=P$3,IF(P$3&gt;$I532,"-",ROUNDUP(Ld_cal($B532, $C532, $D532, $G532,$E532, $F532, $H532, P$3)*1.3,0)),"-")</f>
        <v>-</v>
      </c>
      <c r="Q533" s="70">
        <f>IF($J533=Q$3,IF(Q$3&gt;$I532,"-",ROUNDUP(Ld_cal($B532, $C532, $D532, $G532,$E532, $F532, $H532, Q$3)*1.3,0)),"-")</f>
        <v>151</v>
      </c>
      <c r="R533" s="70" t="str">
        <f>IF($J533=R$3,IF(R$3&gt;$I532,"-",ROUNDUP(Ld_cal($B532, $C532, $D532, $G532,$E532, $F532, $H532, R$3)*1.3,0)),"-")</f>
        <v>-</v>
      </c>
      <c r="S533" s="70" t="str">
        <f>IF($J533=S$3,IF(S$3&gt;$I532,"-",ROUNDUP(Ld_cal($B532, $C532, $D532, $G532,$E532, $F532, $H532, S$3)*1.3,0)),"-")</f>
        <v>-</v>
      </c>
      <c r="T533" s="70" t="str">
        <f>IF($J533=T$3,IF(T$3&gt;$I532,"-",ROUNDUP(Ld_cal($B532, $C532, $D532, $G532,$E532, $F532, $H532, T$3)*1.3,0)),"-")</f>
        <v>-</v>
      </c>
      <c r="U533" s="70" t="str">
        <f>IF($J533=U$3,IF(U$3&gt;$I532,"-",ROUNDUP(Ld_cal($B532, $C532, $D532, $G532,$E532, $F532, $H532, U$3)*1.3,0)),"-")</f>
        <v>-</v>
      </c>
      <c r="V533" s="70" t="str">
        <f>IF($J533=V$3,IF(V$3&gt;$I532,"-",ROUNDUP(Ld_cal($B532, $C532, $D532, $G532,$E532, $F532, $H532, V$3)*1.3,0)),"-")</f>
        <v>-</v>
      </c>
      <c r="W533" s="70" t="str">
        <f>IF($J533=W$3,IF(W$3&gt;$I532,"-",ROUNDUP(Ld_cal($B532, $C532, $D532, $G532,$E532, $F532, $H532, W$3)*1.3,0)),"-")</f>
        <v>-</v>
      </c>
      <c r="X533" s="70" t="str">
        <f>IF($J533=X$3,IF(X$3&gt;$I532,"-",ROUNDUP(Ld_cal($B532, $C532, $D532, $G532,$E532, $F532, $H532, X$3)*1.3,0)),"-")</f>
        <v>-</v>
      </c>
      <c r="Y533" s="70" t="str">
        <f>IF($J533=Y$3,IF(Y$3&gt;$I532,"-",ROUNDUP(Ld_cal($B532, $C532, $D532, $G532,$E532, $F532, $H532, Y$3)*1.3,0)),"-")</f>
        <v>-</v>
      </c>
      <c r="Z533" s="70" t="str">
        <f>IF($J533=Z$3,IF(Z$3&gt;$I532,"-",ROUNDUP(Ld_cal($B532, $C532, $D532, $G532,$E532, $F532, $H532, Z$3)*1.3,0)),"-")</f>
        <v>-</v>
      </c>
      <c r="AA533" s="70" t="str">
        <f>IF($J533=AA$3,IF(AA$3&gt;$I532,"-",ROUNDUP(Ld_cal($B532, $C532, $D532, $G532,$E532, $F532, $H532, AA$3)*1.3,0)),"-")</f>
        <v>-</v>
      </c>
      <c r="AB533" s="70" t="str">
        <f>IF($J533=AB$3,IF(AB$3&gt;$I532,"-",ROUNDUP(Ld_cal($B532, $C532, $D532, $G532,$E532, $F532, $H532, AB$3)*1.3,0)),"-")</f>
        <v>-</v>
      </c>
      <c r="AC533" s="70" t="str">
        <f>IF($J533=AC$3,IF(AC$3&gt;$I532,"-",ROUNDUP(Ld_cal($B532, $C532, $D532, $G532,$E532, $F532, $H532, AC$3)*1.3,0)),"-")</f>
        <v>-</v>
      </c>
      <c r="AD533" s="70">
        <f t="shared" ref="AD533" si="523">IF(J533&gt;I532,"依標準圖",MAX(L533:AC533))</f>
        <v>151</v>
      </c>
    </row>
    <row r="534" spans="1:30">
      <c r="A534" s="125" t="s">
        <v>308</v>
      </c>
      <c r="B534" s="127">
        <v>80</v>
      </c>
      <c r="C534" s="128">
        <v>7.5</v>
      </c>
      <c r="D534" s="127">
        <v>4200</v>
      </c>
      <c r="E534" s="129">
        <v>13</v>
      </c>
      <c r="F534" s="130">
        <v>9</v>
      </c>
      <c r="G534" s="127">
        <v>350</v>
      </c>
      <c r="H534" s="129">
        <v>32</v>
      </c>
      <c r="I534" s="131">
        <f>ROUNDDOWN(($B534-2*$C534-2*$E534/10-$H534/10)/(($D$1+1)*$H534/10),0)+1</f>
        <v>10</v>
      </c>
      <c r="J534" s="75">
        <v>10</v>
      </c>
      <c r="K534" s="76" t="s">
        <v>30</v>
      </c>
      <c r="L534" s="77" t="str">
        <f>IF($J534=L$3,IF(L$3&gt;$I534,"-",ROUNDUP(Ld_cal($B534, $C534, $D534, $G534,$E534, $F534, $H534, L$3)*1.3*1.3,0)),"-")</f>
        <v>-</v>
      </c>
      <c r="M534" s="77" t="str">
        <f>IF($J534=M$3,IF(M$3&gt;$I534,"-",ROUNDUP(Ld_cal($B534, $C534, $D534, $G534,$E534, $F534, $H534, M$3)*1.3*1.3,0)),"-")</f>
        <v>-</v>
      </c>
      <c r="N534" s="77" t="str">
        <f>IF($J534=N$3,IF(N$3&gt;$I534,"-",ROUNDUP(Ld_cal($B534, $C534, $D534, $G534,$E534, $F534, $H534, N$3)*1.3*1.3,0)),"-")</f>
        <v>-</v>
      </c>
      <c r="O534" s="77" t="str">
        <f>IF($J534=O$3,IF(O$3&gt;$I534,"-",ROUNDUP(Ld_cal($B534, $C534, $D534, $G534,$E534, $F534, $H534, O$3)*1.3*1.3,0)),"-")</f>
        <v>-</v>
      </c>
      <c r="P534" s="77" t="str">
        <f>IF($J534=P$3,IF(P$3&gt;$I534,"-",ROUNDUP(Ld_cal($B534, $C534, $D534, $G534,$E534, $F534, $H534, P$3)*1.3*1.3,0)),"-")</f>
        <v>-</v>
      </c>
      <c r="Q534" s="77" t="str">
        <f>IF($J534=Q$3,IF(Q$3&gt;$I534,"-",ROUNDUP(Ld_cal($B534, $C534, $D534, $G534,$E534, $F534, $H534, Q$3)*1.3*1.3,0)),"-")</f>
        <v>-</v>
      </c>
      <c r="R534" s="77" t="str">
        <f>IF($J534=R$3,IF(R$3&gt;$I534,"-",ROUNDUP(Ld_cal($B534, $C534, $D534, $G534,$E534, $F534, $H534, R$3)*1.3*1.3,0)),"-")</f>
        <v>-</v>
      </c>
      <c r="S534" s="77">
        <f>IF($J534=S$3,IF(S$3&gt;$I534,"-",ROUNDUP(Ld_cal($B534, $C534, $D534, $G534,$E534, $F534, $H534, S$3)*1.3*1.3,0)),"-")</f>
        <v>244</v>
      </c>
      <c r="T534" s="77" t="str">
        <f>IF($J534=T$3,IF(T$3&gt;$I534,"-",ROUNDUP(Ld_cal($B534, $C534, $D534, $G534,$E534, $F534, $H534, T$3)*1.3*1.3,0)),"-")</f>
        <v>-</v>
      </c>
      <c r="U534" s="77" t="str">
        <f>IF($J534=U$3,IF(U$3&gt;$I534,"-",ROUNDUP(Ld_cal($B534, $C534, $D534, $G534,$E534, $F534, $H534, U$3)*1.3*1.3,0)),"-")</f>
        <v>-</v>
      </c>
      <c r="V534" s="77" t="str">
        <f>IF($J534=V$3,IF(V$3&gt;$I534,"-",ROUNDUP(Ld_cal($B534, $C534, $D534, $G534,$E534, $F534, $H534, V$3)*1.3*1.3,0)),"-")</f>
        <v>-</v>
      </c>
      <c r="W534" s="77" t="str">
        <f>IF($J534=W$3,IF(W$3&gt;$I534,"-",ROUNDUP(Ld_cal($B534, $C534, $D534, $G534,$E534, $F534, $H534, W$3)*1.3*1.3,0)),"-")</f>
        <v>-</v>
      </c>
      <c r="X534" s="77" t="str">
        <f>IF($J534=X$3,IF(X$3&gt;$I534,"-",ROUNDUP(Ld_cal($B534, $C534, $D534, $G534,$E534, $F534, $H534, X$3)*1.3*1.3,0)),"-")</f>
        <v>-</v>
      </c>
      <c r="Y534" s="77" t="str">
        <f>IF($J534=Y$3,IF(Y$3&gt;$I534,"-",ROUNDUP(Ld_cal($B534, $C534, $D534, $G534,$E534, $F534, $H534, Y$3)*1.3*1.3,0)),"-")</f>
        <v>-</v>
      </c>
      <c r="Z534" s="77" t="str">
        <f>IF($J534=Z$3,IF(Z$3&gt;$I534,"-",ROUNDUP(Ld_cal($B534, $C534, $D534, $G534,$E534, $F534, $H534, Z$3)*1.3*1.3,0)),"-")</f>
        <v>-</v>
      </c>
      <c r="AA534" s="77" t="str">
        <f>IF($J534=AA$3,IF(AA$3&gt;$I534,"-",ROUNDUP(Ld_cal($B534, $C534, $D534, $G534,$E534, $F534, $H534, AA$3)*1.3*1.3,0)),"-")</f>
        <v>-</v>
      </c>
      <c r="AB534" s="77" t="str">
        <f>IF($J534=AB$3,IF(AB$3&gt;$I534,"-",ROUNDUP(Ld_cal($B534, $C534, $D534, $G534,$E534, $F534, $H534, AB$3)*1.3*1.3,0)),"-")</f>
        <v>-</v>
      </c>
      <c r="AC534" s="77" t="str">
        <f>IF($J534=AC$3,IF(AC$3&gt;$I534,"-",ROUNDUP(Ld_cal($B534, $C534, $D534, $G534,$E534, $F534, $H534, AC$3)*1.3*1.3,0)),"-")</f>
        <v>-</v>
      </c>
      <c r="AD534" s="77">
        <f t="shared" ref="AD534" si="524">IF(J534&gt;I534,"依標準圖",MAX(L534:AC534))</f>
        <v>244</v>
      </c>
    </row>
    <row r="535" spans="1:30">
      <c r="A535" s="126"/>
      <c r="B535" s="127"/>
      <c r="C535" s="128"/>
      <c r="D535" s="127"/>
      <c r="E535" s="129"/>
      <c r="F535" s="130"/>
      <c r="G535" s="127"/>
      <c r="H535" s="129"/>
      <c r="I535" s="131"/>
      <c r="J535" s="75">
        <v>8</v>
      </c>
      <c r="K535" s="76" t="s">
        <v>29</v>
      </c>
      <c r="L535" s="77" t="str">
        <f>IF($J535=L$3,IF(L$3&gt;$I534,"-",ROUNDUP(Ld_cal($B534, $C534, $D534, $G534,$E534, $F534, $H534, L$3)*1.3,0)),"-")</f>
        <v>-</v>
      </c>
      <c r="M535" s="77" t="str">
        <f>IF($J535=M$3,IF(M$3&gt;$I534,"-",ROUNDUP(Ld_cal($B534, $C534, $D534, $G534,$E534, $F534, $H534, M$3)*1.3,0)),"-")</f>
        <v>-</v>
      </c>
      <c r="N535" s="77" t="str">
        <f>IF($J535=N$3,IF(N$3&gt;$I534,"-",ROUNDUP(Ld_cal($B534, $C534, $D534, $G534,$E534, $F534, $H534, N$3)*1.3,0)),"-")</f>
        <v>-</v>
      </c>
      <c r="O535" s="77" t="str">
        <f>IF($J535=O$3,IF(O$3&gt;$I534,"-",ROUNDUP(Ld_cal($B534, $C534, $D534, $G534,$E534, $F534, $H534, O$3)*1.3,0)),"-")</f>
        <v>-</v>
      </c>
      <c r="P535" s="77" t="str">
        <f>IF($J535=P$3,IF(P$3&gt;$I534,"-",ROUNDUP(Ld_cal($B534, $C534, $D534, $G534,$E534, $F534, $H534, P$3)*1.3,0)),"-")</f>
        <v>-</v>
      </c>
      <c r="Q535" s="77">
        <f>IF($J535=Q$3,IF(Q$3&gt;$I534,"-",ROUNDUP(Ld_cal($B534, $C534, $D534, $G534,$E534, $F534, $H534, Q$3)*1.3,0)),"-")</f>
        <v>147</v>
      </c>
      <c r="R535" s="77" t="str">
        <f>IF($J535=R$3,IF(R$3&gt;$I534,"-",ROUNDUP(Ld_cal($B534, $C534, $D534, $G534,$E534, $F534, $H534, R$3)*1.3,0)),"-")</f>
        <v>-</v>
      </c>
      <c r="S535" s="77" t="str">
        <f>IF($J535=S$3,IF(S$3&gt;$I534,"-",ROUNDUP(Ld_cal($B534, $C534, $D534, $G534,$E534, $F534, $H534, S$3)*1.3,0)),"-")</f>
        <v>-</v>
      </c>
      <c r="T535" s="77" t="str">
        <f>IF($J535=T$3,IF(T$3&gt;$I534,"-",ROUNDUP(Ld_cal($B534, $C534, $D534, $G534,$E534, $F534, $H534, T$3)*1.3,0)),"-")</f>
        <v>-</v>
      </c>
      <c r="U535" s="77" t="str">
        <f>IF($J535=U$3,IF(U$3&gt;$I534,"-",ROUNDUP(Ld_cal($B534, $C534, $D534, $G534,$E534, $F534, $H534, U$3)*1.3,0)),"-")</f>
        <v>-</v>
      </c>
      <c r="V535" s="77" t="str">
        <f>IF($J535=V$3,IF(V$3&gt;$I534,"-",ROUNDUP(Ld_cal($B534, $C534, $D534, $G534,$E534, $F534, $H534, V$3)*1.3,0)),"-")</f>
        <v>-</v>
      </c>
      <c r="W535" s="77" t="str">
        <f>IF($J535=W$3,IF(W$3&gt;$I534,"-",ROUNDUP(Ld_cal($B534, $C534, $D534, $G534,$E534, $F534, $H534, W$3)*1.3,0)),"-")</f>
        <v>-</v>
      </c>
      <c r="X535" s="77" t="str">
        <f>IF($J535=X$3,IF(X$3&gt;$I534,"-",ROUNDUP(Ld_cal($B534, $C534, $D534, $G534,$E534, $F534, $H534, X$3)*1.3,0)),"-")</f>
        <v>-</v>
      </c>
      <c r="Y535" s="77" t="str">
        <f>IF($J535=Y$3,IF(Y$3&gt;$I534,"-",ROUNDUP(Ld_cal($B534, $C534, $D534, $G534,$E534, $F534, $H534, Y$3)*1.3,0)),"-")</f>
        <v>-</v>
      </c>
      <c r="Z535" s="77" t="str">
        <f>IF($J535=Z$3,IF(Z$3&gt;$I534,"-",ROUNDUP(Ld_cal($B534, $C534, $D534, $G534,$E534, $F534, $H534, Z$3)*1.3,0)),"-")</f>
        <v>-</v>
      </c>
      <c r="AA535" s="77" t="str">
        <f>IF($J535=AA$3,IF(AA$3&gt;$I534,"-",ROUNDUP(Ld_cal($B534, $C534, $D534, $G534,$E534, $F534, $H534, AA$3)*1.3,0)),"-")</f>
        <v>-</v>
      </c>
      <c r="AB535" s="77" t="str">
        <f>IF($J535=AB$3,IF(AB$3&gt;$I534,"-",ROUNDUP(Ld_cal($B534, $C534, $D534, $G534,$E534, $F534, $H534, AB$3)*1.3,0)),"-")</f>
        <v>-</v>
      </c>
      <c r="AC535" s="77" t="str">
        <f>IF($J535=AC$3,IF(AC$3&gt;$I534,"-",ROUNDUP(Ld_cal($B534, $C534, $D534, $G534,$E534, $F534, $H534, AC$3)*1.3,0)),"-")</f>
        <v>-</v>
      </c>
      <c r="AD535" s="77">
        <f t="shared" ref="AD535" si="525">IF(J535&gt;I534,"依標準圖",MAX(L535:AC535))</f>
        <v>147</v>
      </c>
    </row>
    <row r="536" spans="1:30">
      <c r="A536" s="105" t="s">
        <v>309</v>
      </c>
      <c r="B536" s="107">
        <v>80</v>
      </c>
      <c r="C536" s="108">
        <v>7.5</v>
      </c>
      <c r="D536" s="107">
        <v>4200</v>
      </c>
      <c r="E536" s="109">
        <v>13</v>
      </c>
      <c r="F536" s="110">
        <v>20</v>
      </c>
      <c r="G536" s="107">
        <v>350</v>
      </c>
      <c r="H536" s="109">
        <v>32</v>
      </c>
      <c r="I536" s="111">
        <f>ROUNDDOWN(($B536-2*$C536-2*$E536/10-$H536/10)/(($D$1+1)*$H536/10),0)+1</f>
        <v>10</v>
      </c>
      <c r="J536" s="73">
        <v>4</v>
      </c>
      <c r="K536" s="40" t="s">
        <v>30</v>
      </c>
      <c r="L536" s="70" t="str">
        <f>IF($J536=L$3,IF(L$3&gt;$I536,"-",ROUNDUP(Ld_cal($B536, $C536, $D536, $G536,$E536, $F536, $H536, L$3)*1.3*1.3,0)),"-")</f>
        <v>-</v>
      </c>
      <c r="M536" s="70">
        <f>IF($J536=M$3,IF(M$3&gt;$I536,"-",ROUNDUP(Ld_cal($B536, $C536, $D536, $G536,$E536, $F536, $H536, M$3)*1.3*1.3,0)),"-")</f>
        <v>136</v>
      </c>
      <c r="N536" s="70" t="str">
        <f>IF($J536=N$3,IF(N$3&gt;$I536,"-",ROUNDUP(Ld_cal($B536, $C536, $D536, $G536,$E536, $F536, $H536, N$3)*1.3*1.3,0)),"-")</f>
        <v>-</v>
      </c>
      <c r="O536" s="70" t="str">
        <f>IF($J536=O$3,IF(O$3&gt;$I536,"-",ROUNDUP(Ld_cal($B536, $C536, $D536, $G536,$E536, $F536, $H536, O$3)*1.3*1.3,0)),"-")</f>
        <v>-</v>
      </c>
      <c r="P536" s="70" t="str">
        <f>IF($J536=P$3,IF(P$3&gt;$I536,"-",ROUNDUP(Ld_cal($B536, $C536, $D536, $G536,$E536, $F536, $H536, P$3)*1.3*1.3,0)),"-")</f>
        <v>-</v>
      </c>
      <c r="Q536" s="70" t="str">
        <f>IF($J536=Q$3,IF(Q$3&gt;$I536,"-",ROUNDUP(Ld_cal($B536, $C536, $D536, $G536,$E536, $F536, $H536, Q$3)*1.3*1.3,0)),"-")</f>
        <v>-</v>
      </c>
      <c r="R536" s="70" t="str">
        <f>IF($J536=R$3,IF(R$3&gt;$I536,"-",ROUNDUP(Ld_cal($B536, $C536, $D536, $G536,$E536, $F536, $H536, R$3)*1.3*1.3,0)),"-")</f>
        <v>-</v>
      </c>
      <c r="S536" s="70" t="str">
        <f>IF($J536=S$3,IF(S$3&gt;$I536,"-",ROUNDUP(Ld_cal($B536, $C536, $D536, $G536,$E536, $F536, $H536, S$3)*1.3*1.3,0)),"-")</f>
        <v>-</v>
      </c>
      <c r="T536" s="70" t="str">
        <f>IF($J536=T$3,IF(T$3&gt;$I536,"-",ROUNDUP(Ld_cal($B536, $C536, $D536, $G536,$E536, $F536, $H536, T$3)*1.3*1.3,0)),"-")</f>
        <v>-</v>
      </c>
      <c r="U536" s="70" t="str">
        <f>IF($J536=U$3,IF(U$3&gt;$I536,"-",ROUNDUP(Ld_cal($B536, $C536, $D536, $G536,$E536, $F536, $H536, U$3)*1.3*1.3,0)),"-")</f>
        <v>-</v>
      </c>
      <c r="V536" s="70" t="str">
        <f>IF($J536=V$3,IF(V$3&gt;$I536,"-",ROUNDUP(Ld_cal($B536, $C536, $D536, $G536,$E536, $F536, $H536, V$3)*1.3*1.3,0)),"-")</f>
        <v>-</v>
      </c>
      <c r="W536" s="70" t="str">
        <f>IF($J536=W$3,IF(W$3&gt;$I536,"-",ROUNDUP(Ld_cal($B536, $C536, $D536, $G536,$E536, $F536, $H536, W$3)*1.3*1.3,0)),"-")</f>
        <v>-</v>
      </c>
      <c r="X536" s="70" t="str">
        <f>IF($J536=X$3,IF(X$3&gt;$I536,"-",ROUNDUP(Ld_cal($B536, $C536, $D536, $G536,$E536, $F536, $H536, X$3)*1.3*1.3,0)),"-")</f>
        <v>-</v>
      </c>
      <c r="Y536" s="70" t="str">
        <f>IF($J536=Y$3,IF(Y$3&gt;$I536,"-",ROUNDUP(Ld_cal($B536, $C536, $D536, $G536,$E536, $F536, $H536, Y$3)*1.3*1.3,0)),"-")</f>
        <v>-</v>
      </c>
      <c r="Z536" s="70" t="str">
        <f>IF($J536=Z$3,IF(Z$3&gt;$I536,"-",ROUNDUP(Ld_cal($B536, $C536, $D536, $G536,$E536, $F536, $H536, Z$3)*1.3*1.3,0)),"-")</f>
        <v>-</v>
      </c>
      <c r="AA536" s="70" t="str">
        <f>IF($J536=AA$3,IF(AA$3&gt;$I536,"-",ROUNDUP(Ld_cal($B536, $C536, $D536, $G536,$E536, $F536, $H536, AA$3)*1.3*1.3,0)),"-")</f>
        <v>-</v>
      </c>
      <c r="AB536" s="70" t="str">
        <f>IF($J536=AB$3,IF(AB$3&gt;$I536,"-",ROUNDUP(Ld_cal($B536, $C536, $D536, $G536,$E536, $F536, $H536, AB$3)*1.3*1.3,0)),"-")</f>
        <v>-</v>
      </c>
      <c r="AC536" s="70" t="str">
        <f>IF($J536=AC$3,IF(AC$3&gt;$I536,"-",ROUNDUP(Ld_cal($B536, $C536, $D536, $G536,$E536, $F536, $H536, AC$3)*1.3*1.3,0)),"-")</f>
        <v>-</v>
      </c>
      <c r="AD536" s="70">
        <f t="shared" ref="AD536" si="526">IF(J536&gt;I536,"依標準圖",MAX(L536:AC536))</f>
        <v>136</v>
      </c>
    </row>
    <row r="537" spans="1:30">
      <c r="A537" s="106"/>
      <c r="B537" s="107"/>
      <c r="C537" s="108"/>
      <c r="D537" s="107"/>
      <c r="E537" s="109"/>
      <c r="F537" s="110"/>
      <c r="G537" s="107"/>
      <c r="H537" s="109"/>
      <c r="I537" s="111"/>
      <c r="J537" s="73">
        <v>6</v>
      </c>
      <c r="K537" s="40" t="s">
        <v>29</v>
      </c>
      <c r="L537" s="70" t="str">
        <f>IF($J537=L$3,IF(L$3&gt;$I536,"-",ROUNDUP(Ld_cal($B536, $C536, $D536, $G536,$E536, $F536, $H536, L$3)*1.3,0)),"-")</f>
        <v>-</v>
      </c>
      <c r="M537" s="70" t="str">
        <f>IF($J537=M$3,IF(M$3&gt;$I536,"-",ROUNDUP(Ld_cal($B536, $C536, $D536, $G536,$E536, $F536, $H536, M$3)*1.3,0)),"-")</f>
        <v>-</v>
      </c>
      <c r="N537" s="70" t="str">
        <f>IF($J537=N$3,IF(N$3&gt;$I536,"-",ROUNDUP(Ld_cal($B536, $C536, $D536, $G536,$E536, $F536, $H536, N$3)*1.3,0)),"-")</f>
        <v>-</v>
      </c>
      <c r="O537" s="70">
        <f>IF($J537=O$3,IF(O$3&gt;$I536,"-",ROUNDUP(Ld_cal($B536, $C536, $D536, $G536,$E536, $F536, $H536, O$3)*1.3,0)),"-")</f>
        <v>123</v>
      </c>
      <c r="P537" s="70" t="str">
        <f>IF($J537=P$3,IF(P$3&gt;$I536,"-",ROUNDUP(Ld_cal($B536, $C536, $D536, $G536,$E536, $F536, $H536, P$3)*1.3,0)),"-")</f>
        <v>-</v>
      </c>
      <c r="Q537" s="70" t="str">
        <f>IF($J537=Q$3,IF(Q$3&gt;$I536,"-",ROUNDUP(Ld_cal($B536, $C536, $D536, $G536,$E536, $F536, $H536, Q$3)*1.3,0)),"-")</f>
        <v>-</v>
      </c>
      <c r="R537" s="70" t="str">
        <f>IF($J537=R$3,IF(R$3&gt;$I536,"-",ROUNDUP(Ld_cal($B536, $C536, $D536, $G536,$E536, $F536, $H536, R$3)*1.3,0)),"-")</f>
        <v>-</v>
      </c>
      <c r="S537" s="70" t="str">
        <f>IF($J537=S$3,IF(S$3&gt;$I536,"-",ROUNDUP(Ld_cal($B536, $C536, $D536, $G536,$E536, $F536, $H536, S$3)*1.3,0)),"-")</f>
        <v>-</v>
      </c>
      <c r="T537" s="70" t="str">
        <f>IF($J537=T$3,IF(T$3&gt;$I536,"-",ROUNDUP(Ld_cal($B536, $C536, $D536, $G536,$E536, $F536, $H536, T$3)*1.3,0)),"-")</f>
        <v>-</v>
      </c>
      <c r="U537" s="70" t="str">
        <f>IF($J537=U$3,IF(U$3&gt;$I536,"-",ROUNDUP(Ld_cal($B536, $C536, $D536, $G536,$E536, $F536, $H536, U$3)*1.3,0)),"-")</f>
        <v>-</v>
      </c>
      <c r="V537" s="70" t="str">
        <f>IF($J537=V$3,IF(V$3&gt;$I536,"-",ROUNDUP(Ld_cal($B536, $C536, $D536, $G536,$E536, $F536, $H536, V$3)*1.3,0)),"-")</f>
        <v>-</v>
      </c>
      <c r="W537" s="70" t="str">
        <f>IF($J537=W$3,IF(W$3&gt;$I536,"-",ROUNDUP(Ld_cal($B536, $C536, $D536, $G536,$E536, $F536, $H536, W$3)*1.3,0)),"-")</f>
        <v>-</v>
      </c>
      <c r="X537" s="70" t="str">
        <f>IF($J537=X$3,IF(X$3&gt;$I536,"-",ROUNDUP(Ld_cal($B536, $C536, $D536, $G536,$E536, $F536, $H536, X$3)*1.3,0)),"-")</f>
        <v>-</v>
      </c>
      <c r="Y537" s="70" t="str">
        <f>IF($J537=Y$3,IF(Y$3&gt;$I536,"-",ROUNDUP(Ld_cal($B536, $C536, $D536, $G536,$E536, $F536, $H536, Y$3)*1.3,0)),"-")</f>
        <v>-</v>
      </c>
      <c r="Z537" s="70" t="str">
        <f>IF($J537=Z$3,IF(Z$3&gt;$I536,"-",ROUNDUP(Ld_cal($B536, $C536, $D536, $G536,$E536, $F536, $H536, Z$3)*1.3,0)),"-")</f>
        <v>-</v>
      </c>
      <c r="AA537" s="70" t="str">
        <f>IF($J537=AA$3,IF(AA$3&gt;$I536,"-",ROUNDUP(Ld_cal($B536, $C536, $D536, $G536,$E536, $F536, $H536, AA$3)*1.3,0)),"-")</f>
        <v>-</v>
      </c>
      <c r="AB537" s="70" t="str">
        <f>IF($J537=AB$3,IF(AB$3&gt;$I536,"-",ROUNDUP(Ld_cal($B536, $C536, $D536, $G536,$E536, $F536, $H536, AB$3)*1.3,0)),"-")</f>
        <v>-</v>
      </c>
      <c r="AC537" s="70" t="str">
        <f>IF($J537=AC$3,IF(AC$3&gt;$I536,"-",ROUNDUP(Ld_cal($B536, $C536, $D536, $G536,$E536, $F536, $H536, AC$3)*1.3,0)),"-")</f>
        <v>-</v>
      </c>
      <c r="AD537" s="70">
        <f t="shared" ref="AD537" si="527">IF(J537&gt;I536,"依標準圖",MAX(L537:AC537))</f>
        <v>123</v>
      </c>
    </row>
    <row r="538" spans="1:30">
      <c r="A538" s="125" t="s">
        <v>310</v>
      </c>
      <c r="B538" s="127">
        <v>80</v>
      </c>
      <c r="C538" s="128">
        <v>7.5</v>
      </c>
      <c r="D538" s="127">
        <v>4200</v>
      </c>
      <c r="E538" s="129">
        <v>13</v>
      </c>
      <c r="F538" s="130">
        <v>25</v>
      </c>
      <c r="G538" s="127">
        <v>350</v>
      </c>
      <c r="H538" s="129">
        <v>32</v>
      </c>
      <c r="I538" s="131">
        <f>ROUNDDOWN(($B538-2*$C538-2*$E538/10-$H538/10)/(($D$1+1)*$H538/10),0)+1</f>
        <v>10</v>
      </c>
      <c r="J538" s="75">
        <v>8</v>
      </c>
      <c r="K538" s="76" t="s">
        <v>30</v>
      </c>
      <c r="L538" s="77" t="str">
        <f>IF($J538=L$3,IF(L$3&gt;$I538,"-",ROUNDUP(Ld_cal($B538, $C538, $D538, $G538,$E538, $F538, $H538, L$3)*1.3*1.3,0)),"-")</f>
        <v>-</v>
      </c>
      <c r="M538" s="77" t="str">
        <f>IF($J538=M$3,IF(M$3&gt;$I538,"-",ROUNDUP(Ld_cal($B538, $C538, $D538, $G538,$E538, $F538, $H538, M$3)*1.3*1.3,0)),"-")</f>
        <v>-</v>
      </c>
      <c r="N538" s="77" t="str">
        <f>IF($J538=N$3,IF(N$3&gt;$I538,"-",ROUNDUP(Ld_cal($B538, $C538, $D538, $G538,$E538, $F538, $H538, N$3)*1.3*1.3,0)),"-")</f>
        <v>-</v>
      </c>
      <c r="O538" s="77" t="str">
        <f>IF($J538=O$3,IF(O$3&gt;$I538,"-",ROUNDUP(Ld_cal($B538, $C538, $D538, $G538,$E538, $F538, $H538, O$3)*1.3*1.3,0)),"-")</f>
        <v>-</v>
      </c>
      <c r="P538" s="77" t="str">
        <f>IF($J538=P$3,IF(P$3&gt;$I538,"-",ROUNDUP(Ld_cal($B538, $C538, $D538, $G538,$E538, $F538, $H538, P$3)*1.3*1.3,0)),"-")</f>
        <v>-</v>
      </c>
      <c r="Q538" s="77">
        <f>IF($J538=Q$3,IF(Q$3&gt;$I538,"-",ROUNDUP(Ld_cal($B538, $C538, $D538, $G538,$E538, $F538, $H538, Q$3)*1.3*1.3,0)),"-")</f>
        <v>229</v>
      </c>
      <c r="R538" s="77" t="str">
        <f>IF($J538=R$3,IF(R$3&gt;$I538,"-",ROUNDUP(Ld_cal($B538, $C538, $D538, $G538,$E538, $F538, $H538, R$3)*1.3*1.3,0)),"-")</f>
        <v>-</v>
      </c>
      <c r="S538" s="77" t="str">
        <f>IF($J538=S$3,IF(S$3&gt;$I538,"-",ROUNDUP(Ld_cal($B538, $C538, $D538, $G538,$E538, $F538, $H538, S$3)*1.3*1.3,0)),"-")</f>
        <v>-</v>
      </c>
      <c r="T538" s="77" t="str">
        <f>IF($J538=T$3,IF(T$3&gt;$I538,"-",ROUNDUP(Ld_cal($B538, $C538, $D538, $G538,$E538, $F538, $H538, T$3)*1.3*1.3,0)),"-")</f>
        <v>-</v>
      </c>
      <c r="U538" s="77" t="str">
        <f>IF($J538=U$3,IF(U$3&gt;$I538,"-",ROUNDUP(Ld_cal($B538, $C538, $D538, $G538,$E538, $F538, $H538, U$3)*1.3*1.3,0)),"-")</f>
        <v>-</v>
      </c>
      <c r="V538" s="77" t="str">
        <f>IF($J538=V$3,IF(V$3&gt;$I538,"-",ROUNDUP(Ld_cal($B538, $C538, $D538, $G538,$E538, $F538, $H538, V$3)*1.3*1.3,0)),"-")</f>
        <v>-</v>
      </c>
      <c r="W538" s="77" t="str">
        <f>IF($J538=W$3,IF(W$3&gt;$I538,"-",ROUNDUP(Ld_cal($B538, $C538, $D538, $G538,$E538, $F538, $H538, W$3)*1.3*1.3,0)),"-")</f>
        <v>-</v>
      </c>
      <c r="X538" s="77" t="str">
        <f>IF($J538=X$3,IF(X$3&gt;$I538,"-",ROUNDUP(Ld_cal($B538, $C538, $D538, $G538,$E538, $F538, $H538, X$3)*1.3*1.3,0)),"-")</f>
        <v>-</v>
      </c>
      <c r="Y538" s="77" t="str">
        <f>IF($J538=Y$3,IF(Y$3&gt;$I538,"-",ROUNDUP(Ld_cal($B538, $C538, $D538, $G538,$E538, $F538, $H538, Y$3)*1.3*1.3,0)),"-")</f>
        <v>-</v>
      </c>
      <c r="Z538" s="77" t="str">
        <f>IF($J538=Z$3,IF(Z$3&gt;$I538,"-",ROUNDUP(Ld_cal($B538, $C538, $D538, $G538,$E538, $F538, $H538, Z$3)*1.3*1.3,0)),"-")</f>
        <v>-</v>
      </c>
      <c r="AA538" s="77" t="str">
        <f>IF($J538=AA$3,IF(AA$3&gt;$I538,"-",ROUNDUP(Ld_cal($B538, $C538, $D538, $G538,$E538, $F538, $H538, AA$3)*1.3*1.3,0)),"-")</f>
        <v>-</v>
      </c>
      <c r="AB538" s="77" t="str">
        <f>IF($J538=AB$3,IF(AB$3&gt;$I538,"-",ROUNDUP(Ld_cal($B538, $C538, $D538, $G538,$E538, $F538, $H538, AB$3)*1.3*1.3,0)),"-")</f>
        <v>-</v>
      </c>
      <c r="AC538" s="77" t="str">
        <f>IF($J538=AC$3,IF(AC$3&gt;$I538,"-",ROUNDUP(Ld_cal($B538, $C538, $D538, $G538,$E538, $F538, $H538, AC$3)*1.3*1.3,0)),"-")</f>
        <v>-</v>
      </c>
      <c r="AD538" s="77">
        <f t="shared" ref="AD538" si="528">IF(J538&gt;I538,"依標準圖",MAX(L538:AC538))</f>
        <v>229</v>
      </c>
    </row>
    <row r="539" spans="1:30">
      <c r="A539" s="126"/>
      <c r="B539" s="127"/>
      <c r="C539" s="128"/>
      <c r="D539" s="127"/>
      <c r="E539" s="129"/>
      <c r="F539" s="130"/>
      <c r="G539" s="127"/>
      <c r="H539" s="129"/>
      <c r="I539" s="131"/>
      <c r="J539" s="75">
        <v>4</v>
      </c>
      <c r="K539" s="76" t="s">
        <v>29</v>
      </c>
      <c r="L539" s="77" t="str">
        <f>IF($J539=L$3,IF(L$3&gt;$I538,"-",ROUNDUP(Ld_cal($B538, $C538, $D538, $G538,$E538, $F538, $H538, L$3)*1.3,0)),"-")</f>
        <v>-</v>
      </c>
      <c r="M539" s="77">
        <f>IF($J539=M$3,IF(M$3&gt;$I538,"-",ROUNDUP(Ld_cal($B538, $C538, $D538, $G538,$E538, $F538, $H538, M$3)*1.3,0)),"-")</f>
        <v>105</v>
      </c>
      <c r="N539" s="77" t="str">
        <f>IF($J539=N$3,IF(N$3&gt;$I538,"-",ROUNDUP(Ld_cal($B538, $C538, $D538, $G538,$E538, $F538, $H538, N$3)*1.3,0)),"-")</f>
        <v>-</v>
      </c>
      <c r="O539" s="77" t="str">
        <f>IF($J539=O$3,IF(O$3&gt;$I538,"-",ROUNDUP(Ld_cal($B538, $C538, $D538, $G538,$E538, $F538, $H538, O$3)*1.3,0)),"-")</f>
        <v>-</v>
      </c>
      <c r="P539" s="77" t="str">
        <f>IF($J539=P$3,IF(P$3&gt;$I538,"-",ROUNDUP(Ld_cal($B538, $C538, $D538, $G538,$E538, $F538, $H538, P$3)*1.3,0)),"-")</f>
        <v>-</v>
      </c>
      <c r="Q539" s="77" t="str">
        <f>IF($J539=Q$3,IF(Q$3&gt;$I538,"-",ROUNDUP(Ld_cal($B538, $C538, $D538, $G538,$E538, $F538, $H538, Q$3)*1.3,0)),"-")</f>
        <v>-</v>
      </c>
      <c r="R539" s="77" t="str">
        <f>IF($J539=R$3,IF(R$3&gt;$I538,"-",ROUNDUP(Ld_cal($B538, $C538, $D538, $G538,$E538, $F538, $H538, R$3)*1.3,0)),"-")</f>
        <v>-</v>
      </c>
      <c r="S539" s="77" t="str">
        <f>IF($J539=S$3,IF(S$3&gt;$I538,"-",ROUNDUP(Ld_cal($B538, $C538, $D538, $G538,$E538, $F538, $H538, S$3)*1.3,0)),"-")</f>
        <v>-</v>
      </c>
      <c r="T539" s="77" t="str">
        <f>IF($J539=T$3,IF(T$3&gt;$I538,"-",ROUNDUP(Ld_cal($B538, $C538, $D538, $G538,$E538, $F538, $H538, T$3)*1.3,0)),"-")</f>
        <v>-</v>
      </c>
      <c r="U539" s="77" t="str">
        <f>IF($J539=U$3,IF(U$3&gt;$I538,"-",ROUNDUP(Ld_cal($B538, $C538, $D538, $G538,$E538, $F538, $H538, U$3)*1.3,0)),"-")</f>
        <v>-</v>
      </c>
      <c r="V539" s="77" t="str">
        <f>IF($J539=V$3,IF(V$3&gt;$I538,"-",ROUNDUP(Ld_cal($B538, $C538, $D538, $G538,$E538, $F538, $H538, V$3)*1.3,0)),"-")</f>
        <v>-</v>
      </c>
      <c r="W539" s="77" t="str">
        <f>IF($J539=W$3,IF(W$3&gt;$I538,"-",ROUNDUP(Ld_cal($B538, $C538, $D538, $G538,$E538, $F538, $H538, W$3)*1.3,0)),"-")</f>
        <v>-</v>
      </c>
      <c r="X539" s="77" t="str">
        <f>IF($J539=X$3,IF(X$3&gt;$I538,"-",ROUNDUP(Ld_cal($B538, $C538, $D538, $G538,$E538, $F538, $H538, X$3)*1.3,0)),"-")</f>
        <v>-</v>
      </c>
      <c r="Y539" s="77" t="str">
        <f>IF($J539=Y$3,IF(Y$3&gt;$I538,"-",ROUNDUP(Ld_cal($B538, $C538, $D538, $G538,$E538, $F538, $H538, Y$3)*1.3,0)),"-")</f>
        <v>-</v>
      </c>
      <c r="Z539" s="77" t="str">
        <f>IF($J539=Z$3,IF(Z$3&gt;$I538,"-",ROUNDUP(Ld_cal($B538, $C538, $D538, $G538,$E538, $F538, $H538, Z$3)*1.3,0)),"-")</f>
        <v>-</v>
      </c>
      <c r="AA539" s="77" t="str">
        <f>IF($J539=AA$3,IF(AA$3&gt;$I538,"-",ROUNDUP(Ld_cal($B538, $C538, $D538, $G538,$E538, $F538, $H538, AA$3)*1.3,0)),"-")</f>
        <v>-</v>
      </c>
      <c r="AB539" s="77" t="str">
        <f>IF($J539=AB$3,IF(AB$3&gt;$I538,"-",ROUNDUP(Ld_cal($B538, $C538, $D538, $G538,$E538, $F538, $H538, AB$3)*1.3,0)),"-")</f>
        <v>-</v>
      </c>
      <c r="AC539" s="77" t="str">
        <f>IF($J539=AC$3,IF(AC$3&gt;$I538,"-",ROUNDUP(Ld_cal($B538, $C538, $D538, $G538,$E538, $F538, $H538, AC$3)*1.3,0)),"-")</f>
        <v>-</v>
      </c>
      <c r="AD539" s="77">
        <f t="shared" ref="AD539" si="529">IF(J539&gt;I538,"依標準圖",MAX(L539:AC539))</f>
        <v>105</v>
      </c>
    </row>
    <row r="540" spans="1:30">
      <c r="A540" s="105" t="s">
        <v>311</v>
      </c>
      <c r="B540" s="107">
        <v>80</v>
      </c>
      <c r="C540" s="108">
        <v>7.5</v>
      </c>
      <c r="D540" s="107">
        <v>4200</v>
      </c>
      <c r="E540" s="109">
        <v>13</v>
      </c>
      <c r="F540" s="110">
        <v>18</v>
      </c>
      <c r="G540" s="107">
        <v>350</v>
      </c>
      <c r="H540" s="109">
        <v>32</v>
      </c>
      <c r="I540" s="111">
        <f>ROUNDDOWN(($B540-2*$C540-2*$E540/10-$H540/10)/(($D$1+1)*$H540/10),0)+1</f>
        <v>10</v>
      </c>
      <c r="J540" s="73">
        <v>6</v>
      </c>
      <c r="K540" s="40" t="s">
        <v>30</v>
      </c>
      <c r="L540" s="70" t="str">
        <f>IF($J540=L$3,IF(L$3&gt;$I540,"-",ROUNDUP(Ld_cal($B540, $C540, $D540, $G540,$E540, $F540, $H540, L$3)*1.3*1.3,0)),"-")</f>
        <v>-</v>
      </c>
      <c r="M540" s="70" t="str">
        <f>IF($J540=M$3,IF(M$3&gt;$I540,"-",ROUNDUP(Ld_cal($B540, $C540, $D540, $G540,$E540, $F540, $H540, M$3)*1.3*1.3,0)),"-")</f>
        <v>-</v>
      </c>
      <c r="N540" s="70" t="str">
        <f>IF($J540=N$3,IF(N$3&gt;$I540,"-",ROUNDUP(Ld_cal($B540, $C540, $D540, $G540,$E540, $F540, $H540, N$3)*1.3*1.3,0)),"-")</f>
        <v>-</v>
      </c>
      <c r="O540" s="70">
        <f>IF($J540=O$3,IF(O$3&gt;$I540,"-",ROUNDUP(Ld_cal($B540, $C540, $D540, $G540,$E540, $F540, $H540, O$3)*1.3*1.3,0)),"-")</f>
        <v>158</v>
      </c>
      <c r="P540" s="70" t="str">
        <f>IF($J540=P$3,IF(P$3&gt;$I540,"-",ROUNDUP(Ld_cal($B540, $C540, $D540, $G540,$E540, $F540, $H540, P$3)*1.3*1.3,0)),"-")</f>
        <v>-</v>
      </c>
      <c r="Q540" s="70" t="str">
        <f>IF($J540=Q$3,IF(Q$3&gt;$I540,"-",ROUNDUP(Ld_cal($B540, $C540, $D540, $G540,$E540, $F540, $H540, Q$3)*1.3*1.3,0)),"-")</f>
        <v>-</v>
      </c>
      <c r="R540" s="70" t="str">
        <f>IF($J540=R$3,IF(R$3&gt;$I540,"-",ROUNDUP(Ld_cal($B540, $C540, $D540, $G540,$E540, $F540, $H540, R$3)*1.3*1.3,0)),"-")</f>
        <v>-</v>
      </c>
      <c r="S540" s="70" t="str">
        <f>IF($J540=S$3,IF(S$3&gt;$I540,"-",ROUNDUP(Ld_cal($B540, $C540, $D540, $G540,$E540, $F540, $H540, S$3)*1.3*1.3,0)),"-")</f>
        <v>-</v>
      </c>
      <c r="T540" s="70" t="str">
        <f>IF($J540=T$3,IF(T$3&gt;$I540,"-",ROUNDUP(Ld_cal($B540, $C540, $D540, $G540,$E540, $F540, $H540, T$3)*1.3*1.3,0)),"-")</f>
        <v>-</v>
      </c>
      <c r="U540" s="70" t="str">
        <f>IF($J540=U$3,IF(U$3&gt;$I540,"-",ROUNDUP(Ld_cal($B540, $C540, $D540, $G540,$E540, $F540, $H540, U$3)*1.3*1.3,0)),"-")</f>
        <v>-</v>
      </c>
      <c r="V540" s="70" t="str">
        <f>IF($J540=V$3,IF(V$3&gt;$I540,"-",ROUNDUP(Ld_cal($B540, $C540, $D540, $G540,$E540, $F540, $H540, V$3)*1.3*1.3,0)),"-")</f>
        <v>-</v>
      </c>
      <c r="W540" s="70" t="str">
        <f>IF($J540=W$3,IF(W$3&gt;$I540,"-",ROUNDUP(Ld_cal($B540, $C540, $D540, $G540,$E540, $F540, $H540, W$3)*1.3*1.3,0)),"-")</f>
        <v>-</v>
      </c>
      <c r="X540" s="70" t="str">
        <f>IF($J540=X$3,IF(X$3&gt;$I540,"-",ROUNDUP(Ld_cal($B540, $C540, $D540, $G540,$E540, $F540, $H540, X$3)*1.3*1.3,0)),"-")</f>
        <v>-</v>
      </c>
      <c r="Y540" s="70" t="str">
        <f>IF($J540=Y$3,IF(Y$3&gt;$I540,"-",ROUNDUP(Ld_cal($B540, $C540, $D540, $G540,$E540, $F540, $H540, Y$3)*1.3*1.3,0)),"-")</f>
        <v>-</v>
      </c>
      <c r="Z540" s="70" t="str">
        <f>IF($J540=Z$3,IF(Z$3&gt;$I540,"-",ROUNDUP(Ld_cal($B540, $C540, $D540, $G540,$E540, $F540, $H540, Z$3)*1.3*1.3,0)),"-")</f>
        <v>-</v>
      </c>
      <c r="AA540" s="70" t="str">
        <f>IF($J540=AA$3,IF(AA$3&gt;$I540,"-",ROUNDUP(Ld_cal($B540, $C540, $D540, $G540,$E540, $F540, $H540, AA$3)*1.3*1.3,0)),"-")</f>
        <v>-</v>
      </c>
      <c r="AB540" s="70" t="str">
        <f>IF($J540=AB$3,IF(AB$3&gt;$I540,"-",ROUNDUP(Ld_cal($B540, $C540, $D540, $G540,$E540, $F540, $H540, AB$3)*1.3*1.3,0)),"-")</f>
        <v>-</v>
      </c>
      <c r="AC540" s="70" t="str">
        <f>IF($J540=AC$3,IF(AC$3&gt;$I540,"-",ROUNDUP(Ld_cal($B540, $C540, $D540, $G540,$E540, $F540, $H540, AC$3)*1.3*1.3,0)),"-")</f>
        <v>-</v>
      </c>
      <c r="AD540" s="70">
        <f t="shared" ref="AD540" si="530">IF(J540&gt;I540,"依標準圖",MAX(L540:AC540))</f>
        <v>158</v>
      </c>
    </row>
    <row r="541" spans="1:30">
      <c r="A541" s="106"/>
      <c r="B541" s="107"/>
      <c r="C541" s="108"/>
      <c r="D541" s="107"/>
      <c r="E541" s="109"/>
      <c r="F541" s="110"/>
      <c r="G541" s="107"/>
      <c r="H541" s="109"/>
      <c r="I541" s="111"/>
      <c r="J541" s="73">
        <v>6</v>
      </c>
      <c r="K541" s="40" t="s">
        <v>29</v>
      </c>
      <c r="L541" s="70" t="str">
        <f>IF($J541=L$3,IF(L$3&gt;$I540,"-",ROUNDUP(Ld_cal($B540, $C540, $D540, $G540,$E540, $F540, $H540, L$3)*1.3,0)),"-")</f>
        <v>-</v>
      </c>
      <c r="M541" s="70" t="str">
        <f>IF($J541=M$3,IF(M$3&gt;$I540,"-",ROUNDUP(Ld_cal($B540, $C540, $D540, $G540,$E540, $F540, $H540, M$3)*1.3,0)),"-")</f>
        <v>-</v>
      </c>
      <c r="N541" s="70" t="str">
        <f>IF($J541=N$3,IF(N$3&gt;$I540,"-",ROUNDUP(Ld_cal($B540, $C540, $D540, $G540,$E540, $F540, $H540, N$3)*1.3,0)),"-")</f>
        <v>-</v>
      </c>
      <c r="O541" s="70">
        <f>IF($J541=O$3,IF(O$3&gt;$I540,"-",ROUNDUP(Ld_cal($B540, $C540, $D540, $G540,$E540, $F540, $H540, O$3)*1.3,0)),"-")</f>
        <v>122</v>
      </c>
      <c r="P541" s="70" t="str">
        <f>IF($J541=P$3,IF(P$3&gt;$I540,"-",ROUNDUP(Ld_cal($B540, $C540, $D540, $G540,$E540, $F540, $H540, P$3)*1.3,0)),"-")</f>
        <v>-</v>
      </c>
      <c r="Q541" s="70" t="str">
        <f>IF($J541=Q$3,IF(Q$3&gt;$I540,"-",ROUNDUP(Ld_cal($B540, $C540, $D540, $G540,$E540, $F540, $H540, Q$3)*1.3,0)),"-")</f>
        <v>-</v>
      </c>
      <c r="R541" s="70" t="str">
        <f>IF($J541=R$3,IF(R$3&gt;$I540,"-",ROUNDUP(Ld_cal($B540, $C540, $D540, $G540,$E540, $F540, $H540, R$3)*1.3,0)),"-")</f>
        <v>-</v>
      </c>
      <c r="S541" s="70" t="str">
        <f>IF($J541=S$3,IF(S$3&gt;$I540,"-",ROUNDUP(Ld_cal($B540, $C540, $D540, $G540,$E540, $F540, $H540, S$3)*1.3,0)),"-")</f>
        <v>-</v>
      </c>
      <c r="T541" s="70" t="str">
        <f>IF($J541=T$3,IF(T$3&gt;$I540,"-",ROUNDUP(Ld_cal($B540, $C540, $D540, $G540,$E540, $F540, $H540, T$3)*1.3,0)),"-")</f>
        <v>-</v>
      </c>
      <c r="U541" s="70" t="str">
        <f>IF($J541=U$3,IF(U$3&gt;$I540,"-",ROUNDUP(Ld_cal($B540, $C540, $D540, $G540,$E540, $F540, $H540, U$3)*1.3,0)),"-")</f>
        <v>-</v>
      </c>
      <c r="V541" s="70" t="str">
        <f>IF($J541=V$3,IF(V$3&gt;$I540,"-",ROUNDUP(Ld_cal($B540, $C540, $D540, $G540,$E540, $F540, $H540, V$3)*1.3,0)),"-")</f>
        <v>-</v>
      </c>
      <c r="W541" s="70" t="str">
        <f>IF($J541=W$3,IF(W$3&gt;$I540,"-",ROUNDUP(Ld_cal($B540, $C540, $D540, $G540,$E540, $F540, $H540, W$3)*1.3,0)),"-")</f>
        <v>-</v>
      </c>
      <c r="X541" s="70" t="str">
        <f>IF($J541=X$3,IF(X$3&gt;$I540,"-",ROUNDUP(Ld_cal($B540, $C540, $D540, $G540,$E540, $F540, $H540, X$3)*1.3,0)),"-")</f>
        <v>-</v>
      </c>
      <c r="Y541" s="70" t="str">
        <f>IF($J541=Y$3,IF(Y$3&gt;$I540,"-",ROUNDUP(Ld_cal($B540, $C540, $D540, $G540,$E540, $F540, $H540, Y$3)*1.3,0)),"-")</f>
        <v>-</v>
      </c>
      <c r="Z541" s="70" t="str">
        <f>IF($J541=Z$3,IF(Z$3&gt;$I540,"-",ROUNDUP(Ld_cal($B540, $C540, $D540, $G540,$E540, $F540, $H540, Z$3)*1.3,0)),"-")</f>
        <v>-</v>
      </c>
      <c r="AA541" s="70" t="str">
        <f>IF($J541=AA$3,IF(AA$3&gt;$I540,"-",ROUNDUP(Ld_cal($B540, $C540, $D540, $G540,$E540, $F540, $H540, AA$3)*1.3,0)),"-")</f>
        <v>-</v>
      </c>
      <c r="AB541" s="70" t="str">
        <f>IF($J541=AB$3,IF(AB$3&gt;$I540,"-",ROUNDUP(Ld_cal($B540, $C540, $D540, $G540,$E540, $F540, $H540, AB$3)*1.3,0)),"-")</f>
        <v>-</v>
      </c>
      <c r="AC541" s="70" t="str">
        <f>IF($J541=AC$3,IF(AC$3&gt;$I540,"-",ROUNDUP(Ld_cal($B540, $C540, $D540, $G540,$E540, $F540, $H540, AC$3)*1.3,0)),"-")</f>
        <v>-</v>
      </c>
      <c r="AD541" s="70">
        <f t="shared" ref="AD541" si="531">IF(J541&gt;I540,"依標準圖",MAX(L541:AC541))</f>
        <v>122</v>
      </c>
    </row>
    <row r="542" spans="1:30">
      <c r="A542" s="125" t="s">
        <v>312</v>
      </c>
      <c r="B542" s="127">
        <v>80</v>
      </c>
      <c r="C542" s="128">
        <v>7.5</v>
      </c>
      <c r="D542" s="127">
        <v>4200</v>
      </c>
      <c r="E542" s="129">
        <v>13</v>
      </c>
      <c r="F542" s="130">
        <v>16</v>
      </c>
      <c r="G542" s="127">
        <v>350</v>
      </c>
      <c r="H542" s="129">
        <v>32</v>
      </c>
      <c r="I542" s="131">
        <f>ROUNDDOWN(($B542-2*$C542-2*$E542/10-$H542/10)/(($D$1+1)*$H542/10),0)+1</f>
        <v>10</v>
      </c>
      <c r="J542" s="75">
        <v>4</v>
      </c>
      <c r="K542" s="76" t="s">
        <v>30</v>
      </c>
      <c r="L542" s="77" t="str">
        <f>IF($J542=L$3,IF(L$3&gt;$I542,"-",ROUNDUP(Ld_cal($B542, $C542, $D542, $G542,$E542, $F542, $H542, L$3)*1.3*1.3,0)),"-")</f>
        <v>-</v>
      </c>
      <c r="M542" s="77">
        <f>IF($J542=M$3,IF(M$3&gt;$I542,"-",ROUNDUP(Ld_cal($B542, $C542, $D542, $G542,$E542, $F542, $H542, M$3)*1.3*1.3,0)),"-")</f>
        <v>136</v>
      </c>
      <c r="N542" s="77" t="str">
        <f>IF($J542=N$3,IF(N$3&gt;$I542,"-",ROUNDUP(Ld_cal($B542, $C542, $D542, $G542,$E542, $F542, $H542, N$3)*1.3*1.3,0)),"-")</f>
        <v>-</v>
      </c>
      <c r="O542" s="77" t="str">
        <f>IF($J542=O$3,IF(O$3&gt;$I542,"-",ROUNDUP(Ld_cal($B542, $C542, $D542, $G542,$E542, $F542, $H542, O$3)*1.3*1.3,0)),"-")</f>
        <v>-</v>
      </c>
      <c r="P542" s="77" t="str">
        <f>IF($J542=P$3,IF(P$3&gt;$I542,"-",ROUNDUP(Ld_cal($B542, $C542, $D542, $G542,$E542, $F542, $H542, P$3)*1.3*1.3,0)),"-")</f>
        <v>-</v>
      </c>
      <c r="Q542" s="77" t="str">
        <f>IF($J542=Q$3,IF(Q$3&gt;$I542,"-",ROUNDUP(Ld_cal($B542, $C542, $D542, $G542,$E542, $F542, $H542, Q$3)*1.3*1.3,0)),"-")</f>
        <v>-</v>
      </c>
      <c r="R542" s="77" t="str">
        <f>IF($J542=R$3,IF(R$3&gt;$I542,"-",ROUNDUP(Ld_cal($B542, $C542, $D542, $G542,$E542, $F542, $H542, R$3)*1.3*1.3,0)),"-")</f>
        <v>-</v>
      </c>
      <c r="S542" s="77" t="str">
        <f>IF($J542=S$3,IF(S$3&gt;$I542,"-",ROUNDUP(Ld_cal($B542, $C542, $D542, $G542,$E542, $F542, $H542, S$3)*1.3*1.3,0)),"-")</f>
        <v>-</v>
      </c>
      <c r="T542" s="77" t="str">
        <f>IF($J542=T$3,IF(T$3&gt;$I542,"-",ROUNDUP(Ld_cal($B542, $C542, $D542, $G542,$E542, $F542, $H542, T$3)*1.3*1.3,0)),"-")</f>
        <v>-</v>
      </c>
      <c r="U542" s="77" t="str">
        <f>IF($J542=U$3,IF(U$3&gt;$I542,"-",ROUNDUP(Ld_cal($B542, $C542, $D542, $G542,$E542, $F542, $H542, U$3)*1.3*1.3,0)),"-")</f>
        <v>-</v>
      </c>
      <c r="V542" s="77" t="str">
        <f>IF($J542=V$3,IF(V$3&gt;$I542,"-",ROUNDUP(Ld_cal($B542, $C542, $D542, $G542,$E542, $F542, $H542, V$3)*1.3*1.3,0)),"-")</f>
        <v>-</v>
      </c>
      <c r="W542" s="77" t="str">
        <f>IF($J542=W$3,IF(W$3&gt;$I542,"-",ROUNDUP(Ld_cal($B542, $C542, $D542, $G542,$E542, $F542, $H542, W$3)*1.3*1.3,0)),"-")</f>
        <v>-</v>
      </c>
      <c r="X542" s="77" t="str">
        <f>IF($J542=X$3,IF(X$3&gt;$I542,"-",ROUNDUP(Ld_cal($B542, $C542, $D542, $G542,$E542, $F542, $H542, X$3)*1.3*1.3,0)),"-")</f>
        <v>-</v>
      </c>
      <c r="Y542" s="77" t="str">
        <f>IF($J542=Y$3,IF(Y$3&gt;$I542,"-",ROUNDUP(Ld_cal($B542, $C542, $D542, $G542,$E542, $F542, $H542, Y$3)*1.3*1.3,0)),"-")</f>
        <v>-</v>
      </c>
      <c r="Z542" s="77" t="str">
        <f>IF($J542=Z$3,IF(Z$3&gt;$I542,"-",ROUNDUP(Ld_cal($B542, $C542, $D542, $G542,$E542, $F542, $H542, Z$3)*1.3*1.3,0)),"-")</f>
        <v>-</v>
      </c>
      <c r="AA542" s="77" t="str">
        <f>IF($J542=AA$3,IF(AA$3&gt;$I542,"-",ROUNDUP(Ld_cal($B542, $C542, $D542, $G542,$E542, $F542, $H542, AA$3)*1.3*1.3,0)),"-")</f>
        <v>-</v>
      </c>
      <c r="AB542" s="77" t="str">
        <f>IF($J542=AB$3,IF(AB$3&gt;$I542,"-",ROUNDUP(Ld_cal($B542, $C542, $D542, $G542,$E542, $F542, $H542, AB$3)*1.3*1.3,0)),"-")</f>
        <v>-</v>
      </c>
      <c r="AC542" s="77" t="str">
        <f>IF($J542=AC$3,IF(AC$3&gt;$I542,"-",ROUNDUP(Ld_cal($B542, $C542, $D542, $G542,$E542, $F542, $H542, AC$3)*1.3*1.3,0)),"-")</f>
        <v>-</v>
      </c>
      <c r="AD542" s="77">
        <f t="shared" ref="AD542" si="532">IF(J542&gt;I542,"依標準圖",MAX(L542:AC542))</f>
        <v>136</v>
      </c>
    </row>
    <row r="543" spans="1:30">
      <c r="A543" s="126"/>
      <c r="B543" s="127"/>
      <c r="C543" s="128"/>
      <c r="D543" s="127"/>
      <c r="E543" s="129"/>
      <c r="F543" s="130"/>
      <c r="G543" s="127"/>
      <c r="H543" s="129"/>
      <c r="I543" s="131"/>
      <c r="J543" s="75">
        <v>8</v>
      </c>
      <c r="K543" s="76" t="s">
        <v>29</v>
      </c>
      <c r="L543" s="77" t="str">
        <f>IF($J543=L$3,IF(L$3&gt;$I542,"-",ROUNDUP(Ld_cal($B542, $C542, $D542, $G542,$E542, $F542, $H542, L$3)*1.3,0)),"-")</f>
        <v>-</v>
      </c>
      <c r="M543" s="77" t="str">
        <f>IF($J543=M$3,IF(M$3&gt;$I542,"-",ROUNDUP(Ld_cal($B542, $C542, $D542, $G542,$E542, $F542, $H542, M$3)*1.3,0)),"-")</f>
        <v>-</v>
      </c>
      <c r="N543" s="77" t="str">
        <f>IF($J543=N$3,IF(N$3&gt;$I542,"-",ROUNDUP(Ld_cal($B542, $C542, $D542, $G542,$E542, $F542, $H542, N$3)*1.3,0)),"-")</f>
        <v>-</v>
      </c>
      <c r="O543" s="77" t="str">
        <f>IF($J543=O$3,IF(O$3&gt;$I542,"-",ROUNDUP(Ld_cal($B542, $C542, $D542, $G542,$E542, $F542, $H542, O$3)*1.3,0)),"-")</f>
        <v>-</v>
      </c>
      <c r="P543" s="77" t="str">
        <f>IF($J543=P$3,IF(P$3&gt;$I542,"-",ROUNDUP(Ld_cal($B542, $C542, $D542, $G542,$E542, $F542, $H542, P$3)*1.3,0)),"-")</f>
        <v>-</v>
      </c>
      <c r="Q543" s="77">
        <f>IF($J543=Q$3,IF(Q$3&gt;$I542,"-",ROUNDUP(Ld_cal($B542, $C542, $D542, $G542,$E542, $F542, $H542, Q$3)*1.3,0)),"-")</f>
        <v>166</v>
      </c>
      <c r="R543" s="77" t="str">
        <f>IF($J543=R$3,IF(R$3&gt;$I542,"-",ROUNDUP(Ld_cal($B542, $C542, $D542, $G542,$E542, $F542, $H542, R$3)*1.3,0)),"-")</f>
        <v>-</v>
      </c>
      <c r="S543" s="77" t="str">
        <f>IF($J543=S$3,IF(S$3&gt;$I542,"-",ROUNDUP(Ld_cal($B542, $C542, $D542, $G542,$E542, $F542, $H542, S$3)*1.3,0)),"-")</f>
        <v>-</v>
      </c>
      <c r="T543" s="77" t="str">
        <f>IF($J543=T$3,IF(T$3&gt;$I542,"-",ROUNDUP(Ld_cal($B542, $C542, $D542, $G542,$E542, $F542, $H542, T$3)*1.3,0)),"-")</f>
        <v>-</v>
      </c>
      <c r="U543" s="77" t="str">
        <f>IF($J543=U$3,IF(U$3&gt;$I542,"-",ROUNDUP(Ld_cal($B542, $C542, $D542, $G542,$E542, $F542, $H542, U$3)*1.3,0)),"-")</f>
        <v>-</v>
      </c>
      <c r="V543" s="77" t="str">
        <f>IF($J543=V$3,IF(V$3&gt;$I542,"-",ROUNDUP(Ld_cal($B542, $C542, $D542, $G542,$E542, $F542, $H542, V$3)*1.3,0)),"-")</f>
        <v>-</v>
      </c>
      <c r="W543" s="77" t="str">
        <f>IF($J543=W$3,IF(W$3&gt;$I542,"-",ROUNDUP(Ld_cal($B542, $C542, $D542, $G542,$E542, $F542, $H542, W$3)*1.3,0)),"-")</f>
        <v>-</v>
      </c>
      <c r="X543" s="77" t="str">
        <f>IF($J543=X$3,IF(X$3&gt;$I542,"-",ROUNDUP(Ld_cal($B542, $C542, $D542, $G542,$E542, $F542, $H542, X$3)*1.3,0)),"-")</f>
        <v>-</v>
      </c>
      <c r="Y543" s="77" t="str">
        <f>IF($J543=Y$3,IF(Y$3&gt;$I542,"-",ROUNDUP(Ld_cal($B542, $C542, $D542, $G542,$E542, $F542, $H542, Y$3)*1.3,0)),"-")</f>
        <v>-</v>
      </c>
      <c r="Z543" s="77" t="str">
        <f>IF($J543=Z$3,IF(Z$3&gt;$I542,"-",ROUNDUP(Ld_cal($B542, $C542, $D542, $G542,$E542, $F542, $H542, Z$3)*1.3,0)),"-")</f>
        <v>-</v>
      </c>
      <c r="AA543" s="77" t="str">
        <f>IF($J543=AA$3,IF(AA$3&gt;$I542,"-",ROUNDUP(Ld_cal($B542, $C542, $D542, $G542,$E542, $F542, $H542, AA$3)*1.3,0)),"-")</f>
        <v>-</v>
      </c>
      <c r="AB543" s="77" t="str">
        <f>IF($J543=AB$3,IF(AB$3&gt;$I542,"-",ROUNDUP(Ld_cal($B542, $C542, $D542, $G542,$E542, $F542, $H542, AB$3)*1.3,0)),"-")</f>
        <v>-</v>
      </c>
      <c r="AC543" s="77" t="str">
        <f>IF($J543=AC$3,IF(AC$3&gt;$I542,"-",ROUNDUP(Ld_cal($B542, $C542, $D542, $G542,$E542, $F542, $H542, AC$3)*1.3,0)),"-")</f>
        <v>-</v>
      </c>
      <c r="AD543" s="77">
        <f t="shared" ref="AD543" si="533">IF(J543&gt;I542,"依標準圖",MAX(L543:AC543))</f>
        <v>166</v>
      </c>
    </row>
    <row r="544" spans="1:30">
      <c r="A544" s="105" t="s">
        <v>313</v>
      </c>
      <c r="B544" s="107">
        <v>80</v>
      </c>
      <c r="C544" s="108">
        <v>7.5</v>
      </c>
      <c r="D544" s="107">
        <v>4200</v>
      </c>
      <c r="E544" s="109">
        <v>13</v>
      </c>
      <c r="F544" s="110">
        <v>9</v>
      </c>
      <c r="G544" s="107">
        <v>350</v>
      </c>
      <c r="H544" s="109">
        <v>32</v>
      </c>
      <c r="I544" s="111">
        <f>ROUNDDOWN(($B544-2*$C544-2*$E544/10-$H544/10)/(($D$1+1)*$H544/10),0)+1</f>
        <v>10</v>
      </c>
      <c r="J544" s="73">
        <v>11</v>
      </c>
      <c r="K544" s="40" t="s">
        <v>30</v>
      </c>
      <c r="L544" s="70" t="str">
        <f>IF($J544=L$3,IF(L$3&gt;$I544,"-",ROUNDUP(Ld_cal($B544, $C544, $D544, $G544,$E544, $F544, $H544, L$3)*1.3*1.3,0)),"-")</f>
        <v>-</v>
      </c>
      <c r="M544" s="70" t="str">
        <f>IF($J544=M$3,IF(M$3&gt;$I544,"-",ROUNDUP(Ld_cal($B544, $C544, $D544, $G544,$E544, $F544, $H544, M$3)*1.3*1.3,0)),"-")</f>
        <v>-</v>
      </c>
      <c r="N544" s="70" t="str">
        <f>IF($J544=N$3,IF(N$3&gt;$I544,"-",ROUNDUP(Ld_cal($B544, $C544, $D544, $G544,$E544, $F544, $H544, N$3)*1.3*1.3,0)),"-")</f>
        <v>-</v>
      </c>
      <c r="O544" s="70" t="str">
        <f>IF($J544=O$3,IF(O$3&gt;$I544,"-",ROUNDUP(Ld_cal($B544, $C544, $D544, $G544,$E544, $F544, $H544, O$3)*1.3*1.3,0)),"-")</f>
        <v>-</v>
      </c>
      <c r="P544" s="70" t="str">
        <f>IF($J544=P$3,IF(P$3&gt;$I544,"-",ROUNDUP(Ld_cal($B544, $C544, $D544, $G544,$E544, $F544, $H544, P$3)*1.3*1.3,0)),"-")</f>
        <v>-</v>
      </c>
      <c r="Q544" s="70" t="str">
        <f>IF($J544=Q$3,IF(Q$3&gt;$I544,"-",ROUNDUP(Ld_cal($B544, $C544, $D544, $G544,$E544, $F544, $H544, Q$3)*1.3*1.3,0)),"-")</f>
        <v>-</v>
      </c>
      <c r="R544" s="70" t="str">
        <f>IF($J544=R$3,IF(R$3&gt;$I544,"-",ROUNDUP(Ld_cal($B544, $C544, $D544, $G544,$E544, $F544, $H544, R$3)*1.3*1.3,0)),"-")</f>
        <v>-</v>
      </c>
      <c r="S544" s="70" t="str">
        <f>IF($J544=S$3,IF(S$3&gt;$I544,"-",ROUNDUP(Ld_cal($B544, $C544, $D544, $G544,$E544, $F544, $H544, S$3)*1.3*1.3,0)),"-")</f>
        <v>-</v>
      </c>
      <c r="T544" s="70" t="str">
        <f>IF($J544=T$3,IF(T$3&gt;$I544,"-",ROUNDUP(Ld_cal($B544, $C544, $D544, $G544,$E544, $F544, $H544, T$3)*1.3*1.3,0)),"-")</f>
        <v>-</v>
      </c>
      <c r="U544" s="70" t="str">
        <f>IF($J544=U$3,IF(U$3&gt;$I544,"-",ROUNDUP(Ld_cal($B544, $C544, $D544, $G544,$E544, $F544, $H544, U$3)*1.3*1.3,0)),"-")</f>
        <v>-</v>
      </c>
      <c r="V544" s="70" t="str">
        <f>IF($J544=V$3,IF(V$3&gt;$I544,"-",ROUNDUP(Ld_cal($B544, $C544, $D544, $G544,$E544, $F544, $H544, V$3)*1.3*1.3,0)),"-")</f>
        <v>-</v>
      </c>
      <c r="W544" s="70" t="str">
        <f>IF($J544=W$3,IF(W$3&gt;$I544,"-",ROUNDUP(Ld_cal($B544, $C544, $D544, $G544,$E544, $F544, $H544, W$3)*1.3*1.3,0)),"-")</f>
        <v>-</v>
      </c>
      <c r="X544" s="70" t="str">
        <f>IF($J544=X$3,IF(X$3&gt;$I544,"-",ROUNDUP(Ld_cal($B544, $C544, $D544, $G544,$E544, $F544, $H544, X$3)*1.3*1.3,0)),"-")</f>
        <v>-</v>
      </c>
      <c r="Y544" s="70" t="str">
        <f>IF($J544=Y$3,IF(Y$3&gt;$I544,"-",ROUNDUP(Ld_cal($B544, $C544, $D544, $G544,$E544, $F544, $H544, Y$3)*1.3*1.3,0)),"-")</f>
        <v>-</v>
      </c>
      <c r="Z544" s="70" t="str">
        <f>IF($J544=Z$3,IF(Z$3&gt;$I544,"-",ROUNDUP(Ld_cal($B544, $C544, $D544, $G544,$E544, $F544, $H544, Z$3)*1.3*1.3,0)),"-")</f>
        <v>-</v>
      </c>
      <c r="AA544" s="70" t="str">
        <f>IF($J544=AA$3,IF(AA$3&gt;$I544,"-",ROUNDUP(Ld_cal($B544, $C544, $D544, $G544,$E544, $F544, $H544, AA$3)*1.3*1.3,0)),"-")</f>
        <v>-</v>
      </c>
      <c r="AB544" s="70" t="str">
        <f>IF($J544=AB$3,IF(AB$3&gt;$I544,"-",ROUNDUP(Ld_cal($B544, $C544, $D544, $G544,$E544, $F544, $H544, AB$3)*1.3*1.3,0)),"-")</f>
        <v>-</v>
      </c>
      <c r="AC544" s="70" t="str">
        <f>IF($J544=AC$3,IF(AC$3&gt;$I544,"-",ROUNDUP(Ld_cal($B544, $C544, $D544, $G544,$E544, $F544, $H544, AC$3)*1.3*1.3,0)),"-")</f>
        <v>-</v>
      </c>
      <c r="AD544" s="70" t="str">
        <f t="shared" ref="AD544" si="534">IF(J544&gt;I544,"依標準圖",MAX(L544:AC544))</f>
        <v>依標準圖</v>
      </c>
    </row>
    <row r="545" spans="1:30">
      <c r="A545" s="106"/>
      <c r="B545" s="107"/>
      <c r="C545" s="108"/>
      <c r="D545" s="107"/>
      <c r="E545" s="109"/>
      <c r="F545" s="110"/>
      <c r="G545" s="107"/>
      <c r="H545" s="109"/>
      <c r="I545" s="111"/>
      <c r="J545" s="73">
        <v>7</v>
      </c>
      <c r="K545" s="40" t="s">
        <v>29</v>
      </c>
      <c r="L545" s="70" t="str">
        <f>IF($J545=L$3,IF(L$3&gt;$I544,"-",ROUNDUP(Ld_cal($B544, $C544, $D544, $G544,$E544, $F544, $H544, L$3)*1.3,0)),"-")</f>
        <v>-</v>
      </c>
      <c r="M545" s="70" t="str">
        <f>IF($J545=M$3,IF(M$3&gt;$I544,"-",ROUNDUP(Ld_cal($B544, $C544, $D544, $G544,$E544, $F544, $H544, M$3)*1.3,0)),"-")</f>
        <v>-</v>
      </c>
      <c r="N545" s="70" t="str">
        <f>IF($J545=N$3,IF(N$3&gt;$I544,"-",ROUNDUP(Ld_cal($B544, $C544, $D544, $G544,$E544, $F544, $H544, N$3)*1.3,0)),"-")</f>
        <v>-</v>
      </c>
      <c r="O545" s="70" t="str">
        <f>IF($J545=O$3,IF(O$3&gt;$I544,"-",ROUNDUP(Ld_cal($B544, $C544, $D544, $G544,$E544, $F544, $H544, O$3)*1.3,0)),"-")</f>
        <v>-</v>
      </c>
      <c r="P545" s="70">
        <f>IF($J545=P$3,IF(P$3&gt;$I544,"-",ROUNDUP(Ld_cal($B544, $C544, $D544, $G544,$E544, $F544, $H544, P$3)*1.3,0)),"-")</f>
        <v>127</v>
      </c>
      <c r="Q545" s="70" t="str">
        <f>IF($J545=Q$3,IF(Q$3&gt;$I544,"-",ROUNDUP(Ld_cal($B544, $C544, $D544, $G544,$E544, $F544, $H544, Q$3)*1.3,0)),"-")</f>
        <v>-</v>
      </c>
      <c r="R545" s="70" t="str">
        <f>IF($J545=R$3,IF(R$3&gt;$I544,"-",ROUNDUP(Ld_cal($B544, $C544, $D544, $G544,$E544, $F544, $H544, R$3)*1.3,0)),"-")</f>
        <v>-</v>
      </c>
      <c r="S545" s="70" t="str">
        <f>IF($J545=S$3,IF(S$3&gt;$I544,"-",ROUNDUP(Ld_cal($B544, $C544, $D544, $G544,$E544, $F544, $H544, S$3)*1.3,0)),"-")</f>
        <v>-</v>
      </c>
      <c r="T545" s="70" t="str">
        <f>IF($J545=T$3,IF(T$3&gt;$I544,"-",ROUNDUP(Ld_cal($B544, $C544, $D544, $G544,$E544, $F544, $H544, T$3)*1.3,0)),"-")</f>
        <v>-</v>
      </c>
      <c r="U545" s="70" t="str">
        <f>IF($J545=U$3,IF(U$3&gt;$I544,"-",ROUNDUP(Ld_cal($B544, $C544, $D544, $G544,$E544, $F544, $H544, U$3)*1.3,0)),"-")</f>
        <v>-</v>
      </c>
      <c r="V545" s="70" t="str">
        <f>IF($J545=V$3,IF(V$3&gt;$I544,"-",ROUNDUP(Ld_cal($B544, $C544, $D544, $G544,$E544, $F544, $H544, V$3)*1.3,0)),"-")</f>
        <v>-</v>
      </c>
      <c r="W545" s="70" t="str">
        <f>IF($J545=W$3,IF(W$3&gt;$I544,"-",ROUNDUP(Ld_cal($B544, $C544, $D544, $G544,$E544, $F544, $H544, W$3)*1.3,0)),"-")</f>
        <v>-</v>
      </c>
      <c r="X545" s="70" t="str">
        <f>IF($J545=X$3,IF(X$3&gt;$I544,"-",ROUNDUP(Ld_cal($B544, $C544, $D544, $G544,$E544, $F544, $H544, X$3)*1.3,0)),"-")</f>
        <v>-</v>
      </c>
      <c r="Y545" s="70" t="str">
        <f>IF($J545=Y$3,IF(Y$3&gt;$I544,"-",ROUNDUP(Ld_cal($B544, $C544, $D544, $G544,$E544, $F544, $H544, Y$3)*1.3,0)),"-")</f>
        <v>-</v>
      </c>
      <c r="Z545" s="70" t="str">
        <f>IF($J545=Z$3,IF(Z$3&gt;$I544,"-",ROUNDUP(Ld_cal($B544, $C544, $D544, $G544,$E544, $F544, $H544, Z$3)*1.3,0)),"-")</f>
        <v>-</v>
      </c>
      <c r="AA545" s="70" t="str">
        <f>IF($J545=AA$3,IF(AA$3&gt;$I544,"-",ROUNDUP(Ld_cal($B544, $C544, $D544, $G544,$E544, $F544, $H544, AA$3)*1.3,0)),"-")</f>
        <v>-</v>
      </c>
      <c r="AB545" s="70" t="str">
        <f>IF($J545=AB$3,IF(AB$3&gt;$I544,"-",ROUNDUP(Ld_cal($B544, $C544, $D544, $G544,$E544, $F544, $H544, AB$3)*1.3,0)),"-")</f>
        <v>-</v>
      </c>
      <c r="AC545" s="70" t="str">
        <f>IF($J545=AC$3,IF(AC$3&gt;$I544,"-",ROUNDUP(Ld_cal($B544, $C544, $D544, $G544,$E544, $F544, $H544, AC$3)*1.3,0)),"-")</f>
        <v>-</v>
      </c>
      <c r="AD545" s="70">
        <f t="shared" ref="AD545" si="535">IF(J545&gt;I544,"依標準圖",MAX(L545:AC545))</f>
        <v>127</v>
      </c>
    </row>
  </sheetData>
  <mergeCells count="2435">
    <mergeCell ref="A542:A543"/>
    <mergeCell ref="B542:B543"/>
    <mergeCell ref="C542:C543"/>
    <mergeCell ref="D542:D543"/>
    <mergeCell ref="E542:E543"/>
    <mergeCell ref="F542:F543"/>
    <mergeCell ref="G542:G543"/>
    <mergeCell ref="H542:H543"/>
    <mergeCell ref="I542:I543"/>
    <mergeCell ref="A544:A545"/>
    <mergeCell ref="B544:B545"/>
    <mergeCell ref="C544:C545"/>
    <mergeCell ref="D544:D545"/>
    <mergeCell ref="E544:E545"/>
    <mergeCell ref="F544:F545"/>
    <mergeCell ref="G544:G545"/>
    <mergeCell ref="H544:H545"/>
    <mergeCell ref="I544:I545"/>
    <mergeCell ref="A538:A539"/>
    <mergeCell ref="B538:B539"/>
    <mergeCell ref="C538:C539"/>
    <mergeCell ref="D538:D539"/>
    <mergeCell ref="E538:E539"/>
    <mergeCell ref="F538:F539"/>
    <mergeCell ref="G538:G539"/>
    <mergeCell ref="H538:H539"/>
    <mergeCell ref="I538:I539"/>
    <mergeCell ref="A540:A541"/>
    <mergeCell ref="B540:B541"/>
    <mergeCell ref="C540:C541"/>
    <mergeCell ref="D540:D541"/>
    <mergeCell ref="E540:E541"/>
    <mergeCell ref="F540:F541"/>
    <mergeCell ref="G540:G541"/>
    <mergeCell ref="H540:H541"/>
    <mergeCell ref="I540:I541"/>
    <mergeCell ref="A534:A535"/>
    <mergeCell ref="B534:B535"/>
    <mergeCell ref="C534:C535"/>
    <mergeCell ref="D534:D535"/>
    <mergeCell ref="E534:E535"/>
    <mergeCell ref="F534:F535"/>
    <mergeCell ref="G534:G535"/>
    <mergeCell ref="H534:H535"/>
    <mergeCell ref="I534:I535"/>
    <mergeCell ref="A536:A537"/>
    <mergeCell ref="B536:B537"/>
    <mergeCell ref="C536:C537"/>
    <mergeCell ref="D536:D537"/>
    <mergeCell ref="E536:E537"/>
    <mergeCell ref="F536:F537"/>
    <mergeCell ref="G536:G537"/>
    <mergeCell ref="H536:H537"/>
    <mergeCell ref="I536:I537"/>
    <mergeCell ref="A530:A531"/>
    <mergeCell ref="B530:B531"/>
    <mergeCell ref="C530:C531"/>
    <mergeCell ref="D530:D531"/>
    <mergeCell ref="E530:E531"/>
    <mergeCell ref="F530:F531"/>
    <mergeCell ref="G530:G531"/>
    <mergeCell ref="H530:H531"/>
    <mergeCell ref="I530:I531"/>
    <mergeCell ref="A532:A533"/>
    <mergeCell ref="B532:B533"/>
    <mergeCell ref="C532:C533"/>
    <mergeCell ref="D532:D533"/>
    <mergeCell ref="E532:E533"/>
    <mergeCell ref="F532:F533"/>
    <mergeCell ref="G532:G533"/>
    <mergeCell ref="H532:H533"/>
    <mergeCell ref="I532:I533"/>
    <mergeCell ref="A526:A527"/>
    <mergeCell ref="B526:B527"/>
    <mergeCell ref="C526:C527"/>
    <mergeCell ref="D526:D527"/>
    <mergeCell ref="E526:E527"/>
    <mergeCell ref="F526:F527"/>
    <mergeCell ref="G526:G527"/>
    <mergeCell ref="H526:H527"/>
    <mergeCell ref="I526:I527"/>
    <mergeCell ref="A528:A529"/>
    <mergeCell ref="B528:B529"/>
    <mergeCell ref="C528:C529"/>
    <mergeCell ref="D528:D529"/>
    <mergeCell ref="E528:E529"/>
    <mergeCell ref="F528:F529"/>
    <mergeCell ref="G528:G529"/>
    <mergeCell ref="H528:H529"/>
    <mergeCell ref="I528:I529"/>
    <mergeCell ref="A522:A523"/>
    <mergeCell ref="B522:B523"/>
    <mergeCell ref="C522:C523"/>
    <mergeCell ref="D522:D523"/>
    <mergeCell ref="E522:E523"/>
    <mergeCell ref="F522:F523"/>
    <mergeCell ref="G522:G523"/>
    <mergeCell ref="H522:H523"/>
    <mergeCell ref="I522:I523"/>
    <mergeCell ref="A524:A525"/>
    <mergeCell ref="B524:B525"/>
    <mergeCell ref="C524:C525"/>
    <mergeCell ref="D524:D525"/>
    <mergeCell ref="E524:E525"/>
    <mergeCell ref="F524:F525"/>
    <mergeCell ref="G524:G525"/>
    <mergeCell ref="H524:H525"/>
    <mergeCell ref="I524:I525"/>
    <mergeCell ref="A518:A519"/>
    <mergeCell ref="B518:B519"/>
    <mergeCell ref="C518:C519"/>
    <mergeCell ref="D518:D519"/>
    <mergeCell ref="E518:E519"/>
    <mergeCell ref="F518:F519"/>
    <mergeCell ref="G518:G519"/>
    <mergeCell ref="H518:H519"/>
    <mergeCell ref="I518:I519"/>
    <mergeCell ref="A520:A521"/>
    <mergeCell ref="B520:B521"/>
    <mergeCell ref="C520:C521"/>
    <mergeCell ref="D520:D521"/>
    <mergeCell ref="E520:E521"/>
    <mergeCell ref="F520:F521"/>
    <mergeCell ref="G520:G521"/>
    <mergeCell ref="H520:H521"/>
    <mergeCell ref="I520:I521"/>
    <mergeCell ref="A514:A515"/>
    <mergeCell ref="B514:B515"/>
    <mergeCell ref="C514:C515"/>
    <mergeCell ref="D514:D515"/>
    <mergeCell ref="E514:E515"/>
    <mergeCell ref="F514:F515"/>
    <mergeCell ref="G514:G515"/>
    <mergeCell ref="H514:H515"/>
    <mergeCell ref="I514:I515"/>
    <mergeCell ref="A516:A517"/>
    <mergeCell ref="B516:B517"/>
    <mergeCell ref="C516:C517"/>
    <mergeCell ref="D516:D517"/>
    <mergeCell ref="E516:E517"/>
    <mergeCell ref="F516:F517"/>
    <mergeCell ref="G516:G517"/>
    <mergeCell ref="H516:H517"/>
    <mergeCell ref="I516:I517"/>
    <mergeCell ref="A510:A511"/>
    <mergeCell ref="B510:B511"/>
    <mergeCell ref="C510:C511"/>
    <mergeCell ref="D510:D511"/>
    <mergeCell ref="E510:E511"/>
    <mergeCell ref="F510:F511"/>
    <mergeCell ref="G510:G511"/>
    <mergeCell ref="H510:H511"/>
    <mergeCell ref="I510:I511"/>
    <mergeCell ref="A512:A513"/>
    <mergeCell ref="B512:B513"/>
    <mergeCell ref="C512:C513"/>
    <mergeCell ref="D512:D513"/>
    <mergeCell ref="E512:E513"/>
    <mergeCell ref="F512:F513"/>
    <mergeCell ref="G512:G513"/>
    <mergeCell ref="H512:H513"/>
    <mergeCell ref="I512:I513"/>
    <mergeCell ref="A506:A507"/>
    <mergeCell ref="B506:B507"/>
    <mergeCell ref="C506:C507"/>
    <mergeCell ref="D506:D507"/>
    <mergeCell ref="E506:E507"/>
    <mergeCell ref="F506:F507"/>
    <mergeCell ref="G506:G507"/>
    <mergeCell ref="H506:H507"/>
    <mergeCell ref="I506:I507"/>
    <mergeCell ref="A508:A509"/>
    <mergeCell ref="B508:B509"/>
    <mergeCell ref="C508:C509"/>
    <mergeCell ref="D508:D509"/>
    <mergeCell ref="E508:E509"/>
    <mergeCell ref="F508:F509"/>
    <mergeCell ref="G508:G509"/>
    <mergeCell ref="H508:H509"/>
    <mergeCell ref="I508:I509"/>
    <mergeCell ref="A502:A503"/>
    <mergeCell ref="B502:B503"/>
    <mergeCell ref="C502:C503"/>
    <mergeCell ref="D502:D503"/>
    <mergeCell ref="E502:E503"/>
    <mergeCell ref="F502:F503"/>
    <mergeCell ref="G502:G503"/>
    <mergeCell ref="H502:H503"/>
    <mergeCell ref="I502:I503"/>
    <mergeCell ref="A504:A505"/>
    <mergeCell ref="B504:B505"/>
    <mergeCell ref="C504:C505"/>
    <mergeCell ref="D504:D505"/>
    <mergeCell ref="E504:E505"/>
    <mergeCell ref="F504:F505"/>
    <mergeCell ref="G504:G505"/>
    <mergeCell ref="H504:H505"/>
    <mergeCell ref="I504:I505"/>
    <mergeCell ref="A498:A499"/>
    <mergeCell ref="B498:B499"/>
    <mergeCell ref="C498:C499"/>
    <mergeCell ref="D498:D499"/>
    <mergeCell ref="E498:E499"/>
    <mergeCell ref="F498:F499"/>
    <mergeCell ref="G498:G499"/>
    <mergeCell ref="H498:H499"/>
    <mergeCell ref="I498:I499"/>
    <mergeCell ref="A500:A501"/>
    <mergeCell ref="B500:B501"/>
    <mergeCell ref="C500:C501"/>
    <mergeCell ref="D500:D501"/>
    <mergeCell ref="E500:E501"/>
    <mergeCell ref="F500:F501"/>
    <mergeCell ref="G500:G501"/>
    <mergeCell ref="H500:H501"/>
    <mergeCell ref="I500:I501"/>
    <mergeCell ref="A494:A495"/>
    <mergeCell ref="B494:B495"/>
    <mergeCell ref="C494:C495"/>
    <mergeCell ref="D494:D495"/>
    <mergeCell ref="E494:E495"/>
    <mergeCell ref="F494:F495"/>
    <mergeCell ref="G494:G495"/>
    <mergeCell ref="H494:H495"/>
    <mergeCell ref="I494:I495"/>
    <mergeCell ref="A496:A497"/>
    <mergeCell ref="B496:B497"/>
    <mergeCell ref="C496:C497"/>
    <mergeCell ref="D496:D497"/>
    <mergeCell ref="E496:E497"/>
    <mergeCell ref="F496:F497"/>
    <mergeCell ref="G496:G497"/>
    <mergeCell ref="H496:H497"/>
    <mergeCell ref="I496:I497"/>
    <mergeCell ref="A490:A491"/>
    <mergeCell ref="B490:B491"/>
    <mergeCell ref="C490:C491"/>
    <mergeCell ref="D490:D491"/>
    <mergeCell ref="E490:E491"/>
    <mergeCell ref="F490:F491"/>
    <mergeCell ref="G490:G491"/>
    <mergeCell ref="H490:H491"/>
    <mergeCell ref="I490:I491"/>
    <mergeCell ref="A492:A493"/>
    <mergeCell ref="B492:B493"/>
    <mergeCell ref="C492:C493"/>
    <mergeCell ref="D492:D493"/>
    <mergeCell ref="E492:E493"/>
    <mergeCell ref="F492:F493"/>
    <mergeCell ref="G492:G493"/>
    <mergeCell ref="H492:H493"/>
    <mergeCell ref="I492:I493"/>
    <mergeCell ref="A486:A487"/>
    <mergeCell ref="B486:B487"/>
    <mergeCell ref="C486:C487"/>
    <mergeCell ref="D486:D487"/>
    <mergeCell ref="E486:E487"/>
    <mergeCell ref="F486:F487"/>
    <mergeCell ref="G486:G487"/>
    <mergeCell ref="H486:H487"/>
    <mergeCell ref="I486:I487"/>
    <mergeCell ref="A488:A489"/>
    <mergeCell ref="B488:B489"/>
    <mergeCell ref="C488:C489"/>
    <mergeCell ref="D488:D489"/>
    <mergeCell ref="E488:E489"/>
    <mergeCell ref="F488:F489"/>
    <mergeCell ref="G488:G489"/>
    <mergeCell ref="H488:H489"/>
    <mergeCell ref="I488:I489"/>
    <mergeCell ref="A482:A483"/>
    <mergeCell ref="B482:B483"/>
    <mergeCell ref="C482:C483"/>
    <mergeCell ref="D482:D483"/>
    <mergeCell ref="E482:E483"/>
    <mergeCell ref="F482:F483"/>
    <mergeCell ref="G482:G483"/>
    <mergeCell ref="H482:H483"/>
    <mergeCell ref="I482:I483"/>
    <mergeCell ref="A484:A485"/>
    <mergeCell ref="B484:B485"/>
    <mergeCell ref="C484:C485"/>
    <mergeCell ref="D484:D485"/>
    <mergeCell ref="E484:E485"/>
    <mergeCell ref="F484:F485"/>
    <mergeCell ref="G484:G485"/>
    <mergeCell ref="H484:H485"/>
    <mergeCell ref="I484:I485"/>
    <mergeCell ref="A478:A479"/>
    <mergeCell ref="B478:B479"/>
    <mergeCell ref="C478:C479"/>
    <mergeCell ref="D478:D479"/>
    <mergeCell ref="E478:E479"/>
    <mergeCell ref="F478:F479"/>
    <mergeCell ref="G478:G479"/>
    <mergeCell ref="H478:H479"/>
    <mergeCell ref="I478:I479"/>
    <mergeCell ref="A480:A481"/>
    <mergeCell ref="B480:B481"/>
    <mergeCell ref="C480:C481"/>
    <mergeCell ref="D480:D481"/>
    <mergeCell ref="E480:E481"/>
    <mergeCell ref="F480:F481"/>
    <mergeCell ref="G480:G481"/>
    <mergeCell ref="H480:H481"/>
    <mergeCell ref="I480:I481"/>
    <mergeCell ref="A474:A475"/>
    <mergeCell ref="B474:B475"/>
    <mergeCell ref="C474:C475"/>
    <mergeCell ref="D474:D475"/>
    <mergeCell ref="E474:E475"/>
    <mergeCell ref="F474:F475"/>
    <mergeCell ref="G474:G475"/>
    <mergeCell ref="H474:H475"/>
    <mergeCell ref="I474:I475"/>
    <mergeCell ref="A476:A477"/>
    <mergeCell ref="B476:B477"/>
    <mergeCell ref="C476:C477"/>
    <mergeCell ref="D476:D477"/>
    <mergeCell ref="E476:E477"/>
    <mergeCell ref="F476:F477"/>
    <mergeCell ref="G476:G477"/>
    <mergeCell ref="H476:H477"/>
    <mergeCell ref="I476:I477"/>
    <mergeCell ref="A470:A471"/>
    <mergeCell ref="B470:B471"/>
    <mergeCell ref="C470:C471"/>
    <mergeCell ref="D470:D471"/>
    <mergeCell ref="E470:E471"/>
    <mergeCell ref="F470:F471"/>
    <mergeCell ref="G470:G471"/>
    <mergeCell ref="H470:H471"/>
    <mergeCell ref="I470:I471"/>
    <mergeCell ref="A472:A473"/>
    <mergeCell ref="B472:B473"/>
    <mergeCell ref="C472:C473"/>
    <mergeCell ref="D472:D473"/>
    <mergeCell ref="E472:E473"/>
    <mergeCell ref="F472:F473"/>
    <mergeCell ref="G472:G473"/>
    <mergeCell ref="H472:H473"/>
    <mergeCell ref="I472:I473"/>
    <mergeCell ref="A466:A467"/>
    <mergeCell ref="B466:B467"/>
    <mergeCell ref="C466:C467"/>
    <mergeCell ref="D466:D467"/>
    <mergeCell ref="E466:E467"/>
    <mergeCell ref="F466:F467"/>
    <mergeCell ref="G466:G467"/>
    <mergeCell ref="H466:H467"/>
    <mergeCell ref="I466:I467"/>
    <mergeCell ref="A468:A469"/>
    <mergeCell ref="B468:B469"/>
    <mergeCell ref="C468:C469"/>
    <mergeCell ref="D468:D469"/>
    <mergeCell ref="E468:E469"/>
    <mergeCell ref="F468:F469"/>
    <mergeCell ref="G468:G469"/>
    <mergeCell ref="H468:H469"/>
    <mergeCell ref="I468:I469"/>
    <mergeCell ref="A462:A463"/>
    <mergeCell ref="B462:B463"/>
    <mergeCell ref="C462:C463"/>
    <mergeCell ref="D462:D463"/>
    <mergeCell ref="E462:E463"/>
    <mergeCell ref="F462:F463"/>
    <mergeCell ref="G462:G463"/>
    <mergeCell ref="H462:H463"/>
    <mergeCell ref="I462:I463"/>
    <mergeCell ref="A464:A465"/>
    <mergeCell ref="B464:B465"/>
    <mergeCell ref="C464:C465"/>
    <mergeCell ref="D464:D465"/>
    <mergeCell ref="E464:E465"/>
    <mergeCell ref="F464:F465"/>
    <mergeCell ref="G464:G465"/>
    <mergeCell ref="H464:H465"/>
    <mergeCell ref="I464:I465"/>
    <mergeCell ref="A410:A411"/>
    <mergeCell ref="B410:B411"/>
    <mergeCell ref="C410:C411"/>
    <mergeCell ref="D410:D411"/>
    <mergeCell ref="E410:E411"/>
    <mergeCell ref="F410:F411"/>
    <mergeCell ref="G410:G411"/>
    <mergeCell ref="H410:H411"/>
    <mergeCell ref="I410:I411"/>
    <mergeCell ref="A408:A409"/>
    <mergeCell ref="B408:B409"/>
    <mergeCell ref="C408:C409"/>
    <mergeCell ref="D408:D409"/>
    <mergeCell ref="E408:E409"/>
    <mergeCell ref="F408:F409"/>
    <mergeCell ref="G408:G409"/>
    <mergeCell ref="H408:H409"/>
    <mergeCell ref="I408:I409"/>
    <mergeCell ref="A406:A407"/>
    <mergeCell ref="B406:B407"/>
    <mergeCell ref="C406:C407"/>
    <mergeCell ref="D406:D407"/>
    <mergeCell ref="E406:E407"/>
    <mergeCell ref="F406:F407"/>
    <mergeCell ref="G406:G407"/>
    <mergeCell ref="H406:H407"/>
    <mergeCell ref="I406:I407"/>
    <mergeCell ref="A404:A405"/>
    <mergeCell ref="B404:B405"/>
    <mergeCell ref="C404:C405"/>
    <mergeCell ref="D404:D405"/>
    <mergeCell ref="E404:E405"/>
    <mergeCell ref="F404:F405"/>
    <mergeCell ref="G404:G405"/>
    <mergeCell ref="H404:H405"/>
    <mergeCell ref="I404:I405"/>
    <mergeCell ref="A402:A403"/>
    <mergeCell ref="B402:B403"/>
    <mergeCell ref="C402:C403"/>
    <mergeCell ref="D402:D403"/>
    <mergeCell ref="E402:E403"/>
    <mergeCell ref="F402:F403"/>
    <mergeCell ref="G402:G403"/>
    <mergeCell ref="H402:H403"/>
    <mergeCell ref="I402:I403"/>
    <mergeCell ref="A400:A401"/>
    <mergeCell ref="B400:B401"/>
    <mergeCell ref="C400:C401"/>
    <mergeCell ref="D400:D401"/>
    <mergeCell ref="E400:E401"/>
    <mergeCell ref="F400:F401"/>
    <mergeCell ref="G400:G401"/>
    <mergeCell ref="H400:H401"/>
    <mergeCell ref="I400:I401"/>
    <mergeCell ref="A398:A399"/>
    <mergeCell ref="B398:B399"/>
    <mergeCell ref="C398:C399"/>
    <mergeCell ref="D398:D399"/>
    <mergeCell ref="E398:E399"/>
    <mergeCell ref="F398:F399"/>
    <mergeCell ref="G398:G399"/>
    <mergeCell ref="H398:H399"/>
    <mergeCell ref="I398:I399"/>
    <mergeCell ref="A396:A397"/>
    <mergeCell ref="B396:B397"/>
    <mergeCell ref="C396:C397"/>
    <mergeCell ref="D396:D397"/>
    <mergeCell ref="E396:E397"/>
    <mergeCell ref="F396:F397"/>
    <mergeCell ref="G396:G397"/>
    <mergeCell ref="H396:H397"/>
    <mergeCell ref="I396:I397"/>
    <mergeCell ref="A394:A395"/>
    <mergeCell ref="B394:B395"/>
    <mergeCell ref="C394:C395"/>
    <mergeCell ref="D394:D395"/>
    <mergeCell ref="E394:E395"/>
    <mergeCell ref="F394:F395"/>
    <mergeCell ref="G394:G395"/>
    <mergeCell ref="H394:H395"/>
    <mergeCell ref="I394:I395"/>
    <mergeCell ref="A392:A393"/>
    <mergeCell ref="B392:B393"/>
    <mergeCell ref="C392:C393"/>
    <mergeCell ref="D392:D393"/>
    <mergeCell ref="E392:E393"/>
    <mergeCell ref="F392:F393"/>
    <mergeCell ref="G392:G393"/>
    <mergeCell ref="H392:H393"/>
    <mergeCell ref="I392:I393"/>
    <mergeCell ref="A390:A391"/>
    <mergeCell ref="B390:B391"/>
    <mergeCell ref="C390:C391"/>
    <mergeCell ref="D390:D391"/>
    <mergeCell ref="E390:E391"/>
    <mergeCell ref="F390:F391"/>
    <mergeCell ref="G390:G391"/>
    <mergeCell ref="H390:H391"/>
    <mergeCell ref="I390:I391"/>
    <mergeCell ref="A388:A389"/>
    <mergeCell ref="B388:B389"/>
    <mergeCell ref="C388:C389"/>
    <mergeCell ref="D388:D389"/>
    <mergeCell ref="E388:E389"/>
    <mergeCell ref="F388:F389"/>
    <mergeCell ref="G388:G389"/>
    <mergeCell ref="H388:H389"/>
    <mergeCell ref="I388:I389"/>
    <mergeCell ref="A386:A387"/>
    <mergeCell ref="B386:B387"/>
    <mergeCell ref="C386:C387"/>
    <mergeCell ref="D386:D387"/>
    <mergeCell ref="E386:E387"/>
    <mergeCell ref="F386:F387"/>
    <mergeCell ref="G386:G387"/>
    <mergeCell ref="H386:H387"/>
    <mergeCell ref="I386:I387"/>
    <mergeCell ref="A384:A385"/>
    <mergeCell ref="B384:B385"/>
    <mergeCell ref="C384:C385"/>
    <mergeCell ref="D384:D385"/>
    <mergeCell ref="E384:E385"/>
    <mergeCell ref="F384:F385"/>
    <mergeCell ref="G384:G385"/>
    <mergeCell ref="H384:H385"/>
    <mergeCell ref="I384:I385"/>
    <mergeCell ref="A382:A383"/>
    <mergeCell ref="B382:B383"/>
    <mergeCell ref="C382:C383"/>
    <mergeCell ref="D382:D383"/>
    <mergeCell ref="E382:E383"/>
    <mergeCell ref="F382:F383"/>
    <mergeCell ref="G382:G383"/>
    <mergeCell ref="H382:H383"/>
    <mergeCell ref="I382:I383"/>
    <mergeCell ref="A380:A381"/>
    <mergeCell ref="B380:B381"/>
    <mergeCell ref="C380:C381"/>
    <mergeCell ref="D380:D381"/>
    <mergeCell ref="E380:E381"/>
    <mergeCell ref="F380:F381"/>
    <mergeCell ref="G380:G381"/>
    <mergeCell ref="H380:H381"/>
    <mergeCell ref="I380:I381"/>
    <mergeCell ref="A378:A379"/>
    <mergeCell ref="B378:B379"/>
    <mergeCell ref="C378:C379"/>
    <mergeCell ref="D378:D379"/>
    <mergeCell ref="E378:E379"/>
    <mergeCell ref="F378:F379"/>
    <mergeCell ref="G378:G379"/>
    <mergeCell ref="H378:H379"/>
    <mergeCell ref="I378:I379"/>
    <mergeCell ref="A376:A377"/>
    <mergeCell ref="B376:B377"/>
    <mergeCell ref="C376:C377"/>
    <mergeCell ref="D376:D377"/>
    <mergeCell ref="E376:E377"/>
    <mergeCell ref="F376:F377"/>
    <mergeCell ref="G376:G377"/>
    <mergeCell ref="H376:H377"/>
    <mergeCell ref="I376:I377"/>
    <mergeCell ref="A374:A375"/>
    <mergeCell ref="B374:B375"/>
    <mergeCell ref="C374:C375"/>
    <mergeCell ref="D374:D375"/>
    <mergeCell ref="E374:E375"/>
    <mergeCell ref="F374:F375"/>
    <mergeCell ref="G374:G375"/>
    <mergeCell ref="H374:H375"/>
    <mergeCell ref="I374:I375"/>
    <mergeCell ref="A372:A373"/>
    <mergeCell ref="B372:B373"/>
    <mergeCell ref="C372:C373"/>
    <mergeCell ref="D372:D373"/>
    <mergeCell ref="E372:E373"/>
    <mergeCell ref="F372:F373"/>
    <mergeCell ref="G372:G373"/>
    <mergeCell ref="H372:H373"/>
    <mergeCell ref="I372:I373"/>
    <mergeCell ref="A370:A371"/>
    <mergeCell ref="B370:B371"/>
    <mergeCell ref="C370:C371"/>
    <mergeCell ref="D370:D371"/>
    <mergeCell ref="E370:E371"/>
    <mergeCell ref="F370:F371"/>
    <mergeCell ref="G370:G371"/>
    <mergeCell ref="H370:H371"/>
    <mergeCell ref="I370:I371"/>
    <mergeCell ref="A368:A369"/>
    <mergeCell ref="B368:B369"/>
    <mergeCell ref="C368:C369"/>
    <mergeCell ref="D368:D369"/>
    <mergeCell ref="E368:E369"/>
    <mergeCell ref="F368:F369"/>
    <mergeCell ref="G368:G369"/>
    <mergeCell ref="H368:H369"/>
    <mergeCell ref="I368:I369"/>
    <mergeCell ref="A366:A367"/>
    <mergeCell ref="B366:B367"/>
    <mergeCell ref="C366:C367"/>
    <mergeCell ref="D366:D367"/>
    <mergeCell ref="E366:E367"/>
    <mergeCell ref="F366:F367"/>
    <mergeCell ref="G366:G367"/>
    <mergeCell ref="H366:H367"/>
    <mergeCell ref="I366:I367"/>
    <mergeCell ref="A364:A365"/>
    <mergeCell ref="B364:B365"/>
    <mergeCell ref="C364:C365"/>
    <mergeCell ref="D364:D365"/>
    <mergeCell ref="E364:E365"/>
    <mergeCell ref="F364:F365"/>
    <mergeCell ref="G364:G365"/>
    <mergeCell ref="H364:H365"/>
    <mergeCell ref="I364:I365"/>
    <mergeCell ref="A362:A363"/>
    <mergeCell ref="B362:B363"/>
    <mergeCell ref="C362:C363"/>
    <mergeCell ref="D362:D363"/>
    <mergeCell ref="E362:E363"/>
    <mergeCell ref="F362:F363"/>
    <mergeCell ref="G362:G363"/>
    <mergeCell ref="H362:H363"/>
    <mergeCell ref="I362:I363"/>
    <mergeCell ref="A360:A361"/>
    <mergeCell ref="B360:B361"/>
    <mergeCell ref="C360:C361"/>
    <mergeCell ref="D360:D361"/>
    <mergeCell ref="E360:E361"/>
    <mergeCell ref="F360:F361"/>
    <mergeCell ref="G360:G361"/>
    <mergeCell ref="H360:H361"/>
    <mergeCell ref="I360:I361"/>
    <mergeCell ref="A358:A359"/>
    <mergeCell ref="B358:B359"/>
    <mergeCell ref="C358:C359"/>
    <mergeCell ref="D358:D359"/>
    <mergeCell ref="E358:E359"/>
    <mergeCell ref="F358:F359"/>
    <mergeCell ref="G358:G359"/>
    <mergeCell ref="H358:H359"/>
    <mergeCell ref="I358:I359"/>
    <mergeCell ref="A356:A357"/>
    <mergeCell ref="B356:B357"/>
    <mergeCell ref="C356:C357"/>
    <mergeCell ref="D356:D357"/>
    <mergeCell ref="E356:E357"/>
    <mergeCell ref="F356:F357"/>
    <mergeCell ref="G356:G357"/>
    <mergeCell ref="H356:H357"/>
    <mergeCell ref="I356:I357"/>
    <mergeCell ref="A354:A355"/>
    <mergeCell ref="B354:B355"/>
    <mergeCell ref="C354:C355"/>
    <mergeCell ref="D354:D355"/>
    <mergeCell ref="E354:E355"/>
    <mergeCell ref="F354:F355"/>
    <mergeCell ref="G354:G355"/>
    <mergeCell ref="H354:H355"/>
    <mergeCell ref="I354:I355"/>
    <mergeCell ref="A352:A353"/>
    <mergeCell ref="B352:B353"/>
    <mergeCell ref="C352:C353"/>
    <mergeCell ref="D352:D353"/>
    <mergeCell ref="E352:E353"/>
    <mergeCell ref="F352:F353"/>
    <mergeCell ref="G352:G353"/>
    <mergeCell ref="H352:H353"/>
    <mergeCell ref="I352:I353"/>
    <mergeCell ref="A350:A351"/>
    <mergeCell ref="B350:B351"/>
    <mergeCell ref="C350:C351"/>
    <mergeCell ref="D350:D351"/>
    <mergeCell ref="E350:E351"/>
    <mergeCell ref="F350:F351"/>
    <mergeCell ref="G350:G351"/>
    <mergeCell ref="H350:H351"/>
    <mergeCell ref="I350:I351"/>
    <mergeCell ref="A348:A349"/>
    <mergeCell ref="B348:B349"/>
    <mergeCell ref="C348:C349"/>
    <mergeCell ref="D348:D349"/>
    <mergeCell ref="E348:E349"/>
    <mergeCell ref="F348:F349"/>
    <mergeCell ref="G348:G349"/>
    <mergeCell ref="H348:H349"/>
    <mergeCell ref="I348:I349"/>
    <mergeCell ref="A346:A347"/>
    <mergeCell ref="B346:B347"/>
    <mergeCell ref="C346:C347"/>
    <mergeCell ref="D346:D347"/>
    <mergeCell ref="E346:E347"/>
    <mergeCell ref="F346:F347"/>
    <mergeCell ref="G346:G347"/>
    <mergeCell ref="H346:H347"/>
    <mergeCell ref="I346:I347"/>
    <mergeCell ref="A344:A345"/>
    <mergeCell ref="B344:B345"/>
    <mergeCell ref="C344:C345"/>
    <mergeCell ref="D344:D345"/>
    <mergeCell ref="E344:E345"/>
    <mergeCell ref="F344:F345"/>
    <mergeCell ref="G344:G345"/>
    <mergeCell ref="H344:H345"/>
    <mergeCell ref="I344:I345"/>
    <mergeCell ref="A342:A343"/>
    <mergeCell ref="B342:B343"/>
    <mergeCell ref="C342:C343"/>
    <mergeCell ref="D342:D343"/>
    <mergeCell ref="E342:E343"/>
    <mergeCell ref="F342:F343"/>
    <mergeCell ref="G342:G343"/>
    <mergeCell ref="H342:H343"/>
    <mergeCell ref="I342:I343"/>
    <mergeCell ref="A340:A341"/>
    <mergeCell ref="B340:B341"/>
    <mergeCell ref="C340:C341"/>
    <mergeCell ref="D340:D341"/>
    <mergeCell ref="E340:E341"/>
    <mergeCell ref="F340:F341"/>
    <mergeCell ref="G340:G341"/>
    <mergeCell ref="H340:H341"/>
    <mergeCell ref="I340:I341"/>
    <mergeCell ref="A338:A339"/>
    <mergeCell ref="B338:B339"/>
    <mergeCell ref="C338:C339"/>
    <mergeCell ref="D338:D339"/>
    <mergeCell ref="E338:E339"/>
    <mergeCell ref="F338:F339"/>
    <mergeCell ref="G338:G339"/>
    <mergeCell ref="H338:H339"/>
    <mergeCell ref="I338:I339"/>
    <mergeCell ref="A336:A337"/>
    <mergeCell ref="B336:B337"/>
    <mergeCell ref="C336:C337"/>
    <mergeCell ref="D336:D337"/>
    <mergeCell ref="E336:E337"/>
    <mergeCell ref="F336:F337"/>
    <mergeCell ref="G336:G337"/>
    <mergeCell ref="H336:H337"/>
    <mergeCell ref="I336:I337"/>
    <mergeCell ref="A334:A335"/>
    <mergeCell ref="B334:B335"/>
    <mergeCell ref="C334:C335"/>
    <mergeCell ref="D334:D335"/>
    <mergeCell ref="E334:E335"/>
    <mergeCell ref="F334:F335"/>
    <mergeCell ref="G334:G335"/>
    <mergeCell ref="H334:H335"/>
    <mergeCell ref="I334:I335"/>
    <mergeCell ref="A332:A333"/>
    <mergeCell ref="B332:B333"/>
    <mergeCell ref="C332:C333"/>
    <mergeCell ref="D332:D333"/>
    <mergeCell ref="E332:E333"/>
    <mergeCell ref="F332:F333"/>
    <mergeCell ref="G332:G333"/>
    <mergeCell ref="H332:H333"/>
    <mergeCell ref="I332:I333"/>
    <mergeCell ref="A330:A331"/>
    <mergeCell ref="B330:B331"/>
    <mergeCell ref="C330:C331"/>
    <mergeCell ref="D330:D331"/>
    <mergeCell ref="E330:E331"/>
    <mergeCell ref="F330:F331"/>
    <mergeCell ref="G330:G331"/>
    <mergeCell ref="H330:H331"/>
    <mergeCell ref="I330:I331"/>
    <mergeCell ref="A328:A329"/>
    <mergeCell ref="B328:B329"/>
    <mergeCell ref="C328:C329"/>
    <mergeCell ref="D328:D329"/>
    <mergeCell ref="E328:E329"/>
    <mergeCell ref="F328:F329"/>
    <mergeCell ref="G328:G329"/>
    <mergeCell ref="H328:H329"/>
    <mergeCell ref="I328:I329"/>
    <mergeCell ref="A326:A327"/>
    <mergeCell ref="B326:B327"/>
    <mergeCell ref="C326:C327"/>
    <mergeCell ref="D326:D327"/>
    <mergeCell ref="E326:E327"/>
    <mergeCell ref="F326:F327"/>
    <mergeCell ref="G326:G327"/>
    <mergeCell ref="H326:H327"/>
    <mergeCell ref="I326:I327"/>
    <mergeCell ref="A324:A325"/>
    <mergeCell ref="B324:B325"/>
    <mergeCell ref="C324:C325"/>
    <mergeCell ref="D324:D325"/>
    <mergeCell ref="E324:E325"/>
    <mergeCell ref="F324:F325"/>
    <mergeCell ref="G324:G325"/>
    <mergeCell ref="H324:H325"/>
    <mergeCell ref="I324:I325"/>
    <mergeCell ref="A322:A323"/>
    <mergeCell ref="B322:B323"/>
    <mergeCell ref="C322:C323"/>
    <mergeCell ref="D322:D323"/>
    <mergeCell ref="E322:E323"/>
    <mergeCell ref="F322:F323"/>
    <mergeCell ref="G322:G323"/>
    <mergeCell ref="H322:H323"/>
    <mergeCell ref="I322:I323"/>
    <mergeCell ref="A320:A321"/>
    <mergeCell ref="B320:B321"/>
    <mergeCell ref="C320:C321"/>
    <mergeCell ref="D320:D321"/>
    <mergeCell ref="E320:E321"/>
    <mergeCell ref="F320:F321"/>
    <mergeCell ref="G320:G321"/>
    <mergeCell ref="H320:H321"/>
    <mergeCell ref="I320:I321"/>
    <mergeCell ref="A318:A319"/>
    <mergeCell ref="B318:B319"/>
    <mergeCell ref="C318:C319"/>
    <mergeCell ref="D318:D319"/>
    <mergeCell ref="E318:E319"/>
    <mergeCell ref="F318:F319"/>
    <mergeCell ref="G318:G319"/>
    <mergeCell ref="H318:H319"/>
    <mergeCell ref="I318:I319"/>
    <mergeCell ref="A316:A317"/>
    <mergeCell ref="B316:B317"/>
    <mergeCell ref="C316:C317"/>
    <mergeCell ref="D316:D317"/>
    <mergeCell ref="E316:E317"/>
    <mergeCell ref="F316:F317"/>
    <mergeCell ref="G316:G317"/>
    <mergeCell ref="H316:H317"/>
    <mergeCell ref="I316:I317"/>
    <mergeCell ref="A314:A315"/>
    <mergeCell ref="B314:B315"/>
    <mergeCell ref="C314:C315"/>
    <mergeCell ref="D314:D315"/>
    <mergeCell ref="E314:E315"/>
    <mergeCell ref="F314:F315"/>
    <mergeCell ref="G314:G315"/>
    <mergeCell ref="H314:H315"/>
    <mergeCell ref="I314:I315"/>
    <mergeCell ref="A312:A313"/>
    <mergeCell ref="B312:B313"/>
    <mergeCell ref="C312:C313"/>
    <mergeCell ref="D312:D313"/>
    <mergeCell ref="E312:E313"/>
    <mergeCell ref="F312:F313"/>
    <mergeCell ref="G312:G313"/>
    <mergeCell ref="H312:H313"/>
    <mergeCell ref="I312:I313"/>
    <mergeCell ref="A310:A311"/>
    <mergeCell ref="B310:B311"/>
    <mergeCell ref="C310:C311"/>
    <mergeCell ref="D310:D311"/>
    <mergeCell ref="E310:E311"/>
    <mergeCell ref="F310:F311"/>
    <mergeCell ref="G310:G311"/>
    <mergeCell ref="H310:H311"/>
    <mergeCell ref="I310:I311"/>
    <mergeCell ref="A308:A309"/>
    <mergeCell ref="B308:B309"/>
    <mergeCell ref="C308:C309"/>
    <mergeCell ref="D308:D309"/>
    <mergeCell ref="E308:E309"/>
    <mergeCell ref="F308:F309"/>
    <mergeCell ref="G308:G309"/>
    <mergeCell ref="H308:H309"/>
    <mergeCell ref="I308:I309"/>
    <mergeCell ref="A306:A307"/>
    <mergeCell ref="B306:B307"/>
    <mergeCell ref="C306:C307"/>
    <mergeCell ref="D306:D307"/>
    <mergeCell ref="E306:E307"/>
    <mergeCell ref="F306:F307"/>
    <mergeCell ref="G306:G307"/>
    <mergeCell ref="H306:H307"/>
    <mergeCell ref="I306:I307"/>
    <mergeCell ref="A304:A305"/>
    <mergeCell ref="B304:B305"/>
    <mergeCell ref="C304:C305"/>
    <mergeCell ref="D304:D305"/>
    <mergeCell ref="E304:E305"/>
    <mergeCell ref="F304:F305"/>
    <mergeCell ref="G304:G305"/>
    <mergeCell ref="H304:H305"/>
    <mergeCell ref="I304:I305"/>
    <mergeCell ref="A302:A303"/>
    <mergeCell ref="B302:B303"/>
    <mergeCell ref="C302:C303"/>
    <mergeCell ref="D302:D303"/>
    <mergeCell ref="E302:E303"/>
    <mergeCell ref="F302:F303"/>
    <mergeCell ref="G302:G303"/>
    <mergeCell ref="H302:H303"/>
    <mergeCell ref="I302:I303"/>
    <mergeCell ref="A300:A301"/>
    <mergeCell ref="B300:B301"/>
    <mergeCell ref="C300:C301"/>
    <mergeCell ref="D300:D301"/>
    <mergeCell ref="E300:E301"/>
    <mergeCell ref="F300:F301"/>
    <mergeCell ref="G300:G301"/>
    <mergeCell ref="H300:H301"/>
    <mergeCell ref="I300:I301"/>
    <mergeCell ref="A298:A299"/>
    <mergeCell ref="B298:B299"/>
    <mergeCell ref="C298:C299"/>
    <mergeCell ref="D298:D299"/>
    <mergeCell ref="E298:E299"/>
    <mergeCell ref="F298:F299"/>
    <mergeCell ref="G298:G299"/>
    <mergeCell ref="H298:H299"/>
    <mergeCell ref="I298:I299"/>
    <mergeCell ref="A296:A297"/>
    <mergeCell ref="B296:B297"/>
    <mergeCell ref="C296:C297"/>
    <mergeCell ref="D296:D297"/>
    <mergeCell ref="E296:E297"/>
    <mergeCell ref="F296:F297"/>
    <mergeCell ref="G296:G297"/>
    <mergeCell ref="H296:H297"/>
    <mergeCell ref="I296:I297"/>
    <mergeCell ref="A294:A295"/>
    <mergeCell ref="B294:B295"/>
    <mergeCell ref="C294:C295"/>
    <mergeCell ref="D294:D295"/>
    <mergeCell ref="E294:E295"/>
    <mergeCell ref="F294:F295"/>
    <mergeCell ref="G294:G295"/>
    <mergeCell ref="H294:H295"/>
    <mergeCell ref="I294:I295"/>
    <mergeCell ref="A292:A293"/>
    <mergeCell ref="B292:B293"/>
    <mergeCell ref="C292:C293"/>
    <mergeCell ref="D292:D293"/>
    <mergeCell ref="E292:E293"/>
    <mergeCell ref="F292:F293"/>
    <mergeCell ref="G292:G293"/>
    <mergeCell ref="H292:H293"/>
    <mergeCell ref="I292:I293"/>
    <mergeCell ref="A290:A291"/>
    <mergeCell ref="B290:B291"/>
    <mergeCell ref="C290:C291"/>
    <mergeCell ref="D290:D291"/>
    <mergeCell ref="E290:E291"/>
    <mergeCell ref="F290:F291"/>
    <mergeCell ref="G290:G291"/>
    <mergeCell ref="H290:H291"/>
    <mergeCell ref="I290:I291"/>
    <mergeCell ref="A288:A289"/>
    <mergeCell ref="B288:B289"/>
    <mergeCell ref="C288:C289"/>
    <mergeCell ref="D288:D289"/>
    <mergeCell ref="E288:E289"/>
    <mergeCell ref="F288:F289"/>
    <mergeCell ref="G288:G289"/>
    <mergeCell ref="H288:H289"/>
    <mergeCell ref="I288:I289"/>
    <mergeCell ref="A286:A287"/>
    <mergeCell ref="B286:B287"/>
    <mergeCell ref="C286:C287"/>
    <mergeCell ref="D286:D287"/>
    <mergeCell ref="E286:E287"/>
    <mergeCell ref="F286:F287"/>
    <mergeCell ref="G286:G287"/>
    <mergeCell ref="H286:H287"/>
    <mergeCell ref="I286:I287"/>
    <mergeCell ref="A284:A285"/>
    <mergeCell ref="B284:B285"/>
    <mergeCell ref="C284:C285"/>
    <mergeCell ref="D284:D285"/>
    <mergeCell ref="E284:E285"/>
    <mergeCell ref="F284:F285"/>
    <mergeCell ref="G284:G285"/>
    <mergeCell ref="H284:H285"/>
    <mergeCell ref="I284:I285"/>
    <mergeCell ref="A282:A283"/>
    <mergeCell ref="B282:B283"/>
    <mergeCell ref="C282:C283"/>
    <mergeCell ref="D282:D283"/>
    <mergeCell ref="E282:E283"/>
    <mergeCell ref="F282:F283"/>
    <mergeCell ref="G282:G283"/>
    <mergeCell ref="H282:H283"/>
    <mergeCell ref="I282:I283"/>
    <mergeCell ref="A280:A281"/>
    <mergeCell ref="B280:B281"/>
    <mergeCell ref="C280:C281"/>
    <mergeCell ref="D280:D281"/>
    <mergeCell ref="E280:E281"/>
    <mergeCell ref="F280:F281"/>
    <mergeCell ref="G280:G281"/>
    <mergeCell ref="H280:H281"/>
    <mergeCell ref="I280:I281"/>
    <mergeCell ref="A278:A279"/>
    <mergeCell ref="B278:B279"/>
    <mergeCell ref="C278:C279"/>
    <mergeCell ref="D278:D279"/>
    <mergeCell ref="E278:E279"/>
    <mergeCell ref="F278:F279"/>
    <mergeCell ref="G278:G279"/>
    <mergeCell ref="H278:H279"/>
    <mergeCell ref="I278:I279"/>
    <mergeCell ref="A276:A277"/>
    <mergeCell ref="B276:B277"/>
    <mergeCell ref="C276:C277"/>
    <mergeCell ref="D276:D277"/>
    <mergeCell ref="E276:E277"/>
    <mergeCell ref="F276:F277"/>
    <mergeCell ref="G276:G277"/>
    <mergeCell ref="H276:H277"/>
    <mergeCell ref="I276:I277"/>
    <mergeCell ref="A274:A275"/>
    <mergeCell ref="B274:B275"/>
    <mergeCell ref="C274:C275"/>
    <mergeCell ref="D274:D275"/>
    <mergeCell ref="E274:E275"/>
    <mergeCell ref="F274:F275"/>
    <mergeCell ref="G274:G275"/>
    <mergeCell ref="H274:H275"/>
    <mergeCell ref="I274:I275"/>
    <mergeCell ref="A272:A273"/>
    <mergeCell ref="B272:B273"/>
    <mergeCell ref="C272:C273"/>
    <mergeCell ref="D272:D273"/>
    <mergeCell ref="E272:E273"/>
    <mergeCell ref="F272:F273"/>
    <mergeCell ref="G272:G273"/>
    <mergeCell ref="H272:H273"/>
    <mergeCell ref="I272:I273"/>
    <mergeCell ref="A270:A271"/>
    <mergeCell ref="B270:B271"/>
    <mergeCell ref="C270:C271"/>
    <mergeCell ref="D270:D271"/>
    <mergeCell ref="E270:E271"/>
    <mergeCell ref="F270:F271"/>
    <mergeCell ref="G270:G271"/>
    <mergeCell ref="H270:H271"/>
    <mergeCell ref="I270:I271"/>
    <mergeCell ref="A268:A269"/>
    <mergeCell ref="B268:B269"/>
    <mergeCell ref="C268:C269"/>
    <mergeCell ref="D268:D269"/>
    <mergeCell ref="E268:E269"/>
    <mergeCell ref="F268:F269"/>
    <mergeCell ref="G268:G269"/>
    <mergeCell ref="H268:H269"/>
    <mergeCell ref="I268:I269"/>
    <mergeCell ref="A266:A267"/>
    <mergeCell ref="B266:B267"/>
    <mergeCell ref="C266:C267"/>
    <mergeCell ref="D266:D267"/>
    <mergeCell ref="E266:E267"/>
    <mergeCell ref="F266:F267"/>
    <mergeCell ref="G266:G267"/>
    <mergeCell ref="H266:H267"/>
    <mergeCell ref="I266:I267"/>
    <mergeCell ref="A264:A265"/>
    <mergeCell ref="B264:B265"/>
    <mergeCell ref="C264:C265"/>
    <mergeCell ref="D264:D265"/>
    <mergeCell ref="E264:E265"/>
    <mergeCell ref="F264:F265"/>
    <mergeCell ref="G264:G265"/>
    <mergeCell ref="H264:H265"/>
    <mergeCell ref="I264:I265"/>
    <mergeCell ref="A262:A263"/>
    <mergeCell ref="B262:B263"/>
    <mergeCell ref="C262:C263"/>
    <mergeCell ref="D262:D263"/>
    <mergeCell ref="E262:E263"/>
    <mergeCell ref="F262:F263"/>
    <mergeCell ref="G262:G263"/>
    <mergeCell ref="H262:H263"/>
    <mergeCell ref="I262:I263"/>
    <mergeCell ref="A260:A261"/>
    <mergeCell ref="B260:B261"/>
    <mergeCell ref="C260:C261"/>
    <mergeCell ref="D260:D261"/>
    <mergeCell ref="E260:E261"/>
    <mergeCell ref="F260:F261"/>
    <mergeCell ref="G260:G261"/>
    <mergeCell ref="H260:H261"/>
    <mergeCell ref="I260:I261"/>
    <mergeCell ref="A258:A259"/>
    <mergeCell ref="B258:B259"/>
    <mergeCell ref="C258:C259"/>
    <mergeCell ref="D258:D259"/>
    <mergeCell ref="E258:E259"/>
    <mergeCell ref="F258:F259"/>
    <mergeCell ref="G258:G259"/>
    <mergeCell ref="H258:H259"/>
    <mergeCell ref="I258:I259"/>
    <mergeCell ref="A256:A257"/>
    <mergeCell ref="B256:B257"/>
    <mergeCell ref="C256:C257"/>
    <mergeCell ref="D256:D257"/>
    <mergeCell ref="E256:E257"/>
    <mergeCell ref="F256:F257"/>
    <mergeCell ref="G256:G257"/>
    <mergeCell ref="H256:H257"/>
    <mergeCell ref="I256:I257"/>
    <mergeCell ref="A254:A255"/>
    <mergeCell ref="B254:B255"/>
    <mergeCell ref="C254:C255"/>
    <mergeCell ref="D254:D255"/>
    <mergeCell ref="E254:E255"/>
    <mergeCell ref="F254:F255"/>
    <mergeCell ref="G254:G255"/>
    <mergeCell ref="H254:H255"/>
    <mergeCell ref="I254:I255"/>
    <mergeCell ref="A252:A253"/>
    <mergeCell ref="B252:B253"/>
    <mergeCell ref="C252:C253"/>
    <mergeCell ref="D252:D253"/>
    <mergeCell ref="E252:E253"/>
    <mergeCell ref="F252:F253"/>
    <mergeCell ref="G252:G253"/>
    <mergeCell ref="H252:H253"/>
    <mergeCell ref="I252:I253"/>
    <mergeCell ref="A250:A251"/>
    <mergeCell ref="B250:B251"/>
    <mergeCell ref="C250:C251"/>
    <mergeCell ref="D250:D251"/>
    <mergeCell ref="E250:E251"/>
    <mergeCell ref="F250:F251"/>
    <mergeCell ref="G250:G251"/>
    <mergeCell ref="H250:H251"/>
    <mergeCell ref="I250:I251"/>
    <mergeCell ref="A248:A249"/>
    <mergeCell ref="B248:B249"/>
    <mergeCell ref="C248:C249"/>
    <mergeCell ref="D248:D249"/>
    <mergeCell ref="E248:E249"/>
    <mergeCell ref="F248:F249"/>
    <mergeCell ref="G248:G249"/>
    <mergeCell ref="H248:H249"/>
    <mergeCell ref="I248:I249"/>
    <mergeCell ref="A246:A247"/>
    <mergeCell ref="B246:B247"/>
    <mergeCell ref="C246:C247"/>
    <mergeCell ref="D246:D247"/>
    <mergeCell ref="E246:E247"/>
    <mergeCell ref="F246:F247"/>
    <mergeCell ref="G246:G247"/>
    <mergeCell ref="H246:H247"/>
    <mergeCell ref="I246:I247"/>
    <mergeCell ref="A244:A245"/>
    <mergeCell ref="B244:B245"/>
    <mergeCell ref="C244:C245"/>
    <mergeCell ref="D244:D245"/>
    <mergeCell ref="E244:E245"/>
    <mergeCell ref="F244:F245"/>
    <mergeCell ref="G244:G245"/>
    <mergeCell ref="H244:H245"/>
    <mergeCell ref="I244:I245"/>
    <mergeCell ref="A242:A243"/>
    <mergeCell ref="B242:B243"/>
    <mergeCell ref="C242:C243"/>
    <mergeCell ref="D242:D243"/>
    <mergeCell ref="E242:E243"/>
    <mergeCell ref="F242:F243"/>
    <mergeCell ref="G242:G243"/>
    <mergeCell ref="H242:H243"/>
    <mergeCell ref="I242:I243"/>
    <mergeCell ref="A240:A241"/>
    <mergeCell ref="B240:B241"/>
    <mergeCell ref="C240:C241"/>
    <mergeCell ref="D240:D241"/>
    <mergeCell ref="E240:E241"/>
    <mergeCell ref="F240:F241"/>
    <mergeCell ref="G240:G241"/>
    <mergeCell ref="H240:H241"/>
    <mergeCell ref="I240:I241"/>
    <mergeCell ref="A238:A239"/>
    <mergeCell ref="B238:B239"/>
    <mergeCell ref="C238:C239"/>
    <mergeCell ref="D238:D239"/>
    <mergeCell ref="E238:E239"/>
    <mergeCell ref="F238:F239"/>
    <mergeCell ref="G238:G239"/>
    <mergeCell ref="H238:H239"/>
    <mergeCell ref="I238:I239"/>
    <mergeCell ref="A236:A237"/>
    <mergeCell ref="B236:B237"/>
    <mergeCell ref="C236:C237"/>
    <mergeCell ref="D236:D237"/>
    <mergeCell ref="E236:E237"/>
    <mergeCell ref="F236:F237"/>
    <mergeCell ref="G236:G237"/>
    <mergeCell ref="H236:H237"/>
    <mergeCell ref="I236:I237"/>
    <mergeCell ref="A234:A235"/>
    <mergeCell ref="B234:B235"/>
    <mergeCell ref="C234:C235"/>
    <mergeCell ref="D234:D235"/>
    <mergeCell ref="E234:E235"/>
    <mergeCell ref="F234:F235"/>
    <mergeCell ref="G234:G235"/>
    <mergeCell ref="H234:H235"/>
    <mergeCell ref="I234:I235"/>
    <mergeCell ref="A232:A233"/>
    <mergeCell ref="B232:B233"/>
    <mergeCell ref="C232:C233"/>
    <mergeCell ref="D232:D233"/>
    <mergeCell ref="E232:E233"/>
    <mergeCell ref="F232:F233"/>
    <mergeCell ref="G232:G233"/>
    <mergeCell ref="H232:H233"/>
    <mergeCell ref="I232:I233"/>
    <mergeCell ref="A230:A231"/>
    <mergeCell ref="B230:B231"/>
    <mergeCell ref="C230:C231"/>
    <mergeCell ref="D230:D231"/>
    <mergeCell ref="E230:E231"/>
    <mergeCell ref="F230:F231"/>
    <mergeCell ref="G230:G231"/>
    <mergeCell ref="H230:H231"/>
    <mergeCell ref="I230:I231"/>
    <mergeCell ref="A228:A229"/>
    <mergeCell ref="B228:B229"/>
    <mergeCell ref="C228:C229"/>
    <mergeCell ref="D228:D229"/>
    <mergeCell ref="E228:E229"/>
    <mergeCell ref="F228:F229"/>
    <mergeCell ref="G228:G229"/>
    <mergeCell ref="H228:H229"/>
    <mergeCell ref="I228:I229"/>
    <mergeCell ref="A226:A227"/>
    <mergeCell ref="B226:B227"/>
    <mergeCell ref="C226:C227"/>
    <mergeCell ref="D226:D227"/>
    <mergeCell ref="E226:E227"/>
    <mergeCell ref="F226:F227"/>
    <mergeCell ref="G226:G227"/>
    <mergeCell ref="H226:H227"/>
    <mergeCell ref="I226:I227"/>
    <mergeCell ref="A224:A225"/>
    <mergeCell ref="B224:B225"/>
    <mergeCell ref="C224:C225"/>
    <mergeCell ref="D224:D225"/>
    <mergeCell ref="E224:E225"/>
    <mergeCell ref="F224:F225"/>
    <mergeCell ref="G224:G225"/>
    <mergeCell ref="H224:H225"/>
    <mergeCell ref="I224:I225"/>
    <mergeCell ref="A222:A223"/>
    <mergeCell ref="B222:B223"/>
    <mergeCell ref="C222:C223"/>
    <mergeCell ref="D222:D223"/>
    <mergeCell ref="E222:E223"/>
    <mergeCell ref="F222:F223"/>
    <mergeCell ref="G222:G223"/>
    <mergeCell ref="H222:H223"/>
    <mergeCell ref="I222:I223"/>
    <mergeCell ref="A220:A221"/>
    <mergeCell ref="B220:B221"/>
    <mergeCell ref="C220:C221"/>
    <mergeCell ref="D220:D221"/>
    <mergeCell ref="E220:E221"/>
    <mergeCell ref="F220:F221"/>
    <mergeCell ref="G220:G221"/>
    <mergeCell ref="H220:H221"/>
    <mergeCell ref="I220:I221"/>
    <mergeCell ref="A218:A219"/>
    <mergeCell ref="B218:B219"/>
    <mergeCell ref="C218:C219"/>
    <mergeCell ref="D218:D219"/>
    <mergeCell ref="E218:E219"/>
    <mergeCell ref="F218:F219"/>
    <mergeCell ref="G218:G219"/>
    <mergeCell ref="H218:H219"/>
    <mergeCell ref="I218:I219"/>
    <mergeCell ref="A216:A217"/>
    <mergeCell ref="B216:B217"/>
    <mergeCell ref="C216:C217"/>
    <mergeCell ref="D216:D217"/>
    <mergeCell ref="E216:E217"/>
    <mergeCell ref="F216:F217"/>
    <mergeCell ref="G216:G217"/>
    <mergeCell ref="H216:H217"/>
    <mergeCell ref="I216:I217"/>
    <mergeCell ref="A214:A215"/>
    <mergeCell ref="B214:B215"/>
    <mergeCell ref="C214:C215"/>
    <mergeCell ref="D214:D215"/>
    <mergeCell ref="E214:E215"/>
    <mergeCell ref="F214:F215"/>
    <mergeCell ref="G214:G215"/>
    <mergeCell ref="H214:H215"/>
    <mergeCell ref="I214:I215"/>
    <mergeCell ref="A212:A213"/>
    <mergeCell ref="B212:B213"/>
    <mergeCell ref="C212:C213"/>
    <mergeCell ref="D212:D213"/>
    <mergeCell ref="E212:E213"/>
    <mergeCell ref="F212:F213"/>
    <mergeCell ref="G212:G213"/>
    <mergeCell ref="H212:H213"/>
    <mergeCell ref="I212:I213"/>
    <mergeCell ref="A210:A211"/>
    <mergeCell ref="B210:B211"/>
    <mergeCell ref="C210:C211"/>
    <mergeCell ref="D210:D211"/>
    <mergeCell ref="E210:E211"/>
    <mergeCell ref="F210:F211"/>
    <mergeCell ref="G210:G211"/>
    <mergeCell ref="H210:H211"/>
    <mergeCell ref="I210:I211"/>
    <mergeCell ref="A208:A209"/>
    <mergeCell ref="B208:B209"/>
    <mergeCell ref="C208:C209"/>
    <mergeCell ref="D208:D209"/>
    <mergeCell ref="E208:E209"/>
    <mergeCell ref="F208:F209"/>
    <mergeCell ref="G208:G209"/>
    <mergeCell ref="H208:H209"/>
    <mergeCell ref="I208:I209"/>
    <mergeCell ref="A206:A207"/>
    <mergeCell ref="B206:B207"/>
    <mergeCell ref="C206:C207"/>
    <mergeCell ref="D206:D207"/>
    <mergeCell ref="E206:E207"/>
    <mergeCell ref="F206:F207"/>
    <mergeCell ref="G206:G207"/>
    <mergeCell ref="H206:H207"/>
    <mergeCell ref="I206:I207"/>
    <mergeCell ref="A204:A205"/>
    <mergeCell ref="B204:B205"/>
    <mergeCell ref="C204:C205"/>
    <mergeCell ref="D204:D205"/>
    <mergeCell ref="E204:E205"/>
    <mergeCell ref="F204:F205"/>
    <mergeCell ref="G204:G205"/>
    <mergeCell ref="H204:H205"/>
    <mergeCell ref="I204:I205"/>
    <mergeCell ref="A202:A203"/>
    <mergeCell ref="B202:B203"/>
    <mergeCell ref="C202:C203"/>
    <mergeCell ref="D202:D203"/>
    <mergeCell ref="E202:E203"/>
    <mergeCell ref="F202:F203"/>
    <mergeCell ref="G202:G203"/>
    <mergeCell ref="H202:H203"/>
    <mergeCell ref="I202:I203"/>
    <mergeCell ref="A126:A127"/>
    <mergeCell ref="B126:B127"/>
    <mergeCell ref="C126:C127"/>
    <mergeCell ref="D126:D127"/>
    <mergeCell ref="E126:E127"/>
    <mergeCell ref="F126:F127"/>
    <mergeCell ref="G126:G127"/>
    <mergeCell ref="H126:H127"/>
    <mergeCell ref="I126:I127"/>
    <mergeCell ref="E132:E133"/>
    <mergeCell ref="F132:F133"/>
    <mergeCell ref="G132:G133"/>
    <mergeCell ref="H132:H133"/>
    <mergeCell ref="I132:I133"/>
    <mergeCell ref="A134:A135"/>
    <mergeCell ref="B134:B135"/>
    <mergeCell ref="C134:C135"/>
    <mergeCell ref="D134:D135"/>
    <mergeCell ref="E134:E135"/>
    <mergeCell ref="F134:F135"/>
    <mergeCell ref="G134:G135"/>
    <mergeCell ref="H134:H135"/>
    <mergeCell ref="I134:I135"/>
    <mergeCell ref="A124:A125"/>
    <mergeCell ref="B124:B125"/>
    <mergeCell ref="C124:C125"/>
    <mergeCell ref="D124:D125"/>
    <mergeCell ref="E124:E125"/>
    <mergeCell ref="F124:F125"/>
    <mergeCell ref="G124:G125"/>
    <mergeCell ref="H124:H125"/>
    <mergeCell ref="I124:I125"/>
    <mergeCell ref="A122:A123"/>
    <mergeCell ref="B122:B123"/>
    <mergeCell ref="C122:C123"/>
    <mergeCell ref="D122:D123"/>
    <mergeCell ref="E122:E123"/>
    <mergeCell ref="F122:F123"/>
    <mergeCell ref="G122:G123"/>
    <mergeCell ref="H122:H123"/>
    <mergeCell ref="I122:I123"/>
    <mergeCell ref="A120:A121"/>
    <mergeCell ref="B120:B121"/>
    <mergeCell ref="C120:C121"/>
    <mergeCell ref="D120:D121"/>
    <mergeCell ref="E120:E121"/>
    <mergeCell ref="F120:F121"/>
    <mergeCell ref="G120:G121"/>
    <mergeCell ref="H120:H121"/>
    <mergeCell ref="I120:I121"/>
    <mergeCell ref="A118:A119"/>
    <mergeCell ref="B118:B119"/>
    <mergeCell ref="C118:C119"/>
    <mergeCell ref="D118:D119"/>
    <mergeCell ref="E118:E119"/>
    <mergeCell ref="F118:F119"/>
    <mergeCell ref="G118:G119"/>
    <mergeCell ref="H118:H119"/>
    <mergeCell ref="I118:I119"/>
    <mergeCell ref="A116:A117"/>
    <mergeCell ref="B116:B117"/>
    <mergeCell ref="C116:C117"/>
    <mergeCell ref="D116:D117"/>
    <mergeCell ref="E116:E117"/>
    <mergeCell ref="F116:F117"/>
    <mergeCell ref="G116:G117"/>
    <mergeCell ref="H116:H117"/>
    <mergeCell ref="I116:I117"/>
    <mergeCell ref="A114:A115"/>
    <mergeCell ref="B114:B115"/>
    <mergeCell ref="C114:C115"/>
    <mergeCell ref="D114:D115"/>
    <mergeCell ref="E114:E115"/>
    <mergeCell ref="F114:F115"/>
    <mergeCell ref="G114:G115"/>
    <mergeCell ref="H114:H115"/>
    <mergeCell ref="I114:I115"/>
    <mergeCell ref="A112:A113"/>
    <mergeCell ref="B112:B113"/>
    <mergeCell ref="C112:C113"/>
    <mergeCell ref="D112:D113"/>
    <mergeCell ref="E112:E113"/>
    <mergeCell ref="F112:F113"/>
    <mergeCell ref="G112:G113"/>
    <mergeCell ref="H112:H113"/>
    <mergeCell ref="I112:I113"/>
    <mergeCell ref="A110:A111"/>
    <mergeCell ref="B110:B111"/>
    <mergeCell ref="C110:C111"/>
    <mergeCell ref="D110:D111"/>
    <mergeCell ref="E110:E111"/>
    <mergeCell ref="F110:F111"/>
    <mergeCell ref="G110:G111"/>
    <mergeCell ref="H110:H111"/>
    <mergeCell ref="I110:I111"/>
    <mergeCell ref="A108:A109"/>
    <mergeCell ref="B108:B109"/>
    <mergeCell ref="C108:C109"/>
    <mergeCell ref="D108:D109"/>
    <mergeCell ref="E108:E109"/>
    <mergeCell ref="F108:F109"/>
    <mergeCell ref="G108:G109"/>
    <mergeCell ref="H108:H109"/>
    <mergeCell ref="I108:I109"/>
    <mergeCell ref="A106:A107"/>
    <mergeCell ref="B106:B107"/>
    <mergeCell ref="C106:C107"/>
    <mergeCell ref="D106:D107"/>
    <mergeCell ref="E106:E107"/>
    <mergeCell ref="F106:F107"/>
    <mergeCell ref="G106:G107"/>
    <mergeCell ref="H106:H107"/>
    <mergeCell ref="I106:I107"/>
    <mergeCell ref="A104:A105"/>
    <mergeCell ref="B104:B105"/>
    <mergeCell ref="C104:C105"/>
    <mergeCell ref="D104:D105"/>
    <mergeCell ref="E104:E105"/>
    <mergeCell ref="F104:F105"/>
    <mergeCell ref="G104:G105"/>
    <mergeCell ref="H104:H105"/>
    <mergeCell ref="I104:I105"/>
    <mergeCell ref="A102:A103"/>
    <mergeCell ref="B102:B103"/>
    <mergeCell ref="C102:C103"/>
    <mergeCell ref="D102:D103"/>
    <mergeCell ref="E102:E103"/>
    <mergeCell ref="F102:F103"/>
    <mergeCell ref="G102:G103"/>
    <mergeCell ref="H102:H103"/>
    <mergeCell ref="I102:I103"/>
    <mergeCell ref="A100:A101"/>
    <mergeCell ref="B100:B101"/>
    <mergeCell ref="C100:C101"/>
    <mergeCell ref="D100:D101"/>
    <mergeCell ref="E100:E101"/>
    <mergeCell ref="F100:F101"/>
    <mergeCell ref="G100:G101"/>
    <mergeCell ref="H100:H101"/>
    <mergeCell ref="I100:I101"/>
    <mergeCell ref="A98:A99"/>
    <mergeCell ref="B98:B99"/>
    <mergeCell ref="C98:C99"/>
    <mergeCell ref="D98:D99"/>
    <mergeCell ref="E98:E99"/>
    <mergeCell ref="F98:F99"/>
    <mergeCell ref="G98:G99"/>
    <mergeCell ref="H98:H99"/>
    <mergeCell ref="I98:I99"/>
    <mergeCell ref="A96:A97"/>
    <mergeCell ref="B96:B97"/>
    <mergeCell ref="C96:C97"/>
    <mergeCell ref="D96:D97"/>
    <mergeCell ref="E96:E97"/>
    <mergeCell ref="F96:F97"/>
    <mergeCell ref="G96:G97"/>
    <mergeCell ref="H96:H97"/>
    <mergeCell ref="I96:I97"/>
    <mergeCell ref="A94:A95"/>
    <mergeCell ref="B94:B95"/>
    <mergeCell ref="C94:C95"/>
    <mergeCell ref="D94:D95"/>
    <mergeCell ref="E94:E95"/>
    <mergeCell ref="F94:F95"/>
    <mergeCell ref="G94:G95"/>
    <mergeCell ref="H94:H95"/>
    <mergeCell ref="I94:I95"/>
    <mergeCell ref="A92:A93"/>
    <mergeCell ref="B92:B93"/>
    <mergeCell ref="C92:C93"/>
    <mergeCell ref="D92:D93"/>
    <mergeCell ref="E92:E93"/>
    <mergeCell ref="F92:F93"/>
    <mergeCell ref="G92:G93"/>
    <mergeCell ref="H92:H93"/>
    <mergeCell ref="I92:I93"/>
    <mergeCell ref="A90:A91"/>
    <mergeCell ref="B90:B91"/>
    <mergeCell ref="C90:C91"/>
    <mergeCell ref="D90:D91"/>
    <mergeCell ref="E90:E91"/>
    <mergeCell ref="F90:F91"/>
    <mergeCell ref="G90:G91"/>
    <mergeCell ref="H90:H91"/>
    <mergeCell ref="I90:I91"/>
    <mergeCell ref="D88:D89"/>
    <mergeCell ref="E88:E89"/>
    <mergeCell ref="F88:F89"/>
    <mergeCell ref="G88:G89"/>
    <mergeCell ref="H88:H89"/>
    <mergeCell ref="I88:I89"/>
    <mergeCell ref="G2:G3"/>
    <mergeCell ref="H2:H3"/>
    <mergeCell ref="I2:I3"/>
    <mergeCell ref="J2:J3"/>
    <mergeCell ref="K2:K3"/>
    <mergeCell ref="L2:AC2"/>
    <mergeCell ref="A2:A3"/>
    <mergeCell ref="B2:B3"/>
    <mergeCell ref="C2:C3"/>
    <mergeCell ref="D2:D3"/>
    <mergeCell ref="E2:E3"/>
    <mergeCell ref="F2:F3"/>
    <mergeCell ref="G4:G5"/>
    <mergeCell ref="H4:H5"/>
    <mergeCell ref="I4:I5"/>
    <mergeCell ref="A6:A7"/>
    <mergeCell ref="B6:B7"/>
    <mergeCell ref="C6:C7"/>
    <mergeCell ref="D6:D7"/>
    <mergeCell ref="E6:E7"/>
    <mergeCell ref="F6:F7"/>
    <mergeCell ref="G6:G7"/>
    <mergeCell ref="A4:A5"/>
    <mergeCell ref="B4:B5"/>
    <mergeCell ref="C4:C5"/>
    <mergeCell ref="D4:D5"/>
    <mergeCell ref="E4:E5"/>
    <mergeCell ref="F4:F5"/>
    <mergeCell ref="H6:H7"/>
    <mergeCell ref="I6:I7"/>
    <mergeCell ref="A8:A9"/>
    <mergeCell ref="B8:B9"/>
    <mergeCell ref="C8:C9"/>
    <mergeCell ref="D8:D9"/>
    <mergeCell ref="E8:E9"/>
    <mergeCell ref="F8:F9"/>
    <mergeCell ref="G8:G9"/>
    <mergeCell ref="H8:H9"/>
    <mergeCell ref="I8:I9"/>
    <mergeCell ref="A10:A11"/>
    <mergeCell ref="B10:B11"/>
    <mergeCell ref="C10:C11"/>
    <mergeCell ref="D10:D11"/>
    <mergeCell ref="E10:E11"/>
    <mergeCell ref="F10:F11"/>
    <mergeCell ref="G10:G11"/>
    <mergeCell ref="H10:H11"/>
    <mergeCell ref="I10:I11"/>
    <mergeCell ref="G12:G13"/>
    <mergeCell ref="H12:H13"/>
    <mergeCell ref="I12:I13"/>
    <mergeCell ref="A14:A15"/>
    <mergeCell ref="B14:B15"/>
    <mergeCell ref="C14:C15"/>
    <mergeCell ref="D14:D15"/>
    <mergeCell ref="E14:E15"/>
    <mergeCell ref="F14:F15"/>
    <mergeCell ref="G14:G15"/>
    <mergeCell ref="A12:A13"/>
    <mergeCell ref="B12:B13"/>
    <mergeCell ref="C12:C13"/>
    <mergeCell ref="D12:D13"/>
    <mergeCell ref="E12:E13"/>
    <mergeCell ref="F12:F13"/>
    <mergeCell ref="H14:H15"/>
    <mergeCell ref="I14:I15"/>
    <mergeCell ref="A16:A17"/>
    <mergeCell ref="B16:B17"/>
    <mergeCell ref="C16:C17"/>
    <mergeCell ref="D16:D17"/>
    <mergeCell ref="E16:E17"/>
    <mergeCell ref="F16:F17"/>
    <mergeCell ref="G16:G17"/>
    <mergeCell ref="H16:H17"/>
    <mergeCell ref="I16:I17"/>
    <mergeCell ref="A18:A19"/>
    <mergeCell ref="B18:B19"/>
    <mergeCell ref="C18:C19"/>
    <mergeCell ref="D18:D19"/>
    <mergeCell ref="E18:E19"/>
    <mergeCell ref="F18:F19"/>
    <mergeCell ref="G18:G19"/>
    <mergeCell ref="H18:H19"/>
    <mergeCell ref="I18:I19"/>
    <mergeCell ref="G20:G21"/>
    <mergeCell ref="H20:H21"/>
    <mergeCell ref="I20:I21"/>
    <mergeCell ref="A22:A23"/>
    <mergeCell ref="B22:B23"/>
    <mergeCell ref="C22:C23"/>
    <mergeCell ref="D22:D23"/>
    <mergeCell ref="E22:E23"/>
    <mergeCell ref="F22:F23"/>
    <mergeCell ref="G22:G23"/>
    <mergeCell ref="A20:A21"/>
    <mergeCell ref="B20:B21"/>
    <mergeCell ref="C20:C21"/>
    <mergeCell ref="D20:D21"/>
    <mergeCell ref="E20:E21"/>
    <mergeCell ref="F20:F21"/>
    <mergeCell ref="H22:H23"/>
    <mergeCell ref="I22:I23"/>
    <mergeCell ref="A24:A25"/>
    <mergeCell ref="B24:B25"/>
    <mergeCell ref="C24:C25"/>
    <mergeCell ref="D24:D25"/>
    <mergeCell ref="E24:E25"/>
    <mergeCell ref="F24:F25"/>
    <mergeCell ref="G24:G25"/>
    <mergeCell ref="H24:H25"/>
    <mergeCell ref="I24:I25"/>
    <mergeCell ref="A26:A27"/>
    <mergeCell ref="B26:B27"/>
    <mergeCell ref="C26:C27"/>
    <mergeCell ref="D26:D27"/>
    <mergeCell ref="E26:E27"/>
    <mergeCell ref="F26:F27"/>
    <mergeCell ref="G26:G27"/>
    <mergeCell ref="H26:H27"/>
    <mergeCell ref="I26:I27"/>
    <mergeCell ref="G28:G29"/>
    <mergeCell ref="H28:H29"/>
    <mergeCell ref="I28:I29"/>
    <mergeCell ref="A30:A31"/>
    <mergeCell ref="B30:B31"/>
    <mergeCell ref="C30:C31"/>
    <mergeCell ref="D30:D31"/>
    <mergeCell ref="E30:E31"/>
    <mergeCell ref="F30:F31"/>
    <mergeCell ref="G30:G31"/>
    <mergeCell ref="A28:A29"/>
    <mergeCell ref="B28:B29"/>
    <mergeCell ref="C28:C29"/>
    <mergeCell ref="D28:D29"/>
    <mergeCell ref="E28:E29"/>
    <mergeCell ref="F28:F29"/>
    <mergeCell ref="H30:H31"/>
    <mergeCell ref="I30:I31"/>
    <mergeCell ref="A32:A33"/>
    <mergeCell ref="B32:B33"/>
    <mergeCell ref="C32:C33"/>
    <mergeCell ref="D32:D33"/>
    <mergeCell ref="E32:E33"/>
    <mergeCell ref="F32:F33"/>
    <mergeCell ref="G32:G33"/>
    <mergeCell ref="H32:H33"/>
    <mergeCell ref="I32:I33"/>
    <mergeCell ref="A34:A35"/>
    <mergeCell ref="B34:B35"/>
    <mergeCell ref="C34:C35"/>
    <mergeCell ref="D34:D35"/>
    <mergeCell ref="E34:E35"/>
    <mergeCell ref="F34:F35"/>
    <mergeCell ref="G34:G35"/>
    <mergeCell ref="H34:H35"/>
    <mergeCell ref="I34:I35"/>
    <mergeCell ref="G36:G37"/>
    <mergeCell ref="H36:H37"/>
    <mergeCell ref="I36:I37"/>
    <mergeCell ref="A38:A39"/>
    <mergeCell ref="B38:B39"/>
    <mergeCell ref="C38:C39"/>
    <mergeCell ref="D38:D39"/>
    <mergeCell ref="E38:E39"/>
    <mergeCell ref="F38:F39"/>
    <mergeCell ref="G38:G39"/>
    <mergeCell ref="A36:A37"/>
    <mergeCell ref="B36:B37"/>
    <mergeCell ref="C36:C37"/>
    <mergeCell ref="D36:D37"/>
    <mergeCell ref="E36:E37"/>
    <mergeCell ref="F36:F37"/>
    <mergeCell ref="H38:H39"/>
    <mergeCell ref="I38:I39"/>
    <mergeCell ref="A40:A41"/>
    <mergeCell ref="B40:B41"/>
    <mergeCell ref="C40:C41"/>
    <mergeCell ref="D40:D41"/>
    <mergeCell ref="E40:E41"/>
    <mergeCell ref="F40:F41"/>
    <mergeCell ref="G40:G41"/>
    <mergeCell ref="H40:H41"/>
    <mergeCell ref="I40:I41"/>
    <mergeCell ref="A42:A43"/>
    <mergeCell ref="B42:B43"/>
    <mergeCell ref="C42:C43"/>
    <mergeCell ref="D42:D43"/>
    <mergeCell ref="E42:E43"/>
    <mergeCell ref="F42:F43"/>
    <mergeCell ref="G42:G43"/>
    <mergeCell ref="H42:H43"/>
    <mergeCell ref="I42:I43"/>
    <mergeCell ref="G44:G45"/>
    <mergeCell ref="H44:H45"/>
    <mergeCell ref="I44:I45"/>
    <mergeCell ref="A46:A47"/>
    <mergeCell ref="B46:B47"/>
    <mergeCell ref="C46:C47"/>
    <mergeCell ref="D46:D47"/>
    <mergeCell ref="E46:E47"/>
    <mergeCell ref="F46:F47"/>
    <mergeCell ref="G46:G47"/>
    <mergeCell ref="A44:A45"/>
    <mergeCell ref="B44:B45"/>
    <mergeCell ref="C44:C45"/>
    <mergeCell ref="D44:D45"/>
    <mergeCell ref="E44:E45"/>
    <mergeCell ref="F44:F45"/>
    <mergeCell ref="H46:H47"/>
    <mergeCell ref="I46:I47"/>
    <mergeCell ref="A48:A49"/>
    <mergeCell ref="B48:B49"/>
    <mergeCell ref="C48:C49"/>
    <mergeCell ref="D48:D49"/>
    <mergeCell ref="E48:E49"/>
    <mergeCell ref="F48:F49"/>
    <mergeCell ref="G48:G49"/>
    <mergeCell ref="H48:H49"/>
    <mergeCell ref="I48:I49"/>
    <mergeCell ref="A50:A51"/>
    <mergeCell ref="B50:B51"/>
    <mergeCell ref="C50:C51"/>
    <mergeCell ref="D50:D51"/>
    <mergeCell ref="E50:E51"/>
    <mergeCell ref="F50:F51"/>
    <mergeCell ref="G50:G51"/>
    <mergeCell ref="H50:H51"/>
    <mergeCell ref="I50:I51"/>
    <mergeCell ref="G52:G53"/>
    <mergeCell ref="H52:H53"/>
    <mergeCell ref="I52:I53"/>
    <mergeCell ref="A54:A55"/>
    <mergeCell ref="B54:B55"/>
    <mergeCell ref="C54:C55"/>
    <mergeCell ref="D54:D55"/>
    <mergeCell ref="E54:E55"/>
    <mergeCell ref="F54:F55"/>
    <mergeCell ref="G54:G55"/>
    <mergeCell ref="A52:A53"/>
    <mergeCell ref="B52:B53"/>
    <mergeCell ref="C52:C53"/>
    <mergeCell ref="D52:D53"/>
    <mergeCell ref="E52:E53"/>
    <mergeCell ref="F52:F53"/>
    <mergeCell ref="H54:H55"/>
    <mergeCell ref="I54:I55"/>
    <mergeCell ref="A56:A57"/>
    <mergeCell ref="B56:B57"/>
    <mergeCell ref="C56:C57"/>
    <mergeCell ref="D56:D57"/>
    <mergeCell ref="E56:E57"/>
    <mergeCell ref="F56:F57"/>
    <mergeCell ref="G56:G57"/>
    <mergeCell ref="H56:H57"/>
    <mergeCell ref="I56:I57"/>
    <mergeCell ref="A58:A59"/>
    <mergeCell ref="B58:B59"/>
    <mergeCell ref="C58:C59"/>
    <mergeCell ref="D58:D59"/>
    <mergeCell ref="E58:E59"/>
    <mergeCell ref="F58:F59"/>
    <mergeCell ref="G58:G59"/>
    <mergeCell ref="H58:H59"/>
    <mergeCell ref="I58:I59"/>
    <mergeCell ref="G60:G61"/>
    <mergeCell ref="H60:H61"/>
    <mergeCell ref="I60:I61"/>
    <mergeCell ref="A62:A63"/>
    <mergeCell ref="B62:B63"/>
    <mergeCell ref="C62:C63"/>
    <mergeCell ref="D62:D63"/>
    <mergeCell ref="E62:E63"/>
    <mergeCell ref="F62:F63"/>
    <mergeCell ref="G62:G63"/>
    <mergeCell ref="A60:A61"/>
    <mergeCell ref="B60:B61"/>
    <mergeCell ref="C60:C61"/>
    <mergeCell ref="D60:D61"/>
    <mergeCell ref="E60:E61"/>
    <mergeCell ref="F60:F61"/>
    <mergeCell ref="H62:H63"/>
    <mergeCell ref="I62:I63"/>
    <mergeCell ref="A64:A65"/>
    <mergeCell ref="B64:B65"/>
    <mergeCell ref="C64:C65"/>
    <mergeCell ref="D64:D65"/>
    <mergeCell ref="E64:E65"/>
    <mergeCell ref="F64:F65"/>
    <mergeCell ref="G64:G65"/>
    <mergeCell ref="H64:H65"/>
    <mergeCell ref="I64:I65"/>
    <mergeCell ref="A66:A67"/>
    <mergeCell ref="B66:B67"/>
    <mergeCell ref="C66:C67"/>
    <mergeCell ref="D66:D67"/>
    <mergeCell ref="E66:E67"/>
    <mergeCell ref="F66:F67"/>
    <mergeCell ref="G66:G67"/>
    <mergeCell ref="H66:H67"/>
    <mergeCell ref="I66:I67"/>
    <mergeCell ref="G68:G69"/>
    <mergeCell ref="H68:H69"/>
    <mergeCell ref="I68:I69"/>
    <mergeCell ref="A70:A71"/>
    <mergeCell ref="B70:B71"/>
    <mergeCell ref="C70:C71"/>
    <mergeCell ref="D70:D71"/>
    <mergeCell ref="E70:E71"/>
    <mergeCell ref="F70:F71"/>
    <mergeCell ref="G70:G71"/>
    <mergeCell ref="A68:A69"/>
    <mergeCell ref="B68:B69"/>
    <mergeCell ref="C68:C69"/>
    <mergeCell ref="D68:D69"/>
    <mergeCell ref="E68:E69"/>
    <mergeCell ref="F68:F69"/>
    <mergeCell ref="H70:H71"/>
    <mergeCell ref="I70:I71"/>
    <mergeCell ref="C78:C79"/>
    <mergeCell ref="D78:D79"/>
    <mergeCell ref="E78:E79"/>
    <mergeCell ref="F78:F79"/>
    <mergeCell ref="G78:G79"/>
    <mergeCell ref="A76:A77"/>
    <mergeCell ref="B76:B77"/>
    <mergeCell ref="C76:C77"/>
    <mergeCell ref="D76:D77"/>
    <mergeCell ref="E76:E77"/>
    <mergeCell ref="F76:F77"/>
    <mergeCell ref="H78:H79"/>
    <mergeCell ref="I78:I79"/>
    <mergeCell ref="A72:A73"/>
    <mergeCell ref="B72:B73"/>
    <mergeCell ref="C72:C73"/>
    <mergeCell ref="D72:D73"/>
    <mergeCell ref="E72:E73"/>
    <mergeCell ref="F72:F73"/>
    <mergeCell ref="G72:G73"/>
    <mergeCell ref="H72:H73"/>
    <mergeCell ref="I72:I73"/>
    <mergeCell ref="A74:A75"/>
    <mergeCell ref="B74:B75"/>
    <mergeCell ref="C74:C75"/>
    <mergeCell ref="D74:D75"/>
    <mergeCell ref="E74:E75"/>
    <mergeCell ref="F74:F75"/>
    <mergeCell ref="G74:G75"/>
    <mergeCell ref="H74:H75"/>
    <mergeCell ref="I74:I75"/>
    <mergeCell ref="A80:A81"/>
    <mergeCell ref="B80:B81"/>
    <mergeCell ref="C80:C81"/>
    <mergeCell ref="D80:D81"/>
    <mergeCell ref="E80:E81"/>
    <mergeCell ref="F80:F81"/>
    <mergeCell ref="G80:G81"/>
    <mergeCell ref="H80:H81"/>
    <mergeCell ref="I80:I81"/>
    <mergeCell ref="AD2:AD3"/>
    <mergeCell ref="A1:C1"/>
    <mergeCell ref="H86:H87"/>
    <mergeCell ref="I86:I87"/>
    <mergeCell ref="G84:G85"/>
    <mergeCell ref="H84:H85"/>
    <mergeCell ref="I84:I85"/>
    <mergeCell ref="A86:A87"/>
    <mergeCell ref="B86:B87"/>
    <mergeCell ref="C86:C87"/>
    <mergeCell ref="D86:D87"/>
    <mergeCell ref="E86:E87"/>
    <mergeCell ref="F86:F87"/>
    <mergeCell ref="G86:G87"/>
    <mergeCell ref="A84:A85"/>
    <mergeCell ref="B84:B85"/>
    <mergeCell ref="C84:C85"/>
    <mergeCell ref="D84:D85"/>
    <mergeCell ref="G76:G77"/>
    <mergeCell ref="H76:H77"/>
    <mergeCell ref="I76:I77"/>
    <mergeCell ref="A78:A79"/>
    <mergeCell ref="B78:B79"/>
    <mergeCell ref="E84:E85"/>
    <mergeCell ref="F84:F85"/>
    <mergeCell ref="A82:A83"/>
    <mergeCell ref="B82:B83"/>
    <mergeCell ref="C82:C83"/>
    <mergeCell ref="D82:D83"/>
    <mergeCell ref="A128:A129"/>
    <mergeCell ref="B128:B129"/>
    <mergeCell ref="C128:C129"/>
    <mergeCell ref="D128:D129"/>
    <mergeCell ref="E128:E129"/>
    <mergeCell ref="F128:F129"/>
    <mergeCell ref="G128:G129"/>
    <mergeCell ref="H128:H129"/>
    <mergeCell ref="I128:I129"/>
    <mergeCell ref="A130:A131"/>
    <mergeCell ref="B130:B131"/>
    <mergeCell ref="C130:C131"/>
    <mergeCell ref="D130:D131"/>
    <mergeCell ref="E130:E131"/>
    <mergeCell ref="F130:F131"/>
    <mergeCell ref="G130:G131"/>
    <mergeCell ref="H130:H131"/>
    <mergeCell ref="I130:I131"/>
    <mergeCell ref="E82:E83"/>
    <mergeCell ref="F82:F83"/>
    <mergeCell ref="G82:G83"/>
    <mergeCell ref="H82:H83"/>
    <mergeCell ref="I82:I83"/>
    <mergeCell ref="A88:A89"/>
    <mergeCell ref="B88:B89"/>
    <mergeCell ref="C88:C89"/>
    <mergeCell ref="A132:A133"/>
    <mergeCell ref="B132:B133"/>
    <mergeCell ref="C132:C133"/>
    <mergeCell ref="D132:D133"/>
    <mergeCell ref="E136:E137"/>
    <mergeCell ref="F136:F137"/>
    <mergeCell ref="G136:G137"/>
    <mergeCell ref="H136:H137"/>
    <mergeCell ref="I136:I137"/>
    <mergeCell ref="A138:A139"/>
    <mergeCell ref="B138:B139"/>
    <mergeCell ref="C138:C139"/>
    <mergeCell ref="D138:D139"/>
    <mergeCell ref="E138:E139"/>
    <mergeCell ref="F138:F139"/>
    <mergeCell ref="G138:G139"/>
    <mergeCell ref="H138:H139"/>
    <mergeCell ref="I138:I139"/>
    <mergeCell ref="A136:A137"/>
    <mergeCell ref="B136:B137"/>
    <mergeCell ref="C136:C137"/>
    <mergeCell ref="D136:D137"/>
    <mergeCell ref="A140:A141"/>
    <mergeCell ref="B140:B141"/>
    <mergeCell ref="C140:C141"/>
    <mergeCell ref="D140:D141"/>
    <mergeCell ref="E140:E141"/>
    <mergeCell ref="F140:F141"/>
    <mergeCell ref="G140:G141"/>
    <mergeCell ref="H140:H141"/>
    <mergeCell ref="I140:I141"/>
    <mergeCell ref="A142:A143"/>
    <mergeCell ref="B142:B143"/>
    <mergeCell ref="C142:C143"/>
    <mergeCell ref="D142:D143"/>
    <mergeCell ref="E142:E143"/>
    <mergeCell ref="F142:F143"/>
    <mergeCell ref="G142:G143"/>
    <mergeCell ref="H142:H143"/>
    <mergeCell ref="I142:I143"/>
    <mergeCell ref="A144:A145"/>
    <mergeCell ref="B144:B145"/>
    <mergeCell ref="C144:C145"/>
    <mergeCell ref="D144:D145"/>
    <mergeCell ref="E144:E145"/>
    <mergeCell ref="F144:F145"/>
    <mergeCell ref="G144:G145"/>
    <mergeCell ref="H144:H145"/>
    <mergeCell ref="I144:I145"/>
    <mergeCell ref="A146:A147"/>
    <mergeCell ref="B146:B147"/>
    <mergeCell ref="C146:C147"/>
    <mergeCell ref="D146:D147"/>
    <mergeCell ref="E146:E147"/>
    <mergeCell ref="F146:F147"/>
    <mergeCell ref="G146:G147"/>
    <mergeCell ref="H146:H147"/>
    <mergeCell ref="I146:I147"/>
    <mergeCell ref="A148:A149"/>
    <mergeCell ref="B148:B149"/>
    <mergeCell ref="C148:C149"/>
    <mergeCell ref="D148:D149"/>
    <mergeCell ref="E148:E149"/>
    <mergeCell ref="F148:F149"/>
    <mergeCell ref="G148:G149"/>
    <mergeCell ref="H148:H149"/>
    <mergeCell ref="I148:I149"/>
    <mergeCell ref="A150:A151"/>
    <mergeCell ref="B150:B151"/>
    <mergeCell ref="C150:C151"/>
    <mergeCell ref="D150:D151"/>
    <mergeCell ref="E150:E151"/>
    <mergeCell ref="F150:F151"/>
    <mergeCell ref="G150:G151"/>
    <mergeCell ref="H150:H151"/>
    <mergeCell ref="I150:I151"/>
    <mergeCell ref="A152:A153"/>
    <mergeCell ref="B152:B153"/>
    <mergeCell ref="C152:C153"/>
    <mergeCell ref="D152:D153"/>
    <mergeCell ref="E152:E153"/>
    <mergeCell ref="F152:F153"/>
    <mergeCell ref="G152:G153"/>
    <mergeCell ref="H152:H153"/>
    <mergeCell ref="I152:I153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I154:I155"/>
    <mergeCell ref="A156:A157"/>
    <mergeCell ref="B156:B157"/>
    <mergeCell ref="C156:C157"/>
    <mergeCell ref="D156:D157"/>
    <mergeCell ref="E156:E157"/>
    <mergeCell ref="F156:F157"/>
    <mergeCell ref="G156:G157"/>
    <mergeCell ref="H156:H157"/>
    <mergeCell ref="I156:I157"/>
    <mergeCell ref="A158:A159"/>
    <mergeCell ref="B158:B159"/>
    <mergeCell ref="C158:C159"/>
    <mergeCell ref="D158:D159"/>
    <mergeCell ref="E158:E159"/>
    <mergeCell ref="F158:F159"/>
    <mergeCell ref="G158:G159"/>
    <mergeCell ref="H158:H159"/>
    <mergeCell ref="I158:I159"/>
    <mergeCell ref="A160:A161"/>
    <mergeCell ref="B160:B161"/>
    <mergeCell ref="C160:C161"/>
    <mergeCell ref="D160:D161"/>
    <mergeCell ref="E160:E161"/>
    <mergeCell ref="F160:F161"/>
    <mergeCell ref="G160:G161"/>
    <mergeCell ref="H160:H161"/>
    <mergeCell ref="I160:I161"/>
    <mergeCell ref="A162:A163"/>
    <mergeCell ref="B162:B163"/>
    <mergeCell ref="C162:C163"/>
    <mergeCell ref="D162:D163"/>
    <mergeCell ref="E162:E163"/>
    <mergeCell ref="F162:F163"/>
    <mergeCell ref="G162:G163"/>
    <mergeCell ref="H162:H163"/>
    <mergeCell ref="I162:I163"/>
    <mergeCell ref="A164:A165"/>
    <mergeCell ref="B164:B165"/>
    <mergeCell ref="C164:C165"/>
    <mergeCell ref="D164:D165"/>
    <mergeCell ref="E164:E165"/>
    <mergeCell ref="F164:F165"/>
    <mergeCell ref="G164:G165"/>
    <mergeCell ref="H164:H165"/>
    <mergeCell ref="I164:I165"/>
    <mergeCell ref="A166:A167"/>
    <mergeCell ref="B166:B167"/>
    <mergeCell ref="C166:C167"/>
    <mergeCell ref="D166:D167"/>
    <mergeCell ref="E166:E167"/>
    <mergeCell ref="F166:F167"/>
    <mergeCell ref="G166:G167"/>
    <mergeCell ref="H166:H167"/>
    <mergeCell ref="I166:I167"/>
    <mergeCell ref="A168:A169"/>
    <mergeCell ref="B168:B169"/>
    <mergeCell ref="C168:C169"/>
    <mergeCell ref="D168:D169"/>
    <mergeCell ref="E168:E169"/>
    <mergeCell ref="F168:F169"/>
    <mergeCell ref="G168:G169"/>
    <mergeCell ref="H168:H169"/>
    <mergeCell ref="I168:I169"/>
    <mergeCell ref="A170:A171"/>
    <mergeCell ref="B170:B171"/>
    <mergeCell ref="C170:C171"/>
    <mergeCell ref="D170:D171"/>
    <mergeCell ref="E170:E171"/>
    <mergeCell ref="F170:F171"/>
    <mergeCell ref="G170:G171"/>
    <mergeCell ref="H170:H171"/>
    <mergeCell ref="I170:I171"/>
    <mergeCell ref="A172:A173"/>
    <mergeCell ref="B172:B173"/>
    <mergeCell ref="C172:C173"/>
    <mergeCell ref="D172:D173"/>
    <mergeCell ref="E172:E173"/>
    <mergeCell ref="F172:F173"/>
    <mergeCell ref="G172:G173"/>
    <mergeCell ref="H172:H173"/>
    <mergeCell ref="I172:I173"/>
    <mergeCell ref="A174:A175"/>
    <mergeCell ref="B174:B175"/>
    <mergeCell ref="C174:C175"/>
    <mergeCell ref="D174:D175"/>
    <mergeCell ref="E174:E175"/>
    <mergeCell ref="F174:F175"/>
    <mergeCell ref="G174:G175"/>
    <mergeCell ref="H174:H175"/>
    <mergeCell ref="I174:I175"/>
    <mergeCell ref="A176:A177"/>
    <mergeCell ref="B176:B177"/>
    <mergeCell ref="C176:C177"/>
    <mergeCell ref="D176:D177"/>
    <mergeCell ref="E176:E177"/>
    <mergeCell ref="F176:F177"/>
    <mergeCell ref="G176:G177"/>
    <mergeCell ref="H176:H177"/>
    <mergeCell ref="I176:I177"/>
    <mergeCell ref="A178:A179"/>
    <mergeCell ref="B178:B179"/>
    <mergeCell ref="C178:C179"/>
    <mergeCell ref="D178:D179"/>
    <mergeCell ref="E178:E179"/>
    <mergeCell ref="F178:F179"/>
    <mergeCell ref="G178:G179"/>
    <mergeCell ref="H178:H179"/>
    <mergeCell ref="I178:I179"/>
    <mergeCell ref="A180:A181"/>
    <mergeCell ref="B180:B181"/>
    <mergeCell ref="C180:C181"/>
    <mergeCell ref="D180:D181"/>
    <mergeCell ref="E180:E181"/>
    <mergeCell ref="F180:F181"/>
    <mergeCell ref="G180:G181"/>
    <mergeCell ref="H180:H181"/>
    <mergeCell ref="I180:I181"/>
    <mergeCell ref="A182:A183"/>
    <mergeCell ref="B182:B183"/>
    <mergeCell ref="C182:C183"/>
    <mergeCell ref="D182:D183"/>
    <mergeCell ref="E182:E183"/>
    <mergeCell ref="F182:F183"/>
    <mergeCell ref="G182:G183"/>
    <mergeCell ref="H182:H183"/>
    <mergeCell ref="I182:I183"/>
    <mergeCell ref="A184:A185"/>
    <mergeCell ref="B184:B185"/>
    <mergeCell ref="C184:C185"/>
    <mergeCell ref="D184:D185"/>
    <mergeCell ref="E184:E185"/>
    <mergeCell ref="F184:F185"/>
    <mergeCell ref="G184:G185"/>
    <mergeCell ref="H184:H185"/>
    <mergeCell ref="I184:I185"/>
    <mergeCell ref="A186:A187"/>
    <mergeCell ref="B186:B187"/>
    <mergeCell ref="C186:C187"/>
    <mergeCell ref="D186:D187"/>
    <mergeCell ref="E186:E187"/>
    <mergeCell ref="F186:F187"/>
    <mergeCell ref="G186:G187"/>
    <mergeCell ref="H186:H187"/>
    <mergeCell ref="I186:I187"/>
    <mergeCell ref="A188:A189"/>
    <mergeCell ref="B188:B189"/>
    <mergeCell ref="C188:C189"/>
    <mergeCell ref="D188:D189"/>
    <mergeCell ref="E188:E189"/>
    <mergeCell ref="F188:F189"/>
    <mergeCell ref="G188:G189"/>
    <mergeCell ref="H188:H189"/>
    <mergeCell ref="I188:I189"/>
    <mergeCell ref="A190:A191"/>
    <mergeCell ref="B190:B191"/>
    <mergeCell ref="C190:C191"/>
    <mergeCell ref="D190:D191"/>
    <mergeCell ref="E190:E191"/>
    <mergeCell ref="F190:F191"/>
    <mergeCell ref="G190:G191"/>
    <mergeCell ref="H190:H191"/>
    <mergeCell ref="I190:I191"/>
    <mergeCell ref="A192:A193"/>
    <mergeCell ref="B192:B193"/>
    <mergeCell ref="C192:C193"/>
    <mergeCell ref="D192:D193"/>
    <mergeCell ref="E192:E193"/>
    <mergeCell ref="F192:F193"/>
    <mergeCell ref="G192:G193"/>
    <mergeCell ref="H192:H193"/>
    <mergeCell ref="I192:I193"/>
    <mergeCell ref="A194:A195"/>
    <mergeCell ref="B194:B195"/>
    <mergeCell ref="C194:C195"/>
    <mergeCell ref="D194:D195"/>
    <mergeCell ref="E194:E195"/>
    <mergeCell ref="F194:F195"/>
    <mergeCell ref="G194:G195"/>
    <mergeCell ref="H194:H195"/>
    <mergeCell ref="I194:I195"/>
    <mergeCell ref="A198:A199"/>
    <mergeCell ref="B198:B199"/>
    <mergeCell ref="C198:C199"/>
    <mergeCell ref="D198:D199"/>
    <mergeCell ref="E198:E199"/>
    <mergeCell ref="F198:F199"/>
    <mergeCell ref="G198:G199"/>
    <mergeCell ref="H198:H199"/>
    <mergeCell ref="I198:I199"/>
    <mergeCell ref="A200:A201"/>
    <mergeCell ref="B200:B201"/>
    <mergeCell ref="C200:C201"/>
    <mergeCell ref="D200:D201"/>
    <mergeCell ref="E200:E201"/>
    <mergeCell ref="F200:F201"/>
    <mergeCell ref="G200:G201"/>
    <mergeCell ref="H200:H201"/>
    <mergeCell ref="I200:I201"/>
    <mergeCell ref="A414:A415"/>
    <mergeCell ref="B414:B415"/>
    <mergeCell ref="C414:C415"/>
    <mergeCell ref="D414:D415"/>
    <mergeCell ref="E414:E415"/>
    <mergeCell ref="F414:F415"/>
    <mergeCell ref="G414:G415"/>
    <mergeCell ref="H414:H415"/>
    <mergeCell ref="I414:I415"/>
    <mergeCell ref="A416:A417"/>
    <mergeCell ref="B416:B417"/>
    <mergeCell ref="C416:C417"/>
    <mergeCell ref="D416:D417"/>
    <mergeCell ref="E416:E417"/>
    <mergeCell ref="F416:F417"/>
    <mergeCell ref="G416:G417"/>
    <mergeCell ref="H416:H417"/>
    <mergeCell ref="I416:I417"/>
    <mergeCell ref="A418:A419"/>
    <mergeCell ref="B418:B419"/>
    <mergeCell ref="C418:C419"/>
    <mergeCell ref="D418:D419"/>
    <mergeCell ref="E418:E419"/>
    <mergeCell ref="F418:F419"/>
    <mergeCell ref="G418:G419"/>
    <mergeCell ref="H418:H419"/>
    <mergeCell ref="I418:I419"/>
    <mergeCell ref="A420:A421"/>
    <mergeCell ref="B420:B421"/>
    <mergeCell ref="C420:C421"/>
    <mergeCell ref="D420:D421"/>
    <mergeCell ref="E420:E421"/>
    <mergeCell ref="F420:F421"/>
    <mergeCell ref="G420:G421"/>
    <mergeCell ref="H420:H421"/>
    <mergeCell ref="I420:I421"/>
    <mergeCell ref="A422:A423"/>
    <mergeCell ref="B422:B423"/>
    <mergeCell ref="C422:C423"/>
    <mergeCell ref="D422:D423"/>
    <mergeCell ref="E422:E423"/>
    <mergeCell ref="F422:F423"/>
    <mergeCell ref="G422:G423"/>
    <mergeCell ref="H422:H423"/>
    <mergeCell ref="I422:I423"/>
    <mergeCell ref="A424:A425"/>
    <mergeCell ref="B424:B425"/>
    <mergeCell ref="C424:C425"/>
    <mergeCell ref="D424:D425"/>
    <mergeCell ref="E424:E425"/>
    <mergeCell ref="F424:F425"/>
    <mergeCell ref="G424:G425"/>
    <mergeCell ref="H424:H425"/>
    <mergeCell ref="I424:I425"/>
    <mergeCell ref="A426:A427"/>
    <mergeCell ref="B426:B427"/>
    <mergeCell ref="C426:C427"/>
    <mergeCell ref="D426:D427"/>
    <mergeCell ref="E426:E427"/>
    <mergeCell ref="F426:F427"/>
    <mergeCell ref="G426:G427"/>
    <mergeCell ref="H426:H427"/>
    <mergeCell ref="I426:I427"/>
    <mergeCell ref="A428:A429"/>
    <mergeCell ref="B428:B429"/>
    <mergeCell ref="C428:C429"/>
    <mergeCell ref="D428:D429"/>
    <mergeCell ref="E428:E429"/>
    <mergeCell ref="F428:F429"/>
    <mergeCell ref="G428:G429"/>
    <mergeCell ref="H428:H429"/>
    <mergeCell ref="I428:I429"/>
    <mergeCell ref="A430:A431"/>
    <mergeCell ref="B430:B431"/>
    <mergeCell ref="C430:C431"/>
    <mergeCell ref="D430:D431"/>
    <mergeCell ref="E430:E431"/>
    <mergeCell ref="F430:F431"/>
    <mergeCell ref="G430:G431"/>
    <mergeCell ref="H430:H431"/>
    <mergeCell ref="I430:I431"/>
    <mergeCell ref="A432:A433"/>
    <mergeCell ref="B432:B433"/>
    <mergeCell ref="C432:C433"/>
    <mergeCell ref="D432:D433"/>
    <mergeCell ref="E432:E433"/>
    <mergeCell ref="F432:F433"/>
    <mergeCell ref="G432:G433"/>
    <mergeCell ref="H432:H433"/>
    <mergeCell ref="I432:I433"/>
    <mergeCell ref="A434:A435"/>
    <mergeCell ref="B434:B435"/>
    <mergeCell ref="C434:C435"/>
    <mergeCell ref="D434:D435"/>
    <mergeCell ref="E434:E435"/>
    <mergeCell ref="F434:F435"/>
    <mergeCell ref="G434:G435"/>
    <mergeCell ref="H434:H435"/>
    <mergeCell ref="I434:I435"/>
    <mergeCell ref="A436:A437"/>
    <mergeCell ref="B436:B437"/>
    <mergeCell ref="C436:C437"/>
    <mergeCell ref="D436:D437"/>
    <mergeCell ref="E436:E437"/>
    <mergeCell ref="F436:F437"/>
    <mergeCell ref="G436:G437"/>
    <mergeCell ref="H436:H437"/>
    <mergeCell ref="I436:I437"/>
    <mergeCell ref="A438:A439"/>
    <mergeCell ref="B438:B439"/>
    <mergeCell ref="C438:C439"/>
    <mergeCell ref="D438:D439"/>
    <mergeCell ref="E438:E439"/>
    <mergeCell ref="F438:F439"/>
    <mergeCell ref="G438:G439"/>
    <mergeCell ref="H438:H439"/>
    <mergeCell ref="I438:I439"/>
    <mergeCell ref="A440:A441"/>
    <mergeCell ref="B440:B441"/>
    <mergeCell ref="C440:C441"/>
    <mergeCell ref="D440:D441"/>
    <mergeCell ref="E440:E441"/>
    <mergeCell ref="F440:F441"/>
    <mergeCell ref="G440:G441"/>
    <mergeCell ref="H440:H441"/>
    <mergeCell ref="I440:I441"/>
    <mergeCell ref="A442:A443"/>
    <mergeCell ref="B442:B443"/>
    <mergeCell ref="C442:C443"/>
    <mergeCell ref="D442:D443"/>
    <mergeCell ref="E442:E443"/>
    <mergeCell ref="F442:F443"/>
    <mergeCell ref="G442:G443"/>
    <mergeCell ref="H442:H443"/>
    <mergeCell ref="I442:I443"/>
    <mergeCell ref="A444:A445"/>
    <mergeCell ref="B444:B445"/>
    <mergeCell ref="C444:C445"/>
    <mergeCell ref="D444:D445"/>
    <mergeCell ref="E444:E445"/>
    <mergeCell ref="F444:F445"/>
    <mergeCell ref="G444:G445"/>
    <mergeCell ref="H444:H445"/>
    <mergeCell ref="I444:I445"/>
    <mergeCell ref="A446:A447"/>
    <mergeCell ref="B446:B447"/>
    <mergeCell ref="C446:C447"/>
    <mergeCell ref="D446:D447"/>
    <mergeCell ref="E446:E447"/>
    <mergeCell ref="F446:F447"/>
    <mergeCell ref="G446:G447"/>
    <mergeCell ref="H446:H447"/>
    <mergeCell ref="I446:I447"/>
    <mergeCell ref="A448:A449"/>
    <mergeCell ref="B448:B449"/>
    <mergeCell ref="C448:C449"/>
    <mergeCell ref="D448:D449"/>
    <mergeCell ref="E448:E449"/>
    <mergeCell ref="F448:F449"/>
    <mergeCell ref="G448:G449"/>
    <mergeCell ref="H448:H449"/>
    <mergeCell ref="I448:I449"/>
    <mergeCell ref="A450:A451"/>
    <mergeCell ref="B450:B451"/>
    <mergeCell ref="C450:C451"/>
    <mergeCell ref="D450:D451"/>
    <mergeCell ref="E450:E451"/>
    <mergeCell ref="F450:F451"/>
    <mergeCell ref="G450:G451"/>
    <mergeCell ref="H450:H451"/>
    <mergeCell ref="I450:I451"/>
    <mergeCell ref="A452:A453"/>
    <mergeCell ref="B452:B453"/>
    <mergeCell ref="C452:C453"/>
    <mergeCell ref="D452:D453"/>
    <mergeCell ref="E452:E453"/>
    <mergeCell ref="F452:F453"/>
    <mergeCell ref="G452:G453"/>
    <mergeCell ref="H452:H453"/>
    <mergeCell ref="I452:I453"/>
    <mergeCell ref="A454:A455"/>
    <mergeCell ref="B454:B455"/>
    <mergeCell ref="C454:C455"/>
    <mergeCell ref="D454:D455"/>
    <mergeCell ref="E454:E455"/>
    <mergeCell ref="F454:F455"/>
    <mergeCell ref="G454:G455"/>
    <mergeCell ref="H454:H455"/>
    <mergeCell ref="I454:I455"/>
    <mergeCell ref="A456:A457"/>
    <mergeCell ref="B456:B457"/>
    <mergeCell ref="C456:C457"/>
    <mergeCell ref="D456:D457"/>
    <mergeCell ref="E456:E457"/>
    <mergeCell ref="F456:F457"/>
    <mergeCell ref="G456:G457"/>
    <mergeCell ref="H456:H457"/>
    <mergeCell ref="I456:I457"/>
    <mergeCell ref="A458:A459"/>
    <mergeCell ref="B458:B459"/>
    <mergeCell ref="C458:C459"/>
    <mergeCell ref="D458:D459"/>
    <mergeCell ref="E458:E459"/>
    <mergeCell ref="F458:F459"/>
    <mergeCell ref="G458:G459"/>
    <mergeCell ref="H458:H459"/>
    <mergeCell ref="I458:I459"/>
    <mergeCell ref="A460:A461"/>
    <mergeCell ref="B460:B461"/>
    <mergeCell ref="C460:C461"/>
    <mergeCell ref="D460:D461"/>
    <mergeCell ref="E460:E461"/>
    <mergeCell ref="F460:F461"/>
    <mergeCell ref="G460:G461"/>
    <mergeCell ref="H460:H461"/>
    <mergeCell ref="I460:I461"/>
  </mergeCells>
  <phoneticPr fontId="1" type="noConversion"/>
  <printOptions horizontalCentered="1"/>
  <pageMargins left="0.11811023622047245" right="0.11811023622047245" top="0.94488188976377963" bottom="0.74803149606299213" header="0.51181102362204722" footer="0.31496062992125984"/>
  <pageSetup paperSize="9" scale="120" orientation="portrait" r:id="rId1"/>
  <headerFooter>
    <oddHeader>&amp;C&amp;"華康正顏楷體W7,標準"&amp;16表、梁主筋乙級搭接長度(cm)</oddHeader>
    <oddFooter>&amp;R&amp;"Book Antiqua,粗體"&amp;P/&amp;N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AJ49"/>
  <sheetViews>
    <sheetView workbookViewId="0">
      <selection activeCell="L9" sqref="L9"/>
    </sheetView>
  </sheetViews>
  <sheetFormatPr defaultRowHeight="16.5"/>
  <cols>
    <col min="1" max="1" width="5.5" style="6" bestFit="1" customWidth="1"/>
    <col min="2" max="2" width="7.5" style="9" bestFit="1" customWidth="1"/>
    <col min="3" max="3" width="9.5" style="6" bestFit="1" customWidth="1"/>
    <col min="4" max="4" width="5.5" style="1" bestFit="1" customWidth="1"/>
    <col min="5" max="5" width="5.5" style="1" customWidth="1"/>
    <col min="6" max="6" width="8.875" style="6" bestFit="1" customWidth="1"/>
    <col min="7" max="7" width="5.5" bestFit="1" customWidth="1"/>
    <col min="9" max="36" width="5.625" customWidth="1"/>
  </cols>
  <sheetData>
    <row r="1" spans="1:36" ht="33" customHeight="1">
      <c r="A1" s="137" t="s">
        <v>14</v>
      </c>
      <c r="B1" s="138" t="s">
        <v>0</v>
      </c>
      <c r="C1" s="133" t="s">
        <v>13</v>
      </c>
      <c r="D1" s="132" t="s">
        <v>3</v>
      </c>
      <c r="E1" s="139" t="s">
        <v>8</v>
      </c>
      <c r="F1" s="133" t="s">
        <v>12</v>
      </c>
      <c r="G1" s="132" t="s">
        <v>2</v>
      </c>
      <c r="H1" s="135" t="s">
        <v>314</v>
      </c>
      <c r="I1" s="132" t="s">
        <v>6</v>
      </c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  <c r="X1" s="132"/>
      <c r="Y1" s="132"/>
      <c r="Z1" s="132"/>
      <c r="AA1" s="132"/>
      <c r="AB1" s="132"/>
      <c r="AC1" s="132"/>
      <c r="AD1" s="132"/>
      <c r="AE1" s="132"/>
      <c r="AF1" s="132"/>
      <c r="AG1" s="132"/>
      <c r="AH1" s="132"/>
      <c r="AI1" s="132"/>
      <c r="AJ1" s="132"/>
    </row>
    <row r="2" spans="1:36" ht="19.5" customHeight="1">
      <c r="A2" s="137"/>
      <c r="B2" s="138"/>
      <c r="C2" s="134"/>
      <c r="D2" s="132"/>
      <c r="E2" s="132"/>
      <c r="F2" s="134"/>
      <c r="G2" s="132"/>
      <c r="H2" s="136"/>
      <c r="I2" s="30">
        <v>3</v>
      </c>
      <c r="J2" s="30">
        <v>4</v>
      </c>
      <c r="K2" s="30">
        <v>5</v>
      </c>
      <c r="L2" s="30">
        <v>6</v>
      </c>
      <c r="M2" s="30">
        <v>7</v>
      </c>
      <c r="N2" s="30">
        <v>8</v>
      </c>
      <c r="O2" s="30">
        <v>9</v>
      </c>
      <c r="P2" s="30">
        <v>10</v>
      </c>
      <c r="Q2" s="30">
        <v>11</v>
      </c>
      <c r="R2" s="30">
        <v>12</v>
      </c>
      <c r="S2" s="30">
        <v>13</v>
      </c>
      <c r="T2" s="30">
        <v>14</v>
      </c>
      <c r="U2" s="30">
        <v>15</v>
      </c>
      <c r="V2" s="30">
        <v>16</v>
      </c>
      <c r="W2" s="30">
        <v>17</v>
      </c>
      <c r="X2" s="30">
        <v>18</v>
      </c>
      <c r="Y2" s="30">
        <v>19</v>
      </c>
      <c r="Z2" s="30">
        <v>20</v>
      </c>
      <c r="AA2" s="30">
        <v>21</v>
      </c>
      <c r="AB2" s="30">
        <v>22</v>
      </c>
      <c r="AC2" s="30">
        <v>23</v>
      </c>
      <c r="AD2" s="30">
        <v>24</v>
      </c>
      <c r="AE2" s="30">
        <v>25</v>
      </c>
      <c r="AF2" s="30">
        <v>26</v>
      </c>
      <c r="AG2" s="30">
        <v>27</v>
      </c>
      <c r="AH2" s="30">
        <v>28</v>
      </c>
      <c r="AI2" s="30">
        <v>29</v>
      </c>
      <c r="AJ2" s="30">
        <v>30</v>
      </c>
    </row>
    <row r="3" spans="1:36" ht="19.5">
      <c r="A3" s="6" t="s">
        <v>4</v>
      </c>
      <c r="B3" s="9" t="s">
        <v>4</v>
      </c>
      <c r="C3" s="6" t="s">
        <v>5</v>
      </c>
      <c r="D3" s="132"/>
      <c r="E3" s="1" t="s">
        <v>9</v>
      </c>
      <c r="F3" s="6" t="s">
        <v>5</v>
      </c>
      <c r="G3" s="132"/>
      <c r="H3" s="136"/>
      <c r="I3" s="132" t="s">
        <v>10</v>
      </c>
      <c r="J3" s="132"/>
      <c r="K3" s="132"/>
      <c r="L3" s="132"/>
      <c r="M3" s="132"/>
      <c r="N3" s="132"/>
      <c r="O3" s="132"/>
      <c r="P3" s="132"/>
      <c r="Q3" s="132"/>
      <c r="R3" s="132"/>
      <c r="S3" s="132"/>
      <c r="T3" s="132"/>
      <c r="U3" s="132"/>
      <c r="V3" s="132"/>
      <c r="W3" s="132"/>
      <c r="X3" s="132"/>
      <c r="Y3" s="132"/>
      <c r="Z3" s="132"/>
      <c r="AA3" s="132"/>
      <c r="AB3" s="132"/>
      <c r="AC3" s="132"/>
      <c r="AD3" s="132"/>
      <c r="AE3" s="132"/>
      <c r="AF3" s="132"/>
      <c r="AG3" s="132"/>
      <c r="AH3" s="132"/>
      <c r="AI3" s="132"/>
      <c r="AJ3" s="132"/>
    </row>
    <row r="4" spans="1:36">
      <c r="A4" s="20">
        <v>100</v>
      </c>
      <c r="B4" s="21">
        <v>5</v>
      </c>
      <c r="C4" s="20">
        <v>4200</v>
      </c>
      <c r="D4" s="22">
        <v>13</v>
      </c>
      <c r="E4" s="23">
        <v>10</v>
      </c>
      <c r="F4" s="20">
        <v>210</v>
      </c>
      <c r="G4" s="22">
        <v>32</v>
      </c>
      <c r="H4" s="1">
        <f>ROUNDDOWN((A$4-2*B$4-2*D$4/10-G4/10)/(2*G4/10),0)+1</f>
        <v>14</v>
      </c>
      <c r="I4" s="1">
        <f>IF(I$2&gt;$H4,"-",ROUNDUP(Ld_cal($A4, $B4, $C4, $F4,$D4, $E4, $G4, I$2)*1.3,0))</f>
        <v>136</v>
      </c>
      <c r="J4" s="1">
        <f>IF(J$2&gt;$H4,"-",ROUNDUP(Ld_cal($A4, $B4, $C4, $F4,$D4, $E4, $G4, J$2)*1.3,0))</f>
        <v>136</v>
      </c>
      <c r="K4" s="1">
        <f>IF(K$2&gt;$H4,"-",ROUNDUP(Ld_cal($A4, $B4, $C4, $F4,$D4, $E4, $G4, K$2)*1.3,0))</f>
        <v>136</v>
      </c>
      <c r="L4" s="1">
        <f>IF(L$2&gt;$H4,"-",ROUNDUP(Ld_cal($A4, $B4, $C4, $F4,$D4, $E4, $G4, L$2)*1.3,0))</f>
        <v>136</v>
      </c>
      <c r="M4" s="1">
        <f>IF(M$2&gt;$H4,"-",ROUNDUP(Ld_cal($A4, $B4, $C4, $F4,$D4, $E4, $G4, M$2)*1.3,0))</f>
        <v>136</v>
      </c>
      <c r="N4" s="1">
        <f>IF(N$2&gt;$H4,"-",ROUNDUP(Ld_cal($A4, $B4, $C4, $F4,$D4, $E4, $G4, N$2)*1.3,0))</f>
        <v>148</v>
      </c>
      <c r="O4" s="1">
        <f>IF(O$2&gt;$H4,"-",ROUNDUP(Ld_cal($A4, $B4, $C4, $F4,$D4, $E4, $G4, O$2)*1.3,0))</f>
        <v>168</v>
      </c>
      <c r="P4" s="1">
        <f>IF(P$2&gt;$H4,"-",ROUNDUP(Ld_cal($A4, $B4, $C4, $F4,$D4, $E4, $G4, P$2)*1.3,0))</f>
        <v>189</v>
      </c>
      <c r="Q4" s="1">
        <f>IF(Q$2&gt;$H4,"-",ROUNDUP(Ld_cal($A4, $B4, $C4, $F4,$D4, $E4, $G4, Q$2)*1.3,0))</f>
        <v>209</v>
      </c>
      <c r="R4" s="1">
        <f>IF(R$2&gt;$H4,"-",ROUNDUP(Ld_cal($A4, $B4, $C4, $F4,$D4, $E4, $G4, R$2)*1.3,0))</f>
        <v>230</v>
      </c>
      <c r="S4" s="1">
        <f>IF(S$2&gt;$H4,"-",ROUNDUP(Ld_cal($A4, $B4, $C4, $F4,$D4, $E4, $G4, S$2)*1.3,0))</f>
        <v>250</v>
      </c>
      <c r="T4" s="1">
        <f>IF(T$2&gt;$H4,"-",ROUNDUP(Ld_cal($A4, $B4, $C4, $F4,$D4, $E4, $G4, T$2)*1.3,0))</f>
        <v>271</v>
      </c>
      <c r="U4" s="1" t="str">
        <f>IF(U$2&gt;$H4,"-",ROUNDUP(Ld_cal($A4, $B4, $C4, $F4,$D4, $E4, $G4, U$2)*1.3,0))</f>
        <v>-</v>
      </c>
      <c r="V4" s="1" t="str">
        <f>IF(V$2&gt;$H4,"-",ROUNDUP(Ld_cal($A4, $B4, $C4, $F4,$D4, $E4, $G4, V$2)*1.3,0))</f>
        <v>-</v>
      </c>
      <c r="W4" s="2" t="str">
        <f>IF(W$2&gt;$H4,"-",ROUNDUP(Ld_cal($A4, $B4, $C4, $F4,$D4, $E4, $G4, W$2)*1.3,0))</f>
        <v>-</v>
      </c>
      <c r="X4" s="2" t="str">
        <f>IF(X$2&gt;$H4,"-",ROUNDUP(Ld_cal($A4, $B4, $C4, $F4,$D4, $E4, $G4, X$2)*1.3,0))</f>
        <v>-</v>
      </c>
      <c r="Y4" s="2" t="str">
        <f>IF(Y$2&gt;$H4,"-",ROUNDUP(Ld_cal($A4, $B4, $C4, $F4,$D4, $E4, $G4, Y$2)*1.3,0))</f>
        <v>-</v>
      </c>
      <c r="Z4" s="2" t="str">
        <f>IF(Z$2&gt;$H4,"-",ROUNDUP(Ld_cal($A4, $B4, $C4, $F4,$D4, $E4, $G4, Z$2)*1.3,0))</f>
        <v>-</v>
      </c>
      <c r="AA4" s="2" t="str">
        <f>IF(AA$2&gt;$H4,"-",ROUNDUP(Ld_cal($A4, $B4, $C4, $F4,$D4, $E4, $G4, AA$2)*1.3,0))</f>
        <v>-</v>
      </c>
      <c r="AB4" s="2" t="str">
        <f>IF(AB$2&gt;$H4,"-",ROUNDUP(Ld_cal($A4, $B4, $C4, $F4,$D4, $E4, $G4, AB$2)*1.3,0))</f>
        <v>-</v>
      </c>
      <c r="AC4" s="2" t="str">
        <f>IF(AC$2&gt;$H4,"-",ROUNDUP(Ld_cal($A4, $B4, $C4, $F4,$D4, $E4, $G4, AC$2)*1.3,0))</f>
        <v>-</v>
      </c>
      <c r="AD4" s="2" t="str">
        <f>IF(AD$2&gt;$H4,"-",ROUNDUP(Ld_cal($A4, $B4, $C4, $F4,$D4, $E4, $G4, AD$2)*1.3,0))</f>
        <v>-</v>
      </c>
      <c r="AE4" s="2" t="str">
        <f>IF(AE$2&gt;$H4,"-",ROUNDUP(Ld_cal($A4, $B4, $C4, $F4,$D4, $E4, $G4, AE$2)*1.3,0))</f>
        <v>-</v>
      </c>
      <c r="AF4" s="2" t="str">
        <f>IF(AF$2&gt;$H4,"-",ROUNDUP(Ld_cal($A4, $B4, $C4, $F4,$D4, $E4, $G4, AF$2)*1.3,0))</f>
        <v>-</v>
      </c>
      <c r="AG4" s="2" t="str">
        <f>IF(AG$2&gt;$H4,"-",ROUNDUP(Ld_cal($A4, $B4, $C4, $F4,$D4, $E4, $G4, AG$2)*1.3,0))</f>
        <v>-</v>
      </c>
      <c r="AH4" s="2" t="str">
        <f>IF(AH$2&gt;$H4,"-",ROUNDUP(Ld_cal($A4, $B4, $C4, $F4,$D4, $E4, $G4, AH$2)*1.3,0))</f>
        <v>-</v>
      </c>
      <c r="AI4" s="2" t="str">
        <f>IF(AI$2&gt;$H4,"-",ROUNDUP(Ld_cal($A4, $B4, $C4, $F4,$D4, $E4, $G4, AI$2)*1.3,0))</f>
        <v>-</v>
      </c>
      <c r="AJ4" s="2" t="str">
        <f>IF(AJ$2&gt;$H4,"-",ROUNDUP(Ld_cal($A4, $B4, $C4, $F4,$D4, $E4, $G4, AJ$2)*1.3,0))</f>
        <v>-</v>
      </c>
    </row>
    <row r="5" spans="1:36">
      <c r="A5" s="8">
        <f t="shared" ref="A5:B5" si="0">A4</f>
        <v>100</v>
      </c>
      <c r="B5" s="11">
        <f t="shared" si="0"/>
        <v>5</v>
      </c>
      <c r="C5" s="8">
        <f>C4</f>
        <v>4200</v>
      </c>
      <c r="D5" s="12">
        <f>D4</f>
        <v>13</v>
      </c>
      <c r="E5" s="5">
        <f>E4</f>
        <v>10</v>
      </c>
      <c r="F5" s="8">
        <f>F4</f>
        <v>210</v>
      </c>
      <c r="G5" s="22">
        <v>25</v>
      </c>
      <c r="H5" s="1">
        <f>ROUNDDOWN((A$4-2*B$4-2*D$4/10-G5/10)/(2*G5/10),0)+1</f>
        <v>17</v>
      </c>
      <c r="I5" s="2">
        <f>IF(I$2&gt;$H5,"-",ROUNDUP(Ld_cal($A5, $B5, $C5, $F5,$D5, $E5, $G5, I$2)*1.3,0))</f>
        <v>106</v>
      </c>
      <c r="J5" s="2">
        <f>IF(J$2&gt;$H5,"-",ROUNDUP(Ld_cal($A5, $B5, $C5, $F5,$D5, $E5, $G5, J$2)*1.3,0))</f>
        <v>106</v>
      </c>
      <c r="K5" s="2">
        <f>IF(K$2&gt;$H5,"-",ROUNDUP(Ld_cal($A5, $B5, $C5, $F5,$D5, $E5, $G5, K$2)*1.3,0))</f>
        <v>106</v>
      </c>
      <c r="L5" s="2">
        <f>IF(L$2&gt;$H5,"-",ROUNDUP(Ld_cal($A5, $B5, $C5, $F5,$D5, $E5, $G5, L$2)*1.3,0))</f>
        <v>106</v>
      </c>
      <c r="M5" s="2">
        <f>IF(M$2&gt;$H5,"-",ROUNDUP(Ld_cal($A5, $B5, $C5, $F5,$D5, $E5, $G5, M$2)*1.3,0))</f>
        <v>106</v>
      </c>
      <c r="N5" s="2">
        <f>IF(N$2&gt;$H5,"-",ROUNDUP(Ld_cal($A5, $B5, $C5, $F5,$D5, $E5, $G5, N$2)*1.3,0))</f>
        <v>106</v>
      </c>
      <c r="O5" s="2">
        <f>IF(O$2&gt;$H5,"-",ROUNDUP(Ld_cal($A5, $B5, $C5, $F5,$D5, $E5, $G5, O$2)*1.3,0))</f>
        <v>106</v>
      </c>
      <c r="P5" s="2">
        <f>IF(P$2&gt;$H5,"-",ROUNDUP(Ld_cal($A5, $B5, $C5, $F5,$D5, $E5, $G5, P$2)*1.3,0))</f>
        <v>115</v>
      </c>
      <c r="Q5" s="2">
        <f>IF(Q$2&gt;$H5,"-",ROUNDUP(Ld_cal($A5, $B5, $C5, $F5,$D5, $E5, $G5, Q$2)*1.3,0))</f>
        <v>127</v>
      </c>
      <c r="R5" s="2">
        <f>IF(R$2&gt;$H5,"-",ROUNDUP(Ld_cal($A5, $B5, $C5, $F5,$D5, $E5, $G5, R$2)*1.3,0))</f>
        <v>139</v>
      </c>
      <c r="S5" s="2">
        <f>IF(S$2&gt;$H5,"-",ROUNDUP(Ld_cal($A5, $B5, $C5, $F5,$D5, $E5, $G5, S$2)*1.3,0))</f>
        <v>152</v>
      </c>
      <c r="T5" s="2">
        <f>IF(T$2&gt;$H5,"-",ROUNDUP(Ld_cal($A5, $B5, $C5, $F5,$D5, $E5, $G5, T$2)*1.3,0))</f>
        <v>164</v>
      </c>
      <c r="U5" s="2">
        <f>IF(U$2&gt;$H5,"-",ROUNDUP(Ld_cal($A5, $B5, $C5, $F5,$D5, $E5, $G5, U$2)*1.3,0))</f>
        <v>177</v>
      </c>
      <c r="V5" s="2">
        <f>IF(V$2&gt;$H5,"-",ROUNDUP(Ld_cal($A5, $B5, $C5, $F5,$D5, $E5, $G5, V$2)*1.3,0))</f>
        <v>189</v>
      </c>
      <c r="W5" s="2">
        <f>IF(W$2&gt;$H5,"-",ROUNDUP(Ld_cal($A5, $B5, $C5, $F5,$D5, $E5, $G5, W$2)*1.3,0))</f>
        <v>202</v>
      </c>
      <c r="X5" s="2" t="str">
        <f>IF(X$2&gt;$H5,"-",ROUNDUP(Ld_cal($A5, $B5, $C5, $F5,$D5, $E5, $G5, X$2)*1.3,0))</f>
        <v>-</v>
      </c>
      <c r="Y5" s="2" t="str">
        <f>IF(Y$2&gt;$H5,"-",ROUNDUP(Ld_cal($A5, $B5, $C5, $F5,$D5, $E5, $G5, Y$2)*1.3,0))</f>
        <v>-</v>
      </c>
      <c r="Z5" s="2" t="str">
        <f>IF(Z$2&gt;$H5,"-",ROUNDUP(Ld_cal($A5, $B5, $C5, $F5,$D5, $E5, $G5, Z$2)*1.3,0))</f>
        <v>-</v>
      </c>
      <c r="AA5" s="2" t="str">
        <f>IF(AA$2&gt;$H5,"-",ROUNDUP(Ld_cal($A5, $B5, $C5, $F5,$D5, $E5, $G5, AA$2)*1.3,0))</f>
        <v>-</v>
      </c>
      <c r="AB5" s="2" t="str">
        <f>IF(AB$2&gt;$H5,"-",ROUNDUP(Ld_cal($A5, $B5, $C5, $F5,$D5, $E5, $G5, AB$2)*1.3,0))</f>
        <v>-</v>
      </c>
      <c r="AC5" s="2" t="str">
        <f>IF(AC$2&gt;$H5,"-",ROUNDUP(Ld_cal($A5, $B5, $C5, $F5,$D5, $E5, $G5, AC$2)*1.3,0))</f>
        <v>-</v>
      </c>
      <c r="AD5" s="2" t="str">
        <f>IF(AD$2&gt;$H5,"-",ROUNDUP(Ld_cal($A5, $B5, $C5, $F5,$D5, $E5, $G5, AD$2)*1.3,0))</f>
        <v>-</v>
      </c>
      <c r="AE5" s="2" t="str">
        <f>IF(AE$2&gt;$H5,"-",ROUNDUP(Ld_cal($A5, $B5, $C5, $F5,$D5, $E5, $G5, AE$2)*1.3,0))</f>
        <v>-</v>
      </c>
      <c r="AF5" s="2" t="str">
        <f>IF(AF$2&gt;$H5,"-",ROUNDUP(Ld_cal($A5, $B5, $C5, $F5,$D5, $E5, $G5, AF$2)*1.3,0))</f>
        <v>-</v>
      </c>
      <c r="AG5" s="2" t="str">
        <f>IF(AG$2&gt;$H5,"-",ROUNDUP(Ld_cal($A5, $B5, $C5, $F5,$D5, $E5, $G5, AG$2)*1.3,0))</f>
        <v>-</v>
      </c>
      <c r="AH5" s="2" t="str">
        <f>IF(AH$2&gt;$H5,"-",ROUNDUP(Ld_cal($A5, $B5, $C5, $F5,$D5, $E5, $G5, AH$2)*1.3,0))</f>
        <v>-</v>
      </c>
      <c r="AI5" s="2" t="str">
        <f>IF(AI$2&gt;$H5,"-",ROUNDUP(Ld_cal($A5, $B5, $C5, $F5,$D5, $E5, $G5, AI$2)*1.3,0))</f>
        <v>-</v>
      </c>
      <c r="AJ5" s="2" t="str">
        <f>IF(AJ$2&gt;$H5,"-",ROUNDUP(Ld_cal($A5, $B5, $C5, $F5,$D5, $E5, $G5, AJ$2)*1.3,0))</f>
        <v>-</v>
      </c>
    </row>
    <row r="6" spans="1:36">
      <c r="A6" s="8">
        <f t="shared" ref="A6:A24" si="1">A5</f>
        <v>100</v>
      </c>
      <c r="B6" s="11">
        <f t="shared" ref="B6:B24" si="2">B5</f>
        <v>5</v>
      </c>
      <c r="C6" s="8">
        <f t="shared" ref="C6:C24" si="3">C5</f>
        <v>4200</v>
      </c>
      <c r="D6" s="12">
        <f>D5</f>
        <v>13</v>
      </c>
      <c r="E6" s="5">
        <f>E5</f>
        <v>10</v>
      </c>
      <c r="F6" s="8">
        <f>F5</f>
        <v>210</v>
      </c>
      <c r="G6" s="22">
        <v>22</v>
      </c>
      <c r="H6" s="1">
        <f>ROUNDDOWN((A$4-2*B$4-2*D$4/10-G6/10)/(2*G6/10),0)+1</f>
        <v>20</v>
      </c>
      <c r="I6" s="2">
        <f>IF(I$2&gt;$H6,"-",ROUNDUP(Ld_cal($A6, $B6, $C6, $F6,$D6, $E6, $G6, I$2)*1.3,0))</f>
        <v>93</v>
      </c>
      <c r="J6" s="2">
        <f>IF(J$2&gt;$H6,"-",ROUNDUP(Ld_cal($A6, $B6, $C6, $F6,$D6, $E6, $G6, J$2)*1.3,0))</f>
        <v>93</v>
      </c>
      <c r="K6" s="2">
        <f>IF(K$2&gt;$H6,"-",ROUNDUP(Ld_cal($A6, $B6, $C6, $F6,$D6, $E6, $G6, K$2)*1.3,0))</f>
        <v>93</v>
      </c>
      <c r="L6" s="2">
        <f>IF(L$2&gt;$H6,"-",ROUNDUP(Ld_cal($A6, $B6, $C6, $F6,$D6, $E6, $G6, L$2)*1.3,0))</f>
        <v>93</v>
      </c>
      <c r="M6" s="2">
        <f>IF(M$2&gt;$H6,"-",ROUNDUP(Ld_cal($A6, $B6, $C6, $F6,$D6, $E6, $G6, M$2)*1.3,0))</f>
        <v>93</v>
      </c>
      <c r="N6" s="2">
        <f>IF(N$2&gt;$H6,"-",ROUNDUP(Ld_cal($A6, $B6, $C6, $F6,$D6, $E6, $G6, N$2)*1.3,0))</f>
        <v>93</v>
      </c>
      <c r="O6" s="2">
        <f>IF(O$2&gt;$H6,"-",ROUNDUP(Ld_cal($A6, $B6, $C6, $F6,$D6, $E6, $G6, O$2)*1.3,0))</f>
        <v>93</v>
      </c>
      <c r="P6" s="2">
        <f>IF(P$2&gt;$H6,"-",ROUNDUP(Ld_cal($A6, $B6, $C6, $F6,$D6, $E6, $G6, P$2)*1.3,0))</f>
        <v>93</v>
      </c>
      <c r="Q6" s="2">
        <f>IF(Q$2&gt;$H6,"-",ROUNDUP(Ld_cal($A6, $B6, $C6, $F6,$D6, $E6, $G6, Q$2)*1.3,0))</f>
        <v>98</v>
      </c>
      <c r="R6" s="2">
        <f>IF(R$2&gt;$H6,"-",ROUNDUP(Ld_cal($A6, $B6, $C6, $F6,$D6, $E6, $G6, R$2)*1.3,0))</f>
        <v>108</v>
      </c>
      <c r="S6" s="2">
        <f>IF(S$2&gt;$H6,"-",ROUNDUP(Ld_cal($A6, $B6, $C6, $F6,$D6, $E6, $G6, S$2)*1.3,0))</f>
        <v>117</v>
      </c>
      <c r="T6" s="2">
        <f>IF(T$2&gt;$H6,"-",ROUNDUP(Ld_cal($A6, $B6, $C6, $F6,$D6, $E6, $G6, T$2)*1.3,0))</f>
        <v>127</v>
      </c>
      <c r="U6" s="2">
        <f>IF(U$2&gt;$H6,"-",ROUNDUP(Ld_cal($A6, $B6, $C6, $F6,$D6, $E6, $G6, U$2)*1.3,0))</f>
        <v>137</v>
      </c>
      <c r="V6" s="2">
        <f>IF(V$2&gt;$H6,"-",ROUNDUP(Ld_cal($A6, $B6, $C6, $F6,$D6, $E6, $G6, V$2)*1.3,0))</f>
        <v>146</v>
      </c>
      <c r="W6" s="2">
        <f>IF(W$2&gt;$H6,"-",ROUNDUP(Ld_cal($A6, $B6, $C6, $F6,$D6, $E6, $G6, W$2)*1.3,0))</f>
        <v>156</v>
      </c>
      <c r="X6" s="2">
        <f>IF(X$2&gt;$H6,"-",ROUNDUP(Ld_cal($A6, $B6, $C6, $F6,$D6, $E6, $G6, X$2)*1.3,0))</f>
        <v>165</v>
      </c>
      <c r="Y6" s="2">
        <f>IF(Y$2&gt;$H6,"-",ROUNDUP(Ld_cal($A6, $B6, $C6, $F6,$D6, $E6, $G6, Y$2)*1.3,0))</f>
        <v>175</v>
      </c>
      <c r="Z6" s="2">
        <f>IF(Z$2&gt;$H6,"-",ROUNDUP(Ld_cal($A6, $B6, $C6, $F6,$D6, $E6, $G6, Z$2)*1.3,0))</f>
        <v>185</v>
      </c>
      <c r="AA6" s="2" t="str">
        <f>IF(AA$2&gt;$H6,"-",ROUNDUP(Ld_cal($A6, $B6, $C6, $F6,$D6, $E6, $G6, AA$2)*1.3,0))</f>
        <v>-</v>
      </c>
      <c r="AB6" s="2" t="str">
        <f>IF(AB$2&gt;$H6,"-",ROUNDUP(Ld_cal($A6, $B6, $C6, $F6,$D6, $E6, $G6, AB$2)*1.3,0))</f>
        <v>-</v>
      </c>
      <c r="AC6" s="2" t="str">
        <f>IF(AC$2&gt;$H6,"-",ROUNDUP(Ld_cal($A6, $B6, $C6, $F6,$D6, $E6, $G6, AC$2)*1.3,0))</f>
        <v>-</v>
      </c>
      <c r="AD6" s="2" t="str">
        <f>IF(AD$2&gt;$H6,"-",ROUNDUP(Ld_cal($A6, $B6, $C6, $F6,$D6, $E6, $G6, AD$2)*1.3,0))</f>
        <v>-</v>
      </c>
      <c r="AE6" s="2" t="str">
        <f>IF(AE$2&gt;$H6,"-",ROUNDUP(Ld_cal($A6, $B6, $C6, $F6,$D6, $E6, $G6, AE$2)*1.3,0))</f>
        <v>-</v>
      </c>
      <c r="AF6" s="2" t="str">
        <f>IF(AF$2&gt;$H6,"-",ROUNDUP(Ld_cal($A6, $B6, $C6, $F6,$D6, $E6, $G6, AF$2)*1.3,0))</f>
        <v>-</v>
      </c>
      <c r="AG6" s="2" t="str">
        <f>IF(AG$2&gt;$H6,"-",ROUNDUP(Ld_cal($A6, $B6, $C6, $F6,$D6, $E6, $G6, AG$2)*1.3,0))</f>
        <v>-</v>
      </c>
      <c r="AH6" s="2" t="str">
        <f>IF(AH$2&gt;$H6,"-",ROUNDUP(Ld_cal($A6, $B6, $C6, $F6,$D6, $E6, $G6, AH$2)*1.3,0))</f>
        <v>-</v>
      </c>
      <c r="AI6" s="2" t="str">
        <f>IF(AI$2&gt;$H6,"-",ROUNDUP(Ld_cal($A6, $B6, $C6, $F6,$D6, $E6, $G6, AI$2)*1.3,0))</f>
        <v>-</v>
      </c>
      <c r="AJ6" s="2" t="str">
        <f>IF(AJ$2&gt;$H6,"-",ROUNDUP(Ld_cal($A6, $B6, $C6, $F6,$D6, $E6, $G6, AJ$2)*1.3,0))</f>
        <v>-</v>
      </c>
    </row>
    <row r="7" spans="1:36">
      <c r="A7" s="8">
        <f t="shared" si="1"/>
        <v>100</v>
      </c>
      <c r="B7" s="11">
        <f t="shared" si="2"/>
        <v>5</v>
      </c>
      <c r="C7" s="8">
        <f t="shared" si="3"/>
        <v>4200</v>
      </c>
      <c r="D7" s="12">
        <f>D4</f>
        <v>13</v>
      </c>
      <c r="E7" s="5">
        <f>E6</f>
        <v>10</v>
      </c>
      <c r="F7" s="20">
        <v>245</v>
      </c>
      <c r="G7" s="3">
        <f t="shared" ref="G7:H9" si="4">G4</f>
        <v>32</v>
      </c>
      <c r="H7" s="1">
        <f t="shared" si="4"/>
        <v>14</v>
      </c>
      <c r="I7" s="2">
        <f>IF(I$2&gt;$H7,"-",ROUNDUP(Ld_cal($A7, $B7, $C7, $F7,$D7, $E7, $G7, I$2)*1.3,0))</f>
        <v>126</v>
      </c>
      <c r="J7" s="2">
        <f>IF(J$2&gt;$H7,"-",ROUNDUP(Ld_cal($A7, $B7, $C7, $F7,$D7, $E7, $G7, J$2)*1.3,0))</f>
        <v>126</v>
      </c>
      <c r="K7" s="2">
        <f>IF(K$2&gt;$H7,"-",ROUNDUP(Ld_cal($A7, $B7, $C7, $F7,$D7, $E7, $G7, K$2)*1.3,0))</f>
        <v>126</v>
      </c>
      <c r="L7" s="2">
        <f>IF(L$2&gt;$H7,"-",ROUNDUP(Ld_cal($A7, $B7, $C7, $F7,$D7, $E7, $G7, L$2)*1.3,0))</f>
        <v>126</v>
      </c>
      <c r="M7" s="2">
        <f>IF(M$2&gt;$H7,"-",ROUNDUP(Ld_cal($A7, $B7, $C7, $F7,$D7, $E7, $G7, M$2)*1.3,0))</f>
        <v>126</v>
      </c>
      <c r="N7" s="2">
        <f>IF(N$2&gt;$H7,"-",ROUNDUP(Ld_cal($A7, $B7, $C7, $F7,$D7, $E7, $G7, N$2)*1.3,0))</f>
        <v>137</v>
      </c>
      <c r="O7" s="2">
        <f>IF(O$2&gt;$H7,"-",ROUNDUP(Ld_cal($A7, $B7, $C7, $F7,$D7, $E7, $G7, O$2)*1.3,0))</f>
        <v>156</v>
      </c>
      <c r="P7" s="2">
        <f>IF(P$2&gt;$H7,"-",ROUNDUP(Ld_cal($A7, $B7, $C7, $F7,$D7, $E7, $G7, P$2)*1.3,0))</f>
        <v>175</v>
      </c>
      <c r="Q7" s="2">
        <f>IF(Q$2&gt;$H7,"-",ROUNDUP(Ld_cal($A7, $B7, $C7, $F7,$D7, $E7, $G7, Q$2)*1.3,0))</f>
        <v>194</v>
      </c>
      <c r="R7" s="2">
        <f>IF(R$2&gt;$H7,"-",ROUNDUP(Ld_cal($A7, $B7, $C7, $F7,$D7, $E7, $G7, R$2)*1.3,0))</f>
        <v>213</v>
      </c>
      <c r="S7" s="2">
        <f>IF(S$2&gt;$H7,"-",ROUNDUP(Ld_cal($A7, $B7, $C7, $F7,$D7, $E7, $G7, S$2)*1.3,0))</f>
        <v>232</v>
      </c>
      <c r="T7" s="2">
        <f>IF(T$2&gt;$H7,"-",ROUNDUP(Ld_cal($A7, $B7, $C7, $F7,$D7, $E7, $G7, T$2)*1.3,0))</f>
        <v>251</v>
      </c>
      <c r="U7" s="2" t="str">
        <f>IF(U$2&gt;$H7,"-",ROUNDUP(Ld_cal($A7, $B7, $C7, $F7,$D7, $E7, $G7, U$2)*1.3,0))</f>
        <v>-</v>
      </c>
      <c r="V7" s="2" t="str">
        <f>IF(V$2&gt;$H7,"-",ROUNDUP(Ld_cal($A7, $B7, $C7, $F7,$D7, $E7, $G7, V$2)*1.3,0))</f>
        <v>-</v>
      </c>
      <c r="W7" s="2" t="str">
        <f>IF(W$2&gt;$H7,"-",ROUNDUP(Ld_cal($A7, $B7, $C7, $F7,$D7, $E7, $G7, W$2)*1.3,0))</f>
        <v>-</v>
      </c>
      <c r="X7" s="2" t="str">
        <f>IF(X$2&gt;$H7,"-",ROUNDUP(Ld_cal($A7, $B7, $C7, $F7,$D7, $E7, $G7, X$2)*1.3,0))</f>
        <v>-</v>
      </c>
      <c r="Y7" s="2" t="str">
        <f>IF(Y$2&gt;$H7,"-",ROUNDUP(Ld_cal($A7, $B7, $C7, $F7,$D7, $E7, $G7, Y$2)*1.3,0))</f>
        <v>-</v>
      </c>
      <c r="Z7" s="2" t="str">
        <f>IF(Z$2&gt;$H7,"-",ROUNDUP(Ld_cal($A7, $B7, $C7, $F7,$D7, $E7, $G7, Z$2)*1.3,0))</f>
        <v>-</v>
      </c>
      <c r="AA7" s="2" t="str">
        <f>IF(AA$2&gt;$H7,"-",ROUNDUP(Ld_cal($A7, $B7, $C7, $F7,$D7, $E7, $G7, AA$2)*1.3,0))</f>
        <v>-</v>
      </c>
      <c r="AB7" s="2" t="str">
        <f>IF(AB$2&gt;$H7,"-",ROUNDUP(Ld_cal($A7, $B7, $C7, $F7,$D7, $E7, $G7, AB$2)*1.3,0))</f>
        <v>-</v>
      </c>
      <c r="AC7" s="2" t="str">
        <f>IF(AC$2&gt;$H7,"-",ROUNDUP(Ld_cal($A7, $B7, $C7, $F7,$D7, $E7, $G7, AC$2)*1.3,0))</f>
        <v>-</v>
      </c>
      <c r="AD7" s="2" t="str">
        <f>IF(AD$2&gt;$H7,"-",ROUNDUP(Ld_cal($A7, $B7, $C7, $F7,$D7, $E7, $G7, AD$2)*1.3,0))</f>
        <v>-</v>
      </c>
      <c r="AE7" s="2" t="str">
        <f>IF(AE$2&gt;$H7,"-",ROUNDUP(Ld_cal($A7, $B7, $C7, $F7,$D7, $E7, $G7, AE$2)*1.3,0))</f>
        <v>-</v>
      </c>
      <c r="AF7" s="2" t="str">
        <f>IF(AF$2&gt;$H7,"-",ROUNDUP(Ld_cal($A7, $B7, $C7, $F7,$D7, $E7, $G7, AF$2)*1.3,0))</f>
        <v>-</v>
      </c>
      <c r="AG7" s="2" t="str">
        <f>IF(AG$2&gt;$H7,"-",ROUNDUP(Ld_cal($A7, $B7, $C7, $F7,$D7, $E7, $G7, AG$2)*1.3,0))</f>
        <v>-</v>
      </c>
      <c r="AH7" s="2" t="str">
        <f>IF(AH$2&gt;$H7,"-",ROUNDUP(Ld_cal($A7, $B7, $C7, $F7,$D7, $E7, $G7, AH$2)*1.3,0))</f>
        <v>-</v>
      </c>
      <c r="AI7" s="2" t="str">
        <f>IF(AI$2&gt;$H7,"-",ROUNDUP(Ld_cal($A7, $B7, $C7, $F7,$D7, $E7, $G7, AI$2)*1.3,0))</f>
        <v>-</v>
      </c>
      <c r="AJ7" s="2" t="str">
        <f>IF(AJ$2&gt;$H7,"-",ROUNDUP(Ld_cal($A7, $B7, $C7, $F7,$D7, $E7, $G7, AJ$2)*1.3,0))</f>
        <v>-</v>
      </c>
    </row>
    <row r="8" spans="1:36">
      <c r="A8" s="8">
        <f t="shared" si="1"/>
        <v>100</v>
      </c>
      <c r="B8" s="11">
        <f t="shared" si="2"/>
        <v>5</v>
      </c>
      <c r="C8" s="8">
        <f t="shared" si="3"/>
        <v>4200</v>
      </c>
      <c r="D8" s="12">
        <f t="shared" ref="D8:D9" si="5">D5</f>
        <v>13</v>
      </c>
      <c r="E8" s="5">
        <f t="shared" ref="E8:E24" si="6">E7</f>
        <v>10</v>
      </c>
      <c r="F8" s="8">
        <f>F7</f>
        <v>245</v>
      </c>
      <c r="G8" s="3">
        <f t="shared" si="4"/>
        <v>25</v>
      </c>
      <c r="H8" s="1">
        <f t="shared" si="4"/>
        <v>17</v>
      </c>
      <c r="I8" s="2">
        <f>IF(I$2&gt;$H8,"-",ROUNDUP(Ld_cal($A8, $B8, $C8, $F8,$D8, $E8, $G8, I$2)*1.3,0))</f>
        <v>98</v>
      </c>
      <c r="J8" s="2">
        <f>IF(J$2&gt;$H8,"-",ROUNDUP(Ld_cal($A8, $B8, $C8, $F8,$D8, $E8, $G8, J$2)*1.3,0))</f>
        <v>98</v>
      </c>
      <c r="K8" s="2">
        <f>IF(K$2&gt;$H8,"-",ROUNDUP(Ld_cal($A8, $B8, $C8, $F8,$D8, $E8, $G8, K$2)*1.3,0))</f>
        <v>98</v>
      </c>
      <c r="L8" s="2">
        <f>IF(L$2&gt;$H8,"-",ROUNDUP(Ld_cal($A8, $B8, $C8, $F8,$D8, $E8, $G8, L$2)*1.3,0))</f>
        <v>98</v>
      </c>
      <c r="M8" s="2">
        <f>IF(M$2&gt;$H8,"-",ROUNDUP(Ld_cal($A8, $B8, $C8, $F8,$D8, $E8, $G8, M$2)*1.3,0))</f>
        <v>98</v>
      </c>
      <c r="N8" s="2">
        <f>IF(N$2&gt;$H8,"-",ROUNDUP(Ld_cal($A8, $B8, $C8, $F8,$D8, $E8, $G8, N$2)*1.3,0))</f>
        <v>98</v>
      </c>
      <c r="O8" s="2">
        <f>IF(O$2&gt;$H8,"-",ROUNDUP(Ld_cal($A8, $B8, $C8, $F8,$D8, $E8, $G8, O$2)*1.3,0))</f>
        <v>98</v>
      </c>
      <c r="P8" s="2">
        <f>IF(P$2&gt;$H8,"-",ROUNDUP(Ld_cal($A8, $B8, $C8, $F8,$D8, $E8, $G8, P$2)*1.3,0))</f>
        <v>106</v>
      </c>
      <c r="Q8" s="2">
        <f>IF(Q$2&gt;$H8,"-",ROUNDUP(Ld_cal($A8, $B8, $C8, $F8,$D8, $E8, $G8, Q$2)*1.3,0))</f>
        <v>118</v>
      </c>
      <c r="R8" s="2">
        <f>IF(R$2&gt;$H8,"-",ROUNDUP(Ld_cal($A8, $B8, $C8, $F8,$D8, $E8, $G8, R$2)*1.3,0))</f>
        <v>129</v>
      </c>
      <c r="S8" s="2">
        <f>IF(S$2&gt;$H8,"-",ROUNDUP(Ld_cal($A8, $B8, $C8, $F8,$D8, $E8, $G8, S$2)*1.3,0))</f>
        <v>141</v>
      </c>
      <c r="T8" s="2">
        <f>IF(T$2&gt;$H8,"-",ROUNDUP(Ld_cal($A8, $B8, $C8, $F8,$D8, $E8, $G8, T$2)*1.3,0))</f>
        <v>152</v>
      </c>
      <c r="U8" s="2">
        <f>IF(U$2&gt;$H8,"-",ROUNDUP(Ld_cal($A8, $B8, $C8, $F8,$D8, $E8, $G8, U$2)*1.3,0))</f>
        <v>164</v>
      </c>
      <c r="V8" s="2">
        <f>IF(V$2&gt;$H8,"-",ROUNDUP(Ld_cal($A8, $B8, $C8, $F8,$D8, $E8, $G8, V$2)*1.3,0))</f>
        <v>175</v>
      </c>
      <c r="W8" s="2">
        <f>IF(W$2&gt;$H8,"-",ROUNDUP(Ld_cal($A8, $B8, $C8, $F8,$D8, $E8, $G8, W$2)*1.3,0))</f>
        <v>187</v>
      </c>
      <c r="X8" s="2" t="str">
        <f>IF(X$2&gt;$H8,"-",ROUNDUP(Ld_cal($A8, $B8, $C8, $F8,$D8, $E8, $G8, X$2)*1.3,0))</f>
        <v>-</v>
      </c>
      <c r="Y8" s="2" t="str">
        <f>IF(Y$2&gt;$H8,"-",ROUNDUP(Ld_cal($A8, $B8, $C8, $F8,$D8, $E8, $G8, Y$2)*1.3,0))</f>
        <v>-</v>
      </c>
      <c r="Z8" s="2" t="str">
        <f>IF(Z$2&gt;$H8,"-",ROUNDUP(Ld_cal($A8, $B8, $C8, $F8,$D8, $E8, $G8, Z$2)*1.3,0))</f>
        <v>-</v>
      </c>
      <c r="AA8" s="2" t="str">
        <f>IF(AA$2&gt;$H8,"-",ROUNDUP(Ld_cal($A8, $B8, $C8, $F8,$D8, $E8, $G8, AA$2)*1.3,0))</f>
        <v>-</v>
      </c>
      <c r="AB8" s="2" t="str">
        <f>IF(AB$2&gt;$H8,"-",ROUNDUP(Ld_cal($A8, $B8, $C8, $F8,$D8, $E8, $G8, AB$2)*1.3,0))</f>
        <v>-</v>
      </c>
      <c r="AC8" s="2" t="str">
        <f>IF(AC$2&gt;$H8,"-",ROUNDUP(Ld_cal($A8, $B8, $C8, $F8,$D8, $E8, $G8, AC$2)*1.3,0))</f>
        <v>-</v>
      </c>
      <c r="AD8" s="2" t="str">
        <f>IF(AD$2&gt;$H8,"-",ROUNDUP(Ld_cal($A8, $B8, $C8, $F8,$D8, $E8, $G8, AD$2)*1.3,0))</f>
        <v>-</v>
      </c>
      <c r="AE8" s="2" t="str">
        <f>IF(AE$2&gt;$H8,"-",ROUNDUP(Ld_cal($A8, $B8, $C8, $F8,$D8, $E8, $G8, AE$2)*1.3,0))</f>
        <v>-</v>
      </c>
      <c r="AF8" s="2" t="str">
        <f>IF(AF$2&gt;$H8,"-",ROUNDUP(Ld_cal($A8, $B8, $C8, $F8,$D8, $E8, $G8, AF$2)*1.3,0))</f>
        <v>-</v>
      </c>
      <c r="AG8" s="2" t="str">
        <f>IF(AG$2&gt;$H8,"-",ROUNDUP(Ld_cal($A8, $B8, $C8, $F8,$D8, $E8, $G8, AG$2)*1.3,0))</f>
        <v>-</v>
      </c>
      <c r="AH8" s="2" t="str">
        <f>IF(AH$2&gt;$H8,"-",ROUNDUP(Ld_cal($A8, $B8, $C8, $F8,$D8, $E8, $G8, AH$2)*1.3,0))</f>
        <v>-</v>
      </c>
      <c r="AI8" s="2" t="str">
        <f>IF(AI$2&gt;$H8,"-",ROUNDUP(Ld_cal($A8, $B8, $C8, $F8,$D8, $E8, $G8, AI$2)*1.3,0))</f>
        <v>-</v>
      </c>
      <c r="AJ8" s="2" t="str">
        <f>IF(AJ$2&gt;$H8,"-",ROUNDUP(Ld_cal($A8, $B8, $C8, $F8,$D8, $E8, $G8, AJ$2)*1.3,0))</f>
        <v>-</v>
      </c>
    </row>
    <row r="9" spans="1:36">
      <c r="A9" s="8">
        <f t="shared" si="1"/>
        <v>100</v>
      </c>
      <c r="B9" s="11">
        <f t="shared" si="2"/>
        <v>5</v>
      </c>
      <c r="C9" s="8">
        <f t="shared" si="3"/>
        <v>4200</v>
      </c>
      <c r="D9" s="12">
        <f t="shared" si="5"/>
        <v>13</v>
      </c>
      <c r="E9" s="5">
        <f t="shared" si="6"/>
        <v>10</v>
      </c>
      <c r="F9" s="8">
        <f>F8</f>
        <v>245</v>
      </c>
      <c r="G9" s="3">
        <f t="shared" si="4"/>
        <v>22</v>
      </c>
      <c r="H9" s="1">
        <f t="shared" si="4"/>
        <v>20</v>
      </c>
      <c r="I9" s="2">
        <f>IF(I$2&gt;$H9,"-",ROUNDUP(Ld_cal($A9, $B9, $C9, $F9,$D9, $E9, $G9, I$2)*1.3,0))</f>
        <v>86</v>
      </c>
      <c r="J9" s="2">
        <f>IF(J$2&gt;$H9,"-",ROUNDUP(Ld_cal($A9, $B9, $C9, $F9,$D9, $E9, $G9, J$2)*1.3,0))</f>
        <v>86</v>
      </c>
      <c r="K9" s="2">
        <f>IF(K$2&gt;$H9,"-",ROUNDUP(Ld_cal($A9, $B9, $C9, $F9,$D9, $E9, $G9, K$2)*1.3,0))</f>
        <v>86</v>
      </c>
      <c r="L9" s="2">
        <f>IF(L$2&gt;$H9,"-",ROUNDUP(Ld_cal($A9, $B9, $C9, $F9,$D9, $E9, $G9, L$2)*1.3,0))</f>
        <v>86</v>
      </c>
      <c r="M9" s="2">
        <f>IF(M$2&gt;$H9,"-",ROUNDUP(Ld_cal($A9, $B9, $C9, $F9,$D9, $E9, $G9, M$2)*1.3,0))</f>
        <v>86</v>
      </c>
      <c r="N9" s="2">
        <f>IF(N$2&gt;$H9,"-",ROUNDUP(Ld_cal($A9, $B9, $C9, $F9,$D9, $E9, $G9, N$2)*1.3,0))</f>
        <v>86</v>
      </c>
      <c r="O9" s="2">
        <f>IF(O$2&gt;$H9,"-",ROUNDUP(Ld_cal($A9, $B9, $C9, $F9,$D9, $E9, $G9, O$2)*1.3,0))</f>
        <v>86</v>
      </c>
      <c r="P9" s="2">
        <f>IF(P$2&gt;$H9,"-",ROUNDUP(Ld_cal($A9, $B9, $C9, $F9,$D9, $E9, $G9, P$2)*1.3,0))</f>
        <v>86</v>
      </c>
      <c r="Q9" s="2">
        <f>IF(Q$2&gt;$H9,"-",ROUNDUP(Ld_cal($A9, $B9, $C9, $F9,$D9, $E9, $G9, Q$2)*1.3,0))</f>
        <v>91</v>
      </c>
      <c r="R9" s="2">
        <f>IF(R$2&gt;$H9,"-",ROUNDUP(Ld_cal($A9, $B9, $C9, $F9,$D9, $E9, $G9, R$2)*1.3,0))</f>
        <v>100</v>
      </c>
      <c r="S9" s="2">
        <f>IF(S$2&gt;$H9,"-",ROUNDUP(Ld_cal($A9, $B9, $C9, $F9,$D9, $E9, $G9, S$2)*1.3,0))</f>
        <v>109</v>
      </c>
      <c r="T9" s="2">
        <f>IF(T$2&gt;$H9,"-",ROUNDUP(Ld_cal($A9, $B9, $C9, $F9,$D9, $E9, $G9, T$2)*1.3,0))</f>
        <v>118</v>
      </c>
      <c r="U9" s="2">
        <f>IF(U$2&gt;$H9,"-",ROUNDUP(Ld_cal($A9, $B9, $C9, $F9,$D9, $E9, $G9, U$2)*1.3,0))</f>
        <v>127</v>
      </c>
      <c r="V9" s="2">
        <f>IF(V$2&gt;$H9,"-",ROUNDUP(Ld_cal($A9, $B9, $C9, $F9,$D9, $E9, $G9, V$2)*1.3,0))</f>
        <v>135</v>
      </c>
      <c r="W9" s="2">
        <f>IF(W$2&gt;$H9,"-",ROUNDUP(Ld_cal($A9, $B9, $C9, $F9,$D9, $E9, $G9, W$2)*1.3,0))</f>
        <v>144</v>
      </c>
      <c r="X9" s="2">
        <f>IF(X$2&gt;$H9,"-",ROUNDUP(Ld_cal($A9, $B9, $C9, $F9,$D9, $E9, $G9, X$2)*1.3,0))</f>
        <v>153</v>
      </c>
      <c r="Y9" s="2">
        <f>IF(Y$2&gt;$H9,"-",ROUNDUP(Ld_cal($A9, $B9, $C9, $F9,$D9, $E9, $G9, Y$2)*1.3,0))</f>
        <v>162</v>
      </c>
      <c r="Z9" s="2">
        <f>IF(Z$2&gt;$H9,"-",ROUNDUP(Ld_cal($A9, $B9, $C9, $F9,$D9, $E9, $G9, Z$2)*1.3,0))</f>
        <v>171</v>
      </c>
      <c r="AA9" s="2" t="str">
        <f>IF(AA$2&gt;$H9,"-",ROUNDUP(Ld_cal($A9, $B9, $C9, $F9,$D9, $E9, $G9, AA$2)*1.3,0))</f>
        <v>-</v>
      </c>
      <c r="AB9" s="2" t="str">
        <f>IF(AB$2&gt;$H9,"-",ROUNDUP(Ld_cal($A9, $B9, $C9, $F9,$D9, $E9, $G9, AB$2)*1.3,0))</f>
        <v>-</v>
      </c>
      <c r="AC9" s="2" t="str">
        <f>IF(AC$2&gt;$H9,"-",ROUNDUP(Ld_cal($A9, $B9, $C9, $F9,$D9, $E9, $G9, AC$2)*1.3,0))</f>
        <v>-</v>
      </c>
      <c r="AD9" s="2" t="str">
        <f>IF(AD$2&gt;$H9,"-",ROUNDUP(Ld_cal($A9, $B9, $C9, $F9,$D9, $E9, $G9, AD$2)*1.3,0))</f>
        <v>-</v>
      </c>
      <c r="AE9" s="2" t="str">
        <f>IF(AE$2&gt;$H9,"-",ROUNDUP(Ld_cal($A9, $B9, $C9, $F9,$D9, $E9, $G9, AE$2)*1.3,0))</f>
        <v>-</v>
      </c>
      <c r="AF9" s="2" t="str">
        <f>IF(AF$2&gt;$H9,"-",ROUNDUP(Ld_cal($A9, $B9, $C9, $F9,$D9, $E9, $G9, AF$2)*1.3,0))</f>
        <v>-</v>
      </c>
      <c r="AG9" s="2" t="str">
        <f>IF(AG$2&gt;$H9,"-",ROUNDUP(Ld_cal($A9, $B9, $C9, $F9,$D9, $E9, $G9, AG$2)*1.3,0))</f>
        <v>-</v>
      </c>
      <c r="AH9" s="2" t="str">
        <f>IF(AH$2&gt;$H9,"-",ROUNDUP(Ld_cal($A9, $B9, $C9, $F9,$D9, $E9, $G9, AH$2)*1.3,0))</f>
        <v>-</v>
      </c>
      <c r="AI9" s="2" t="str">
        <f>IF(AI$2&gt;$H9,"-",ROUNDUP(Ld_cal($A9, $B9, $C9, $F9,$D9, $E9, $G9, AI$2)*1.3,0))</f>
        <v>-</v>
      </c>
      <c r="AJ9" s="2" t="str">
        <f>IF(AJ$2&gt;$H9,"-",ROUNDUP(Ld_cal($A9, $B9, $C9, $F9,$D9, $E9, $G9, AJ$2)*1.3,0))</f>
        <v>-</v>
      </c>
    </row>
    <row r="10" spans="1:36">
      <c r="A10" s="8">
        <f t="shared" si="1"/>
        <v>100</v>
      </c>
      <c r="B10" s="11">
        <f t="shared" si="2"/>
        <v>5</v>
      </c>
      <c r="C10" s="8">
        <f t="shared" si="3"/>
        <v>4200</v>
      </c>
      <c r="D10" s="12">
        <f>D7</f>
        <v>13</v>
      </c>
      <c r="E10" s="5">
        <f t="shared" si="6"/>
        <v>10</v>
      </c>
      <c r="F10" s="20">
        <v>280</v>
      </c>
      <c r="G10" s="3">
        <f t="shared" ref="G10:H24" si="7">G7</f>
        <v>32</v>
      </c>
      <c r="H10" s="1">
        <f t="shared" si="7"/>
        <v>14</v>
      </c>
      <c r="I10" s="2">
        <f>IF(I$2&gt;$H10,"-",ROUNDUP(Ld_cal($A10, $B10, $C10, $F10,$D10, $E10, $G10, I$2)*1.3,0))</f>
        <v>117</v>
      </c>
      <c r="J10" s="2">
        <f>IF(J$2&gt;$H10,"-",ROUNDUP(Ld_cal($A10, $B10, $C10, $F10,$D10, $E10, $G10, J$2)*1.3,0))</f>
        <v>117</v>
      </c>
      <c r="K10" s="2">
        <f>IF(K$2&gt;$H10,"-",ROUNDUP(Ld_cal($A10, $B10, $C10, $F10,$D10, $E10, $G10, K$2)*1.3,0))</f>
        <v>117</v>
      </c>
      <c r="L10" s="2">
        <f>IF(L$2&gt;$H10,"-",ROUNDUP(Ld_cal($A10, $B10, $C10, $F10,$D10, $E10, $G10, L$2)*1.3,0))</f>
        <v>117</v>
      </c>
      <c r="M10" s="2">
        <f>IF(M$2&gt;$H10,"-",ROUNDUP(Ld_cal($A10, $B10, $C10, $F10,$D10, $E10, $G10, M$2)*1.3,0))</f>
        <v>117</v>
      </c>
      <c r="N10" s="2">
        <f>IF(N$2&gt;$H10,"-",ROUNDUP(Ld_cal($A10, $B10, $C10, $F10,$D10, $E10, $G10, N$2)*1.3,0))</f>
        <v>128</v>
      </c>
      <c r="O10" s="2">
        <f>IF(O$2&gt;$H10,"-",ROUNDUP(Ld_cal($A10, $B10, $C10, $F10,$D10, $E10, $G10, O$2)*1.3,0))</f>
        <v>146</v>
      </c>
      <c r="P10" s="2">
        <f>IF(P$2&gt;$H10,"-",ROUNDUP(Ld_cal($A10, $B10, $C10, $F10,$D10, $E10, $G10, P$2)*1.3,0))</f>
        <v>163</v>
      </c>
      <c r="Q10" s="2">
        <f>IF(Q$2&gt;$H10,"-",ROUNDUP(Ld_cal($A10, $B10, $C10, $F10,$D10, $E10, $G10, Q$2)*1.3,0))</f>
        <v>181</v>
      </c>
      <c r="R10" s="2">
        <f>IF(R$2&gt;$H10,"-",ROUNDUP(Ld_cal($A10, $B10, $C10, $F10,$D10, $E10, $G10, R$2)*1.3,0))</f>
        <v>199</v>
      </c>
      <c r="S10" s="2">
        <f>IF(S$2&gt;$H10,"-",ROUNDUP(Ld_cal($A10, $B10, $C10, $F10,$D10, $E10, $G10, S$2)*1.3,0))</f>
        <v>217</v>
      </c>
      <c r="T10" s="2">
        <f>IF(T$2&gt;$H10,"-",ROUNDUP(Ld_cal($A10, $B10, $C10, $F10,$D10, $E10, $G10, T$2)*1.3,0))</f>
        <v>235</v>
      </c>
      <c r="U10" s="2" t="str">
        <f>IF(U$2&gt;$H10,"-",ROUNDUP(Ld_cal($A10, $B10, $C10, $F10,$D10, $E10, $G10, U$2)*1.3,0))</f>
        <v>-</v>
      </c>
      <c r="V10" s="2" t="str">
        <f>IF(V$2&gt;$H10,"-",ROUNDUP(Ld_cal($A10, $B10, $C10, $F10,$D10, $E10, $G10, V$2)*1.3,0))</f>
        <v>-</v>
      </c>
      <c r="W10" s="2" t="str">
        <f>IF(W$2&gt;$H10,"-",ROUNDUP(Ld_cal($A10, $B10, $C10, $F10,$D10, $E10, $G10, W$2)*1.3,0))</f>
        <v>-</v>
      </c>
      <c r="X10" s="2" t="str">
        <f>IF(X$2&gt;$H10,"-",ROUNDUP(Ld_cal($A10, $B10, $C10, $F10,$D10, $E10, $G10, X$2)*1.3,0))</f>
        <v>-</v>
      </c>
      <c r="Y10" s="2" t="str">
        <f>IF(Y$2&gt;$H10,"-",ROUNDUP(Ld_cal($A10, $B10, $C10, $F10,$D10, $E10, $G10, Y$2)*1.3,0))</f>
        <v>-</v>
      </c>
      <c r="Z10" s="2" t="str">
        <f>IF(Z$2&gt;$H10,"-",ROUNDUP(Ld_cal($A10, $B10, $C10, $F10,$D10, $E10, $G10, Z$2)*1.3,0))</f>
        <v>-</v>
      </c>
      <c r="AA10" s="2" t="str">
        <f>IF(AA$2&gt;$H10,"-",ROUNDUP(Ld_cal($A10, $B10, $C10, $F10,$D10, $E10, $G10, AA$2)*1.3,0))</f>
        <v>-</v>
      </c>
      <c r="AB10" s="2" t="str">
        <f>IF(AB$2&gt;$H10,"-",ROUNDUP(Ld_cal($A10, $B10, $C10, $F10,$D10, $E10, $G10, AB$2)*1.3,0))</f>
        <v>-</v>
      </c>
      <c r="AC10" s="2" t="str">
        <f>IF(AC$2&gt;$H10,"-",ROUNDUP(Ld_cal($A10, $B10, $C10, $F10,$D10, $E10, $G10, AC$2)*1.3,0))</f>
        <v>-</v>
      </c>
      <c r="AD10" s="2" t="str">
        <f>IF(AD$2&gt;$H10,"-",ROUNDUP(Ld_cal($A10, $B10, $C10, $F10,$D10, $E10, $G10, AD$2)*1.3,0))</f>
        <v>-</v>
      </c>
      <c r="AE10" s="2" t="str">
        <f>IF(AE$2&gt;$H10,"-",ROUNDUP(Ld_cal($A10, $B10, $C10, $F10,$D10, $E10, $G10, AE$2)*1.3,0))</f>
        <v>-</v>
      </c>
      <c r="AF10" s="2" t="str">
        <f>IF(AF$2&gt;$H10,"-",ROUNDUP(Ld_cal($A10, $B10, $C10, $F10,$D10, $E10, $G10, AF$2)*1.3,0))</f>
        <v>-</v>
      </c>
      <c r="AG10" s="2" t="str">
        <f>IF(AG$2&gt;$H10,"-",ROUNDUP(Ld_cal($A10, $B10, $C10, $F10,$D10, $E10, $G10, AG$2)*1.3,0))</f>
        <v>-</v>
      </c>
      <c r="AH10" s="2" t="str">
        <f>IF(AH$2&gt;$H10,"-",ROUNDUP(Ld_cal($A10, $B10, $C10, $F10,$D10, $E10, $G10, AH$2)*1.3,0))</f>
        <v>-</v>
      </c>
      <c r="AI10" s="2" t="str">
        <f>IF(AI$2&gt;$H10,"-",ROUNDUP(Ld_cal($A10, $B10, $C10, $F10,$D10, $E10, $G10, AI$2)*1.3,0))</f>
        <v>-</v>
      </c>
      <c r="AJ10" s="2" t="str">
        <f>IF(AJ$2&gt;$H10,"-",ROUNDUP(Ld_cal($A10, $B10, $C10, $F10,$D10, $E10, $G10, AJ$2)*1.3,0))</f>
        <v>-</v>
      </c>
    </row>
    <row r="11" spans="1:36">
      <c r="A11" s="8">
        <f t="shared" si="1"/>
        <v>100</v>
      </c>
      <c r="B11" s="11">
        <f t="shared" si="2"/>
        <v>5</v>
      </c>
      <c r="C11" s="8">
        <f t="shared" si="3"/>
        <v>4200</v>
      </c>
      <c r="D11" s="12">
        <f t="shared" ref="D11:D12" si="8">D8</f>
        <v>13</v>
      </c>
      <c r="E11" s="5">
        <f t="shared" si="6"/>
        <v>10</v>
      </c>
      <c r="F11" s="8">
        <f>F10</f>
        <v>280</v>
      </c>
      <c r="G11" s="3">
        <f t="shared" si="7"/>
        <v>25</v>
      </c>
      <c r="H11" s="1">
        <f t="shared" si="7"/>
        <v>17</v>
      </c>
      <c r="I11" s="2">
        <f>IF(I$2&gt;$H11,"-",ROUNDUP(Ld_cal($A11, $B11, $C11, $F11,$D11, $E11, $G11, I$2)*1.3,0))</f>
        <v>92</v>
      </c>
      <c r="J11" s="2">
        <f>IF(J$2&gt;$H11,"-",ROUNDUP(Ld_cal($A11, $B11, $C11, $F11,$D11, $E11, $G11, J$2)*1.3,0))</f>
        <v>92</v>
      </c>
      <c r="K11" s="2">
        <f>IF(K$2&gt;$H11,"-",ROUNDUP(Ld_cal($A11, $B11, $C11, $F11,$D11, $E11, $G11, K$2)*1.3,0))</f>
        <v>92</v>
      </c>
      <c r="L11" s="2">
        <f>IF(L$2&gt;$H11,"-",ROUNDUP(Ld_cal($A11, $B11, $C11, $F11,$D11, $E11, $G11, L$2)*1.3,0))</f>
        <v>92</v>
      </c>
      <c r="M11" s="2">
        <f>IF(M$2&gt;$H11,"-",ROUNDUP(Ld_cal($A11, $B11, $C11, $F11,$D11, $E11, $G11, M$2)*1.3,0))</f>
        <v>92</v>
      </c>
      <c r="N11" s="2">
        <f>IF(N$2&gt;$H11,"-",ROUNDUP(Ld_cal($A11, $B11, $C11, $F11,$D11, $E11, $G11, N$2)*1.3,0))</f>
        <v>92</v>
      </c>
      <c r="O11" s="2">
        <f>IF(O$2&gt;$H11,"-",ROUNDUP(Ld_cal($A11, $B11, $C11, $F11,$D11, $E11, $G11, O$2)*1.3,0))</f>
        <v>92</v>
      </c>
      <c r="P11" s="2">
        <f>IF(P$2&gt;$H11,"-",ROUNDUP(Ld_cal($A11, $B11, $C11, $F11,$D11, $E11, $G11, P$2)*1.3,0))</f>
        <v>99</v>
      </c>
      <c r="Q11" s="2">
        <f>IF(Q$2&gt;$H11,"-",ROUNDUP(Ld_cal($A11, $B11, $C11, $F11,$D11, $E11, $G11, Q$2)*1.3,0))</f>
        <v>110</v>
      </c>
      <c r="R11" s="2">
        <f>IF(R$2&gt;$H11,"-",ROUNDUP(Ld_cal($A11, $B11, $C11, $F11,$D11, $E11, $G11, R$2)*1.3,0))</f>
        <v>121</v>
      </c>
      <c r="S11" s="2">
        <f>IF(S$2&gt;$H11,"-",ROUNDUP(Ld_cal($A11, $B11, $C11, $F11,$D11, $E11, $G11, S$2)*1.3,0))</f>
        <v>132</v>
      </c>
      <c r="T11" s="2">
        <f>IF(T$2&gt;$H11,"-",ROUNDUP(Ld_cal($A11, $B11, $C11, $F11,$D11, $E11, $G11, T$2)*1.3,0))</f>
        <v>142</v>
      </c>
      <c r="U11" s="2">
        <f>IF(U$2&gt;$H11,"-",ROUNDUP(Ld_cal($A11, $B11, $C11, $F11,$D11, $E11, $G11, U$2)*1.3,0))</f>
        <v>153</v>
      </c>
      <c r="V11" s="2">
        <f>IF(V$2&gt;$H11,"-",ROUNDUP(Ld_cal($A11, $B11, $C11, $F11,$D11, $E11, $G11, V$2)*1.3,0))</f>
        <v>164</v>
      </c>
      <c r="W11" s="2">
        <f>IF(W$2&gt;$H11,"-",ROUNDUP(Ld_cal($A11, $B11, $C11, $F11,$D11, $E11, $G11, W$2)*1.3,0))</f>
        <v>175</v>
      </c>
      <c r="X11" s="2" t="str">
        <f>IF(X$2&gt;$H11,"-",ROUNDUP(Ld_cal($A11, $B11, $C11, $F11,$D11, $E11, $G11, X$2)*1.3,0))</f>
        <v>-</v>
      </c>
      <c r="Y11" s="2" t="str">
        <f>IF(Y$2&gt;$H11,"-",ROUNDUP(Ld_cal($A11, $B11, $C11, $F11,$D11, $E11, $G11, Y$2)*1.3,0))</f>
        <v>-</v>
      </c>
      <c r="Z11" s="2" t="str">
        <f>IF(Z$2&gt;$H11,"-",ROUNDUP(Ld_cal($A11, $B11, $C11, $F11,$D11, $E11, $G11, Z$2)*1.3,0))</f>
        <v>-</v>
      </c>
      <c r="AA11" s="2" t="str">
        <f>IF(AA$2&gt;$H11,"-",ROUNDUP(Ld_cal($A11, $B11, $C11, $F11,$D11, $E11, $G11, AA$2)*1.3,0))</f>
        <v>-</v>
      </c>
      <c r="AB11" s="2" t="str">
        <f>IF(AB$2&gt;$H11,"-",ROUNDUP(Ld_cal($A11, $B11, $C11, $F11,$D11, $E11, $G11, AB$2)*1.3,0))</f>
        <v>-</v>
      </c>
      <c r="AC11" s="2" t="str">
        <f>IF(AC$2&gt;$H11,"-",ROUNDUP(Ld_cal($A11, $B11, $C11, $F11,$D11, $E11, $G11, AC$2)*1.3,0))</f>
        <v>-</v>
      </c>
      <c r="AD11" s="2" t="str">
        <f>IF(AD$2&gt;$H11,"-",ROUNDUP(Ld_cal($A11, $B11, $C11, $F11,$D11, $E11, $G11, AD$2)*1.3,0))</f>
        <v>-</v>
      </c>
      <c r="AE11" s="2" t="str">
        <f>IF(AE$2&gt;$H11,"-",ROUNDUP(Ld_cal($A11, $B11, $C11, $F11,$D11, $E11, $G11, AE$2)*1.3,0))</f>
        <v>-</v>
      </c>
      <c r="AF11" s="2" t="str">
        <f>IF(AF$2&gt;$H11,"-",ROUNDUP(Ld_cal($A11, $B11, $C11, $F11,$D11, $E11, $G11, AF$2)*1.3,0))</f>
        <v>-</v>
      </c>
      <c r="AG11" s="2" t="str">
        <f>IF(AG$2&gt;$H11,"-",ROUNDUP(Ld_cal($A11, $B11, $C11, $F11,$D11, $E11, $G11, AG$2)*1.3,0))</f>
        <v>-</v>
      </c>
      <c r="AH11" s="2" t="str">
        <f>IF(AH$2&gt;$H11,"-",ROUNDUP(Ld_cal($A11, $B11, $C11, $F11,$D11, $E11, $G11, AH$2)*1.3,0))</f>
        <v>-</v>
      </c>
      <c r="AI11" s="2" t="str">
        <f>IF(AI$2&gt;$H11,"-",ROUNDUP(Ld_cal($A11, $B11, $C11, $F11,$D11, $E11, $G11, AI$2)*1.3,0))</f>
        <v>-</v>
      </c>
      <c r="AJ11" s="2" t="str">
        <f>IF(AJ$2&gt;$H11,"-",ROUNDUP(Ld_cal($A11, $B11, $C11, $F11,$D11, $E11, $G11, AJ$2)*1.3,0))</f>
        <v>-</v>
      </c>
    </row>
    <row r="12" spans="1:36">
      <c r="A12" s="8">
        <f t="shared" si="1"/>
        <v>100</v>
      </c>
      <c r="B12" s="11">
        <f t="shared" si="2"/>
        <v>5</v>
      </c>
      <c r="C12" s="8">
        <f t="shared" si="3"/>
        <v>4200</v>
      </c>
      <c r="D12" s="12">
        <f t="shared" si="8"/>
        <v>13</v>
      </c>
      <c r="E12" s="5">
        <f t="shared" si="6"/>
        <v>10</v>
      </c>
      <c r="F12" s="8">
        <f>F11</f>
        <v>280</v>
      </c>
      <c r="G12" s="3">
        <f t="shared" si="7"/>
        <v>22</v>
      </c>
      <c r="H12" s="1">
        <f t="shared" si="7"/>
        <v>20</v>
      </c>
      <c r="I12" s="2">
        <f>IF(I$2&gt;$H12,"-",ROUNDUP(Ld_cal($A12, $B12, $C12, $F12,$D12, $E12, $G12, I$2)*1.3,0))</f>
        <v>81</v>
      </c>
      <c r="J12" s="2">
        <f>IF(J$2&gt;$H12,"-",ROUNDUP(Ld_cal($A12, $B12, $C12, $F12,$D12, $E12, $G12, J$2)*1.3,0))</f>
        <v>81</v>
      </c>
      <c r="K12" s="2">
        <f>IF(K$2&gt;$H12,"-",ROUNDUP(Ld_cal($A12, $B12, $C12, $F12,$D12, $E12, $G12, K$2)*1.3,0))</f>
        <v>81</v>
      </c>
      <c r="L12" s="2">
        <f>IF(L$2&gt;$H12,"-",ROUNDUP(Ld_cal($A12, $B12, $C12, $F12,$D12, $E12, $G12, L$2)*1.3,0))</f>
        <v>81</v>
      </c>
      <c r="M12" s="2">
        <f>IF(M$2&gt;$H12,"-",ROUNDUP(Ld_cal($A12, $B12, $C12, $F12,$D12, $E12, $G12, M$2)*1.3,0))</f>
        <v>81</v>
      </c>
      <c r="N12" s="2">
        <f>IF(N$2&gt;$H12,"-",ROUNDUP(Ld_cal($A12, $B12, $C12, $F12,$D12, $E12, $G12, N$2)*1.3,0))</f>
        <v>81</v>
      </c>
      <c r="O12" s="2">
        <f>IF(O$2&gt;$H12,"-",ROUNDUP(Ld_cal($A12, $B12, $C12, $F12,$D12, $E12, $G12, O$2)*1.3,0))</f>
        <v>81</v>
      </c>
      <c r="P12" s="2">
        <f>IF(P$2&gt;$H12,"-",ROUNDUP(Ld_cal($A12, $B12, $C12, $F12,$D12, $E12, $G12, P$2)*1.3,0))</f>
        <v>81</v>
      </c>
      <c r="Q12" s="2">
        <f>IF(Q$2&gt;$H12,"-",ROUNDUP(Ld_cal($A12, $B12, $C12, $F12,$D12, $E12, $G12, Q$2)*1.3,0))</f>
        <v>85</v>
      </c>
      <c r="R12" s="2">
        <f>IF(R$2&gt;$H12,"-",ROUNDUP(Ld_cal($A12, $B12, $C12, $F12,$D12, $E12, $G12, R$2)*1.3,0))</f>
        <v>93</v>
      </c>
      <c r="S12" s="2">
        <f>IF(S$2&gt;$H12,"-",ROUNDUP(Ld_cal($A12, $B12, $C12, $F12,$D12, $E12, $G12, S$2)*1.3,0))</f>
        <v>102</v>
      </c>
      <c r="T12" s="2">
        <f>IF(T$2&gt;$H12,"-",ROUNDUP(Ld_cal($A12, $B12, $C12, $F12,$D12, $E12, $G12, T$2)*1.3,0))</f>
        <v>110</v>
      </c>
      <c r="U12" s="2">
        <f>IF(U$2&gt;$H12,"-",ROUNDUP(Ld_cal($A12, $B12, $C12, $F12,$D12, $E12, $G12, U$2)*1.3,0))</f>
        <v>118</v>
      </c>
      <c r="V12" s="2">
        <f>IF(V$2&gt;$H12,"-",ROUNDUP(Ld_cal($A12, $B12, $C12, $F12,$D12, $E12, $G12, V$2)*1.3,0))</f>
        <v>127</v>
      </c>
      <c r="W12" s="2">
        <f>IF(W$2&gt;$H12,"-",ROUNDUP(Ld_cal($A12, $B12, $C12, $F12,$D12, $E12, $G12, W$2)*1.3,0))</f>
        <v>135</v>
      </c>
      <c r="X12" s="2">
        <f>IF(X$2&gt;$H12,"-",ROUNDUP(Ld_cal($A12, $B12, $C12, $F12,$D12, $E12, $G12, X$2)*1.3,0))</f>
        <v>143</v>
      </c>
      <c r="Y12" s="2">
        <f>IF(Y$2&gt;$H12,"-",ROUNDUP(Ld_cal($A12, $B12, $C12, $F12,$D12, $E12, $G12, Y$2)*1.3,0))</f>
        <v>152</v>
      </c>
      <c r="Z12" s="2">
        <f>IF(Z$2&gt;$H12,"-",ROUNDUP(Ld_cal($A12, $B12, $C12, $F12,$D12, $E12, $G12, Z$2)*1.3,0))</f>
        <v>160</v>
      </c>
      <c r="AA12" s="2" t="str">
        <f>IF(AA$2&gt;$H12,"-",ROUNDUP(Ld_cal($A12, $B12, $C12, $F12,$D12, $E12, $G12, AA$2)*1.3,0))</f>
        <v>-</v>
      </c>
      <c r="AB12" s="2" t="str">
        <f>IF(AB$2&gt;$H12,"-",ROUNDUP(Ld_cal($A12, $B12, $C12, $F12,$D12, $E12, $G12, AB$2)*1.3,0))</f>
        <v>-</v>
      </c>
      <c r="AC12" s="2" t="str">
        <f>IF(AC$2&gt;$H12,"-",ROUNDUP(Ld_cal($A12, $B12, $C12, $F12,$D12, $E12, $G12, AC$2)*1.3,0))</f>
        <v>-</v>
      </c>
      <c r="AD12" s="2" t="str">
        <f>IF(AD$2&gt;$H12,"-",ROUNDUP(Ld_cal($A12, $B12, $C12, $F12,$D12, $E12, $G12, AD$2)*1.3,0))</f>
        <v>-</v>
      </c>
      <c r="AE12" s="2" t="str">
        <f>IF(AE$2&gt;$H12,"-",ROUNDUP(Ld_cal($A12, $B12, $C12, $F12,$D12, $E12, $G12, AE$2)*1.3,0))</f>
        <v>-</v>
      </c>
      <c r="AF12" s="2" t="str">
        <f>IF(AF$2&gt;$H12,"-",ROUNDUP(Ld_cal($A12, $B12, $C12, $F12,$D12, $E12, $G12, AF$2)*1.3,0))</f>
        <v>-</v>
      </c>
      <c r="AG12" s="2" t="str">
        <f>IF(AG$2&gt;$H12,"-",ROUNDUP(Ld_cal($A12, $B12, $C12, $F12,$D12, $E12, $G12, AG$2)*1.3,0))</f>
        <v>-</v>
      </c>
      <c r="AH12" s="2" t="str">
        <f>IF(AH$2&gt;$H12,"-",ROUNDUP(Ld_cal($A12, $B12, $C12, $F12,$D12, $E12, $G12, AH$2)*1.3,0))</f>
        <v>-</v>
      </c>
      <c r="AI12" s="2" t="str">
        <f>IF(AI$2&gt;$H12,"-",ROUNDUP(Ld_cal($A12, $B12, $C12, $F12,$D12, $E12, $G12, AI$2)*1.3,0))</f>
        <v>-</v>
      </c>
      <c r="AJ12" s="2" t="str">
        <f>IF(AJ$2&gt;$H12,"-",ROUNDUP(Ld_cal($A12, $B12, $C12, $F12,$D12, $E12, $G12, AJ$2)*1.3,0))</f>
        <v>-</v>
      </c>
    </row>
    <row r="13" spans="1:36">
      <c r="A13" s="8">
        <f t="shared" si="1"/>
        <v>100</v>
      </c>
      <c r="B13" s="11">
        <f t="shared" si="2"/>
        <v>5</v>
      </c>
      <c r="C13" s="8">
        <f t="shared" si="3"/>
        <v>4200</v>
      </c>
      <c r="D13" s="12">
        <f>D10</f>
        <v>13</v>
      </c>
      <c r="E13" s="5">
        <f t="shared" si="6"/>
        <v>10</v>
      </c>
      <c r="F13" s="20">
        <v>350</v>
      </c>
      <c r="G13" s="3">
        <f t="shared" si="7"/>
        <v>32</v>
      </c>
      <c r="H13" s="1">
        <f t="shared" si="7"/>
        <v>14</v>
      </c>
      <c r="I13" s="2">
        <f>IF(I$2&gt;$H13,"-",ROUNDUP(Ld_cal($A13, $B13, $C13, $F13,$D13, $E13, $G13, I$2)*1.3,0))</f>
        <v>105</v>
      </c>
      <c r="J13" s="2">
        <f>IF(J$2&gt;$H13,"-",ROUNDUP(Ld_cal($A13, $B13, $C13, $F13,$D13, $E13, $G13, J$2)*1.3,0))</f>
        <v>105</v>
      </c>
      <c r="K13" s="2">
        <f>IF(K$2&gt;$H13,"-",ROUNDUP(Ld_cal($A13, $B13, $C13, $F13,$D13, $E13, $G13, K$2)*1.3,0))</f>
        <v>105</v>
      </c>
      <c r="L13" s="2">
        <f>IF(L$2&gt;$H13,"-",ROUNDUP(Ld_cal($A13, $B13, $C13, $F13,$D13, $E13, $G13, L$2)*1.3,0))</f>
        <v>105</v>
      </c>
      <c r="M13" s="2">
        <f>IF(M$2&gt;$H13,"-",ROUNDUP(Ld_cal($A13, $B13, $C13, $F13,$D13, $E13, $G13, M$2)*1.3,0))</f>
        <v>105</v>
      </c>
      <c r="N13" s="2">
        <f>IF(N$2&gt;$H13,"-",ROUNDUP(Ld_cal($A13, $B13, $C13, $F13,$D13, $E13, $G13, N$2)*1.3,0))</f>
        <v>114</v>
      </c>
      <c r="O13" s="2">
        <f>IF(O$2&gt;$H13,"-",ROUNDUP(Ld_cal($A13, $B13, $C13, $F13,$D13, $E13, $G13, O$2)*1.3,0))</f>
        <v>130</v>
      </c>
      <c r="P13" s="2">
        <f>IF(P$2&gt;$H13,"-",ROUNDUP(Ld_cal($A13, $B13, $C13, $F13,$D13, $E13, $G13, P$2)*1.3,0))</f>
        <v>146</v>
      </c>
      <c r="Q13" s="2">
        <f>IF(Q$2&gt;$H13,"-",ROUNDUP(Ld_cal($A13, $B13, $C13, $F13,$D13, $E13, $G13, Q$2)*1.3,0))</f>
        <v>162</v>
      </c>
      <c r="R13" s="2">
        <f>IF(R$2&gt;$H13,"-",ROUNDUP(Ld_cal($A13, $B13, $C13, $F13,$D13, $E13, $G13, R$2)*1.3,0))</f>
        <v>178</v>
      </c>
      <c r="S13" s="2">
        <f>IF(S$2&gt;$H13,"-",ROUNDUP(Ld_cal($A13, $B13, $C13, $F13,$D13, $E13, $G13, S$2)*1.3,0))</f>
        <v>194</v>
      </c>
      <c r="T13" s="2">
        <f>IF(T$2&gt;$H13,"-",ROUNDUP(Ld_cal($A13, $B13, $C13, $F13,$D13, $E13, $G13, T$2)*1.3,0))</f>
        <v>210</v>
      </c>
      <c r="U13" s="2" t="str">
        <f>IF(U$2&gt;$H13,"-",ROUNDUP(Ld_cal($A13, $B13, $C13, $F13,$D13, $E13, $G13, U$2)*1.3,0))</f>
        <v>-</v>
      </c>
      <c r="V13" s="2" t="str">
        <f>IF(V$2&gt;$H13,"-",ROUNDUP(Ld_cal($A13, $B13, $C13, $F13,$D13, $E13, $G13, V$2)*1.3,0))</f>
        <v>-</v>
      </c>
      <c r="W13" s="2" t="str">
        <f>IF(W$2&gt;$H13,"-",ROUNDUP(Ld_cal($A13, $B13, $C13, $F13,$D13, $E13, $G13, W$2)*1.3,0))</f>
        <v>-</v>
      </c>
      <c r="X13" s="2" t="str">
        <f>IF(X$2&gt;$H13,"-",ROUNDUP(Ld_cal($A13, $B13, $C13, $F13,$D13, $E13, $G13, X$2)*1.3,0))</f>
        <v>-</v>
      </c>
      <c r="Y13" s="2" t="str">
        <f>IF(Y$2&gt;$H13,"-",ROUNDUP(Ld_cal($A13, $B13, $C13, $F13,$D13, $E13, $G13, Y$2)*1.3,0))</f>
        <v>-</v>
      </c>
      <c r="Z13" s="2" t="str">
        <f>IF(Z$2&gt;$H13,"-",ROUNDUP(Ld_cal($A13, $B13, $C13, $F13,$D13, $E13, $G13, Z$2)*1.3,0))</f>
        <v>-</v>
      </c>
      <c r="AA13" s="2" t="str">
        <f>IF(AA$2&gt;$H13,"-",ROUNDUP(Ld_cal($A13, $B13, $C13, $F13,$D13, $E13, $G13, AA$2)*1.3,0))</f>
        <v>-</v>
      </c>
      <c r="AB13" s="2" t="str">
        <f>IF(AB$2&gt;$H13,"-",ROUNDUP(Ld_cal($A13, $B13, $C13, $F13,$D13, $E13, $G13, AB$2)*1.3,0))</f>
        <v>-</v>
      </c>
      <c r="AC13" s="2" t="str">
        <f>IF(AC$2&gt;$H13,"-",ROUNDUP(Ld_cal($A13, $B13, $C13, $F13,$D13, $E13, $G13, AC$2)*1.3,0))</f>
        <v>-</v>
      </c>
      <c r="AD13" s="2" t="str">
        <f>IF(AD$2&gt;$H13,"-",ROUNDUP(Ld_cal($A13, $B13, $C13, $F13,$D13, $E13, $G13, AD$2)*1.3,0))</f>
        <v>-</v>
      </c>
      <c r="AE13" s="2" t="str">
        <f>IF(AE$2&gt;$H13,"-",ROUNDUP(Ld_cal($A13, $B13, $C13, $F13,$D13, $E13, $G13, AE$2)*1.3,0))</f>
        <v>-</v>
      </c>
      <c r="AF13" s="2" t="str">
        <f>IF(AF$2&gt;$H13,"-",ROUNDUP(Ld_cal($A13, $B13, $C13, $F13,$D13, $E13, $G13, AF$2)*1.3,0))</f>
        <v>-</v>
      </c>
      <c r="AG13" s="2" t="str">
        <f>IF(AG$2&gt;$H13,"-",ROUNDUP(Ld_cal($A13, $B13, $C13, $F13,$D13, $E13, $G13, AG$2)*1.3,0))</f>
        <v>-</v>
      </c>
      <c r="AH13" s="2" t="str">
        <f>IF(AH$2&gt;$H13,"-",ROUNDUP(Ld_cal($A13, $B13, $C13, $F13,$D13, $E13, $G13, AH$2)*1.3,0))</f>
        <v>-</v>
      </c>
      <c r="AI13" s="2" t="str">
        <f>IF(AI$2&gt;$H13,"-",ROUNDUP(Ld_cal($A13, $B13, $C13, $F13,$D13, $E13, $G13, AI$2)*1.3,0))</f>
        <v>-</v>
      </c>
      <c r="AJ13" s="2" t="str">
        <f>IF(AJ$2&gt;$H13,"-",ROUNDUP(Ld_cal($A13, $B13, $C13, $F13,$D13, $E13, $G13, AJ$2)*1.3,0))</f>
        <v>-</v>
      </c>
    </row>
    <row r="14" spans="1:36">
      <c r="A14" s="8">
        <f t="shared" si="1"/>
        <v>100</v>
      </c>
      <c r="B14" s="11">
        <f t="shared" si="2"/>
        <v>5</v>
      </c>
      <c r="C14" s="8">
        <f t="shared" si="3"/>
        <v>4200</v>
      </c>
      <c r="D14" s="12">
        <f t="shared" ref="D14:D15" si="9">D11</f>
        <v>13</v>
      </c>
      <c r="E14" s="5">
        <f t="shared" si="6"/>
        <v>10</v>
      </c>
      <c r="F14" s="8">
        <f>F13</f>
        <v>350</v>
      </c>
      <c r="G14" s="3">
        <f t="shared" si="7"/>
        <v>25</v>
      </c>
      <c r="H14" s="1">
        <f t="shared" si="7"/>
        <v>17</v>
      </c>
      <c r="I14" s="2">
        <f>IF(I$2&gt;$H14,"-",ROUNDUP(Ld_cal($A14, $B14, $C14, $F14,$D14, $E14, $G14, I$2)*1.3,0))</f>
        <v>82</v>
      </c>
      <c r="J14" s="2">
        <f>IF(J$2&gt;$H14,"-",ROUNDUP(Ld_cal($A14, $B14, $C14, $F14,$D14, $E14, $G14, J$2)*1.3,0))</f>
        <v>82</v>
      </c>
      <c r="K14" s="2">
        <f>IF(K$2&gt;$H14,"-",ROUNDUP(Ld_cal($A14, $B14, $C14, $F14,$D14, $E14, $G14, K$2)*1.3,0))</f>
        <v>82</v>
      </c>
      <c r="L14" s="2">
        <f>IF(L$2&gt;$H14,"-",ROUNDUP(Ld_cal($A14, $B14, $C14, $F14,$D14, $E14, $G14, L$2)*1.3,0))</f>
        <v>82</v>
      </c>
      <c r="M14" s="2">
        <f>IF(M$2&gt;$H14,"-",ROUNDUP(Ld_cal($A14, $B14, $C14, $F14,$D14, $E14, $G14, M$2)*1.3,0))</f>
        <v>82</v>
      </c>
      <c r="N14" s="2">
        <f>IF(N$2&gt;$H14,"-",ROUNDUP(Ld_cal($A14, $B14, $C14, $F14,$D14, $E14, $G14, N$2)*1.3,0))</f>
        <v>82</v>
      </c>
      <c r="O14" s="2">
        <f>IF(O$2&gt;$H14,"-",ROUNDUP(Ld_cal($A14, $B14, $C14, $F14,$D14, $E14, $G14, O$2)*1.3,0))</f>
        <v>82</v>
      </c>
      <c r="P14" s="2">
        <f>IF(P$2&gt;$H14,"-",ROUNDUP(Ld_cal($A14, $B14, $C14, $F14,$D14, $E14, $G14, P$2)*1.3,0))</f>
        <v>89</v>
      </c>
      <c r="Q14" s="2">
        <f>IF(Q$2&gt;$H14,"-",ROUNDUP(Ld_cal($A14, $B14, $C14, $F14,$D14, $E14, $G14, Q$2)*1.3,0))</f>
        <v>99</v>
      </c>
      <c r="R14" s="2">
        <f>IF(R$2&gt;$H14,"-",ROUNDUP(Ld_cal($A14, $B14, $C14, $F14,$D14, $E14, $G14, R$2)*1.3,0))</f>
        <v>108</v>
      </c>
      <c r="S14" s="2">
        <f>IF(S$2&gt;$H14,"-",ROUNDUP(Ld_cal($A14, $B14, $C14, $F14,$D14, $E14, $G14, S$2)*1.3,0))</f>
        <v>118</v>
      </c>
      <c r="T14" s="2">
        <f>IF(T$2&gt;$H14,"-",ROUNDUP(Ld_cal($A14, $B14, $C14, $F14,$D14, $E14, $G14, T$2)*1.3,0))</f>
        <v>127</v>
      </c>
      <c r="U14" s="2">
        <f>IF(U$2&gt;$H14,"-",ROUNDUP(Ld_cal($A14, $B14, $C14, $F14,$D14, $E14, $G14, U$2)*1.3,0))</f>
        <v>137</v>
      </c>
      <c r="V14" s="2">
        <f>IF(V$2&gt;$H14,"-",ROUNDUP(Ld_cal($A14, $B14, $C14, $F14,$D14, $E14, $G14, V$2)*1.3,0))</f>
        <v>147</v>
      </c>
      <c r="W14" s="2">
        <f>IF(W$2&gt;$H14,"-",ROUNDUP(Ld_cal($A14, $B14, $C14, $F14,$D14, $E14, $G14, W$2)*1.3,0))</f>
        <v>156</v>
      </c>
      <c r="X14" s="2" t="str">
        <f>IF(X$2&gt;$H14,"-",ROUNDUP(Ld_cal($A14, $B14, $C14, $F14,$D14, $E14, $G14, X$2)*1.3,0))</f>
        <v>-</v>
      </c>
      <c r="Y14" s="2" t="str">
        <f>IF(Y$2&gt;$H14,"-",ROUNDUP(Ld_cal($A14, $B14, $C14, $F14,$D14, $E14, $G14, Y$2)*1.3,0))</f>
        <v>-</v>
      </c>
      <c r="Z14" s="2" t="str">
        <f>IF(Z$2&gt;$H14,"-",ROUNDUP(Ld_cal($A14, $B14, $C14, $F14,$D14, $E14, $G14, Z$2)*1.3,0))</f>
        <v>-</v>
      </c>
      <c r="AA14" s="2" t="str">
        <f>IF(AA$2&gt;$H14,"-",ROUNDUP(Ld_cal($A14, $B14, $C14, $F14,$D14, $E14, $G14, AA$2)*1.3,0))</f>
        <v>-</v>
      </c>
      <c r="AB14" s="2" t="str">
        <f>IF(AB$2&gt;$H14,"-",ROUNDUP(Ld_cal($A14, $B14, $C14, $F14,$D14, $E14, $G14, AB$2)*1.3,0))</f>
        <v>-</v>
      </c>
      <c r="AC14" s="2" t="str">
        <f>IF(AC$2&gt;$H14,"-",ROUNDUP(Ld_cal($A14, $B14, $C14, $F14,$D14, $E14, $G14, AC$2)*1.3,0))</f>
        <v>-</v>
      </c>
      <c r="AD14" s="2" t="str">
        <f>IF(AD$2&gt;$H14,"-",ROUNDUP(Ld_cal($A14, $B14, $C14, $F14,$D14, $E14, $G14, AD$2)*1.3,0))</f>
        <v>-</v>
      </c>
      <c r="AE14" s="2" t="str">
        <f>IF(AE$2&gt;$H14,"-",ROUNDUP(Ld_cal($A14, $B14, $C14, $F14,$D14, $E14, $G14, AE$2)*1.3,0))</f>
        <v>-</v>
      </c>
      <c r="AF14" s="2" t="str">
        <f>IF(AF$2&gt;$H14,"-",ROUNDUP(Ld_cal($A14, $B14, $C14, $F14,$D14, $E14, $G14, AF$2)*1.3,0))</f>
        <v>-</v>
      </c>
      <c r="AG14" s="2" t="str">
        <f>IF(AG$2&gt;$H14,"-",ROUNDUP(Ld_cal($A14, $B14, $C14, $F14,$D14, $E14, $G14, AG$2)*1.3,0))</f>
        <v>-</v>
      </c>
      <c r="AH14" s="2" t="str">
        <f>IF(AH$2&gt;$H14,"-",ROUNDUP(Ld_cal($A14, $B14, $C14, $F14,$D14, $E14, $G14, AH$2)*1.3,0))</f>
        <v>-</v>
      </c>
      <c r="AI14" s="2" t="str">
        <f>IF(AI$2&gt;$H14,"-",ROUNDUP(Ld_cal($A14, $B14, $C14, $F14,$D14, $E14, $G14, AI$2)*1.3,0))</f>
        <v>-</v>
      </c>
      <c r="AJ14" s="2" t="str">
        <f>IF(AJ$2&gt;$H14,"-",ROUNDUP(Ld_cal($A14, $B14, $C14, $F14,$D14, $E14, $G14, AJ$2)*1.3,0))</f>
        <v>-</v>
      </c>
    </row>
    <row r="15" spans="1:36">
      <c r="A15" s="8">
        <f t="shared" si="1"/>
        <v>100</v>
      </c>
      <c r="B15" s="11">
        <f t="shared" si="2"/>
        <v>5</v>
      </c>
      <c r="C15" s="8">
        <f t="shared" si="3"/>
        <v>4200</v>
      </c>
      <c r="D15" s="12">
        <f t="shared" si="9"/>
        <v>13</v>
      </c>
      <c r="E15" s="5">
        <f t="shared" si="6"/>
        <v>10</v>
      </c>
      <c r="F15" s="8">
        <f>F14</f>
        <v>350</v>
      </c>
      <c r="G15" s="3">
        <f t="shared" si="7"/>
        <v>22</v>
      </c>
      <c r="H15" s="1">
        <f t="shared" si="7"/>
        <v>20</v>
      </c>
      <c r="I15" s="2">
        <f>IF(I$2&gt;$H15,"-",ROUNDUP(Ld_cal($A15, $B15, $C15, $F15,$D15, $E15, $G15, I$2)*1.3,0))</f>
        <v>72</v>
      </c>
      <c r="J15" s="2">
        <f>IF(J$2&gt;$H15,"-",ROUNDUP(Ld_cal($A15, $B15, $C15, $F15,$D15, $E15, $G15, J$2)*1.3,0))</f>
        <v>72</v>
      </c>
      <c r="K15" s="2">
        <f>IF(K$2&gt;$H15,"-",ROUNDUP(Ld_cal($A15, $B15, $C15, $F15,$D15, $E15, $G15, K$2)*1.3,0))</f>
        <v>72</v>
      </c>
      <c r="L15" s="2">
        <f>IF(L$2&gt;$H15,"-",ROUNDUP(Ld_cal($A15, $B15, $C15, $F15,$D15, $E15, $G15, L$2)*1.3,0))</f>
        <v>72</v>
      </c>
      <c r="M15" s="2">
        <f>IF(M$2&gt;$H15,"-",ROUNDUP(Ld_cal($A15, $B15, $C15, $F15,$D15, $E15, $G15, M$2)*1.3,0))</f>
        <v>72</v>
      </c>
      <c r="N15" s="2">
        <f>IF(N$2&gt;$H15,"-",ROUNDUP(Ld_cal($A15, $B15, $C15, $F15,$D15, $E15, $G15, N$2)*1.3,0))</f>
        <v>72</v>
      </c>
      <c r="O15" s="2">
        <f>IF(O$2&gt;$H15,"-",ROUNDUP(Ld_cal($A15, $B15, $C15, $F15,$D15, $E15, $G15, O$2)*1.3,0))</f>
        <v>72</v>
      </c>
      <c r="P15" s="2">
        <f>IF(P$2&gt;$H15,"-",ROUNDUP(Ld_cal($A15, $B15, $C15, $F15,$D15, $E15, $G15, P$2)*1.3,0))</f>
        <v>72</v>
      </c>
      <c r="Q15" s="2">
        <f>IF(Q$2&gt;$H15,"-",ROUNDUP(Ld_cal($A15, $B15, $C15, $F15,$D15, $E15, $G15, Q$2)*1.3,0))</f>
        <v>76</v>
      </c>
      <c r="R15" s="2">
        <f>IF(R$2&gt;$H15,"-",ROUNDUP(Ld_cal($A15, $B15, $C15, $F15,$D15, $E15, $G15, R$2)*1.3,0))</f>
        <v>84</v>
      </c>
      <c r="S15" s="2">
        <f>IF(S$2&gt;$H15,"-",ROUNDUP(Ld_cal($A15, $B15, $C15, $F15,$D15, $E15, $G15, S$2)*1.3,0))</f>
        <v>91</v>
      </c>
      <c r="T15" s="2">
        <f>IF(T$2&gt;$H15,"-",ROUNDUP(Ld_cal($A15, $B15, $C15, $F15,$D15, $E15, $G15, T$2)*1.3,0))</f>
        <v>99</v>
      </c>
      <c r="U15" s="2">
        <f>IF(U$2&gt;$H15,"-",ROUNDUP(Ld_cal($A15, $B15, $C15, $F15,$D15, $E15, $G15, U$2)*1.3,0))</f>
        <v>106</v>
      </c>
      <c r="V15" s="2">
        <f>IF(V$2&gt;$H15,"-",ROUNDUP(Ld_cal($A15, $B15, $C15, $F15,$D15, $E15, $G15, V$2)*1.3,0))</f>
        <v>113</v>
      </c>
      <c r="W15" s="2">
        <f>IF(W$2&gt;$H15,"-",ROUNDUP(Ld_cal($A15, $B15, $C15, $F15,$D15, $E15, $G15, W$2)*1.3,0))</f>
        <v>121</v>
      </c>
      <c r="X15" s="2">
        <f>IF(X$2&gt;$H15,"-",ROUNDUP(Ld_cal($A15, $B15, $C15, $F15,$D15, $E15, $G15, X$2)*1.3,0))</f>
        <v>128</v>
      </c>
      <c r="Y15" s="2">
        <f>IF(Y$2&gt;$H15,"-",ROUNDUP(Ld_cal($A15, $B15, $C15, $F15,$D15, $E15, $G15, Y$2)*1.3,0))</f>
        <v>136</v>
      </c>
      <c r="Z15" s="2">
        <f>IF(Z$2&gt;$H15,"-",ROUNDUP(Ld_cal($A15, $B15, $C15, $F15,$D15, $E15, $G15, Z$2)*1.3,0))</f>
        <v>143</v>
      </c>
      <c r="AA15" s="2" t="str">
        <f>IF(AA$2&gt;$H15,"-",ROUNDUP(Ld_cal($A15, $B15, $C15, $F15,$D15, $E15, $G15, AA$2)*1.3,0))</f>
        <v>-</v>
      </c>
      <c r="AB15" s="2" t="str">
        <f>IF(AB$2&gt;$H15,"-",ROUNDUP(Ld_cal($A15, $B15, $C15, $F15,$D15, $E15, $G15, AB$2)*1.3,0))</f>
        <v>-</v>
      </c>
      <c r="AC15" s="2" t="str">
        <f>IF(AC$2&gt;$H15,"-",ROUNDUP(Ld_cal($A15, $B15, $C15, $F15,$D15, $E15, $G15, AC$2)*1.3,0))</f>
        <v>-</v>
      </c>
      <c r="AD15" s="2" t="str">
        <f>IF(AD$2&gt;$H15,"-",ROUNDUP(Ld_cal($A15, $B15, $C15, $F15,$D15, $E15, $G15, AD$2)*1.3,0))</f>
        <v>-</v>
      </c>
      <c r="AE15" s="2" t="str">
        <f>IF(AE$2&gt;$H15,"-",ROUNDUP(Ld_cal($A15, $B15, $C15, $F15,$D15, $E15, $G15, AE$2)*1.3,0))</f>
        <v>-</v>
      </c>
      <c r="AF15" s="2" t="str">
        <f>IF(AF$2&gt;$H15,"-",ROUNDUP(Ld_cal($A15, $B15, $C15, $F15,$D15, $E15, $G15, AF$2)*1.3,0))</f>
        <v>-</v>
      </c>
      <c r="AG15" s="2" t="str">
        <f>IF(AG$2&gt;$H15,"-",ROUNDUP(Ld_cal($A15, $B15, $C15, $F15,$D15, $E15, $G15, AG$2)*1.3,0))</f>
        <v>-</v>
      </c>
      <c r="AH15" s="2" t="str">
        <f>IF(AH$2&gt;$H15,"-",ROUNDUP(Ld_cal($A15, $B15, $C15, $F15,$D15, $E15, $G15, AH$2)*1.3,0))</f>
        <v>-</v>
      </c>
      <c r="AI15" s="2" t="str">
        <f>IF(AI$2&gt;$H15,"-",ROUNDUP(Ld_cal($A15, $B15, $C15, $F15,$D15, $E15, $G15, AI$2)*1.3,0))</f>
        <v>-</v>
      </c>
      <c r="AJ15" s="2" t="str">
        <f>IF(AJ$2&gt;$H15,"-",ROUNDUP(Ld_cal($A15, $B15, $C15, $F15,$D15, $E15, $G15, AJ$2)*1.3,0))</f>
        <v>-</v>
      </c>
    </row>
    <row r="16" spans="1:36">
      <c r="A16" s="8">
        <f t="shared" si="1"/>
        <v>100</v>
      </c>
      <c r="B16" s="11">
        <f t="shared" si="2"/>
        <v>5</v>
      </c>
      <c r="C16" s="8">
        <f t="shared" si="3"/>
        <v>4200</v>
      </c>
      <c r="D16" s="12">
        <f>D13</f>
        <v>13</v>
      </c>
      <c r="E16" s="5">
        <f t="shared" si="6"/>
        <v>10</v>
      </c>
      <c r="F16" s="20">
        <v>420</v>
      </c>
      <c r="G16" s="3">
        <f t="shared" si="7"/>
        <v>32</v>
      </c>
      <c r="H16" s="1">
        <f t="shared" si="7"/>
        <v>14</v>
      </c>
      <c r="I16" s="2">
        <f>IF(I$2&gt;$H16,"-",ROUNDUP(Ld_cal($A16, $B16, $C16, $F16,$D16, $E16, $G16, I$2)*1.3,0))</f>
        <v>96</v>
      </c>
      <c r="J16" s="2">
        <f>IF(J$2&gt;$H16,"-",ROUNDUP(Ld_cal($A16, $B16, $C16, $F16,$D16, $E16, $G16, J$2)*1.3,0))</f>
        <v>96</v>
      </c>
      <c r="K16" s="2">
        <f>IF(K$2&gt;$H16,"-",ROUNDUP(Ld_cal($A16, $B16, $C16, $F16,$D16, $E16, $G16, K$2)*1.3,0))</f>
        <v>96</v>
      </c>
      <c r="L16" s="2">
        <f>IF(L$2&gt;$H16,"-",ROUNDUP(Ld_cal($A16, $B16, $C16, $F16,$D16, $E16, $G16, L$2)*1.3,0))</f>
        <v>96</v>
      </c>
      <c r="M16" s="2">
        <f>IF(M$2&gt;$H16,"-",ROUNDUP(Ld_cal($A16, $B16, $C16, $F16,$D16, $E16, $G16, M$2)*1.3,0))</f>
        <v>96</v>
      </c>
      <c r="N16" s="2">
        <f>IF(N$2&gt;$H16,"-",ROUNDUP(Ld_cal($A16, $B16, $C16, $F16,$D16, $E16, $G16, N$2)*1.3,0))</f>
        <v>105</v>
      </c>
      <c r="O16" s="2">
        <f>IF(O$2&gt;$H16,"-",ROUNDUP(Ld_cal($A16, $B16, $C16, $F16,$D16, $E16, $G16, O$2)*1.3,0))</f>
        <v>119</v>
      </c>
      <c r="P16" s="2">
        <f>IF(P$2&gt;$H16,"-",ROUNDUP(Ld_cal($A16, $B16, $C16, $F16,$D16, $E16, $G16, P$2)*1.3,0))</f>
        <v>134</v>
      </c>
      <c r="Q16" s="2">
        <f>IF(Q$2&gt;$H16,"-",ROUNDUP(Ld_cal($A16, $B16, $C16, $F16,$D16, $E16, $G16, Q$2)*1.3,0))</f>
        <v>148</v>
      </c>
      <c r="R16" s="2">
        <f>IF(R$2&gt;$H16,"-",ROUNDUP(Ld_cal($A16, $B16, $C16, $F16,$D16, $E16, $G16, R$2)*1.3,0))</f>
        <v>163</v>
      </c>
      <c r="S16" s="2">
        <f>IF(S$2&gt;$H16,"-",ROUNDUP(Ld_cal($A16, $B16, $C16, $F16,$D16, $E16, $G16, S$2)*1.3,0))</f>
        <v>177</v>
      </c>
      <c r="T16" s="2">
        <f>IF(T$2&gt;$H16,"-",ROUNDUP(Ld_cal($A16, $B16, $C16, $F16,$D16, $E16, $G16, T$2)*1.3,0))</f>
        <v>192</v>
      </c>
      <c r="U16" s="2" t="str">
        <f>IF(U$2&gt;$H16,"-",ROUNDUP(Ld_cal($A16, $B16, $C16, $F16,$D16, $E16, $G16, U$2)*1.3,0))</f>
        <v>-</v>
      </c>
      <c r="V16" s="2" t="str">
        <f>IF(V$2&gt;$H16,"-",ROUNDUP(Ld_cal($A16, $B16, $C16, $F16,$D16, $E16, $G16, V$2)*1.3,0))</f>
        <v>-</v>
      </c>
      <c r="W16" s="2" t="str">
        <f>IF(W$2&gt;$H16,"-",ROUNDUP(Ld_cal($A16, $B16, $C16, $F16,$D16, $E16, $G16, W$2)*1.3,0))</f>
        <v>-</v>
      </c>
      <c r="X16" s="2" t="str">
        <f>IF(X$2&gt;$H16,"-",ROUNDUP(Ld_cal($A16, $B16, $C16, $F16,$D16, $E16, $G16, X$2)*1.3,0))</f>
        <v>-</v>
      </c>
      <c r="Y16" s="2" t="str">
        <f>IF(Y$2&gt;$H16,"-",ROUNDUP(Ld_cal($A16, $B16, $C16, $F16,$D16, $E16, $G16, Y$2)*1.3,0))</f>
        <v>-</v>
      </c>
      <c r="Z16" s="2" t="str">
        <f>IF(Z$2&gt;$H16,"-",ROUNDUP(Ld_cal($A16, $B16, $C16, $F16,$D16, $E16, $G16, Z$2)*1.3,0))</f>
        <v>-</v>
      </c>
      <c r="AA16" s="2" t="str">
        <f>IF(AA$2&gt;$H16,"-",ROUNDUP(Ld_cal($A16, $B16, $C16, $F16,$D16, $E16, $G16, AA$2)*1.3,0))</f>
        <v>-</v>
      </c>
      <c r="AB16" s="2" t="str">
        <f>IF(AB$2&gt;$H16,"-",ROUNDUP(Ld_cal($A16, $B16, $C16, $F16,$D16, $E16, $G16, AB$2)*1.3,0))</f>
        <v>-</v>
      </c>
      <c r="AC16" s="2" t="str">
        <f>IF(AC$2&gt;$H16,"-",ROUNDUP(Ld_cal($A16, $B16, $C16, $F16,$D16, $E16, $G16, AC$2)*1.3,0))</f>
        <v>-</v>
      </c>
      <c r="AD16" s="2" t="str">
        <f>IF(AD$2&gt;$H16,"-",ROUNDUP(Ld_cal($A16, $B16, $C16, $F16,$D16, $E16, $G16, AD$2)*1.3,0))</f>
        <v>-</v>
      </c>
      <c r="AE16" s="2" t="str">
        <f>IF(AE$2&gt;$H16,"-",ROUNDUP(Ld_cal($A16, $B16, $C16, $F16,$D16, $E16, $G16, AE$2)*1.3,0))</f>
        <v>-</v>
      </c>
      <c r="AF16" s="2" t="str">
        <f>IF(AF$2&gt;$H16,"-",ROUNDUP(Ld_cal($A16, $B16, $C16, $F16,$D16, $E16, $G16, AF$2)*1.3,0))</f>
        <v>-</v>
      </c>
      <c r="AG16" s="2" t="str">
        <f>IF(AG$2&gt;$H16,"-",ROUNDUP(Ld_cal($A16, $B16, $C16, $F16,$D16, $E16, $G16, AG$2)*1.3,0))</f>
        <v>-</v>
      </c>
      <c r="AH16" s="2" t="str">
        <f>IF(AH$2&gt;$H16,"-",ROUNDUP(Ld_cal($A16, $B16, $C16, $F16,$D16, $E16, $G16, AH$2)*1.3,0))</f>
        <v>-</v>
      </c>
      <c r="AI16" s="2" t="str">
        <f>IF(AI$2&gt;$H16,"-",ROUNDUP(Ld_cal($A16, $B16, $C16, $F16,$D16, $E16, $G16, AI$2)*1.3,0))</f>
        <v>-</v>
      </c>
      <c r="AJ16" s="2" t="str">
        <f>IF(AJ$2&gt;$H16,"-",ROUNDUP(Ld_cal($A16, $B16, $C16, $F16,$D16, $E16, $G16, AJ$2)*1.3,0))</f>
        <v>-</v>
      </c>
    </row>
    <row r="17" spans="1:36">
      <c r="A17" s="8">
        <f t="shared" si="1"/>
        <v>100</v>
      </c>
      <c r="B17" s="11">
        <f t="shared" si="2"/>
        <v>5</v>
      </c>
      <c r="C17" s="8">
        <f t="shared" si="3"/>
        <v>4200</v>
      </c>
      <c r="D17" s="12">
        <f t="shared" ref="D17:D18" si="10">D14</f>
        <v>13</v>
      </c>
      <c r="E17" s="5">
        <f t="shared" si="6"/>
        <v>10</v>
      </c>
      <c r="F17" s="8">
        <f>F16</f>
        <v>420</v>
      </c>
      <c r="G17" s="3">
        <f t="shared" si="7"/>
        <v>25</v>
      </c>
      <c r="H17" s="1">
        <f t="shared" si="7"/>
        <v>17</v>
      </c>
      <c r="I17" s="2">
        <f>IF(I$2&gt;$H17,"-",ROUNDUP(Ld_cal($A17, $B17, $C17, $F17,$D17, $E17, $G17, I$2)*1.3,0))</f>
        <v>75</v>
      </c>
      <c r="J17" s="2">
        <f>IF(J$2&gt;$H17,"-",ROUNDUP(Ld_cal($A17, $B17, $C17, $F17,$D17, $E17, $G17, J$2)*1.3,0))</f>
        <v>75</v>
      </c>
      <c r="K17" s="2">
        <f>IF(K$2&gt;$H17,"-",ROUNDUP(Ld_cal($A17, $B17, $C17, $F17,$D17, $E17, $G17, K$2)*1.3,0))</f>
        <v>75</v>
      </c>
      <c r="L17" s="2">
        <f>IF(L$2&gt;$H17,"-",ROUNDUP(Ld_cal($A17, $B17, $C17, $F17,$D17, $E17, $G17, L$2)*1.3,0))</f>
        <v>75</v>
      </c>
      <c r="M17" s="2">
        <f>IF(M$2&gt;$H17,"-",ROUNDUP(Ld_cal($A17, $B17, $C17, $F17,$D17, $E17, $G17, M$2)*1.3,0))</f>
        <v>75</v>
      </c>
      <c r="N17" s="2">
        <f>IF(N$2&gt;$H17,"-",ROUNDUP(Ld_cal($A17, $B17, $C17, $F17,$D17, $E17, $G17, N$2)*1.3,0))</f>
        <v>75</v>
      </c>
      <c r="O17" s="2">
        <f>IF(O$2&gt;$H17,"-",ROUNDUP(Ld_cal($A17, $B17, $C17, $F17,$D17, $E17, $G17, O$2)*1.3,0))</f>
        <v>75</v>
      </c>
      <c r="P17" s="2">
        <f>IF(P$2&gt;$H17,"-",ROUNDUP(Ld_cal($A17, $B17, $C17, $F17,$D17, $E17, $G17, P$2)*1.3,0))</f>
        <v>81</v>
      </c>
      <c r="Q17" s="2">
        <f>IF(Q$2&gt;$H17,"-",ROUNDUP(Ld_cal($A17, $B17, $C17, $F17,$D17, $E17, $G17, Q$2)*1.3,0))</f>
        <v>90</v>
      </c>
      <c r="R17" s="2">
        <f>IF(R$2&gt;$H17,"-",ROUNDUP(Ld_cal($A17, $B17, $C17, $F17,$D17, $E17, $G17, R$2)*1.3,0))</f>
        <v>99</v>
      </c>
      <c r="S17" s="2">
        <f>IF(S$2&gt;$H17,"-",ROUNDUP(Ld_cal($A17, $B17, $C17, $F17,$D17, $E17, $G17, S$2)*1.3,0))</f>
        <v>108</v>
      </c>
      <c r="T17" s="2">
        <f>IF(T$2&gt;$H17,"-",ROUNDUP(Ld_cal($A17, $B17, $C17, $F17,$D17, $E17, $G17, T$2)*1.3,0))</f>
        <v>116</v>
      </c>
      <c r="U17" s="2">
        <f>IF(U$2&gt;$H17,"-",ROUNDUP(Ld_cal($A17, $B17, $C17, $F17,$D17, $E17, $G17, U$2)*1.3,0))</f>
        <v>125</v>
      </c>
      <c r="V17" s="2">
        <f>IF(V$2&gt;$H17,"-",ROUNDUP(Ld_cal($A17, $B17, $C17, $F17,$D17, $E17, $G17, V$2)*1.3,0))</f>
        <v>134</v>
      </c>
      <c r="W17" s="2">
        <f>IF(W$2&gt;$H17,"-",ROUNDUP(Ld_cal($A17, $B17, $C17, $F17,$D17, $E17, $G17, W$2)*1.3,0))</f>
        <v>143</v>
      </c>
      <c r="X17" s="2" t="str">
        <f>IF(X$2&gt;$H17,"-",ROUNDUP(Ld_cal($A17, $B17, $C17, $F17,$D17, $E17, $G17, X$2)*1.3,0))</f>
        <v>-</v>
      </c>
      <c r="Y17" s="2" t="str">
        <f>IF(Y$2&gt;$H17,"-",ROUNDUP(Ld_cal($A17, $B17, $C17, $F17,$D17, $E17, $G17, Y$2)*1.3,0))</f>
        <v>-</v>
      </c>
      <c r="Z17" s="2" t="str">
        <f>IF(Z$2&gt;$H17,"-",ROUNDUP(Ld_cal($A17, $B17, $C17, $F17,$D17, $E17, $G17, Z$2)*1.3,0))</f>
        <v>-</v>
      </c>
      <c r="AA17" s="2" t="str">
        <f>IF(AA$2&gt;$H17,"-",ROUNDUP(Ld_cal($A17, $B17, $C17, $F17,$D17, $E17, $G17, AA$2)*1.3,0))</f>
        <v>-</v>
      </c>
      <c r="AB17" s="2" t="str">
        <f>IF(AB$2&gt;$H17,"-",ROUNDUP(Ld_cal($A17, $B17, $C17, $F17,$D17, $E17, $G17, AB$2)*1.3,0))</f>
        <v>-</v>
      </c>
      <c r="AC17" s="2" t="str">
        <f>IF(AC$2&gt;$H17,"-",ROUNDUP(Ld_cal($A17, $B17, $C17, $F17,$D17, $E17, $G17, AC$2)*1.3,0))</f>
        <v>-</v>
      </c>
      <c r="AD17" s="2" t="str">
        <f>IF(AD$2&gt;$H17,"-",ROUNDUP(Ld_cal($A17, $B17, $C17, $F17,$D17, $E17, $G17, AD$2)*1.3,0))</f>
        <v>-</v>
      </c>
      <c r="AE17" s="2" t="str">
        <f>IF(AE$2&gt;$H17,"-",ROUNDUP(Ld_cal($A17, $B17, $C17, $F17,$D17, $E17, $G17, AE$2)*1.3,0))</f>
        <v>-</v>
      </c>
      <c r="AF17" s="2" t="str">
        <f>IF(AF$2&gt;$H17,"-",ROUNDUP(Ld_cal($A17, $B17, $C17, $F17,$D17, $E17, $G17, AF$2)*1.3,0))</f>
        <v>-</v>
      </c>
      <c r="AG17" s="2" t="str">
        <f>IF(AG$2&gt;$H17,"-",ROUNDUP(Ld_cal($A17, $B17, $C17, $F17,$D17, $E17, $G17, AG$2)*1.3,0))</f>
        <v>-</v>
      </c>
      <c r="AH17" s="2" t="str">
        <f>IF(AH$2&gt;$H17,"-",ROUNDUP(Ld_cal($A17, $B17, $C17, $F17,$D17, $E17, $G17, AH$2)*1.3,0))</f>
        <v>-</v>
      </c>
      <c r="AI17" s="2" t="str">
        <f>IF(AI$2&gt;$H17,"-",ROUNDUP(Ld_cal($A17, $B17, $C17, $F17,$D17, $E17, $G17, AI$2)*1.3,0))</f>
        <v>-</v>
      </c>
      <c r="AJ17" s="2" t="str">
        <f>IF(AJ$2&gt;$H17,"-",ROUNDUP(Ld_cal($A17, $B17, $C17, $F17,$D17, $E17, $G17, AJ$2)*1.3,0))</f>
        <v>-</v>
      </c>
    </row>
    <row r="18" spans="1:36">
      <c r="A18" s="8">
        <f t="shared" si="1"/>
        <v>100</v>
      </c>
      <c r="B18" s="11">
        <f t="shared" si="2"/>
        <v>5</v>
      </c>
      <c r="C18" s="8">
        <f t="shared" si="3"/>
        <v>4200</v>
      </c>
      <c r="D18" s="12">
        <f t="shared" si="10"/>
        <v>13</v>
      </c>
      <c r="E18" s="5">
        <f t="shared" si="6"/>
        <v>10</v>
      </c>
      <c r="F18" s="8">
        <f>F17</f>
        <v>420</v>
      </c>
      <c r="G18" s="3">
        <f t="shared" si="7"/>
        <v>22</v>
      </c>
      <c r="H18" s="1">
        <f t="shared" si="7"/>
        <v>20</v>
      </c>
      <c r="I18" s="2">
        <f>IF(I$2&gt;$H18,"-",ROUNDUP(Ld_cal($A18, $B18, $C18, $F18,$D18, $E18, $G18, I$2)*1.3,0))</f>
        <v>66</v>
      </c>
      <c r="J18" s="2">
        <f>IF(J$2&gt;$H18,"-",ROUNDUP(Ld_cal($A18, $B18, $C18, $F18,$D18, $E18, $G18, J$2)*1.3,0))</f>
        <v>66</v>
      </c>
      <c r="K18" s="2">
        <f>IF(K$2&gt;$H18,"-",ROUNDUP(Ld_cal($A18, $B18, $C18, $F18,$D18, $E18, $G18, K$2)*1.3,0))</f>
        <v>66</v>
      </c>
      <c r="L18" s="2">
        <f>IF(L$2&gt;$H18,"-",ROUNDUP(Ld_cal($A18, $B18, $C18, $F18,$D18, $E18, $G18, L$2)*1.3,0))</f>
        <v>66</v>
      </c>
      <c r="M18" s="2">
        <f>IF(M$2&gt;$H18,"-",ROUNDUP(Ld_cal($A18, $B18, $C18, $F18,$D18, $E18, $G18, M$2)*1.3,0))</f>
        <v>66</v>
      </c>
      <c r="N18" s="2">
        <f>IF(N$2&gt;$H18,"-",ROUNDUP(Ld_cal($A18, $B18, $C18, $F18,$D18, $E18, $G18, N$2)*1.3,0))</f>
        <v>66</v>
      </c>
      <c r="O18" s="2">
        <f>IF(O$2&gt;$H18,"-",ROUNDUP(Ld_cal($A18, $B18, $C18, $F18,$D18, $E18, $G18, O$2)*1.3,0))</f>
        <v>66</v>
      </c>
      <c r="P18" s="2">
        <f>IF(P$2&gt;$H18,"-",ROUNDUP(Ld_cal($A18, $B18, $C18, $F18,$D18, $E18, $G18, P$2)*1.3,0))</f>
        <v>66</v>
      </c>
      <c r="Q18" s="2">
        <f>IF(Q$2&gt;$H18,"-",ROUNDUP(Ld_cal($A18, $B18, $C18, $F18,$D18, $E18, $G18, Q$2)*1.3,0))</f>
        <v>70</v>
      </c>
      <c r="R18" s="2">
        <f>IF(R$2&gt;$H18,"-",ROUNDUP(Ld_cal($A18, $B18, $C18, $F18,$D18, $E18, $G18, R$2)*1.3,0))</f>
        <v>76</v>
      </c>
      <c r="S18" s="2">
        <f>IF(S$2&gt;$H18,"-",ROUNDUP(Ld_cal($A18, $B18, $C18, $F18,$D18, $E18, $G18, S$2)*1.3,0))</f>
        <v>83</v>
      </c>
      <c r="T18" s="2">
        <f>IF(T$2&gt;$H18,"-",ROUNDUP(Ld_cal($A18, $B18, $C18, $F18,$D18, $E18, $G18, T$2)*1.3,0))</f>
        <v>90</v>
      </c>
      <c r="U18" s="2">
        <f>IF(U$2&gt;$H18,"-",ROUNDUP(Ld_cal($A18, $B18, $C18, $F18,$D18, $E18, $G18, U$2)*1.3,0))</f>
        <v>97</v>
      </c>
      <c r="V18" s="2">
        <f>IF(V$2&gt;$H18,"-",ROUNDUP(Ld_cal($A18, $B18, $C18, $F18,$D18, $E18, $G18, V$2)*1.3,0))</f>
        <v>104</v>
      </c>
      <c r="W18" s="2">
        <f>IF(W$2&gt;$H18,"-",ROUNDUP(Ld_cal($A18, $B18, $C18, $F18,$D18, $E18, $G18, W$2)*1.3,0))</f>
        <v>110</v>
      </c>
      <c r="X18" s="2">
        <f>IF(X$2&gt;$H18,"-",ROUNDUP(Ld_cal($A18, $B18, $C18, $F18,$D18, $E18, $G18, X$2)*1.3,0))</f>
        <v>117</v>
      </c>
      <c r="Y18" s="2">
        <f>IF(Y$2&gt;$H18,"-",ROUNDUP(Ld_cal($A18, $B18, $C18, $F18,$D18, $E18, $G18, Y$2)*1.3,0))</f>
        <v>124</v>
      </c>
      <c r="Z18" s="2">
        <f>IF(Z$2&gt;$H18,"-",ROUNDUP(Ld_cal($A18, $B18, $C18, $F18,$D18, $E18, $G18, Z$2)*1.3,0))</f>
        <v>131</v>
      </c>
      <c r="AA18" s="2" t="str">
        <f>IF(AA$2&gt;$H18,"-",ROUNDUP(Ld_cal($A18, $B18, $C18, $F18,$D18, $E18, $G18, AA$2)*1.3,0))</f>
        <v>-</v>
      </c>
      <c r="AB18" s="2" t="str">
        <f>IF(AB$2&gt;$H18,"-",ROUNDUP(Ld_cal($A18, $B18, $C18, $F18,$D18, $E18, $G18, AB$2)*1.3,0))</f>
        <v>-</v>
      </c>
      <c r="AC18" s="2" t="str">
        <f>IF(AC$2&gt;$H18,"-",ROUNDUP(Ld_cal($A18, $B18, $C18, $F18,$D18, $E18, $G18, AC$2)*1.3,0))</f>
        <v>-</v>
      </c>
      <c r="AD18" s="2" t="str">
        <f>IF(AD$2&gt;$H18,"-",ROUNDUP(Ld_cal($A18, $B18, $C18, $F18,$D18, $E18, $G18, AD$2)*1.3,0))</f>
        <v>-</v>
      </c>
      <c r="AE18" s="2" t="str">
        <f>IF(AE$2&gt;$H18,"-",ROUNDUP(Ld_cal($A18, $B18, $C18, $F18,$D18, $E18, $G18, AE$2)*1.3,0))</f>
        <v>-</v>
      </c>
      <c r="AF18" s="2" t="str">
        <f>IF(AF$2&gt;$H18,"-",ROUNDUP(Ld_cal($A18, $B18, $C18, $F18,$D18, $E18, $G18, AF$2)*1.3,0))</f>
        <v>-</v>
      </c>
      <c r="AG18" s="2" t="str">
        <f>IF(AG$2&gt;$H18,"-",ROUNDUP(Ld_cal($A18, $B18, $C18, $F18,$D18, $E18, $G18, AG$2)*1.3,0))</f>
        <v>-</v>
      </c>
      <c r="AH18" s="2" t="str">
        <f>IF(AH$2&gt;$H18,"-",ROUNDUP(Ld_cal($A18, $B18, $C18, $F18,$D18, $E18, $G18, AH$2)*1.3,0))</f>
        <v>-</v>
      </c>
      <c r="AI18" s="2" t="str">
        <f>IF(AI$2&gt;$H18,"-",ROUNDUP(Ld_cal($A18, $B18, $C18, $F18,$D18, $E18, $G18, AI$2)*1.3,0))</f>
        <v>-</v>
      </c>
      <c r="AJ18" s="2" t="str">
        <f>IF(AJ$2&gt;$H18,"-",ROUNDUP(Ld_cal($A18, $B18, $C18, $F18,$D18, $E18, $G18, AJ$2)*1.3,0))</f>
        <v>-</v>
      </c>
    </row>
    <row r="19" spans="1:36">
      <c r="A19" s="8">
        <f t="shared" si="1"/>
        <v>100</v>
      </c>
      <c r="B19" s="11">
        <f t="shared" si="2"/>
        <v>5</v>
      </c>
      <c r="C19" s="8">
        <f t="shared" si="3"/>
        <v>4200</v>
      </c>
      <c r="D19" s="12">
        <f>D16</f>
        <v>13</v>
      </c>
      <c r="E19" s="5">
        <f t="shared" si="6"/>
        <v>10</v>
      </c>
      <c r="F19" s="20">
        <v>490</v>
      </c>
      <c r="G19" s="3">
        <f t="shared" si="7"/>
        <v>32</v>
      </c>
      <c r="H19" s="1">
        <f t="shared" si="7"/>
        <v>14</v>
      </c>
      <c r="I19" s="2">
        <f>IF(I$2&gt;$H19,"-",ROUNDUP(Ld_cal($A19, $B19, $C19, $F19,$D19, $E19, $G19, I$2)*1.3,0))</f>
        <v>89</v>
      </c>
      <c r="J19" s="2">
        <f>IF(J$2&gt;$H19,"-",ROUNDUP(Ld_cal($A19, $B19, $C19, $F19,$D19, $E19, $G19, J$2)*1.3,0))</f>
        <v>89</v>
      </c>
      <c r="K19" s="2">
        <f>IF(K$2&gt;$H19,"-",ROUNDUP(Ld_cal($A19, $B19, $C19, $F19,$D19, $E19, $G19, K$2)*1.3,0))</f>
        <v>89</v>
      </c>
      <c r="L19" s="2">
        <f>IF(L$2&gt;$H19,"-",ROUNDUP(Ld_cal($A19, $B19, $C19, $F19,$D19, $E19, $G19, L$2)*1.3,0))</f>
        <v>89</v>
      </c>
      <c r="M19" s="2">
        <f>IF(M$2&gt;$H19,"-",ROUNDUP(Ld_cal($A19, $B19, $C19, $F19,$D19, $E19, $G19, M$2)*1.3,0))</f>
        <v>89</v>
      </c>
      <c r="N19" s="2">
        <f>IF(N$2&gt;$H19,"-",ROUNDUP(Ld_cal($A19, $B19, $C19, $F19,$D19, $E19, $G19, N$2)*1.3,0))</f>
        <v>97</v>
      </c>
      <c r="O19" s="2">
        <f>IF(O$2&gt;$H19,"-",ROUNDUP(Ld_cal($A19, $B19, $C19, $F19,$D19, $E19, $G19, O$2)*1.3,0))</f>
        <v>110</v>
      </c>
      <c r="P19" s="2">
        <f>IF(P$2&gt;$H19,"-",ROUNDUP(Ld_cal($A19, $B19, $C19, $F19,$D19, $E19, $G19, P$2)*1.3,0))</f>
        <v>124</v>
      </c>
      <c r="Q19" s="2">
        <f>IF(Q$2&gt;$H19,"-",ROUNDUP(Ld_cal($A19, $B19, $C19, $F19,$D19, $E19, $G19, Q$2)*1.3,0))</f>
        <v>137</v>
      </c>
      <c r="R19" s="2">
        <f>IF(R$2&gt;$H19,"-",ROUNDUP(Ld_cal($A19, $B19, $C19, $F19,$D19, $E19, $G19, R$2)*1.3,0))</f>
        <v>151</v>
      </c>
      <c r="S19" s="2">
        <f>IF(S$2&gt;$H19,"-",ROUNDUP(Ld_cal($A19, $B19, $C19, $F19,$D19, $E19, $G19, S$2)*1.3,0))</f>
        <v>164</v>
      </c>
      <c r="T19" s="2">
        <f>IF(T$2&gt;$H19,"-",ROUNDUP(Ld_cal($A19, $B19, $C19, $F19,$D19, $E19, $G19, T$2)*1.3,0))</f>
        <v>177</v>
      </c>
      <c r="U19" s="2" t="str">
        <f>IF(U$2&gt;$H19,"-",ROUNDUP(Ld_cal($A19, $B19, $C19, $F19,$D19, $E19, $G19, U$2)*1.3,0))</f>
        <v>-</v>
      </c>
      <c r="V19" s="2" t="str">
        <f>IF(V$2&gt;$H19,"-",ROUNDUP(Ld_cal($A19, $B19, $C19, $F19,$D19, $E19, $G19, V$2)*1.3,0))</f>
        <v>-</v>
      </c>
      <c r="W19" s="2" t="str">
        <f>IF(W$2&gt;$H19,"-",ROUNDUP(Ld_cal($A19, $B19, $C19, $F19,$D19, $E19, $G19, W$2)*1.3,0))</f>
        <v>-</v>
      </c>
      <c r="X19" s="2" t="str">
        <f>IF(X$2&gt;$H19,"-",ROUNDUP(Ld_cal($A19, $B19, $C19, $F19,$D19, $E19, $G19, X$2)*1.3,0))</f>
        <v>-</v>
      </c>
      <c r="Y19" s="2" t="str">
        <f>IF(Y$2&gt;$H19,"-",ROUNDUP(Ld_cal($A19, $B19, $C19, $F19,$D19, $E19, $G19, Y$2)*1.3,0))</f>
        <v>-</v>
      </c>
      <c r="Z19" s="2" t="str">
        <f>IF(Z$2&gt;$H19,"-",ROUNDUP(Ld_cal($A19, $B19, $C19, $F19,$D19, $E19, $G19, Z$2)*1.3,0))</f>
        <v>-</v>
      </c>
      <c r="AA19" s="2" t="str">
        <f>IF(AA$2&gt;$H19,"-",ROUNDUP(Ld_cal($A19, $B19, $C19, $F19,$D19, $E19, $G19, AA$2)*1.3,0))</f>
        <v>-</v>
      </c>
      <c r="AB19" s="2" t="str">
        <f>IF(AB$2&gt;$H19,"-",ROUNDUP(Ld_cal($A19, $B19, $C19, $F19,$D19, $E19, $G19, AB$2)*1.3,0))</f>
        <v>-</v>
      </c>
      <c r="AC19" s="2" t="str">
        <f>IF(AC$2&gt;$H19,"-",ROUNDUP(Ld_cal($A19, $B19, $C19, $F19,$D19, $E19, $G19, AC$2)*1.3,0))</f>
        <v>-</v>
      </c>
      <c r="AD19" s="2" t="str">
        <f>IF(AD$2&gt;$H19,"-",ROUNDUP(Ld_cal($A19, $B19, $C19, $F19,$D19, $E19, $G19, AD$2)*1.3,0))</f>
        <v>-</v>
      </c>
      <c r="AE19" s="2" t="str">
        <f>IF(AE$2&gt;$H19,"-",ROUNDUP(Ld_cal($A19, $B19, $C19, $F19,$D19, $E19, $G19, AE$2)*1.3,0))</f>
        <v>-</v>
      </c>
      <c r="AF19" s="2" t="str">
        <f>IF(AF$2&gt;$H19,"-",ROUNDUP(Ld_cal($A19, $B19, $C19, $F19,$D19, $E19, $G19, AF$2)*1.3,0))</f>
        <v>-</v>
      </c>
      <c r="AG19" s="2" t="str">
        <f>IF(AG$2&gt;$H19,"-",ROUNDUP(Ld_cal($A19, $B19, $C19, $F19,$D19, $E19, $G19, AG$2)*1.3,0))</f>
        <v>-</v>
      </c>
      <c r="AH19" s="2" t="str">
        <f>IF(AH$2&gt;$H19,"-",ROUNDUP(Ld_cal($A19, $B19, $C19, $F19,$D19, $E19, $G19, AH$2)*1.3,0))</f>
        <v>-</v>
      </c>
      <c r="AI19" s="2" t="str">
        <f>IF(AI$2&gt;$H19,"-",ROUNDUP(Ld_cal($A19, $B19, $C19, $F19,$D19, $E19, $G19, AI$2)*1.3,0))</f>
        <v>-</v>
      </c>
      <c r="AJ19" s="2" t="str">
        <f>IF(AJ$2&gt;$H19,"-",ROUNDUP(Ld_cal($A19, $B19, $C19, $F19,$D19, $E19, $G19, AJ$2)*1.3,0))</f>
        <v>-</v>
      </c>
    </row>
    <row r="20" spans="1:36">
      <c r="A20" s="8">
        <f t="shared" si="1"/>
        <v>100</v>
      </c>
      <c r="B20" s="11">
        <f t="shared" si="2"/>
        <v>5</v>
      </c>
      <c r="C20" s="8">
        <f t="shared" si="3"/>
        <v>4200</v>
      </c>
      <c r="D20" s="12">
        <f t="shared" ref="D20:D21" si="11">D17</f>
        <v>13</v>
      </c>
      <c r="E20" s="5">
        <f t="shared" si="6"/>
        <v>10</v>
      </c>
      <c r="F20" s="8">
        <f>F19</f>
        <v>490</v>
      </c>
      <c r="G20" s="3">
        <f t="shared" si="7"/>
        <v>25</v>
      </c>
      <c r="H20" s="1">
        <f t="shared" si="7"/>
        <v>17</v>
      </c>
      <c r="I20" s="2">
        <f>IF(I$2&gt;$H20,"-",ROUNDUP(Ld_cal($A20, $B20, $C20, $F20,$D20, $E20, $G20, I$2)*1.3,0))</f>
        <v>70</v>
      </c>
      <c r="J20" s="2">
        <f>IF(J$2&gt;$H20,"-",ROUNDUP(Ld_cal($A20, $B20, $C20, $F20,$D20, $E20, $G20, J$2)*1.3,0))</f>
        <v>70</v>
      </c>
      <c r="K20" s="2">
        <f>IF(K$2&gt;$H20,"-",ROUNDUP(Ld_cal($A20, $B20, $C20, $F20,$D20, $E20, $G20, K$2)*1.3,0))</f>
        <v>70</v>
      </c>
      <c r="L20" s="2">
        <f>IF(L$2&gt;$H20,"-",ROUNDUP(Ld_cal($A20, $B20, $C20, $F20,$D20, $E20, $G20, L$2)*1.3,0))</f>
        <v>70</v>
      </c>
      <c r="M20" s="2">
        <f>IF(M$2&gt;$H20,"-",ROUNDUP(Ld_cal($A20, $B20, $C20, $F20,$D20, $E20, $G20, M$2)*1.3,0))</f>
        <v>70</v>
      </c>
      <c r="N20" s="2">
        <f>IF(N$2&gt;$H20,"-",ROUNDUP(Ld_cal($A20, $B20, $C20, $F20,$D20, $E20, $G20, N$2)*1.3,0))</f>
        <v>70</v>
      </c>
      <c r="O20" s="2">
        <f>IF(O$2&gt;$H20,"-",ROUNDUP(Ld_cal($A20, $B20, $C20, $F20,$D20, $E20, $G20, O$2)*1.3,0))</f>
        <v>70</v>
      </c>
      <c r="P20" s="2">
        <f>IF(P$2&gt;$H20,"-",ROUNDUP(Ld_cal($A20, $B20, $C20, $F20,$D20, $E20, $G20, P$2)*1.3,0))</f>
        <v>75</v>
      </c>
      <c r="Q20" s="2">
        <f>IF(Q$2&gt;$H20,"-",ROUNDUP(Ld_cal($A20, $B20, $C20, $F20,$D20, $E20, $G20, Q$2)*1.3,0))</f>
        <v>83</v>
      </c>
      <c r="R20" s="2">
        <f>IF(R$2&gt;$H20,"-",ROUNDUP(Ld_cal($A20, $B20, $C20, $F20,$D20, $E20, $G20, R$2)*1.3,0))</f>
        <v>91</v>
      </c>
      <c r="S20" s="2">
        <f>IF(S$2&gt;$H20,"-",ROUNDUP(Ld_cal($A20, $B20, $C20, $F20,$D20, $E20, $G20, S$2)*1.3,0))</f>
        <v>100</v>
      </c>
      <c r="T20" s="2">
        <f>IF(T$2&gt;$H20,"-",ROUNDUP(Ld_cal($A20, $B20, $C20, $F20,$D20, $E20, $G20, T$2)*1.3,0))</f>
        <v>108</v>
      </c>
      <c r="U20" s="2">
        <f>IF(U$2&gt;$H20,"-",ROUNDUP(Ld_cal($A20, $B20, $C20, $F20,$D20, $E20, $G20, U$2)*1.3,0))</f>
        <v>116</v>
      </c>
      <c r="V20" s="2">
        <f>IF(V$2&gt;$H20,"-",ROUNDUP(Ld_cal($A20, $B20, $C20, $F20,$D20, $E20, $G20, V$2)*1.3,0))</f>
        <v>124</v>
      </c>
      <c r="W20" s="2">
        <f>IF(W$2&gt;$H20,"-",ROUNDUP(Ld_cal($A20, $B20, $C20, $F20,$D20, $E20, $G20, W$2)*1.3,0))</f>
        <v>132</v>
      </c>
      <c r="X20" s="2" t="str">
        <f>IF(X$2&gt;$H20,"-",ROUNDUP(Ld_cal($A20, $B20, $C20, $F20,$D20, $E20, $G20, X$2)*1.3,0))</f>
        <v>-</v>
      </c>
      <c r="Y20" s="2" t="str">
        <f>IF(Y$2&gt;$H20,"-",ROUNDUP(Ld_cal($A20, $B20, $C20, $F20,$D20, $E20, $G20, Y$2)*1.3,0))</f>
        <v>-</v>
      </c>
      <c r="Z20" s="2" t="str">
        <f>IF(Z$2&gt;$H20,"-",ROUNDUP(Ld_cal($A20, $B20, $C20, $F20,$D20, $E20, $G20, Z$2)*1.3,0))</f>
        <v>-</v>
      </c>
      <c r="AA20" s="2" t="str">
        <f>IF(AA$2&gt;$H20,"-",ROUNDUP(Ld_cal($A20, $B20, $C20, $F20,$D20, $E20, $G20, AA$2)*1.3,0))</f>
        <v>-</v>
      </c>
      <c r="AB20" s="2" t="str">
        <f>IF(AB$2&gt;$H20,"-",ROUNDUP(Ld_cal($A20, $B20, $C20, $F20,$D20, $E20, $G20, AB$2)*1.3,0))</f>
        <v>-</v>
      </c>
      <c r="AC20" s="2" t="str">
        <f>IF(AC$2&gt;$H20,"-",ROUNDUP(Ld_cal($A20, $B20, $C20, $F20,$D20, $E20, $G20, AC$2)*1.3,0))</f>
        <v>-</v>
      </c>
      <c r="AD20" s="2" t="str">
        <f>IF(AD$2&gt;$H20,"-",ROUNDUP(Ld_cal($A20, $B20, $C20, $F20,$D20, $E20, $G20, AD$2)*1.3,0))</f>
        <v>-</v>
      </c>
      <c r="AE20" s="2" t="str">
        <f>IF(AE$2&gt;$H20,"-",ROUNDUP(Ld_cal($A20, $B20, $C20, $F20,$D20, $E20, $G20, AE$2)*1.3,0))</f>
        <v>-</v>
      </c>
      <c r="AF20" s="2" t="str">
        <f>IF(AF$2&gt;$H20,"-",ROUNDUP(Ld_cal($A20, $B20, $C20, $F20,$D20, $E20, $G20, AF$2)*1.3,0))</f>
        <v>-</v>
      </c>
      <c r="AG20" s="2" t="str">
        <f>IF(AG$2&gt;$H20,"-",ROUNDUP(Ld_cal($A20, $B20, $C20, $F20,$D20, $E20, $G20, AG$2)*1.3,0))</f>
        <v>-</v>
      </c>
      <c r="AH20" s="2" t="str">
        <f>IF(AH$2&gt;$H20,"-",ROUNDUP(Ld_cal($A20, $B20, $C20, $F20,$D20, $E20, $G20, AH$2)*1.3,0))</f>
        <v>-</v>
      </c>
      <c r="AI20" s="2" t="str">
        <f>IF(AI$2&gt;$H20,"-",ROUNDUP(Ld_cal($A20, $B20, $C20, $F20,$D20, $E20, $G20, AI$2)*1.3,0))</f>
        <v>-</v>
      </c>
      <c r="AJ20" s="2" t="str">
        <f>IF(AJ$2&gt;$H20,"-",ROUNDUP(Ld_cal($A20, $B20, $C20, $F20,$D20, $E20, $G20, AJ$2)*1.3,0))</f>
        <v>-</v>
      </c>
    </row>
    <row r="21" spans="1:36">
      <c r="A21" s="8">
        <f t="shared" si="1"/>
        <v>100</v>
      </c>
      <c r="B21" s="11">
        <f t="shared" si="2"/>
        <v>5</v>
      </c>
      <c r="C21" s="8">
        <f t="shared" si="3"/>
        <v>4200</v>
      </c>
      <c r="D21" s="12">
        <f t="shared" si="11"/>
        <v>13</v>
      </c>
      <c r="E21" s="5">
        <f t="shared" si="6"/>
        <v>10</v>
      </c>
      <c r="F21" s="8">
        <f>F20</f>
        <v>490</v>
      </c>
      <c r="G21" s="3">
        <f t="shared" si="7"/>
        <v>22</v>
      </c>
      <c r="H21" s="1">
        <f t="shared" si="7"/>
        <v>20</v>
      </c>
      <c r="I21" s="2">
        <f>IF(I$2&gt;$H21,"-",ROUNDUP(Ld_cal($A21, $B21, $C21, $F21,$D21, $E21, $G21, I$2)*1.3,0))</f>
        <v>61</v>
      </c>
      <c r="J21" s="2">
        <f>IF(J$2&gt;$H21,"-",ROUNDUP(Ld_cal($A21, $B21, $C21, $F21,$D21, $E21, $G21, J$2)*1.3,0))</f>
        <v>61</v>
      </c>
      <c r="K21" s="2">
        <f>IF(K$2&gt;$H21,"-",ROUNDUP(Ld_cal($A21, $B21, $C21, $F21,$D21, $E21, $G21, K$2)*1.3,0))</f>
        <v>61</v>
      </c>
      <c r="L21" s="2">
        <f>IF(L$2&gt;$H21,"-",ROUNDUP(Ld_cal($A21, $B21, $C21, $F21,$D21, $E21, $G21, L$2)*1.3,0))</f>
        <v>61</v>
      </c>
      <c r="M21" s="2">
        <f>IF(M$2&gt;$H21,"-",ROUNDUP(Ld_cal($A21, $B21, $C21, $F21,$D21, $E21, $G21, M$2)*1.3,0))</f>
        <v>61</v>
      </c>
      <c r="N21" s="2">
        <f>IF(N$2&gt;$H21,"-",ROUNDUP(Ld_cal($A21, $B21, $C21, $F21,$D21, $E21, $G21, N$2)*1.3,0))</f>
        <v>61</v>
      </c>
      <c r="O21" s="2">
        <f>IF(O$2&gt;$H21,"-",ROUNDUP(Ld_cal($A21, $B21, $C21, $F21,$D21, $E21, $G21, O$2)*1.3,0))</f>
        <v>61</v>
      </c>
      <c r="P21" s="2">
        <f>IF(P$2&gt;$H21,"-",ROUNDUP(Ld_cal($A21, $B21, $C21, $F21,$D21, $E21, $G21, P$2)*1.3,0))</f>
        <v>61</v>
      </c>
      <c r="Q21" s="2">
        <f>IF(Q$2&gt;$H21,"-",ROUNDUP(Ld_cal($A21, $B21, $C21, $F21,$D21, $E21, $G21, Q$2)*1.3,0))</f>
        <v>64</v>
      </c>
      <c r="R21" s="2">
        <f>IF(R$2&gt;$H21,"-",ROUNDUP(Ld_cal($A21, $B21, $C21, $F21,$D21, $E21, $G21, R$2)*1.3,0))</f>
        <v>71</v>
      </c>
      <c r="S21" s="2">
        <f>IF(S$2&gt;$H21,"-",ROUNDUP(Ld_cal($A21, $B21, $C21, $F21,$D21, $E21, $G21, S$2)*1.3,0))</f>
        <v>77</v>
      </c>
      <c r="T21" s="2">
        <f>IF(T$2&gt;$H21,"-",ROUNDUP(Ld_cal($A21, $B21, $C21, $F21,$D21, $E21, $G21, T$2)*1.3,0))</f>
        <v>83</v>
      </c>
      <c r="U21" s="2">
        <f>IF(U$2&gt;$H21,"-",ROUNDUP(Ld_cal($A21, $B21, $C21, $F21,$D21, $E21, $G21, U$2)*1.3,0))</f>
        <v>90</v>
      </c>
      <c r="V21" s="2">
        <f>IF(V$2&gt;$H21,"-",ROUNDUP(Ld_cal($A21, $B21, $C21, $F21,$D21, $E21, $G21, V$2)*1.3,0))</f>
        <v>96</v>
      </c>
      <c r="W21" s="2">
        <f>IF(W$2&gt;$H21,"-",ROUNDUP(Ld_cal($A21, $B21, $C21, $F21,$D21, $E21, $G21, W$2)*1.3,0))</f>
        <v>102</v>
      </c>
      <c r="X21" s="2">
        <f>IF(X$2&gt;$H21,"-",ROUNDUP(Ld_cal($A21, $B21, $C21, $F21,$D21, $E21, $G21, X$2)*1.3,0))</f>
        <v>108</v>
      </c>
      <c r="Y21" s="2">
        <f>IF(Y$2&gt;$H21,"-",ROUNDUP(Ld_cal($A21, $B21, $C21, $F21,$D21, $E21, $G21, Y$2)*1.3,0))</f>
        <v>115</v>
      </c>
      <c r="Z21" s="2">
        <f>IF(Z$2&gt;$H21,"-",ROUNDUP(Ld_cal($A21, $B21, $C21, $F21,$D21, $E21, $G21, Z$2)*1.3,0))</f>
        <v>121</v>
      </c>
      <c r="AA21" s="2" t="str">
        <f>IF(AA$2&gt;$H21,"-",ROUNDUP(Ld_cal($A21, $B21, $C21, $F21,$D21, $E21, $G21, AA$2)*1.3,0))</f>
        <v>-</v>
      </c>
      <c r="AB21" s="2" t="str">
        <f>IF(AB$2&gt;$H21,"-",ROUNDUP(Ld_cal($A21, $B21, $C21, $F21,$D21, $E21, $G21, AB$2)*1.3,0))</f>
        <v>-</v>
      </c>
      <c r="AC21" s="2" t="str">
        <f>IF(AC$2&gt;$H21,"-",ROUNDUP(Ld_cal($A21, $B21, $C21, $F21,$D21, $E21, $G21, AC$2)*1.3,0))</f>
        <v>-</v>
      </c>
      <c r="AD21" s="2" t="str">
        <f>IF(AD$2&gt;$H21,"-",ROUNDUP(Ld_cal($A21, $B21, $C21, $F21,$D21, $E21, $G21, AD$2)*1.3,0))</f>
        <v>-</v>
      </c>
      <c r="AE21" s="2" t="str">
        <f>IF(AE$2&gt;$H21,"-",ROUNDUP(Ld_cal($A21, $B21, $C21, $F21,$D21, $E21, $G21, AE$2)*1.3,0))</f>
        <v>-</v>
      </c>
      <c r="AF21" s="2" t="str">
        <f>IF(AF$2&gt;$H21,"-",ROUNDUP(Ld_cal($A21, $B21, $C21, $F21,$D21, $E21, $G21, AF$2)*1.3,0))</f>
        <v>-</v>
      </c>
      <c r="AG21" s="2" t="str">
        <f>IF(AG$2&gt;$H21,"-",ROUNDUP(Ld_cal($A21, $B21, $C21, $F21,$D21, $E21, $G21, AG$2)*1.3,0))</f>
        <v>-</v>
      </c>
      <c r="AH21" s="2" t="str">
        <f>IF(AH$2&gt;$H21,"-",ROUNDUP(Ld_cal($A21, $B21, $C21, $F21,$D21, $E21, $G21, AH$2)*1.3,0))</f>
        <v>-</v>
      </c>
      <c r="AI21" s="2" t="str">
        <f>IF(AI$2&gt;$H21,"-",ROUNDUP(Ld_cal($A21, $B21, $C21, $F21,$D21, $E21, $G21, AI$2)*1.3,0))</f>
        <v>-</v>
      </c>
      <c r="AJ21" s="2" t="str">
        <f>IF(AJ$2&gt;$H21,"-",ROUNDUP(Ld_cal($A21, $B21, $C21, $F21,$D21, $E21, $G21, AJ$2)*1.3,0))</f>
        <v>-</v>
      </c>
    </row>
    <row r="22" spans="1:36">
      <c r="A22" s="8">
        <f t="shared" si="1"/>
        <v>100</v>
      </c>
      <c r="B22" s="11">
        <f t="shared" si="2"/>
        <v>5</v>
      </c>
      <c r="C22" s="8">
        <f t="shared" si="3"/>
        <v>4200</v>
      </c>
      <c r="D22" s="12">
        <f>D19</f>
        <v>13</v>
      </c>
      <c r="E22" s="5">
        <f t="shared" si="6"/>
        <v>10</v>
      </c>
      <c r="F22" s="20">
        <v>560</v>
      </c>
      <c r="G22" s="3">
        <f t="shared" si="7"/>
        <v>32</v>
      </c>
      <c r="H22" s="1">
        <f t="shared" si="7"/>
        <v>14</v>
      </c>
      <c r="I22" s="2">
        <f>IF(I$2&gt;$H22,"-",ROUNDUP(Ld_cal($A22, $B22, $C22, $F22,$D22, $E22, $G22, I$2)*1.3,0))</f>
        <v>83</v>
      </c>
      <c r="J22" s="2">
        <f>IF(J$2&gt;$H22,"-",ROUNDUP(Ld_cal($A22, $B22, $C22, $F22,$D22, $E22, $G22, J$2)*1.3,0))</f>
        <v>83</v>
      </c>
      <c r="K22" s="2">
        <f>IF(K$2&gt;$H22,"-",ROUNDUP(Ld_cal($A22, $B22, $C22, $F22,$D22, $E22, $G22, K$2)*1.3,0))</f>
        <v>83</v>
      </c>
      <c r="L22" s="2">
        <f>IF(L$2&gt;$H22,"-",ROUNDUP(Ld_cal($A22, $B22, $C22, $F22,$D22, $E22, $G22, L$2)*1.3,0))</f>
        <v>83</v>
      </c>
      <c r="M22" s="2">
        <f>IF(M$2&gt;$H22,"-",ROUNDUP(Ld_cal($A22, $B22, $C22, $F22,$D22, $E22, $G22, M$2)*1.3,0))</f>
        <v>83</v>
      </c>
      <c r="N22" s="2">
        <f>IF(N$2&gt;$H22,"-",ROUNDUP(Ld_cal($A22, $B22, $C22, $F22,$D22, $E22, $G22, N$2)*1.3,0))</f>
        <v>91</v>
      </c>
      <c r="O22" s="2">
        <f>IF(O$2&gt;$H22,"-",ROUNDUP(Ld_cal($A22, $B22, $C22, $F22,$D22, $E22, $G22, O$2)*1.3,0))</f>
        <v>103</v>
      </c>
      <c r="P22" s="2">
        <f>IF(P$2&gt;$H22,"-",ROUNDUP(Ld_cal($A22, $B22, $C22, $F22,$D22, $E22, $G22, P$2)*1.3,0))</f>
        <v>116</v>
      </c>
      <c r="Q22" s="2">
        <f>IF(Q$2&gt;$H22,"-",ROUNDUP(Ld_cal($A22, $B22, $C22, $F22,$D22, $E22, $G22, Q$2)*1.3,0))</f>
        <v>128</v>
      </c>
      <c r="R22" s="2">
        <f>IF(R$2&gt;$H22,"-",ROUNDUP(Ld_cal($A22, $B22, $C22, $F22,$D22, $E22, $G22, R$2)*1.3,0))</f>
        <v>141</v>
      </c>
      <c r="S22" s="2">
        <f>IF(S$2&gt;$H22,"-",ROUNDUP(Ld_cal($A22, $B22, $C22, $F22,$D22, $E22, $G22, S$2)*1.3,0))</f>
        <v>153</v>
      </c>
      <c r="T22" s="2">
        <f>IF(T$2&gt;$H22,"-",ROUNDUP(Ld_cal($A22, $B22, $C22, $F22,$D22, $E22, $G22, T$2)*1.3,0))</f>
        <v>166</v>
      </c>
      <c r="U22" s="2" t="str">
        <f>IF(U$2&gt;$H22,"-",ROUNDUP(Ld_cal($A22, $B22, $C22, $F22,$D22, $E22, $G22, U$2)*1.3,0))</f>
        <v>-</v>
      </c>
      <c r="V22" s="2" t="str">
        <f>IF(V$2&gt;$H22,"-",ROUNDUP(Ld_cal($A22, $B22, $C22, $F22,$D22, $E22, $G22, V$2)*1.3,0))</f>
        <v>-</v>
      </c>
      <c r="W22" s="2" t="str">
        <f>IF(W$2&gt;$H22,"-",ROUNDUP(Ld_cal($A22, $B22, $C22, $F22,$D22, $E22, $G22, W$2)*1.3,0))</f>
        <v>-</v>
      </c>
      <c r="X22" s="2" t="str">
        <f>IF(X$2&gt;$H22,"-",ROUNDUP(Ld_cal($A22, $B22, $C22, $F22,$D22, $E22, $G22, X$2)*1.3,0))</f>
        <v>-</v>
      </c>
      <c r="Y22" s="2" t="str">
        <f>IF(Y$2&gt;$H22,"-",ROUNDUP(Ld_cal($A22, $B22, $C22, $F22,$D22, $E22, $G22, Y$2)*1.3,0))</f>
        <v>-</v>
      </c>
      <c r="Z22" s="2" t="str">
        <f>IF(Z$2&gt;$H22,"-",ROUNDUP(Ld_cal($A22, $B22, $C22, $F22,$D22, $E22, $G22, Z$2)*1.3,0))</f>
        <v>-</v>
      </c>
      <c r="AA22" s="2" t="str">
        <f>IF(AA$2&gt;$H22,"-",ROUNDUP(Ld_cal($A22, $B22, $C22, $F22,$D22, $E22, $G22, AA$2)*1.3,0))</f>
        <v>-</v>
      </c>
      <c r="AB22" s="2" t="str">
        <f>IF(AB$2&gt;$H22,"-",ROUNDUP(Ld_cal($A22, $B22, $C22, $F22,$D22, $E22, $G22, AB$2)*1.3,0))</f>
        <v>-</v>
      </c>
      <c r="AC22" s="2" t="str">
        <f>IF(AC$2&gt;$H22,"-",ROUNDUP(Ld_cal($A22, $B22, $C22, $F22,$D22, $E22, $G22, AC$2)*1.3,0))</f>
        <v>-</v>
      </c>
      <c r="AD22" s="2" t="str">
        <f>IF(AD$2&gt;$H22,"-",ROUNDUP(Ld_cal($A22, $B22, $C22, $F22,$D22, $E22, $G22, AD$2)*1.3,0))</f>
        <v>-</v>
      </c>
      <c r="AE22" s="2" t="str">
        <f>IF(AE$2&gt;$H22,"-",ROUNDUP(Ld_cal($A22, $B22, $C22, $F22,$D22, $E22, $G22, AE$2)*1.3,0))</f>
        <v>-</v>
      </c>
      <c r="AF22" s="2" t="str">
        <f>IF(AF$2&gt;$H22,"-",ROUNDUP(Ld_cal($A22, $B22, $C22, $F22,$D22, $E22, $G22, AF$2)*1.3,0))</f>
        <v>-</v>
      </c>
      <c r="AG22" s="2" t="str">
        <f>IF(AG$2&gt;$H22,"-",ROUNDUP(Ld_cal($A22, $B22, $C22, $F22,$D22, $E22, $G22, AG$2)*1.3,0))</f>
        <v>-</v>
      </c>
      <c r="AH22" s="2" t="str">
        <f>IF(AH$2&gt;$H22,"-",ROUNDUP(Ld_cal($A22, $B22, $C22, $F22,$D22, $E22, $G22, AH$2)*1.3,0))</f>
        <v>-</v>
      </c>
      <c r="AI22" s="2" t="str">
        <f>IF(AI$2&gt;$H22,"-",ROUNDUP(Ld_cal($A22, $B22, $C22, $F22,$D22, $E22, $G22, AI$2)*1.3,0))</f>
        <v>-</v>
      </c>
      <c r="AJ22" s="2" t="str">
        <f>IF(AJ$2&gt;$H22,"-",ROUNDUP(Ld_cal($A22, $B22, $C22, $F22,$D22, $E22, $G22, AJ$2)*1.3,0))</f>
        <v>-</v>
      </c>
    </row>
    <row r="23" spans="1:36">
      <c r="A23" s="8">
        <f t="shared" si="1"/>
        <v>100</v>
      </c>
      <c r="B23" s="11">
        <f t="shared" si="2"/>
        <v>5</v>
      </c>
      <c r="C23" s="8">
        <f t="shared" si="3"/>
        <v>4200</v>
      </c>
      <c r="D23" s="12">
        <f t="shared" ref="D23:D24" si="12">D20</f>
        <v>13</v>
      </c>
      <c r="E23" s="5">
        <f t="shared" si="6"/>
        <v>10</v>
      </c>
      <c r="F23" s="8">
        <f>F22</f>
        <v>560</v>
      </c>
      <c r="G23" s="3">
        <f t="shared" si="7"/>
        <v>25</v>
      </c>
      <c r="H23" s="1">
        <f t="shared" si="7"/>
        <v>17</v>
      </c>
      <c r="I23" s="2">
        <f>IF(I$2&gt;$H23,"-",ROUNDUP(Ld_cal($A23, $B23, $C23, $F23,$D23, $E23, $G23, I$2)*1.3,0))</f>
        <v>65</v>
      </c>
      <c r="J23" s="2">
        <f>IF(J$2&gt;$H23,"-",ROUNDUP(Ld_cal($A23, $B23, $C23, $F23,$D23, $E23, $G23, J$2)*1.3,0))</f>
        <v>65</v>
      </c>
      <c r="K23" s="2">
        <f>IF(K$2&gt;$H23,"-",ROUNDUP(Ld_cal($A23, $B23, $C23, $F23,$D23, $E23, $G23, K$2)*1.3,0))</f>
        <v>65</v>
      </c>
      <c r="L23" s="2">
        <f>IF(L$2&gt;$H23,"-",ROUNDUP(Ld_cal($A23, $B23, $C23, $F23,$D23, $E23, $G23, L$2)*1.3,0))</f>
        <v>65</v>
      </c>
      <c r="M23" s="2">
        <f>IF(M$2&gt;$H23,"-",ROUNDUP(Ld_cal($A23, $B23, $C23, $F23,$D23, $E23, $G23, M$2)*1.3,0))</f>
        <v>65</v>
      </c>
      <c r="N23" s="2">
        <f>IF(N$2&gt;$H23,"-",ROUNDUP(Ld_cal($A23, $B23, $C23, $F23,$D23, $E23, $G23, N$2)*1.3,0))</f>
        <v>65</v>
      </c>
      <c r="O23" s="2">
        <f>IF(O$2&gt;$H23,"-",ROUNDUP(Ld_cal($A23, $B23, $C23, $F23,$D23, $E23, $G23, O$2)*1.3,0))</f>
        <v>65</v>
      </c>
      <c r="P23" s="2">
        <f>IF(P$2&gt;$H23,"-",ROUNDUP(Ld_cal($A23, $B23, $C23, $F23,$D23, $E23, $G23, P$2)*1.3,0))</f>
        <v>70</v>
      </c>
      <c r="Q23" s="2">
        <f>IF(Q$2&gt;$H23,"-",ROUNDUP(Ld_cal($A23, $B23, $C23, $F23,$D23, $E23, $G23, Q$2)*1.3,0))</f>
        <v>78</v>
      </c>
      <c r="R23" s="2">
        <f>IF(R$2&gt;$H23,"-",ROUNDUP(Ld_cal($A23, $B23, $C23, $F23,$D23, $E23, $G23, R$2)*1.3,0))</f>
        <v>86</v>
      </c>
      <c r="S23" s="2">
        <f>IF(S$2&gt;$H23,"-",ROUNDUP(Ld_cal($A23, $B23, $C23, $F23,$D23, $E23, $G23, S$2)*1.3,0))</f>
        <v>93</v>
      </c>
      <c r="T23" s="2">
        <f>IF(T$2&gt;$H23,"-",ROUNDUP(Ld_cal($A23, $B23, $C23, $F23,$D23, $E23, $G23, T$2)*1.3,0))</f>
        <v>101</v>
      </c>
      <c r="U23" s="2">
        <f>IF(U$2&gt;$H23,"-",ROUNDUP(Ld_cal($A23, $B23, $C23, $F23,$D23, $E23, $G23, U$2)*1.3,0))</f>
        <v>108</v>
      </c>
      <c r="V23" s="2">
        <f>IF(V$2&gt;$H23,"-",ROUNDUP(Ld_cal($A23, $B23, $C23, $F23,$D23, $E23, $G23, V$2)*1.3,0))</f>
        <v>116</v>
      </c>
      <c r="W23" s="2">
        <f>IF(W$2&gt;$H23,"-",ROUNDUP(Ld_cal($A23, $B23, $C23, $F23,$D23, $E23, $G23, W$2)*1.3,0))</f>
        <v>124</v>
      </c>
      <c r="X23" s="2" t="str">
        <f>IF(X$2&gt;$H23,"-",ROUNDUP(Ld_cal($A23, $B23, $C23, $F23,$D23, $E23, $G23, X$2)*1.3,0))</f>
        <v>-</v>
      </c>
      <c r="Y23" s="2" t="str">
        <f>IF(Y$2&gt;$H23,"-",ROUNDUP(Ld_cal($A23, $B23, $C23, $F23,$D23, $E23, $G23, Y$2)*1.3,0))</f>
        <v>-</v>
      </c>
      <c r="Z23" s="2" t="str">
        <f>IF(Z$2&gt;$H23,"-",ROUNDUP(Ld_cal($A23, $B23, $C23, $F23,$D23, $E23, $G23, Z$2)*1.3,0))</f>
        <v>-</v>
      </c>
      <c r="AA23" s="2" t="str">
        <f>IF(AA$2&gt;$H23,"-",ROUNDUP(Ld_cal($A23, $B23, $C23, $F23,$D23, $E23, $G23, AA$2)*1.3,0))</f>
        <v>-</v>
      </c>
      <c r="AB23" s="2" t="str">
        <f>IF(AB$2&gt;$H23,"-",ROUNDUP(Ld_cal($A23, $B23, $C23, $F23,$D23, $E23, $G23, AB$2)*1.3,0))</f>
        <v>-</v>
      </c>
      <c r="AC23" s="2" t="str">
        <f>IF(AC$2&gt;$H23,"-",ROUNDUP(Ld_cal($A23, $B23, $C23, $F23,$D23, $E23, $G23, AC$2)*1.3,0))</f>
        <v>-</v>
      </c>
      <c r="AD23" s="2" t="str">
        <f>IF(AD$2&gt;$H23,"-",ROUNDUP(Ld_cal($A23, $B23, $C23, $F23,$D23, $E23, $G23, AD$2)*1.3,0))</f>
        <v>-</v>
      </c>
      <c r="AE23" s="2" t="str">
        <f>IF(AE$2&gt;$H23,"-",ROUNDUP(Ld_cal($A23, $B23, $C23, $F23,$D23, $E23, $G23, AE$2)*1.3,0))</f>
        <v>-</v>
      </c>
      <c r="AF23" s="2" t="str">
        <f>IF(AF$2&gt;$H23,"-",ROUNDUP(Ld_cal($A23, $B23, $C23, $F23,$D23, $E23, $G23, AF$2)*1.3,0))</f>
        <v>-</v>
      </c>
      <c r="AG23" s="2" t="str">
        <f>IF(AG$2&gt;$H23,"-",ROUNDUP(Ld_cal($A23, $B23, $C23, $F23,$D23, $E23, $G23, AG$2)*1.3,0))</f>
        <v>-</v>
      </c>
      <c r="AH23" s="2" t="str">
        <f>IF(AH$2&gt;$H23,"-",ROUNDUP(Ld_cal($A23, $B23, $C23, $F23,$D23, $E23, $G23, AH$2)*1.3,0))</f>
        <v>-</v>
      </c>
      <c r="AI23" s="2" t="str">
        <f>IF(AI$2&gt;$H23,"-",ROUNDUP(Ld_cal($A23, $B23, $C23, $F23,$D23, $E23, $G23, AI$2)*1.3,0))</f>
        <v>-</v>
      </c>
      <c r="AJ23" s="2" t="str">
        <f>IF(AJ$2&gt;$H23,"-",ROUNDUP(Ld_cal($A23, $B23, $C23, $F23,$D23, $E23, $G23, AJ$2)*1.3,0))</f>
        <v>-</v>
      </c>
    </row>
    <row r="24" spans="1:36">
      <c r="A24" s="8">
        <f t="shared" si="1"/>
        <v>100</v>
      </c>
      <c r="B24" s="11">
        <f t="shared" si="2"/>
        <v>5</v>
      </c>
      <c r="C24" s="8">
        <f t="shared" si="3"/>
        <v>4200</v>
      </c>
      <c r="D24" s="12">
        <f t="shared" si="12"/>
        <v>13</v>
      </c>
      <c r="E24" s="5">
        <f t="shared" si="6"/>
        <v>10</v>
      </c>
      <c r="F24" s="8">
        <f>F23</f>
        <v>560</v>
      </c>
      <c r="G24" s="3">
        <f t="shared" si="7"/>
        <v>22</v>
      </c>
      <c r="H24" s="1">
        <f t="shared" si="7"/>
        <v>20</v>
      </c>
      <c r="I24" s="2">
        <f>IF(I$2&gt;$H24,"-",ROUNDUP(Ld_cal($A24, $B24, $C24, $F24,$D24, $E24, $G24, I$2)*1.3,0))</f>
        <v>57</v>
      </c>
      <c r="J24" s="2">
        <f>IF(J$2&gt;$H24,"-",ROUNDUP(Ld_cal($A24, $B24, $C24, $F24,$D24, $E24, $G24, J$2)*1.3,0))</f>
        <v>57</v>
      </c>
      <c r="K24" s="2">
        <f>IF(K$2&gt;$H24,"-",ROUNDUP(Ld_cal($A24, $B24, $C24, $F24,$D24, $E24, $G24, K$2)*1.3,0))</f>
        <v>57</v>
      </c>
      <c r="L24" s="2">
        <f>IF(L$2&gt;$H24,"-",ROUNDUP(Ld_cal($A24, $B24, $C24, $F24,$D24, $E24, $G24, L$2)*1.3,0))</f>
        <v>57</v>
      </c>
      <c r="M24" s="2">
        <f>IF(M$2&gt;$H24,"-",ROUNDUP(Ld_cal($A24, $B24, $C24, $F24,$D24, $E24, $G24, M$2)*1.3,0))</f>
        <v>57</v>
      </c>
      <c r="N24" s="2">
        <f>IF(N$2&gt;$H24,"-",ROUNDUP(Ld_cal($A24, $B24, $C24, $F24,$D24, $E24, $G24, N$2)*1.3,0))</f>
        <v>57</v>
      </c>
      <c r="O24" s="2">
        <f>IF(O$2&gt;$H24,"-",ROUNDUP(Ld_cal($A24, $B24, $C24, $F24,$D24, $E24, $G24, O$2)*1.3,0))</f>
        <v>57</v>
      </c>
      <c r="P24" s="2">
        <f>IF(P$2&gt;$H24,"-",ROUNDUP(Ld_cal($A24, $B24, $C24, $F24,$D24, $E24, $G24, P$2)*1.3,0))</f>
        <v>57</v>
      </c>
      <c r="Q24" s="2">
        <f>IF(Q$2&gt;$H24,"-",ROUNDUP(Ld_cal($A24, $B24, $C24, $F24,$D24, $E24, $G24, Q$2)*1.3,0))</f>
        <v>60</v>
      </c>
      <c r="R24" s="2">
        <f>IF(R$2&gt;$H24,"-",ROUNDUP(Ld_cal($A24, $B24, $C24, $F24,$D24, $E24, $G24, R$2)*1.3,0))</f>
        <v>66</v>
      </c>
      <c r="S24" s="2">
        <f>IF(S$2&gt;$H24,"-",ROUNDUP(Ld_cal($A24, $B24, $C24, $F24,$D24, $E24, $G24, S$2)*1.3,0))</f>
        <v>72</v>
      </c>
      <c r="T24" s="2">
        <f>IF(T$2&gt;$H24,"-",ROUNDUP(Ld_cal($A24, $B24, $C24, $F24,$D24, $E24, $G24, T$2)*1.3,0))</f>
        <v>78</v>
      </c>
      <c r="U24" s="2">
        <f>IF(U$2&gt;$H24,"-",ROUNDUP(Ld_cal($A24, $B24, $C24, $F24,$D24, $E24, $G24, U$2)*1.3,0))</f>
        <v>84</v>
      </c>
      <c r="V24" s="2">
        <f>IF(V$2&gt;$H24,"-",ROUNDUP(Ld_cal($A24, $B24, $C24, $F24,$D24, $E24, $G24, V$2)*1.3,0))</f>
        <v>90</v>
      </c>
      <c r="W24" s="2">
        <f>IF(W$2&gt;$H24,"-",ROUNDUP(Ld_cal($A24, $B24, $C24, $F24,$D24, $E24, $G24, W$2)*1.3,0))</f>
        <v>96</v>
      </c>
      <c r="X24" s="2">
        <f>IF(X$2&gt;$H24,"-",ROUNDUP(Ld_cal($A24, $B24, $C24, $F24,$D24, $E24, $G24, X$2)*1.3,0))</f>
        <v>102</v>
      </c>
      <c r="Y24" s="2">
        <f>IF(Y$2&gt;$H24,"-",ROUNDUP(Ld_cal($A24, $B24, $C24, $F24,$D24, $E24, $G24, Y$2)*1.3,0))</f>
        <v>107</v>
      </c>
      <c r="Z24" s="2">
        <f>IF(Z$2&gt;$H24,"-",ROUNDUP(Ld_cal($A24, $B24, $C24, $F24,$D24, $E24, $G24, Z$2)*1.3,0))</f>
        <v>113</v>
      </c>
      <c r="AA24" s="2" t="str">
        <f>IF(AA$2&gt;$H24,"-",ROUNDUP(Ld_cal($A24, $B24, $C24, $F24,$D24, $E24, $G24, AA$2)*1.3,0))</f>
        <v>-</v>
      </c>
      <c r="AB24" s="2" t="str">
        <f>IF(AB$2&gt;$H24,"-",ROUNDUP(Ld_cal($A24, $B24, $C24, $F24,$D24, $E24, $G24, AB$2)*1.3,0))</f>
        <v>-</v>
      </c>
      <c r="AC24" s="2" t="str">
        <f>IF(AC$2&gt;$H24,"-",ROUNDUP(Ld_cal($A24, $B24, $C24, $F24,$D24, $E24, $G24, AC$2)*1.3,0))</f>
        <v>-</v>
      </c>
      <c r="AD24" s="2" t="str">
        <f>IF(AD$2&gt;$H24,"-",ROUNDUP(Ld_cal($A24, $B24, $C24, $F24,$D24, $E24, $G24, AD$2)*1.3,0))</f>
        <v>-</v>
      </c>
      <c r="AE24" s="2" t="str">
        <f>IF(AE$2&gt;$H24,"-",ROUNDUP(Ld_cal($A24, $B24, $C24, $F24,$D24, $E24, $G24, AE$2)*1.3,0))</f>
        <v>-</v>
      </c>
      <c r="AF24" s="2" t="str">
        <f>IF(AF$2&gt;$H24,"-",ROUNDUP(Ld_cal($A24, $B24, $C24, $F24,$D24, $E24, $G24, AF$2)*1.3,0))</f>
        <v>-</v>
      </c>
      <c r="AG24" s="2" t="str">
        <f>IF(AG$2&gt;$H24,"-",ROUNDUP(Ld_cal($A24, $B24, $C24, $F24,$D24, $E24, $G24, AG$2)*1.3,0))</f>
        <v>-</v>
      </c>
      <c r="AH24" s="2" t="str">
        <f>IF(AH$2&gt;$H24,"-",ROUNDUP(Ld_cal($A24, $B24, $C24, $F24,$D24, $E24, $G24, AH$2)*1.3,0))</f>
        <v>-</v>
      </c>
      <c r="AI24" s="2" t="str">
        <f>IF(AI$2&gt;$H24,"-",ROUNDUP(Ld_cal($A24, $B24, $C24, $F24,$D24, $E24, $G24, AI$2)*1.3,0))</f>
        <v>-</v>
      </c>
      <c r="AJ24" s="2" t="str">
        <f>IF(AJ$2&gt;$H24,"-",ROUNDUP(Ld_cal($A24, $B24, $C24, $F24,$D24, $E24, $G24, AJ$2)*1.3,0))</f>
        <v>-</v>
      </c>
    </row>
    <row r="25" spans="1:36">
      <c r="A25" s="7"/>
      <c r="B25" s="10"/>
      <c r="I25" s="132"/>
      <c r="J25" s="132"/>
      <c r="K25" s="132"/>
      <c r="L25" s="132"/>
      <c r="M25" s="132"/>
      <c r="N25" s="132"/>
      <c r="O25" s="132"/>
      <c r="P25" s="132"/>
      <c r="Q25" s="132"/>
      <c r="R25" s="132"/>
      <c r="S25" s="132"/>
      <c r="T25" s="132"/>
      <c r="U25" s="132"/>
      <c r="V25" s="132"/>
    </row>
    <row r="26" spans="1:36" ht="33" customHeight="1">
      <c r="A26" s="137" t="s">
        <v>14</v>
      </c>
      <c r="B26" s="138" t="s">
        <v>0</v>
      </c>
      <c r="C26" s="134" t="s">
        <v>1</v>
      </c>
      <c r="D26" s="132" t="s">
        <v>3</v>
      </c>
      <c r="E26" s="139" t="s">
        <v>8</v>
      </c>
      <c r="F26" s="133" t="s">
        <v>12</v>
      </c>
      <c r="G26" s="132" t="s">
        <v>2</v>
      </c>
      <c r="H26" s="135" t="s">
        <v>7</v>
      </c>
      <c r="I26" s="132" t="s">
        <v>6</v>
      </c>
      <c r="J26" s="132"/>
      <c r="K26" s="132"/>
      <c r="L26" s="132"/>
      <c r="M26" s="132"/>
      <c r="N26" s="132"/>
      <c r="O26" s="132"/>
      <c r="P26" s="132"/>
      <c r="Q26" s="132"/>
      <c r="R26" s="132"/>
      <c r="S26" s="132"/>
      <c r="T26" s="132"/>
      <c r="U26" s="132"/>
      <c r="V26" s="132"/>
      <c r="W26" s="132"/>
      <c r="X26" s="132"/>
      <c r="Y26" s="132"/>
      <c r="Z26" s="132"/>
      <c r="AA26" s="132"/>
      <c r="AB26" s="132"/>
      <c r="AC26" s="132"/>
      <c r="AD26" s="132"/>
      <c r="AE26" s="132"/>
      <c r="AF26" s="132"/>
      <c r="AG26" s="132"/>
      <c r="AH26" s="132"/>
      <c r="AI26" s="132"/>
      <c r="AJ26" s="132"/>
    </row>
    <row r="27" spans="1:36" ht="19.5" customHeight="1">
      <c r="A27" s="137"/>
      <c r="B27" s="138"/>
      <c r="C27" s="134"/>
      <c r="D27" s="132"/>
      <c r="E27" s="132"/>
      <c r="F27" s="134"/>
      <c r="G27" s="132"/>
      <c r="H27" s="136"/>
      <c r="I27" s="1">
        <f>I2</f>
        <v>3</v>
      </c>
      <c r="J27" s="2">
        <f t="shared" ref="J27:AJ27" si="13">J2</f>
        <v>4</v>
      </c>
      <c r="K27" s="2">
        <f t="shared" si="13"/>
        <v>5</v>
      </c>
      <c r="L27" s="2">
        <f t="shared" si="13"/>
        <v>6</v>
      </c>
      <c r="M27" s="2">
        <f t="shared" si="13"/>
        <v>7</v>
      </c>
      <c r="N27" s="2">
        <f t="shared" si="13"/>
        <v>8</v>
      </c>
      <c r="O27" s="2">
        <f t="shared" si="13"/>
        <v>9</v>
      </c>
      <c r="P27" s="2">
        <f t="shared" si="13"/>
        <v>10</v>
      </c>
      <c r="Q27" s="2">
        <f t="shared" si="13"/>
        <v>11</v>
      </c>
      <c r="R27" s="2">
        <f t="shared" si="13"/>
        <v>12</v>
      </c>
      <c r="S27" s="2">
        <f t="shared" si="13"/>
        <v>13</v>
      </c>
      <c r="T27" s="2">
        <f t="shared" si="13"/>
        <v>14</v>
      </c>
      <c r="U27" s="2">
        <f t="shared" si="13"/>
        <v>15</v>
      </c>
      <c r="V27" s="2">
        <f t="shared" si="13"/>
        <v>16</v>
      </c>
      <c r="W27" s="2">
        <f t="shared" si="13"/>
        <v>17</v>
      </c>
      <c r="X27" s="2">
        <f t="shared" si="13"/>
        <v>18</v>
      </c>
      <c r="Y27" s="2">
        <f t="shared" si="13"/>
        <v>19</v>
      </c>
      <c r="Z27" s="2">
        <f t="shared" si="13"/>
        <v>20</v>
      </c>
      <c r="AA27" s="2">
        <f t="shared" si="13"/>
        <v>21</v>
      </c>
      <c r="AB27" s="2">
        <f t="shared" si="13"/>
        <v>22</v>
      </c>
      <c r="AC27" s="2">
        <f t="shared" si="13"/>
        <v>23</v>
      </c>
      <c r="AD27" s="2">
        <f t="shared" si="13"/>
        <v>24</v>
      </c>
      <c r="AE27" s="2">
        <f t="shared" si="13"/>
        <v>25</v>
      </c>
      <c r="AF27" s="2">
        <f t="shared" si="13"/>
        <v>26</v>
      </c>
      <c r="AG27" s="2">
        <f t="shared" si="13"/>
        <v>27</v>
      </c>
      <c r="AH27" s="2">
        <f t="shared" si="13"/>
        <v>28</v>
      </c>
      <c r="AI27" s="2">
        <f t="shared" si="13"/>
        <v>29</v>
      </c>
      <c r="AJ27" s="2">
        <f t="shared" si="13"/>
        <v>30</v>
      </c>
    </row>
    <row r="28" spans="1:36" ht="19.5">
      <c r="A28" s="6" t="s">
        <v>4</v>
      </c>
      <c r="B28" s="9" t="s">
        <v>4</v>
      </c>
      <c r="C28" s="6" t="s">
        <v>5</v>
      </c>
      <c r="D28" s="132"/>
      <c r="E28" s="1" t="s">
        <v>9</v>
      </c>
      <c r="F28" s="6" t="s">
        <v>5</v>
      </c>
      <c r="G28" s="132"/>
      <c r="H28" s="136"/>
      <c r="I28" s="132" t="s">
        <v>11</v>
      </c>
      <c r="J28" s="132"/>
      <c r="K28" s="132"/>
      <c r="L28" s="132"/>
      <c r="M28" s="132"/>
      <c r="N28" s="132"/>
      <c r="O28" s="132"/>
      <c r="P28" s="132"/>
      <c r="Q28" s="132"/>
      <c r="R28" s="132"/>
      <c r="S28" s="132"/>
      <c r="T28" s="132"/>
      <c r="U28" s="132"/>
      <c r="V28" s="132"/>
      <c r="W28" s="132"/>
      <c r="X28" s="132"/>
      <c r="Y28" s="132"/>
      <c r="Z28" s="132"/>
      <c r="AA28" s="132"/>
      <c r="AB28" s="132"/>
      <c r="AC28" s="132"/>
      <c r="AD28" s="132"/>
      <c r="AE28" s="132"/>
      <c r="AF28" s="132"/>
      <c r="AG28" s="132"/>
      <c r="AH28" s="132"/>
      <c r="AI28" s="132"/>
      <c r="AJ28" s="132"/>
    </row>
    <row r="29" spans="1:36">
      <c r="A29" s="17">
        <f t="shared" ref="A29:G29" si="14">A4</f>
        <v>100</v>
      </c>
      <c r="B29" s="19">
        <f t="shared" si="14"/>
        <v>5</v>
      </c>
      <c r="C29" s="17">
        <f t="shared" si="14"/>
        <v>4200</v>
      </c>
      <c r="D29" s="18">
        <f t="shared" si="14"/>
        <v>13</v>
      </c>
      <c r="E29" s="4">
        <f t="shared" si="14"/>
        <v>10</v>
      </c>
      <c r="F29" s="17">
        <f t="shared" si="14"/>
        <v>210</v>
      </c>
      <c r="G29" s="18">
        <f t="shared" si="14"/>
        <v>32</v>
      </c>
      <c r="H29" s="1">
        <f>ROUNDDOWN((A$4-2*B$4-2*D$4/10-G29/10)/(2*G29/10),0)+1</f>
        <v>14</v>
      </c>
      <c r="I29" s="1">
        <f>IF(I$2&gt;$H29,"-",ROUNDUP(Ld_cal($A29, $B29, $C29, $F29,$D29, $E29, $G29, I$2)*1.3*1.3,0))</f>
        <v>176</v>
      </c>
      <c r="J29" s="1">
        <f>IF(J$2&gt;$H29,"-",ROUNDUP(Ld_cal($A29, $B29, $C29, $F29,$D29, $E29, $G29, J$2)*1.3*1.3,0))</f>
        <v>176</v>
      </c>
      <c r="K29" s="1">
        <f>IF(K$2&gt;$H29,"-",ROUNDUP(Ld_cal($A29, $B29, $C29, $F29,$D29, $E29, $G29, K$2)*1.3*1.3,0))</f>
        <v>176</v>
      </c>
      <c r="L29" s="1">
        <f>IF(L$2&gt;$H29,"-",ROUNDUP(Ld_cal($A29, $B29, $C29, $F29,$D29, $E29, $G29, L$2)*1.3*1.3,0))</f>
        <v>176</v>
      </c>
      <c r="M29" s="1">
        <f>IF(M$2&gt;$H29,"-",ROUNDUP(Ld_cal($A29, $B29, $C29, $F29,$D29, $E29, $G29, M$2)*1.3*1.3,0))</f>
        <v>176</v>
      </c>
      <c r="N29" s="1">
        <f>IF(N$2&gt;$H29,"-",ROUNDUP(Ld_cal($A29, $B29, $C29, $F29,$D29, $E29, $G29, N$2)*1.3*1.3,0))</f>
        <v>192</v>
      </c>
      <c r="O29" s="1">
        <f>IF(O$2&gt;$H29,"-",ROUNDUP(Ld_cal($A29, $B29, $C29, $F29,$D29, $E29, $G29, O$2)*1.3*1.3,0))</f>
        <v>218</v>
      </c>
      <c r="P29" s="1">
        <f>IF(P$2&gt;$H29,"-",ROUNDUP(Ld_cal($A29, $B29, $C29, $F29,$D29, $E29, $G29, P$2)*1.3*1.3,0))</f>
        <v>245</v>
      </c>
      <c r="Q29" s="1">
        <f>IF(Q$2&gt;$H29,"-",ROUNDUP(Ld_cal($A29, $B29, $C29, $F29,$D29, $E29, $G29, Q$2)*1.3*1.3,0))</f>
        <v>272</v>
      </c>
      <c r="R29" s="1">
        <f>IF(R$2&gt;$H29,"-",ROUNDUP(Ld_cal($A29, $B29, $C29, $F29,$D29, $E29, $G29, R$2)*1.3*1.3,0))</f>
        <v>299</v>
      </c>
      <c r="S29" s="1">
        <f>IF(S$2&gt;$H29,"-",ROUNDUP(Ld_cal($A29, $B29, $C29, $F29,$D29, $E29, $G29, S$2)*1.3*1.3,0))</f>
        <v>325</v>
      </c>
      <c r="T29" s="1">
        <f>IF(T$2&gt;$H29,"-",ROUNDUP(Ld_cal($A29, $B29, $C29, $F29,$D29, $E29, $G29, T$2)*1.3*1.3,0))</f>
        <v>352</v>
      </c>
      <c r="U29" s="1" t="str">
        <f>IF(U$2&gt;$H29,"-",ROUNDUP(Ld_cal($A29, $B29, $C29, $F29,$D29, $E29, $G29, U$2)*1.3*1.3,0))</f>
        <v>-</v>
      </c>
      <c r="V29" s="1" t="str">
        <f>IF(V$2&gt;$H29,"-",ROUNDUP(Ld_cal($A29, $B29, $C29, $F29,$D29, $E29, $G29, V$2)*1.3*1.3,0))</f>
        <v>-</v>
      </c>
      <c r="W29" s="2" t="str">
        <f>IF(W$2&gt;$H29,"-",ROUNDUP(Ld_cal($A29, $B29, $C29, $F29,$D29, $E29, $G29, W$2)*1.3*1.3,0))</f>
        <v>-</v>
      </c>
      <c r="X29" s="2" t="str">
        <f>IF(X$2&gt;$H29,"-",ROUNDUP(Ld_cal($A29, $B29, $C29, $F29,$D29, $E29, $G29, X$2)*1.3*1.3,0))</f>
        <v>-</v>
      </c>
      <c r="Y29" s="2" t="str">
        <f>IF(Y$2&gt;$H29,"-",ROUNDUP(Ld_cal($A29, $B29, $C29, $F29,$D29, $E29, $G29, Y$2)*1.3*1.3,0))</f>
        <v>-</v>
      </c>
      <c r="Z29" s="2" t="str">
        <f>IF(Z$2&gt;$H29,"-",ROUNDUP(Ld_cal($A29, $B29, $C29, $F29,$D29, $E29, $G29, Z$2)*1.3*1.3,0))</f>
        <v>-</v>
      </c>
      <c r="AA29" s="2" t="str">
        <f>IF(AA$2&gt;$H29,"-",ROUNDUP(Ld_cal($A29, $B29, $C29, $F29,$D29, $E29, $G29, AA$2)*1.3*1.3,0))</f>
        <v>-</v>
      </c>
      <c r="AB29" s="2" t="str">
        <f>IF(AB$2&gt;$H29,"-",ROUNDUP(Ld_cal($A29, $B29, $C29, $F29,$D29, $E29, $G29, AB$2)*1.3*1.3,0))</f>
        <v>-</v>
      </c>
      <c r="AC29" s="2" t="str">
        <f>IF(AC$2&gt;$H29,"-",ROUNDUP(Ld_cal($A29, $B29, $C29, $F29,$D29, $E29, $G29, AC$2)*1.3*1.3,0))</f>
        <v>-</v>
      </c>
      <c r="AD29" s="2" t="str">
        <f>IF(AD$2&gt;$H29,"-",ROUNDUP(Ld_cal($A29, $B29, $C29, $F29,$D29, $E29, $G29, AD$2)*1.3*1.3,0))</f>
        <v>-</v>
      </c>
      <c r="AE29" s="2" t="str">
        <f>IF(AE$2&gt;$H29,"-",ROUNDUP(Ld_cal($A29, $B29, $C29, $F29,$D29, $E29, $G29, AE$2)*1.3*1.3,0))</f>
        <v>-</v>
      </c>
      <c r="AF29" s="2" t="str">
        <f>IF(AF$2&gt;$H29,"-",ROUNDUP(Ld_cal($A29, $B29, $C29, $F29,$D29, $E29, $G29, AF$2)*1.3*1.3,0))</f>
        <v>-</v>
      </c>
      <c r="AG29" s="2" t="str">
        <f>IF(AG$2&gt;$H29,"-",ROUNDUP(Ld_cal($A29, $B29, $C29, $F29,$D29, $E29, $G29, AG$2)*1.3*1.3,0))</f>
        <v>-</v>
      </c>
      <c r="AH29" s="2" t="str">
        <f>IF(AH$2&gt;$H29,"-",ROUNDUP(Ld_cal($A29, $B29, $C29, $F29,$D29, $E29, $G29, AH$2)*1.3*1.3,0))</f>
        <v>-</v>
      </c>
      <c r="AI29" s="2" t="str">
        <f>IF(AI$2&gt;$H29,"-",ROUNDUP(Ld_cal($A29, $B29, $C29, $F29,$D29, $E29, $G29, AI$2)*1.3*1.3,0))</f>
        <v>-</v>
      </c>
      <c r="AJ29" s="2" t="str">
        <f>IF(AJ$2&gt;$H29,"-",ROUNDUP(Ld_cal($A29, $B29, $C29, $F29,$D29, $E29, $G29, AJ$2)*1.3*1.3,0))</f>
        <v>-</v>
      </c>
    </row>
    <row r="30" spans="1:36">
      <c r="A30" s="8">
        <f t="shared" ref="A30:A49" si="15">A29</f>
        <v>100</v>
      </c>
      <c r="B30" s="11">
        <f t="shared" ref="B30:B49" si="16">B29</f>
        <v>5</v>
      </c>
      <c r="C30" s="8">
        <f>C29</f>
        <v>4200</v>
      </c>
      <c r="D30" s="12">
        <f>D29</f>
        <v>13</v>
      </c>
      <c r="E30" s="5">
        <f>E29</f>
        <v>10</v>
      </c>
      <c r="F30" s="8">
        <f>F29</f>
        <v>210</v>
      </c>
      <c r="G30" s="18">
        <f>G5</f>
        <v>25</v>
      </c>
      <c r="H30" s="1">
        <f>ROUNDDOWN((A$4-2*B$4-2*D$4/10-G30/10)/(2*G30/10),0)+1</f>
        <v>17</v>
      </c>
      <c r="I30" s="1">
        <f>IF(I$2&gt;$H30,"-",ROUNDUP(Ld_cal($A30, $B30, $C30, $F30,$D30, $E30, $G30, I$2)*1.3*1.3,0))</f>
        <v>138</v>
      </c>
      <c r="J30" s="1">
        <f>IF(J$2&gt;$H30,"-",ROUNDUP(Ld_cal($A30, $B30, $C30, $F30,$D30, $E30, $G30, J$2)*1.3*1.3,0))</f>
        <v>138</v>
      </c>
      <c r="K30" s="1">
        <f>IF(K$2&gt;$H30,"-",ROUNDUP(Ld_cal($A30, $B30, $C30, $F30,$D30, $E30, $G30, K$2)*1.3*1.3,0))</f>
        <v>138</v>
      </c>
      <c r="L30" s="1">
        <f>IF(L$2&gt;$H30,"-",ROUNDUP(Ld_cal($A30, $B30, $C30, $F30,$D30, $E30, $G30, L$2)*1.3*1.3,0))</f>
        <v>138</v>
      </c>
      <c r="M30" s="1">
        <f>IF(M$2&gt;$H30,"-",ROUNDUP(Ld_cal($A30, $B30, $C30, $F30,$D30, $E30, $G30, M$2)*1.3*1.3,0))</f>
        <v>138</v>
      </c>
      <c r="N30" s="1">
        <f>IF(N$2&gt;$H30,"-",ROUNDUP(Ld_cal($A30, $B30, $C30, $F30,$D30, $E30, $G30, N$2)*1.3*1.3,0))</f>
        <v>138</v>
      </c>
      <c r="O30" s="1">
        <f>IF(O$2&gt;$H30,"-",ROUNDUP(Ld_cal($A30, $B30, $C30, $F30,$D30, $E30, $G30, O$2)*1.3*1.3,0))</f>
        <v>138</v>
      </c>
      <c r="P30" s="1">
        <f>IF(P$2&gt;$H30,"-",ROUNDUP(Ld_cal($A30, $B30, $C30, $F30,$D30, $E30, $G30, P$2)*1.3*1.3,0))</f>
        <v>149</v>
      </c>
      <c r="Q30" s="1">
        <f>IF(Q$2&gt;$H30,"-",ROUNDUP(Ld_cal($A30, $B30, $C30, $F30,$D30, $E30, $G30, Q$2)*1.3*1.3,0))</f>
        <v>165</v>
      </c>
      <c r="R30" s="1">
        <f>IF(R$2&gt;$H30,"-",ROUNDUP(Ld_cal($A30, $B30, $C30, $F30,$D30, $E30, $G30, R$2)*1.3*1.3,0))</f>
        <v>181</v>
      </c>
      <c r="S30" s="1">
        <f>IF(S$2&gt;$H30,"-",ROUNDUP(Ld_cal($A30, $B30, $C30, $F30,$D30, $E30, $G30, S$2)*1.3*1.3,0))</f>
        <v>197</v>
      </c>
      <c r="T30" s="1">
        <f>IF(T$2&gt;$H30,"-",ROUNDUP(Ld_cal($A30, $B30, $C30, $F30,$D30, $E30, $G30, T$2)*1.3*1.3,0))</f>
        <v>214</v>
      </c>
      <c r="U30" s="1">
        <f>IF(U$2&gt;$H30,"-",ROUNDUP(Ld_cal($A30, $B30, $C30, $F30,$D30, $E30, $G30, U$2)*1.3*1.3,0))</f>
        <v>230</v>
      </c>
      <c r="V30" s="1">
        <f>IF(V$2&gt;$H30,"-",ROUNDUP(Ld_cal($A30, $B30, $C30, $F30,$D30, $E30, $G30, V$2)*1.3*1.3,0))</f>
        <v>246</v>
      </c>
      <c r="W30" s="2">
        <f>IF(W$2&gt;$H30,"-",ROUNDUP(Ld_cal($A30, $B30, $C30, $F30,$D30, $E30, $G30, W$2)*1.3*1.3,0))</f>
        <v>262</v>
      </c>
      <c r="X30" s="2" t="str">
        <f>IF(X$2&gt;$H30,"-",ROUNDUP(Ld_cal($A30, $B30, $C30, $F30,$D30, $E30, $G30, X$2)*1.3*1.3,0))</f>
        <v>-</v>
      </c>
      <c r="Y30" s="2" t="str">
        <f>IF(Y$2&gt;$H30,"-",ROUNDUP(Ld_cal($A30, $B30, $C30, $F30,$D30, $E30, $G30, Y$2)*1.3*1.3,0))</f>
        <v>-</v>
      </c>
      <c r="Z30" s="2" t="str">
        <f>IF(Z$2&gt;$H30,"-",ROUNDUP(Ld_cal($A30, $B30, $C30, $F30,$D30, $E30, $G30, Z$2)*1.3*1.3,0))</f>
        <v>-</v>
      </c>
      <c r="AA30" s="2" t="str">
        <f>IF(AA$2&gt;$H30,"-",ROUNDUP(Ld_cal($A30, $B30, $C30, $F30,$D30, $E30, $G30, AA$2)*1.3*1.3,0))</f>
        <v>-</v>
      </c>
      <c r="AB30" s="2" t="str">
        <f>IF(AB$2&gt;$H30,"-",ROUNDUP(Ld_cal($A30, $B30, $C30, $F30,$D30, $E30, $G30, AB$2)*1.3*1.3,0))</f>
        <v>-</v>
      </c>
      <c r="AC30" s="2" t="str">
        <f>IF(AC$2&gt;$H30,"-",ROUNDUP(Ld_cal($A30, $B30, $C30, $F30,$D30, $E30, $G30, AC$2)*1.3*1.3,0))</f>
        <v>-</v>
      </c>
      <c r="AD30" s="2" t="str">
        <f>IF(AD$2&gt;$H30,"-",ROUNDUP(Ld_cal($A30, $B30, $C30, $F30,$D30, $E30, $G30, AD$2)*1.3*1.3,0))</f>
        <v>-</v>
      </c>
      <c r="AE30" s="2" t="str">
        <f>IF(AE$2&gt;$H30,"-",ROUNDUP(Ld_cal($A30, $B30, $C30, $F30,$D30, $E30, $G30, AE$2)*1.3*1.3,0))</f>
        <v>-</v>
      </c>
      <c r="AF30" s="2" t="str">
        <f>IF(AF$2&gt;$H30,"-",ROUNDUP(Ld_cal($A30, $B30, $C30, $F30,$D30, $E30, $G30, AF$2)*1.3*1.3,0))</f>
        <v>-</v>
      </c>
      <c r="AG30" s="2" t="str">
        <f>IF(AG$2&gt;$H30,"-",ROUNDUP(Ld_cal($A30, $B30, $C30, $F30,$D30, $E30, $G30, AG$2)*1.3*1.3,0))</f>
        <v>-</v>
      </c>
      <c r="AH30" s="2" t="str">
        <f>IF(AH$2&gt;$H30,"-",ROUNDUP(Ld_cal($A30, $B30, $C30, $F30,$D30, $E30, $G30, AH$2)*1.3*1.3,0))</f>
        <v>-</v>
      </c>
      <c r="AI30" s="2" t="str">
        <f>IF(AI$2&gt;$H30,"-",ROUNDUP(Ld_cal($A30, $B30, $C30, $F30,$D30, $E30, $G30, AI$2)*1.3*1.3,0))</f>
        <v>-</v>
      </c>
      <c r="AJ30" s="2" t="str">
        <f>IF(AJ$2&gt;$H30,"-",ROUNDUP(Ld_cal($A30, $B30, $C30, $F30,$D30, $E30, $G30, AJ$2)*1.3*1.3,0))</f>
        <v>-</v>
      </c>
    </row>
    <row r="31" spans="1:36">
      <c r="A31" s="8">
        <f t="shared" si="15"/>
        <v>100</v>
      </c>
      <c r="B31" s="11">
        <f t="shared" si="16"/>
        <v>5</v>
      </c>
      <c r="C31" s="8">
        <f t="shared" ref="C31:C49" si="17">C30</f>
        <v>4200</v>
      </c>
      <c r="D31" s="12">
        <f>D30</f>
        <v>13</v>
      </c>
      <c r="E31" s="5">
        <f>E30</f>
        <v>10</v>
      </c>
      <c r="F31" s="8">
        <f>F30</f>
        <v>210</v>
      </c>
      <c r="G31" s="18">
        <f>G6</f>
        <v>22</v>
      </c>
      <c r="H31" s="1">
        <f>ROUNDDOWN((A$4-2*B$4-2*D$4/10-G31/10)/(2*G31/10),0)+1</f>
        <v>20</v>
      </c>
      <c r="I31" s="1">
        <f>IF(I$2&gt;$H31,"-",ROUNDUP(Ld_cal($A31, $B31, $C31, $F31,$D31, $E31, $G31, I$2)*1.3*1.3,0))</f>
        <v>121</v>
      </c>
      <c r="J31" s="1">
        <f>IF(J$2&gt;$H31,"-",ROUNDUP(Ld_cal($A31, $B31, $C31, $F31,$D31, $E31, $G31, J$2)*1.3*1.3,0))</f>
        <v>121</v>
      </c>
      <c r="K31" s="1">
        <f>IF(K$2&gt;$H31,"-",ROUNDUP(Ld_cal($A31, $B31, $C31, $F31,$D31, $E31, $G31, K$2)*1.3*1.3,0))</f>
        <v>121</v>
      </c>
      <c r="L31" s="1">
        <f>IF(L$2&gt;$H31,"-",ROUNDUP(Ld_cal($A31, $B31, $C31, $F31,$D31, $E31, $G31, L$2)*1.3*1.3,0))</f>
        <v>121</v>
      </c>
      <c r="M31" s="1">
        <f>IF(M$2&gt;$H31,"-",ROUNDUP(Ld_cal($A31, $B31, $C31, $F31,$D31, $E31, $G31, M$2)*1.3*1.3,0))</f>
        <v>121</v>
      </c>
      <c r="N31" s="1">
        <f>IF(N$2&gt;$H31,"-",ROUNDUP(Ld_cal($A31, $B31, $C31, $F31,$D31, $E31, $G31, N$2)*1.3*1.3,0))</f>
        <v>121</v>
      </c>
      <c r="O31" s="1">
        <f>IF(O$2&gt;$H31,"-",ROUNDUP(Ld_cal($A31, $B31, $C31, $F31,$D31, $E31, $G31, O$2)*1.3*1.3,0))</f>
        <v>121</v>
      </c>
      <c r="P31" s="1">
        <f>IF(P$2&gt;$H31,"-",ROUNDUP(Ld_cal($A31, $B31, $C31, $F31,$D31, $E31, $G31, P$2)*1.3*1.3,0))</f>
        <v>121</v>
      </c>
      <c r="Q31" s="1">
        <f>IF(Q$2&gt;$H31,"-",ROUNDUP(Ld_cal($A31, $B31, $C31, $F31,$D31, $E31, $G31, Q$2)*1.3*1.3,0))</f>
        <v>128</v>
      </c>
      <c r="R31" s="1">
        <f>IF(R$2&gt;$H31,"-",ROUNDUP(Ld_cal($A31, $B31, $C31, $F31,$D31, $E31, $G31, R$2)*1.3*1.3,0))</f>
        <v>140</v>
      </c>
      <c r="S31" s="1">
        <f>IF(S$2&gt;$H31,"-",ROUNDUP(Ld_cal($A31, $B31, $C31, $F31,$D31, $E31, $G31, S$2)*1.3*1.3,0))</f>
        <v>153</v>
      </c>
      <c r="T31" s="1">
        <f>IF(T$2&gt;$H31,"-",ROUNDUP(Ld_cal($A31, $B31, $C31, $F31,$D31, $E31, $G31, T$2)*1.3*1.3,0))</f>
        <v>165</v>
      </c>
      <c r="U31" s="1">
        <f>IF(U$2&gt;$H31,"-",ROUNDUP(Ld_cal($A31, $B31, $C31, $F31,$D31, $E31, $G31, U$2)*1.3*1.3,0))</f>
        <v>177</v>
      </c>
      <c r="V31" s="1">
        <f>IF(V$2&gt;$H31,"-",ROUNDUP(Ld_cal($A31, $B31, $C31, $F31,$D31, $E31, $G31, V$2)*1.3*1.3,0))</f>
        <v>190</v>
      </c>
      <c r="W31" s="2">
        <f>IF(W$2&gt;$H31,"-",ROUNDUP(Ld_cal($A31, $B31, $C31, $F31,$D31, $E31, $G31, W$2)*1.3*1.3,0))</f>
        <v>202</v>
      </c>
      <c r="X31" s="2">
        <f>IF(X$2&gt;$H31,"-",ROUNDUP(Ld_cal($A31, $B31, $C31, $F31,$D31, $E31, $G31, X$2)*1.3*1.3,0))</f>
        <v>215</v>
      </c>
      <c r="Y31" s="2">
        <f>IF(Y$2&gt;$H31,"-",ROUNDUP(Ld_cal($A31, $B31, $C31, $F31,$D31, $E31, $G31, Y$2)*1.3*1.3,0))</f>
        <v>227</v>
      </c>
      <c r="Z31" s="2">
        <f>IF(Z$2&gt;$H31,"-",ROUNDUP(Ld_cal($A31, $B31, $C31, $F31,$D31, $E31, $G31, Z$2)*1.3*1.3,0))</f>
        <v>240</v>
      </c>
      <c r="AA31" s="2" t="str">
        <f>IF(AA$2&gt;$H31,"-",ROUNDUP(Ld_cal($A31, $B31, $C31, $F31,$D31, $E31, $G31, AA$2)*1.3*1.3,0))</f>
        <v>-</v>
      </c>
      <c r="AB31" s="2" t="str">
        <f>IF(AB$2&gt;$H31,"-",ROUNDUP(Ld_cal($A31, $B31, $C31, $F31,$D31, $E31, $G31, AB$2)*1.3*1.3,0))</f>
        <v>-</v>
      </c>
      <c r="AC31" s="2" t="str">
        <f>IF(AC$2&gt;$H31,"-",ROUNDUP(Ld_cal($A31, $B31, $C31, $F31,$D31, $E31, $G31, AC$2)*1.3*1.3,0))</f>
        <v>-</v>
      </c>
      <c r="AD31" s="2" t="str">
        <f>IF(AD$2&gt;$H31,"-",ROUNDUP(Ld_cal($A31, $B31, $C31, $F31,$D31, $E31, $G31, AD$2)*1.3*1.3,0))</f>
        <v>-</v>
      </c>
      <c r="AE31" s="2" t="str">
        <f>IF(AE$2&gt;$H31,"-",ROUNDUP(Ld_cal($A31, $B31, $C31, $F31,$D31, $E31, $G31, AE$2)*1.3*1.3,0))</f>
        <v>-</v>
      </c>
      <c r="AF31" s="2" t="str">
        <f>IF(AF$2&gt;$H31,"-",ROUNDUP(Ld_cal($A31, $B31, $C31, $F31,$D31, $E31, $G31, AF$2)*1.3*1.3,0))</f>
        <v>-</v>
      </c>
      <c r="AG31" s="2" t="str">
        <f>IF(AG$2&gt;$H31,"-",ROUNDUP(Ld_cal($A31, $B31, $C31, $F31,$D31, $E31, $G31, AG$2)*1.3*1.3,0))</f>
        <v>-</v>
      </c>
      <c r="AH31" s="2" t="str">
        <f>IF(AH$2&gt;$H31,"-",ROUNDUP(Ld_cal($A31, $B31, $C31, $F31,$D31, $E31, $G31, AH$2)*1.3*1.3,0))</f>
        <v>-</v>
      </c>
      <c r="AI31" s="2" t="str">
        <f>IF(AI$2&gt;$H31,"-",ROUNDUP(Ld_cal($A31, $B31, $C31, $F31,$D31, $E31, $G31, AI$2)*1.3*1.3,0))</f>
        <v>-</v>
      </c>
      <c r="AJ31" s="2" t="str">
        <f>IF(AJ$2&gt;$H31,"-",ROUNDUP(Ld_cal($A31, $B31, $C31, $F31,$D31, $E31, $G31, AJ$2)*1.3*1.3,0))</f>
        <v>-</v>
      </c>
    </row>
    <row r="32" spans="1:36">
      <c r="A32" s="8">
        <f t="shared" si="15"/>
        <v>100</v>
      </c>
      <c r="B32" s="11">
        <f t="shared" si="16"/>
        <v>5</v>
      </c>
      <c r="C32" s="8">
        <f t="shared" si="17"/>
        <v>4200</v>
      </c>
      <c r="D32" s="12">
        <f>D29</f>
        <v>13</v>
      </c>
      <c r="E32" s="5">
        <f>E31</f>
        <v>10</v>
      </c>
      <c r="F32" s="17">
        <f>F7</f>
        <v>245</v>
      </c>
      <c r="G32" s="3">
        <f t="shared" ref="G32:H34" si="18">G29</f>
        <v>32</v>
      </c>
      <c r="H32" s="1">
        <f t="shared" si="18"/>
        <v>14</v>
      </c>
      <c r="I32" s="1">
        <f>IF(I$2&gt;$H32,"-",ROUNDUP(Ld_cal($A32, $B32, $C32, $F32,$D32, $E32, $G32, I$2)*1.3*1.3,0))</f>
        <v>163</v>
      </c>
      <c r="J32" s="1">
        <f>IF(J$2&gt;$H32,"-",ROUNDUP(Ld_cal($A32, $B32, $C32, $F32,$D32, $E32, $G32, J$2)*1.3*1.3,0))</f>
        <v>163</v>
      </c>
      <c r="K32" s="1">
        <f>IF(K$2&gt;$H32,"-",ROUNDUP(Ld_cal($A32, $B32, $C32, $F32,$D32, $E32, $G32, K$2)*1.3*1.3,0))</f>
        <v>163</v>
      </c>
      <c r="L32" s="1">
        <f>IF(L$2&gt;$H32,"-",ROUNDUP(Ld_cal($A32, $B32, $C32, $F32,$D32, $E32, $G32, L$2)*1.3*1.3,0))</f>
        <v>163</v>
      </c>
      <c r="M32" s="1">
        <f>IF(M$2&gt;$H32,"-",ROUNDUP(Ld_cal($A32, $B32, $C32, $F32,$D32, $E32, $G32, M$2)*1.3*1.3,0))</f>
        <v>163</v>
      </c>
      <c r="N32" s="1">
        <f>IF(N$2&gt;$H32,"-",ROUNDUP(Ld_cal($A32, $B32, $C32, $F32,$D32, $E32, $G32, N$2)*1.3*1.3,0))</f>
        <v>178</v>
      </c>
      <c r="O32" s="1">
        <f>IF(O$2&gt;$H32,"-",ROUNDUP(Ld_cal($A32, $B32, $C32, $F32,$D32, $E32, $G32, O$2)*1.3*1.3,0))</f>
        <v>202</v>
      </c>
      <c r="P32" s="1">
        <f>IF(P$2&gt;$H32,"-",ROUNDUP(Ld_cal($A32, $B32, $C32, $F32,$D32, $E32, $G32, P$2)*1.3*1.3,0))</f>
        <v>227</v>
      </c>
      <c r="Q32" s="1">
        <f>IF(Q$2&gt;$H32,"-",ROUNDUP(Ld_cal($A32, $B32, $C32, $F32,$D32, $E32, $G32, Q$2)*1.3*1.3,0))</f>
        <v>252</v>
      </c>
      <c r="R32" s="1">
        <f>IF(R$2&gt;$H32,"-",ROUNDUP(Ld_cal($A32, $B32, $C32, $F32,$D32, $E32, $G32, R$2)*1.3*1.3,0))</f>
        <v>276</v>
      </c>
      <c r="S32" s="1">
        <f>IF(S$2&gt;$H32,"-",ROUNDUP(Ld_cal($A32, $B32, $C32, $F32,$D32, $E32, $G32, S$2)*1.3*1.3,0))</f>
        <v>301</v>
      </c>
      <c r="T32" s="1">
        <f>IF(T$2&gt;$H32,"-",ROUNDUP(Ld_cal($A32, $B32, $C32, $F32,$D32, $E32, $G32, T$2)*1.3*1.3,0))</f>
        <v>326</v>
      </c>
      <c r="U32" s="1" t="str">
        <f>IF(U$2&gt;$H32,"-",ROUNDUP(Ld_cal($A32, $B32, $C32, $F32,$D32, $E32, $G32, U$2)*1.3*1.3,0))</f>
        <v>-</v>
      </c>
      <c r="V32" s="1" t="str">
        <f>IF(V$2&gt;$H32,"-",ROUNDUP(Ld_cal($A32, $B32, $C32, $F32,$D32, $E32, $G32, V$2)*1.3*1.3,0))</f>
        <v>-</v>
      </c>
      <c r="W32" s="2" t="str">
        <f>IF(W$2&gt;$H32,"-",ROUNDUP(Ld_cal($A32, $B32, $C32, $F32,$D32, $E32, $G32, W$2)*1.3*1.3,0))</f>
        <v>-</v>
      </c>
      <c r="X32" s="2" t="str">
        <f>IF(X$2&gt;$H32,"-",ROUNDUP(Ld_cal($A32, $B32, $C32, $F32,$D32, $E32, $G32, X$2)*1.3*1.3,0))</f>
        <v>-</v>
      </c>
      <c r="Y32" s="2" t="str">
        <f>IF(Y$2&gt;$H32,"-",ROUNDUP(Ld_cal($A32, $B32, $C32, $F32,$D32, $E32, $G32, Y$2)*1.3*1.3,0))</f>
        <v>-</v>
      </c>
      <c r="Z32" s="2" t="str">
        <f>IF(Z$2&gt;$H32,"-",ROUNDUP(Ld_cal($A32, $B32, $C32, $F32,$D32, $E32, $G32, Z$2)*1.3*1.3,0))</f>
        <v>-</v>
      </c>
      <c r="AA32" s="2" t="str">
        <f>IF(AA$2&gt;$H32,"-",ROUNDUP(Ld_cal($A32, $B32, $C32, $F32,$D32, $E32, $G32, AA$2)*1.3*1.3,0))</f>
        <v>-</v>
      </c>
      <c r="AB32" s="2" t="str">
        <f>IF(AB$2&gt;$H32,"-",ROUNDUP(Ld_cal($A32, $B32, $C32, $F32,$D32, $E32, $G32, AB$2)*1.3*1.3,0))</f>
        <v>-</v>
      </c>
      <c r="AC32" s="2" t="str">
        <f>IF(AC$2&gt;$H32,"-",ROUNDUP(Ld_cal($A32, $B32, $C32, $F32,$D32, $E32, $G32, AC$2)*1.3*1.3,0))</f>
        <v>-</v>
      </c>
      <c r="AD32" s="2" t="str">
        <f>IF(AD$2&gt;$H32,"-",ROUNDUP(Ld_cal($A32, $B32, $C32, $F32,$D32, $E32, $G32, AD$2)*1.3*1.3,0))</f>
        <v>-</v>
      </c>
      <c r="AE32" s="2" t="str">
        <f>IF(AE$2&gt;$H32,"-",ROUNDUP(Ld_cal($A32, $B32, $C32, $F32,$D32, $E32, $G32, AE$2)*1.3*1.3,0))</f>
        <v>-</v>
      </c>
      <c r="AF32" s="2" t="str">
        <f>IF(AF$2&gt;$H32,"-",ROUNDUP(Ld_cal($A32, $B32, $C32, $F32,$D32, $E32, $G32, AF$2)*1.3*1.3,0))</f>
        <v>-</v>
      </c>
      <c r="AG32" s="2" t="str">
        <f>IF(AG$2&gt;$H32,"-",ROUNDUP(Ld_cal($A32, $B32, $C32, $F32,$D32, $E32, $G32, AG$2)*1.3*1.3,0))</f>
        <v>-</v>
      </c>
      <c r="AH32" s="2" t="str">
        <f>IF(AH$2&gt;$H32,"-",ROUNDUP(Ld_cal($A32, $B32, $C32, $F32,$D32, $E32, $G32, AH$2)*1.3*1.3,0))</f>
        <v>-</v>
      </c>
      <c r="AI32" s="2" t="str">
        <f>IF(AI$2&gt;$H32,"-",ROUNDUP(Ld_cal($A32, $B32, $C32, $F32,$D32, $E32, $G32, AI$2)*1.3*1.3,0))</f>
        <v>-</v>
      </c>
      <c r="AJ32" s="2" t="str">
        <f>IF(AJ$2&gt;$H32,"-",ROUNDUP(Ld_cal($A32, $B32, $C32, $F32,$D32, $E32, $G32, AJ$2)*1.3*1.3,0))</f>
        <v>-</v>
      </c>
    </row>
    <row r="33" spans="1:36">
      <c r="A33" s="8">
        <f t="shared" si="15"/>
        <v>100</v>
      </c>
      <c r="B33" s="11">
        <f t="shared" si="16"/>
        <v>5</v>
      </c>
      <c r="C33" s="8">
        <f t="shared" si="17"/>
        <v>4200</v>
      </c>
      <c r="D33" s="12">
        <f t="shared" ref="D33:D34" si="19">D30</f>
        <v>13</v>
      </c>
      <c r="E33" s="5">
        <f t="shared" ref="E33:E49" si="20">E32</f>
        <v>10</v>
      </c>
      <c r="F33" s="8">
        <f>F32</f>
        <v>245</v>
      </c>
      <c r="G33" s="3">
        <f t="shared" si="18"/>
        <v>25</v>
      </c>
      <c r="H33" s="1">
        <f t="shared" si="18"/>
        <v>17</v>
      </c>
      <c r="I33" s="1">
        <f>IF(I$2&gt;$H33,"-",ROUNDUP(Ld_cal($A33, $B33, $C33, $F33,$D33, $E33, $G33, I$2)*1.3*1.3,0))</f>
        <v>127</v>
      </c>
      <c r="J33" s="1">
        <f>IF(J$2&gt;$H33,"-",ROUNDUP(Ld_cal($A33, $B33, $C33, $F33,$D33, $E33, $G33, J$2)*1.3*1.3,0))</f>
        <v>127</v>
      </c>
      <c r="K33" s="1">
        <f>IF(K$2&gt;$H33,"-",ROUNDUP(Ld_cal($A33, $B33, $C33, $F33,$D33, $E33, $G33, K$2)*1.3*1.3,0))</f>
        <v>127</v>
      </c>
      <c r="L33" s="1">
        <f>IF(L$2&gt;$H33,"-",ROUNDUP(Ld_cal($A33, $B33, $C33, $F33,$D33, $E33, $G33, L$2)*1.3*1.3,0))</f>
        <v>127</v>
      </c>
      <c r="M33" s="1">
        <f>IF(M$2&gt;$H33,"-",ROUNDUP(Ld_cal($A33, $B33, $C33, $F33,$D33, $E33, $G33, M$2)*1.3*1.3,0))</f>
        <v>127</v>
      </c>
      <c r="N33" s="1">
        <f>IF(N$2&gt;$H33,"-",ROUNDUP(Ld_cal($A33, $B33, $C33, $F33,$D33, $E33, $G33, N$2)*1.3*1.3,0))</f>
        <v>127</v>
      </c>
      <c r="O33" s="1">
        <f>IF(O$2&gt;$H33,"-",ROUNDUP(Ld_cal($A33, $B33, $C33, $F33,$D33, $E33, $G33, O$2)*1.3*1.3,0))</f>
        <v>127</v>
      </c>
      <c r="P33" s="1">
        <f>IF(P$2&gt;$H33,"-",ROUNDUP(Ld_cal($A33, $B33, $C33, $F33,$D33, $E33, $G33, P$2)*1.3*1.3,0))</f>
        <v>138</v>
      </c>
      <c r="Q33" s="1">
        <f>IF(Q$2&gt;$H33,"-",ROUNDUP(Ld_cal($A33, $B33, $C33, $F33,$D33, $E33, $G33, Q$2)*1.3*1.3,0))</f>
        <v>153</v>
      </c>
      <c r="R33" s="1">
        <f>IF(R$2&gt;$H33,"-",ROUNDUP(Ld_cal($A33, $B33, $C33, $F33,$D33, $E33, $G33, R$2)*1.3*1.3,0))</f>
        <v>168</v>
      </c>
      <c r="S33" s="1">
        <f>IF(S$2&gt;$H33,"-",ROUNDUP(Ld_cal($A33, $B33, $C33, $F33,$D33, $E33, $G33, S$2)*1.3*1.3,0))</f>
        <v>183</v>
      </c>
      <c r="T33" s="1">
        <f>IF(T$2&gt;$H33,"-",ROUNDUP(Ld_cal($A33, $B33, $C33, $F33,$D33, $E33, $G33, T$2)*1.3*1.3,0))</f>
        <v>198</v>
      </c>
      <c r="U33" s="1">
        <f>IF(U$2&gt;$H33,"-",ROUNDUP(Ld_cal($A33, $B33, $C33, $F33,$D33, $E33, $G33, U$2)*1.3*1.3,0))</f>
        <v>213</v>
      </c>
      <c r="V33" s="1">
        <f>IF(V$2&gt;$H33,"-",ROUNDUP(Ld_cal($A33, $B33, $C33, $F33,$D33, $E33, $G33, V$2)*1.3*1.3,0))</f>
        <v>228</v>
      </c>
      <c r="W33" s="2">
        <f>IF(W$2&gt;$H33,"-",ROUNDUP(Ld_cal($A33, $B33, $C33, $F33,$D33, $E33, $G33, W$2)*1.3*1.3,0))</f>
        <v>243</v>
      </c>
      <c r="X33" s="2" t="str">
        <f>IF(X$2&gt;$H33,"-",ROUNDUP(Ld_cal($A33, $B33, $C33, $F33,$D33, $E33, $G33, X$2)*1.3*1.3,0))</f>
        <v>-</v>
      </c>
      <c r="Y33" s="2" t="str">
        <f>IF(Y$2&gt;$H33,"-",ROUNDUP(Ld_cal($A33, $B33, $C33, $F33,$D33, $E33, $G33, Y$2)*1.3*1.3,0))</f>
        <v>-</v>
      </c>
      <c r="Z33" s="2" t="str">
        <f>IF(Z$2&gt;$H33,"-",ROUNDUP(Ld_cal($A33, $B33, $C33, $F33,$D33, $E33, $G33, Z$2)*1.3*1.3,0))</f>
        <v>-</v>
      </c>
      <c r="AA33" s="2" t="str">
        <f>IF(AA$2&gt;$H33,"-",ROUNDUP(Ld_cal($A33, $B33, $C33, $F33,$D33, $E33, $G33, AA$2)*1.3*1.3,0))</f>
        <v>-</v>
      </c>
      <c r="AB33" s="2" t="str">
        <f>IF(AB$2&gt;$H33,"-",ROUNDUP(Ld_cal($A33, $B33, $C33, $F33,$D33, $E33, $G33, AB$2)*1.3*1.3,0))</f>
        <v>-</v>
      </c>
      <c r="AC33" s="2" t="str">
        <f>IF(AC$2&gt;$H33,"-",ROUNDUP(Ld_cal($A33, $B33, $C33, $F33,$D33, $E33, $G33, AC$2)*1.3*1.3,0))</f>
        <v>-</v>
      </c>
      <c r="AD33" s="2" t="str">
        <f>IF(AD$2&gt;$H33,"-",ROUNDUP(Ld_cal($A33, $B33, $C33, $F33,$D33, $E33, $G33, AD$2)*1.3*1.3,0))</f>
        <v>-</v>
      </c>
      <c r="AE33" s="2" t="str">
        <f>IF(AE$2&gt;$H33,"-",ROUNDUP(Ld_cal($A33, $B33, $C33, $F33,$D33, $E33, $G33, AE$2)*1.3*1.3,0))</f>
        <v>-</v>
      </c>
      <c r="AF33" s="2" t="str">
        <f>IF(AF$2&gt;$H33,"-",ROUNDUP(Ld_cal($A33, $B33, $C33, $F33,$D33, $E33, $G33, AF$2)*1.3*1.3,0))</f>
        <v>-</v>
      </c>
      <c r="AG33" s="2" t="str">
        <f>IF(AG$2&gt;$H33,"-",ROUNDUP(Ld_cal($A33, $B33, $C33, $F33,$D33, $E33, $G33, AG$2)*1.3*1.3,0))</f>
        <v>-</v>
      </c>
      <c r="AH33" s="2" t="str">
        <f>IF(AH$2&gt;$H33,"-",ROUNDUP(Ld_cal($A33, $B33, $C33, $F33,$D33, $E33, $G33, AH$2)*1.3*1.3,0))</f>
        <v>-</v>
      </c>
      <c r="AI33" s="2" t="str">
        <f>IF(AI$2&gt;$H33,"-",ROUNDUP(Ld_cal($A33, $B33, $C33, $F33,$D33, $E33, $G33, AI$2)*1.3*1.3,0))</f>
        <v>-</v>
      </c>
      <c r="AJ33" s="2" t="str">
        <f>IF(AJ$2&gt;$H33,"-",ROUNDUP(Ld_cal($A33, $B33, $C33, $F33,$D33, $E33, $G33, AJ$2)*1.3*1.3,0))</f>
        <v>-</v>
      </c>
    </row>
    <row r="34" spans="1:36">
      <c r="A34" s="8">
        <f t="shared" si="15"/>
        <v>100</v>
      </c>
      <c r="B34" s="11">
        <f t="shared" si="16"/>
        <v>5</v>
      </c>
      <c r="C34" s="8">
        <f t="shared" si="17"/>
        <v>4200</v>
      </c>
      <c r="D34" s="12">
        <f t="shared" si="19"/>
        <v>13</v>
      </c>
      <c r="E34" s="5">
        <f t="shared" si="20"/>
        <v>10</v>
      </c>
      <c r="F34" s="8">
        <f>F33</f>
        <v>245</v>
      </c>
      <c r="G34" s="3">
        <f t="shared" si="18"/>
        <v>22</v>
      </c>
      <c r="H34" s="1">
        <f t="shared" si="18"/>
        <v>20</v>
      </c>
      <c r="I34" s="1">
        <f>IF(I$2&gt;$H34,"-",ROUNDUP(Ld_cal($A34, $B34, $C34, $F34,$D34, $E34, $G34, I$2)*1.3*1.3,0))</f>
        <v>112</v>
      </c>
      <c r="J34" s="1">
        <f>IF(J$2&gt;$H34,"-",ROUNDUP(Ld_cal($A34, $B34, $C34, $F34,$D34, $E34, $G34, J$2)*1.3*1.3,0))</f>
        <v>112</v>
      </c>
      <c r="K34" s="1">
        <f>IF(K$2&gt;$H34,"-",ROUNDUP(Ld_cal($A34, $B34, $C34, $F34,$D34, $E34, $G34, K$2)*1.3*1.3,0))</f>
        <v>112</v>
      </c>
      <c r="L34" s="1">
        <f>IF(L$2&gt;$H34,"-",ROUNDUP(Ld_cal($A34, $B34, $C34, $F34,$D34, $E34, $G34, L$2)*1.3*1.3,0))</f>
        <v>112</v>
      </c>
      <c r="M34" s="1">
        <f>IF(M$2&gt;$H34,"-",ROUNDUP(Ld_cal($A34, $B34, $C34, $F34,$D34, $E34, $G34, M$2)*1.3*1.3,0))</f>
        <v>112</v>
      </c>
      <c r="N34" s="1">
        <f>IF(N$2&gt;$H34,"-",ROUNDUP(Ld_cal($A34, $B34, $C34, $F34,$D34, $E34, $G34, N$2)*1.3*1.3,0))</f>
        <v>112</v>
      </c>
      <c r="O34" s="1">
        <f>IF(O$2&gt;$H34,"-",ROUNDUP(Ld_cal($A34, $B34, $C34, $F34,$D34, $E34, $G34, O$2)*1.3*1.3,0))</f>
        <v>112</v>
      </c>
      <c r="P34" s="1">
        <f>IF(P$2&gt;$H34,"-",ROUNDUP(Ld_cal($A34, $B34, $C34, $F34,$D34, $E34, $G34, P$2)*1.3*1.3,0))</f>
        <v>112</v>
      </c>
      <c r="Q34" s="1">
        <f>IF(Q$2&gt;$H34,"-",ROUNDUP(Ld_cal($A34, $B34, $C34, $F34,$D34, $E34, $G34, Q$2)*1.3*1.3,0))</f>
        <v>118</v>
      </c>
      <c r="R34" s="1">
        <f>IF(R$2&gt;$H34,"-",ROUNDUP(Ld_cal($A34, $B34, $C34, $F34,$D34, $E34, $G34, R$2)*1.3*1.3,0))</f>
        <v>130</v>
      </c>
      <c r="S34" s="1">
        <f>IF(S$2&gt;$H34,"-",ROUNDUP(Ld_cal($A34, $B34, $C34, $F34,$D34, $E34, $G34, S$2)*1.3*1.3,0))</f>
        <v>141</v>
      </c>
      <c r="T34" s="1">
        <f>IF(T$2&gt;$H34,"-",ROUNDUP(Ld_cal($A34, $B34, $C34, $F34,$D34, $E34, $G34, T$2)*1.3*1.3,0))</f>
        <v>153</v>
      </c>
      <c r="U34" s="1">
        <f>IF(U$2&gt;$H34,"-",ROUNDUP(Ld_cal($A34, $B34, $C34, $F34,$D34, $E34, $G34, U$2)*1.3*1.3,0))</f>
        <v>164</v>
      </c>
      <c r="V34" s="1">
        <f>IF(V$2&gt;$H34,"-",ROUNDUP(Ld_cal($A34, $B34, $C34, $F34,$D34, $E34, $G34, V$2)*1.3*1.3,0))</f>
        <v>176</v>
      </c>
      <c r="W34" s="2">
        <f>IF(W$2&gt;$H34,"-",ROUNDUP(Ld_cal($A34, $B34, $C34, $F34,$D34, $E34, $G34, W$2)*1.3*1.3,0))</f>
        <v>187</v>
      </c>
      <c r="X34" s="2">
        <f>IF(X$2&gt;$H34,"-",ROUNDUP(Ld_cal($A34, $B34, $C34, $F34,$D34, $E34, $G34, X$2)*1.3*1.3,0))</f>
        <v>199</v>
      </c>
      <c r="Y34" s="2">
        <f>IF(Y$2&gt;$H34,"-",ROUNDUP(Ld_cal($A34, $B34, $C34, $F34,$D34, $E34, $G34, Y$2)*1.3*1.3,0))</f>
        <v>211</v>
      </c>
      <c r="Z34" s="2">
        <f>IF(Z$2&gt;$H34,"-",ROUNDUP(Ld_cal($A34, $B34, $C34, $F34,$D34, $E34, $G34, Z$2)*1.3*1.3,0))</f>
        <v>222</v>
      </c>
      <c r="AA34" s="2" t="str">
        <f>IF(AA$2&gt;$H34,"-",ROUNDUP(Ld_cal($A34, $B34, $C34, $F34,$D34, $E34, $G34, AA$2)*1.3*1.3,0))</f>
        <v>-</v>
      </c>
      <c r="AB34" s="2" t="str">
        <f>IF(AB$2&gt;$H34,"-",ROUNDUP(Ld_cal($A34, $B34, $C34, $F34,$D34, $E34, $G34, AB$2)*1.3*1.3,0))</f>
        <v>-</v>
      </c>
      <c r="AC34" s="2" t="str">
        <f>IF(AC$2&gt;$H34,"-",ROUNDUP(Ld_cal($A34, $B34, $C34, $F34,$D34, $E34, $G34, AC$2)*1.3*1.3,0))</f>
        <v>-</v>
      </c>
      <c r="AD34" s="2" t="str">
        <f>IF(AD$2&gt;$H34,"-",ROUNDUP(Ld_cal($A34, $B34, $C34, $F34,$D34, $E34, $G34, AD$2)*1.3*1.3,0))</f>
        <v>-</v>
      </c>
      <c r="AE34" s="2" t="str">
        <f>IF(AE$2&gt;$H34,"-",ROUNDUP(Ld_cal($A34, $B34, $C34, $F34,$D34, $E34, $G34, AE$2)*1.3*1.3,0))</f>
        <v>-</v>
      </c>
      <c r="AF34" s="2" t="str">
        <f>IF(AF$2&gt;$H34,"-",ROUNDUP(Ld_cal($A34, $B34, $C34, $F34,$D34, $E34, $G34, AF$2)*1.3*1.3,0))</f>
        <v>-</v>
      </c>
      <c r="AG34" s="2" t="str">
        <f>IF(AG$2&gt;$H34,"-",ROUNDUP(Ld_cal($A34, $B34, $C34, $F34,$D34, $E34, $G34, AG$2)*1.3*1.3,0))</f>
        <v>-</v>
      </c>
      <c r="AH34" s="2" t="str">
        <f>IF(AH$2&gt;$H34,"-",ROUNDUP(Ld_cal($A34, $B34, $C34, $F34,$D34, $E34, $G34, AH$2)*1.3*1.3,0))</f>
        <v>-</v>
      </c>
      <c r="AI34" s="2" t="str">
        <f>IF(AI$2&gt;$H34,"-",ROUNDUP(Ld_cal($A34, $B34, $C34, $F34,$D34, $E34, $G34, AI$2)*1.3*1.3,0))</f>
        <v>-</v>
      </c>
      <c r="AJ34" s="2" t="str">
        <f>IF(AJ$2&gt;$H34,"-",ROUNDUP(Ld_cal($A34, $B34, $C34, $F34,$D34, $E34, $G34, AJ$2)*1.3*1.3,0))</f>
        <v>-</v>
      </c>
    </row>
    <row r="35" spans="1:36">
      <c r="A35" s="8">
        <f t="shared" si="15"/>
        <v>100</v>
      </c>
      <c r="B35" s="11">
        <f t="shared" si="16"/>
        <v>5</v>
      </c>
      <c r="C35" s="8">
        <f t="shared" si="17"/>
        <v>4200</v>
      </c>
      <c r="D35" s="12">
        <f>D32</f>
        <v>13</v>
      </c>
      <c r="E35" s="5">
        <f t="shared" si="20"/>
        <v>10</v>
      </c>
      <c r="F35" s="17">
        <f>F10</f>
        <v>280</v>
      </c>
      <c r="G35" s="3">
        <f t="shared" ref="G35:H35" si="21">G32</f>
        <v>32</v>
      </c>
      <c r="H35" s="1">
        <f t="shared" si="21"/>
        <v>14</v>
      </c>
      <c r="I35" s="1">
        <f>IF(I$2&gt;$H35,"-",ROUNDUP(Ld_cal($A35, $B35, $C35, $F35,$D35, $E35, $G35, I$2)*1.3*1.3,0))</f>
        <v>153</v>
      </c>
      <c r="J35" s="1">
        <f>IF(J$2&gt;$H35,"-",ROUNDUP(Ld_cal($A35, $B35, $C35, $F35,$D35, $E35, $G35, J$2)*1.3*1.3,0))</f>
        <v>153</v>
      </c>
      <c r="K35" s="1">
        <f>IF(K$2&gt;$H35,"-",ROUNDUP(Ld_cal($A35, $B35, $C35, $F35,$D35, $E35, $G35, K$2)*1.3*1.3,0))</f>
        <v>153</v>
      </c>
      <c r="L35" s="1">
        <f>IF(L$2&gt;$H35,"-",ROUNDUP(Ld_cal($A35, $B35, $C35, $F35,$D35, $E35, $G35, L$2)*1.3*1.3,0))</f>
        <v>153</v>
      </c>
      <c r="M35" s="1">
        <f>IF(M$2&gt;$H35,"-",ROUNDUP(Ld_cal($A35, $B35, $C35, $F35,$D35, $E35, $G35, M$2)*1.3*1.3,0))</f>
        <v>153</v>
      </c>
      <c r="N35" s="1">
        <f>IF(N$2&gt;$H35,"-",ROUNDUP(Ld_cal($A35, $B35, $C35, $F35,$D35, $E35, $G35, N$2)*1.3*1.3,0))</f>
        <v>166</v>
      </c>
      <c r="O35" s="1">
        <f>IF(O$2&gt;$H35,"-",ROUNDUP(Ld_cal($A35, $B35, $C35, $F35,$D35, $E35, $G35, O$2)*1.3*1.3,0))</f>
        <v>189</v>
      </c>
      <c r="P35" s="1">
        <f>IF(P$2&gt;$H35,"-",ROUNDUP(Ld_cal($A35, $B35, $C35, $F35,$D35, $E35, $G35, P$2)*1.3*1.3,0))</f>
        <v>212</v>
      </c>
      <c r="Q35" s="1">
        <f>IF(Q$2&gt;$H35,"-",ROUNDUP(Ld_cal($A35, $B35, $C35, $F35,$D35, $E35, $G35, Q$2)*1.3*1.3,0))</f>
        <v>236</v>
      </c>
      <c r="R35" s="1">
        <f>IF(R$2&gt;$H35,"-",ROUNDUP(Ld_cal($A35, $B35, $C35, $F35,$D35, $E35, $G35, R$2)*1.3*1.3,0))</f>
        <v>259</v>
      </c>
      <c r="S35" s="1">
        <f>IF(S$2&gt;$H35,"-",ROUNDUP(Ld_cal($A35, $B35, $C35, $F35,$D35, $E35, $G35, S$2)*1.3*1.3,0))</f>
        <v>282</v>
      </c>
      <c r="T35" s="1">
        <f>IF(T$2&gt;$H35,"-",ROUNDUP(Ld_cal($A35, $B35, $C35, $F35,$D35, $E35, $G35, T$2)*1.3*1.3,0))</f>
        <v>305</v>
      </c>
      <c r="U35" s="1" t="str">
        <f>IF(U$2&gt;$H35,"-",ROUNDUP(Ld_cal($A35, $B35, $C35, $F35,$D35, $E35, $G35, U$2)*1.3*1.3,0))</f>
        <v>-</v>
      </c>
      <c r="V35" s="1" t="str">
        <f>IF(V$2&gt;$H35,"-",ROUNDUP(Ld_cal($A35, $B35, $C35, $F35,$D35, $E35, $G35, V$2)*1.3*1.3,0))</f>
        <v>-</v>
      </c>
      <c r="W35" s="2" t="str">
        <f>IF(W$2&gt;$H35,"-",ROUNDUP(Ld_cal($A35, $B35, $C35, $F35,$D35, $E35, $G35, W$2)*1.3*1.3,0))</f>
        <v>-</v>
      </c>
      <c r="X35" s="2" t="str">
        <f>IF(X$2&gt;$H35,"-",ROUNDUP(Ld_cal($A35, $B35, $C35, $F35,$D35, $E35, $G35, X$2)*1.3*1.3,0))</f>
        <v>-</v>
      </c>
      <c r="Y35" s="2" t="str">
        <f>IF(Y$2&gt;$H35,"-",ROUNDUP(Ld_cal($A35, $B35, $C35, $F35,$D35, $E35, $G35, Y$2)*1.3*1.3,0))</f>
        <v>-</v>
      </c>
      <c r="Z35" s="2" t="str">
        <f>IF(Z$2&gt;$H35,"-",ROUNDUP(Ld_cal($A35, $B35, $C35, $F35,$D35, $E35, $G35, Z$2)*1.3*1.3,0))</f>
        <v>-</v>
      </c>
      <c r="AA35" s="2" t="str">
        <f>IF(AA$2&gt;$H35,"-",ROUNDUP(Ld_cal($A35, $B35, $C35, $F35,$D35, $E35, $G35, AA$2)*1.3*1.3,0))</f>
        <v>-</v>
      </c>
      <c r="AB35" s="2" t="str">
        <f>IF(AB$2&gt;$H35,"-",ROUNDUP(Ld_cal($A35, $B35, $C35, $F35,$D35, $E35, $G35, AB$2)*1.3*1.3,0))</f>
        <v>-</v>
      </c>
      <c r="AC35" s="2" t="str">
        <f>IF(AC$2&gt;$H35,"-",ROUNDUP(Ld_cal($A35, $B35, $C35, $F35,$D35, $E35, $G35, AC$2)*1.3*1.3,0))</f>
        <v>-</v>
      </c>
      <c r="AD35" s="2" t="str">
        <f>IF(AD$2&gt;$H35,"-",ROUNDUP(Ld_cal($A35, $B35, $C35, $F35,$D35, $E35, $G35, AD$2)*1.3*1.3,0))</f>
        <v>-</v>
      </c>
      <c r="AE35" s="2" t="str">
        <f>IF(AE$2&gt;$H35,"-",ROUNDUP(Ld_cal($A35, $B35, $C35, $F35,$D35, $E35, $G35, AE$2)*1.3*1.3,0))</f>
        <v>-</v>
      </c>
      <c r="AF35" s="2" t="str">
        <f>IF(AF$2&gt;$H35,"-",ROUNDUP(Ld_cal($A35, $B35, $C35, $F35,$D35, $E35, $G35, AF$2)*1.3*1.3,0))</f>
        <v>-</v>
      </c>
      <c r="AG35" s="2" t="str">
        <f>IF(AG$2&gt;$H35,"-",ROUNDUP(Ld_cal($A35, $B35, $C35, $F35,$D35, $E35, $G35, AG$2)*1.3*1.3,0))</f>
        <v>-</v>
      </c>
      <c r="AH35" s="2" t="str">
        <f>IF(AH$2&gt;$H35,"-",ROUNDUP(Ld_cal($A35, $B35, $C35, $F35,$D35, $E35, $G35, AH$2)*1.3*1.3,0))</f>
        <v>-</v>
      </c>
      <c r="AI35" s="2" t="str">
        <f>IF(AI$2&gt;$H35,"-",ROUNDUP(Ld_cal($A35, $B35, $C35, $F35,$D35, $E35, $G35, AI$2)*1.3*1.3,0))</f>
        <v>-</v>
      </c>
      <c r="AJ35" s="2" t="str">
        <f>IF(AJ$2&gt;$H35,"-",ROUNDUP(Ld_cal($A35, $B35, $C35, $F35,$D35, $E35, $G35, AJ$2)*1.3*1.3,0))</f>
        <v>-</v>
      </c>
    </row>
    <row r="36" spans="1:36">
      <c r="A36" s="8">
        <f t="shared" si="15"/>
        <v>100</v>
      </c>
      <c r="B36" s="11">
        <f t="shared" si="16"/>
        <v>5</v>
      </c>
      <c r="C36" s="8">
        <f t="shared" si="17"/>
        <v>4200</v>
      </c>
      <c r="D36" s="12">
        <f t="shared" ref="D36:D37" si="22">D33</f>
        <v>13</v>
      </c>
      <c r="E36" s="5">
        <f t="shared" si="20"/>
        <v>10</v>
      </c>
      <c r="F36" s="8">
        <f>F35</f>
        <v>280</v>
      </c>
      <c r="G36" s="3">
        <f t="shared" ref="G36:H36" si="23">G33</f>
        <v>25</v>
      </c>
      <c r="H36" s="1">
        <f t="shared" si="23"/>
        <v>17</v>
      </c>
      <c r="I36" s="1">
        <f>IF(I$2&gt;$H36,"-",ROUNDUP(Ld_cal($A36, $B36, $C36, $F36,$D36, $E36, $G36, I$2)*1.3*1.3,0))</f>
        <v>119</v>
      </c>
      <c r="J36" s="1">
        <f>IF(J$2&gt;$H36,"-",ROUNDUP(Ld_cal($A36, $B36, $C36, $F36,$D36, $E36, $G36, J$2)*1.3*1.3,0))</f>
        <v>119</v>
      </c>
      <c r="K36" s="1">
        <f>IF(K$2&gt;$H36,"-",ROUNDUP(Ld_cal($A36, $B36, $C36, $F36,$D36, $E36, $G36, K$2)*1.3*1.3,0))</f>
        <v>119</v>
      </c>
      <c r="L36" s="1">
        <f>IF(L$2&gt;$H36,"-",ROUNDUP(Ld_cal($A36, $B36, $C36, $F36,$D36, $E36, $G36, L$2)*1.3*1.3,0))</f>
        <v>119</v>
      </c>
      <c r="M36" s="1">
        <f>IF(M$2&gt;$H36,"-",ROUNDUP(Ld_cal($A36, $B36, $C36, $F36,$D36, $E36, $G36, M$2)*1.3*1.3,0))</f>
        <v>119</v>
      </c>
      <c r="N36" s="1">
        <f>IF(N$2&gt;$H36,"-",ROUNDUP(Ld_cal($A36, $B36, $C36, $F36,$D36, $E36, $G36, N$2)*1.3*1.3,0))</f>
        <v>119</v>
      </c>
      <c r="O36" s="1">
        <f>IF(O$2&gt;$H36,"-",ROUNDUP(Ld_cal($A36, $B36, $C36, $F36,$D36, $E36, $G36, O$2)*1.3*1.3,0))</f>
        <v>119</v>
      </c>
      <c r="P36" s="1">
        <f>IF(P$2&gt;$H36,"-",ROUNDUP(Ld_cal($A36, $B36, $C36, $F36,$D36, $E36, $G36, P$2)*1.3*1.3,0))</f>
        <v>129</v>
      </c>
      <c r="Q36" s="1">
        <f>IF(Q$2&gt;$H36,"-",ROUNDUP(Ld_cal($A36, $B36, $C36, $F36,$D36, $E36, $G36, Q$2)*1.3*1.3,0))</f>
        <v>143</v>
      </c>
      <c r="R36" s="1">
        <f>IF(R$2&gt;$H36,"-",ROUNDUP(Ld_cal($A36, $B36, $C36, $F36,$D36, $E36, $G36, R$2)*1.3*1.3,0))</f>
        <v>157</v>
      </c>
      <c r="S36" s="1">
        <f>IF(S$2&gt;$H36,"-",ROUNDUP(Ld_cal($A36, $B36, $C36, $F36,$D36, $E36, $G36, S$2)*1.3*1.3,0))</f>
        <v>171</v>
      </c>
      <c r="T36" s="1">
        <f>IF(T$2&gt;$H36,"-",ROUNDUP(Ld_cal($A36, $B36, $C36, $F36,$D36, $E36, $G36, T$2)*1.3*1.3,0))</f>
        <v>185</v>
      </c>
      <c r="U36" s="1">
        <f>IF(U$2&gt;$H36,"-",ROUNDUP(Ld_cal($A36, $B36, $C36, $F36,$D36, $E36, $G36, U$2)*1.3*1.3,0))</f>
        <v>199</v>
      </c>
      <c r="V36" s="1">
        <f>IF(V$2&gt;$H36,"-",ROUNDUP(Ld_cal($A36, $B36, $C36, $F36,$D36, $E36, $G36, V$2)*1.3*1.3,0))</f>
        <v>213</v>
      </c>
      <c r="W36" s="2">
        <f>IF(W$2&gt;$H36,"-",ROUNDUP(Ld_cal($A36, $B36, $C36, $F36,$D36, $E36, $G36, W$2)*1.3*1.3,0))</f>
        <v>227</v>
      </c>
      <c r="X36" s="2" t="str">
        <f>IF(X$2&gt;$H36,"-",ROUNDUP(Ld_cal($A36, $B36, $C36, $F36,$D36, $E36, $G36, X$2)*1.3*1.3,0))</f>
        <v>-</v>
      </c>
      <c r="Y36" s="2" t="str">
        <f>IF(Y$2&gt;$H36,"-",ROUNDUP(Ld_cal($A36, $B36, $C36, $F36,$D36, $E36, $G36, Y$2)*1.3*1.3,0))</f>
        <v>-</v>
      </c>
      <c r="Z36" s="2" t="str">
        <f>IF(Z$2&gt;$H36,"-",ROUNDUP(Ld_cal($A36, $B36, $C36, $F36,$D36, $E36, $G36, Z$2)*1.3*1.3,0))</f>
        <v>-</v>
      </c>
      <c r="AA36" s="2" t="str">
        <f>IF(AA$2&gt;$H36,"-",ROUNDUP(Ld_cal($A36, $B36, $C36, $F36,$D36, $E36, $G36, AA$2)*1.3*1.3,0))</f>
        <v>-</v>
      </c>
      <c r="AB36" s="2" t="str">
        <f>IF(AB$2&gt;$H36,"-",ROUNDUP(Ld_cal($A36, $B36, $C36, $F36,$D36, $E36, $G36, AB$2)*1.3*1.3,0))</f>
        <v>-</v>
      </c>
      <c r="AC36" s="2" t="str">
        <f>IF(AC$2&gt;$H36,"-",ROUNDUP(Ld_cal($A36, $B36, $C36, $F36,$D36, $E36, $G36, AC$2)*1.3*1.3,0))</f>
        <v>-</v>
      </c>
      <c r="AD36" s="2" t="str">
        <f>IF(AD$2&gt;$H36,"-",ROUNDUP(Ld_cal($A36, $B36, $C36, $F36,$D36, $E36, $G36, AD$2)*1.3*1.3,0))</f>
        <v>-</v>
      </c>
      <c r="AE36" s="2" t="str">
        <f>IF(AE$2&gt;$H36,"-",ROUNDUP(Ld_cal($A36, $B36, $C36, $F36,$D36, $E36, $G36, AE$2)*1.3*1.3,0))</f>
        <v>-</v>
      </c>
      <c r="AF36" s="2" t="str">
        <f>IF(AF$2&gt;$H36,"-",ROUNDUP(Ld_cal($A36, $B36, $C36, $F36,$D36, $E36, $G36, AF$2)*1.3*1.3,0))</f>
        <v>-</v>
      </c>
      <c r="AG36" s="2" t="str">
        <f>IF(AG$2&gt;$H36,"-",ROUNDUP(Ld_cal($A36, $B36, $C36, $F36,$D36, $E36, $G36, AG$2)*1.3*1.3,0))</f>
        <v>-</v>
      </c>
      <c r="AH36" s="2" t="str">
        <f>IF(AH$2&gt;$H36,"-",ROUNDUP(Ld_cal($A36, $B36, $C36, $F36,$D36, $E36, $G36, AH$2)*1.3*1.3,0))</f>
        <v>-</v>
      </c>
      <c r="AI36" s="2" t="str">
        <f>IF(AI$2&gt;$H36,"-",ROUNDUP(Ld_cal($A36, $B36, $C36, $F36,$D36, $E36, $G36, AI$2)*1.3*1.3,0))</f>
        <v>-</v>
      </c>
      <c r="AJ36" s="2" t="str">
        <f>IF(AJ$2&gt;$H36,"-",ROUNDUP(Ld_cal($A36, $B36, $C36, $F36,$D36, $E36, $G36, AJ$2)*1.3*1.3,0))</f>
        <v>-</v>
      </c>
    </row>
    <row r="37" spans="1:36">
      <c r="A37" s="8">
        <f t="shared" si="15"/>
        <v>100</v>
      </c>
      <c r="B37" s="11">
        <f t="shared" si="16"/>
        <v>5</v>
      </c>
      <c r="C37" s="8">
        <f t="shared" si="17"/>
        <v>4200</v>
      </c>
      <c r="D37" s="12">
        <f t="shared" si="22"/>
        <v>13</v>
      </c>
      <c r="E37" s="5">
        <f t="shared" si="20"/>
        <v>10</v>
      </c>
      <c r="F37" s="8">
        <f>F36</f>
        <v>280</v>
      </c>
      <c r="G37" s="3">
        <f t="shared" ref="G37:H37" si="24">G34</f>
        <v>22</v>
      </c>
      <c r="H37" s="1">
        <f t="shared" si="24"/>
        <v>20</v>
      </c>
      <c r="I37" s="1">
        <f>IF(I$2&gt;$H37,"-",ROUNDUP(Ld_cal($A37, $B37, $C37, $F37,$D37, $E37, $G37, I$2)*1.3*1.3,0))</f>
        <v>105</v>
      </c>
      <c r="J37" s="1">
        <f>IF(J$2&gt;$H37,"-",ROUNDUP(Ld_cal($A37, $B37, $C37, $F37,$D37, $E37, $G37, J$2)*1.3*1.3,0))</f>
        <v>105</v>
      </c>
      <c r="K37" s="1">
        <f>IF(K$2&gt;$H37,"-",ROUNDUP(Ld_cal($A37, $B37, $C37, $F37,$D37, $E37, $G37, K$2)*1.3*1.3,0))</f>
        <v>105</v>
      </c>
      <c r="L37" s="1">
        <f>IF(L$2&gt;$H37,"-",ROUNDUP(Ld_cal($A37, $B37, $C37, $F37,$D37, $E37, $G37, L$2)*1.3*1.3,0))</f>
        <v>105</v>
      </c>
      <c r="M37" s="1">
        <f>IF(M$2&gt;$H37,"-",ROUNDUP(Ld_cal($A37, $B37, $C37, $F37,$D37, $E37, $G37, M$2)*1.3*1.3,0))</f>
        <v>105</v>
      </c>
      <c r="N37" s="1">
        <f>IF(N$2&gt;$H37,"-",ROUNDUP(Ld_cal($A37, $B37, $C37, $F37,$D37, $E37, $G37, N$2)*1.3*1.3,0))</f>
        <v>105</v>
      </c>
      <c r="O37" s="1">
        <f>IF(O$2&gt;$H37,"-",ROUNDUP(Ld_cal($A37, $B37, $C37, $F37,$D37, $E37, $G37, O$2)*1.3*1.3,0))</f>
        <v>105</v>
      </c>
      <c r="P37" s="1">
        <f>IF(P$2&gt;$H37,"-",ROUNDUP(Ld_cal($A37, $B37, $C37, $F37,$D37, $E37, $G37, P$2)*1.3*1.3,0))</f>
        <v>105</v>
      </c>
      <c r="Q37" s="1">
        <f>IF(Q$2&gt;$H37,"-",ROUNDUP(Ld_cal($A37, $B37, $C37, $F37,$D37, $E37, $G37, Q$2)*1.3*1.3,0))</f>
        <v>111</v>
      </c>
      <c r="R37" s="1">
        <f>IF(R$2&gt;$H37,"-",ROUNDUP(Ld_cal($A37, $B37, $C37, $F37,$D37, $E37, $G37, R$2)*1.3*1.3,0))</f>
        <v>121</v>
      </c>
      <c r="S37" s="1">
        <f>IF(S$2&gt;$H37,"-",ROUNDUP(Ld_cal($A37, $B37, $C37, $F37,$D37, $E37, $G37, S$2)*1.3*1.3,0))</f>
        <v>132</v>
      </c>
      <c r="T37" s="1">
        <f>IF(T$2&gt;$H37,"-",ROUNDUP(Ld_cal($A37, $B37, $C37, $F37,$D37, $E37, $G37, T$2)*1.3*1.3,0))</f>
        <v>143</v>
      </c>
      <c r="U37" s="1">
        <f>IF(U$2&gt;$H37,"-",ROUNDUP(Ld_cal($A37, $B37, $C37, $F37,$D37, $E37, $G37, U$2)*1.3*1.3,0))</f>
        <v>154</v>
      </c>
      <c r="V37" s="1">
        <f>IF(V$2&gt;$H37,"-",ROUNDUP(Ld_cal($A37, $B37, $C37, $F37,$D37, $E37, $G37, V$2)*1.3*1.3,0))</f>
        <v>165</v>
      </c>
      <c r="W37" s="2">
        <f>IF(W$2&gt;$H37,"-",ROUNDUP(Ld_cal($A37, $B37, $C37, $F37,$D37, $E37, $G37, W$2)*1.3*1.3,0))</f>
        <v>175</v>
      </c>
      <c r="X37" s="2">
        <f>IF(X$2&gt;$H37,"-",ROUNDUP(Ld_cal($A37, $B37, $C37, $F37,$D37, $E37, $G37, X$2)*1.3*1.3,0))</f>
        <v>186</v>
      </c>
      <c r="Y37" s="2">
        <f>IF(Y$2&gt;$H37,"-",ROUNDUP(Ld_cal($A37, $B37, $C37, $F37,$D37, $E37, $G37, Y$2)*1.3*1.3,0))</f>
        <v>197</v>
      </c>
      <c r="Z37" s="2">
        <f>IF(Z$2&gt;$H37,"-",ROUNDUP(Ld_cal($A37, $B37, $C37, $F37,$D37, $E37, $G37, Z$2)*1.3*1.3,0))</f>
        <v>208</v>
      </c>
      <c r="AA37" s="2" t="str">
        <f>IF(AA$2&gt;$H37,"-",ROUNDUP(Ld_cal($A37, $B37, $C37, $F37,$D37, $E37, $G37, AA$2)*1.3*1.3,0))</f>
        <v>-</v>
      </c>
      <c r="AB37" s="2" t="str">
        <f>IF(AB$2&gt;$H37,"-",ROUNDUP(Ld_cal($A37, $B37, $C37, $F37,$D37, $E37, $G37, AB$2)*1.3*1.3,0))</f>
        <v>-</v>
      </c>
      <c r="AC37" s="2" t="str">
        <f>IF(AC$2&gt;$H37,"-",ROUNDUP(Ld_cal($A37, $B37, $C37, $F37,$D37, $E37, $G37, AC$2)*1.3*1.3,0))</f>
        <v>-</v>
      </c>
      <c r="AD37" s="2" t="str">
        <f>IF(AD$2&gt;$H37,"-",ROUNDUP(Ld_cal($A37, $B37, $C37, $F37,$D37, $E37, $G37, AD$2)*1.3*1.3,0))</f>
        <v>-</v>
      </c>
      <c r="AE37" s="2" t="str">
        <f>IF(AE$2&gt;$H37,"-",ROUNDUP(Ld_cal($A37, $B37, $C37, $F37,$D37, $E37, $G37, AE$2)*1.3*1.3,0))</f>
        <v>-</v>
      </c>
      <c r="AF37" s="2" t="str">
        <f>IF(AF$2&gt;$H37,"-",ROUNDUP(Ld_cal($A37, $B37, $C37, $F37,$D37, $E37, $G37, AF$2)*1.3*1.3,0))</f>
        <v>-</v>
      </c>
      <c r="AG37" s="2" t="str">
        <f>IF(AG$2&gt;$H37,"-",ROUNDUP(Ld_cal($A37, $B37, $C37, $F37,$D37, $E37, $G37, AG$2)*1.3*1.3,0))</f>
        <v>-</v>
      </c>
      <c r="AH37" s="2" t="str">
        <f>IF(AH$2&gt;$H37,"-",ROUNDUP(Ld_cal($A37, $B37, $C37, $F37,$D37, $E37, $G37, AH$2)*1.3*1.3,0))</f>
        <v>-</v>
      </c>
      <c r="AI37" s="2" t="str">
        <f>IF(AI$2&gt;$H37,"-",ROUNDUP(Ld_cal($A37, $B37, $C37, $F37,$D37, $E37, $G37, AI$2)*1.3*1.3,0))</f>
        <v>-</v>
      </c>
      <c r="AJ37" s="2" t="str">
        <f>IF(AJ$2&gt;$H37,"-",ROUNDUP(Ld_cal($A37, $B37, $C37, $F37,$D37, $E37, $G37, AJ$2)*1.3*1.3,0))</f>
        <v>-</v>
      </c>
    </row>
    <row r="38" spans="1:36">
      <c r="A38" s="8">
        <f t="shared" si="15"/>
        <v>100</v>
      </c>
      <c r="B38" s="11">
        <f t="shared" si="16"/>
        <v>5</v>
      </c>
      <c r="C38" s="8">
        <f t="shared" si="17"/>
        <v>4200</v>
      </c>
      <c r="D38" s="12">
        <f>D35</f>
        <v>13</v>
      </c>
      <c r="E38" s="5">
        <f t="shared" si="20"/>
        <v>10</v>
      </c>
      <c r="F38" s="17">
        <f>F13</f>
        <v>350</v>
      </c>
      <c r="G38" s="3">
        <f t="shared" ref="G38:H38" si="25">G35</f>
        <v>32</v>
      </c>
      <c r="H38" s="1">
        <f t="shared" si="25"/>
        <v>14</v>
      </c>
      <c r="I38" s="1">
        <f>IF(I$2&gt;$H38,"-",ROUNDUP(Ld_cal($A38, $B38, $C38, $F38,$D38, $E38, $G38, I$2)*1.3*1.3,0))</f>
        <v>136</v>
      </c>
      <c r="J38" s="1">
        <f>IF(J$2&gt;$H38,"-",ROUNDUP(Ld_cal($A38, $B38, $C38, $F38,$D38, $E38, $G38, J$2)*1.3*1.3,0))</f>
        <v>136</v>
      </c>
      <c r="K38" s="1">
        <f>IF(K$2&gt;$H38,"-",ROUNDUP(Ld_cal($A38, $B38, $C38, $F38,$D38, $E38, $G38, K$2)*1.3*1.3,0))</f>
        <v>136</v>
      </c>
      <c r="L38" s="1">
        <f>IF(L$2&gt;$H38,"-",ROUNDUP(Ld_cal($A38, $B38, $C38, $F38,$D38, $E38, $G38, L$2)*1.3*1.3,0))</f>
        <v>136</v>
      </c>
      <c r="M38" s="1">
        <f>IF(M$2&gt;$H38,"-",ROUNDUP(Ld_cal($A38, $B38, $C38, $F38,$D38, $E38, $G38, M$2)*1.3*1.3,0))</f>
        <v>136</v>
      </c>
      <c r="N38" s="1">
        <f>IF(N$2&gt;$H38,"-",ROUNDUP(Ld_cal($A38, $B38, $C38, $F38,$D38, $E38, $G38, N$2)*1.3*1.3,0))</f>
        <v>149</v>
      </c>
      <c r="O38" s="1">
        <f>IF(O$2&gt;$H38,"-",ROUNDUP(Ld_cal($A38, $B38, $C38, $F38,$D38, $E38, $G38, O$2)*1.3*1.3,0))</f>
        <v>169</v>
      </c>
      <c r="P38" s="1">
        <f>IF(P$2&gt;$H38,"-",ROUNDUP(Ld_cal($A38, $B38, $C38, $F38,$D38, $E38, $G38, P$2)*1.3*1.3,0))</f>
        <v>190</v>
      </c>
      <c r="Q38" s="1">
        <f>IF(Q$2&gt;$H38,"-",ROUNDUP(Ld_cal($A38, $B38, $C38, $F38,$D38, $E38, $G38, Q$2)*1.3*1.3,0))</f>
        <v>211</v>
      </c>
      <c r="R38" s="1">
        <f>IF(R$2&gt;$H38,"-",ROUNDUP(Ld_cal($A38, $B38, $C38, $F38,$D38, $E38, $G38, R$2)*1.3*1.3,0))</f>
        <v>231</v>
      </c>
      <c r="S38" s="1">
        <f>IF(S$2&gt;$H38,"-",ROUNDUP(Ld_cal($A38, $B38, $C38, $F38,$D38, $E38, $G38, S$2)*1.3*1.3,0))</f>
        <v>252</v>
      </c>
      <c r="T38" s="1">
        <f>IF(T$2&gt;$H38,"-",ROUNDUP(Ld_cal($A38, $B38, $C38, $F38,$D38, $E38, $G38, T$2)*1.3*1.3,0))</f>
        <v>273</v>
      </c>
      <c r="U38" s="1" t="str">
        <f>IF(U$2&gt;$H38,"-",ROUNDUP(Ld_cal($A38, $B38, $C38, $F38,$D38, $E38, $G38, U$2)*1.3*1.3,0))</f>
        <v>-</v>
      </c>
      <c r="V38" s="1" t="str">
        <f>IF(V$2&gt;$H38,"-",ROUNDUP(Ld_cal($A38, $B38, $C38, $F38,$D38, $E38, $G38, V$2)*1.3*1.3,0))</f>
        <v>-</v>
      </c>
      <c r="W38" s="2" t="str">
        <f>IF(W$2&gt;$H38,"-",ROUNDUP(Ld_cal($A38, $B38, $C38, $F38,$D38, $E38, $G38, W$2)*1.3*1.3,0))</f>
        <v>-</v>
      </c>
      <c r="X38" s="2" t="str">
        <f>IF(X$2&gt;$H38,"-",ROUNDUP(Ld_cal($A38, $B38, $C38, $F38,$D38, $E38, $G38, X$2)*1.3*1.3,0))</f>
        <v>-</v>
      </c>
      <c r="Y38" s="2" t="str">
        <f>IF(Y$2&gt;$H38,"-",ROUNDUP(Ld_cal($A38, $B38, $C38, $F38,$D38, $E38, $G38, Y$2)*1.3*1.3,0))</f>
        <v>-</v>
      </c>
      <c r="Z38" s="2" t="str">
        <f>IF(Z$2&gt;$H38,"-",ROUNDUP(Ld_cal($A38, $B38, $C38, $F38,$D38, $E38, $G38, Z$2)*1.3*1.3,0))</f>
        <v>-</v>
      </c>
      <c r="AA38" s="2" t="str">
        <f>IF(AA$2&gt;$H38,"-",ROUNDUP(Ld_cal($A38, $B38, $C38, $F38,$D38, $E38, $G38, AA$2)*1.3*1.3,0))</f>
        <v>-</v>
      </c>
      <c r="AB38" s="2" t="str">
        <f>IF(AB$2&gt;$H38,"-",ROUNDUP(Ld_cal($A38, $B38, $C38, $F38,$D38, $E38, $G38, AB$2)*1.3*1.3,0))</f>
        <v>-</v>
      </c>
      <c r="AC38" s="2" t="str">
        <f>IF(AC$2&gt;$H38,"-",ROUNDUP(Ld_cal($A38, $B38, $C38, $F38,$D38, $E38, $G38, AC$2)*1.3*1.3,0))</f>
        <v>-</v>
      </c>
      <c r="AD38" s="2" t="str">
        <f>IF(AD$2&gt;$H38,"-",ROUNDUP(Ld_cal($A38, $B38, $C38, $F38,$D38, $E38, $G38, AD$2)*1.3*1.3,0))</f>
        <v>-</v>
      </c>
      <c r="AE38" s="2" t="str">
        <f>IF(AE$2&gt;$H38,"-",ROUNDUP(Ld_cal($A38, $B38, $C38, $F38,$D38, $E38, $G38, AE$2)*1.3*1.3,0))</f>
        <v>-</v>
      </c>
      <c r="AF38" s="2" t="str">
        <f>IF(AF$2&gt;$H38,"-",ROUNDUP(Ld_cal($A38, $B38, $C38, $F38,$D38, $E38, $G38, AF$2)*1.3*1.3,0))</f>
        <v>-</v>
      </c>
      <c r="AG38" s="2" t="str">
        <f>IF(AG$2&gt;$H38,"-",ROUNDUP(Ld_cal($A38, $B38, $C38, $F38,$D38, $E38, $G38, AG$2)*1.3*1.3,0))</f>
        <v>-</v>
      </c>
      <c r="AH38" s="2" t="str">
        <f>IF(AH$2&gt;$H38,"-",ROUNDUP(Ld_cal($A38, $B38, $C38, $F38,$D38, $E38, $G38, AH$2)*1.3*1.3,0))</f>
        <v>-</v>
      </c>
      <c r="AI38" s="2" t="str">
        <f>IF(AI$2&gt;$H38,"-",ROUNDUP(Ld_cal($A38, $B38, $C38, $F38,$D38, $E38, $G38, AI$2)*1.3*1.3,0))</f>
        <v>-</v>
      </c>
      <c r="AJ38" s="2" t="str">
        <f>IF(AJ$2&gt;$H38,"-",ROUNDUP(Ld_cal($A38, $B38, $C38, $F38,$D38, $E38, $G38, AJ$2)*1.3*1.3,0))</f>
        <v>-</v>
      </c>
    </row>
    <row r="39" spans="1:36">
      <c r="A39" s="8">
        <f t="shared" si="15"/>
        <v>100</v>
      </c>
      <c r="B39" s="11">
        <f t="shared" si="16"/>
        <v>5</v>
      </c>
      <c r="C39" s="8">
        <f t="shared" si="17"/>
        <v>4200</v>
      </c>
      <c r="D39" s="12">
        <f t="shared" ref="D39:D40" si="26">D36</f>
        <v>13</v>
      </c>
      <c r="E39" s="5">
        <f t="shared" si="20"/>
        <v>10</v>
      </c>
      <c r="F39" s="8">
        <f>F38</f>
        <v>350</v>
      </c>
      <c r="G39" s="3">
        <f t="shared" ref="G39:H39" si="27">G36</f>
        <v>25</v>
      </c>
      <c r="H39" s="1">
        <f t="shared" si="27"/>
        <v>17</v>
      </c>
      <c r="I39" s="1">
        <f>IF(I$2&gt;$H39,"-",ROUNDUP(Ld_cal($A39, $B39, $C39, $F39,$D39, $E39, $G39, I$2)*1.3*1.3,0))</f>
        <v>107</v>
      </c>
      <c r="J39" s="1">
        <f>IF(J$2&gt;$H39,"-",ROUNDUP(Ld_cal($A39, $B39, $C39, $F39,$D39, $E39, $G39, J$2)*1.3*1.3,0))</f>
        <v>107</v>
      </c>
      <c r="K39" s="1">
        <f>IF(K$2&gt;$H39,"-",ROUNDUP(Ld_cal($A39, $B39, $C39, $F39,$D39, $E39, $G39, K$2)*1.3*1.3,0))</f>
        <v>107</v>
      </c>
      <c r="L39" s="1">
        <f>IF(L$2&gt;$H39,"-",ROUNDUP(Ld_cal($A39, $B39, $C39, $F39,$D39, $E39, $G39, L$2)*1.3*1.3,0))</f>
        <v>107</v>
      </c>
      <c r="M39" s="1">
        <f>IF(M$2&gt;$H39,"-",ROUNDUP(Ld_cal($A39, $B39, $C39, $F39,$D39, $E39, $G39, M$2)*1.3*1.3,0))</f>
        <v>107</v>
      </c>
      <c r="N39" s="1">
        <f>IF(N$2&gt;$H39,"-",ROUNDUP(Ld_cal($A39, $B39, $C39, $F39,$D39, $E39, $G39, N$2)*1.3*1.3,0))</f>
        <v>107</v>
      </c>
      <c r="O39" s="1">
        <f>IF(O$2&gt;$H39,"-",ROUNDUP(Ld_cal($A39, $B39, $C39, $F39,$D39, $E39, $G39, O$2)*1.3*1.3,0))</f>
        <v>107</v>
      </c>
      <c r="P39" s="1">
        <f>IF(P$2&gt;$H39,"-",ROUNDUP(Ld_cal($A39, $B39, $C39, $F39,$D39, $E39, $G39, P$2)*1.3*1.3,0))</f>
        <v>115</v>
      </c>
      <c r="Q39" s="1">
        <f>IF(Q$2&gt;$H39,"-",ROUNDUP(Ld_cal($A39, $B39, $C39, $F39,$D39, $E39, $G39, Q$2)*1.3*1.3,0))</f>
        <v>128</v>
      </c>
      <c r="R39" s="1">
        <f>IF(R$2&gt;$H39,"-",ROUNDUP(Ld_cal($A39, $B39, $C39, $F39,$D39, $E39, $G39, R$2)*1.3*1.3,0))</f>
        <v>140</v>
      </c>
      <c r="S39" s="1">
        <f>IF(S$2&gt;$H39,"-",ROUNDUP(Ld_cal($A39, $B39, $C39, $F39,$D39, $E39, $G39, S$2)*1.3*1.3,0))</f>
        <v>153</v>
      </c>
      <c r="T39" s="1">
        <f>IF(T$2&gt;$H39,"-",ROUNDUP(Ld_cal($A39, $B39, $C39, $F39,$D39, $E39, $G39, T$2)*1.3*1.3,0))</f>
        <v>166</v>
      </c>
      <c r="U39" s="1">
        <f>IF(U$2&gt;$H39,"-",ROUNDUP(Ld_cal($A39, $B39, $C39, $F39,$D39, $E39, $G39, U$2)*1.3*1.3,0))</f>
        <v>178</v>
      </c>
      <c r="V39" s="1">
        <f>IF(V$2&gt;$H39,"-",ROUNDUP(Ld_cal($A39, $B39, $C39, $F39,$D39, $E39, $G39, V$2)*1.3*1.3,0))</f>
        <v>191</v>
      </c>
      <c r="W39" s="2">
        <f>IF(W$2&gt;$H39,"-",ROUNDUP(Ld_cal($A39, $B39, $C39, $F39,$D39, $E39, $G39, W$2)*1.3*1.3,0))</f>
        <v>203</v>
      </c>
      <c r="X39" s="2" t="str">
        <f>IF(X$2&gt;$H39,"-",ROUNDUP(Ld_cal($A39, $B39, $C39, $F39,$D39, $E39, $G39, X$2)*1.3*1.3,0))</f>
        <v>-</v>
      </c>
      <c r="Y39" s="2" t="str">
        <f>IF(Y$2&gt;$H39,"-",ROUNDUP(Ld_cal($A39, $B39, $C39, $F39,$D39, $E39, $G39, Y$2)*1.3*1.3,0))</f>
        <v>-</v>
      </c>
      <c r="Z39" s="2" t="str">
        <f>IF(Z$2&gt;$H39,"-",ROUNDUP(Ld_cal($A39, $B39, $C39, $F39,$D39, $E39, $G39, Z$2)*1.3*1.3,0))</f>
        <v>-</v>
      </c>
      <c r="AA39" s="2" t="str">
        <f>IF(AA$2&gt;$H39,"-",ROUNDUP(Ld_cal($A39, $B39, $C39, $F39,$D39, $E39, $G39, AA$2)*1.3*1.3,0))</f>
        <v>-</v>
      </c>
      <c r="AB39" s="2" t="str">
        <f>IF(AB$2&gt;$H39,"-",ROUNDUP(Ld_cal($A39, $B39, $C39, $F39,$D39, $E39, $G39, AB$2)*1.3*1.3,0))</f>
        <v>-</v>
      </c>
      <c r="AC39" s="2" t="str">
        <f>IF(AC$2&gt;$H39,"-",ROUNDUP(Ld_cal($A39, $B39, $C39, $F39,$D39, $E39, $G39, AC$2)*1.3*1.3,0))</f>
        <v>-</v>
      </c>
      <c r="AD39" s="2" t="str">
        <f>IF(AD$2&gt;$H39,"-",ROUNDUP(Ld_cal($A39, $B39, $C39, $F39,$D39, $E39, $G39, AD$2)*1.3*1.3,0))</f>
        <v>-</v>
      </c>
      <c r="AE39" s="2" t="str">
        <f>IF(AE$2&gt;$H39,"-",ROUNDUP(Ld_cal($A39, $B39, $C39, $F39,$D39, $E39, $G39, AE$2)*1.3*1.3,0))</f>
        <v>-</v>
      </c>
      <c r="AF39" s="2" t="str">
        <f>IF(AF$2&gt;$H39,"-",ROUNDUP(Ld_cal($A39, $B39, $C39, $F39,$D39, $E39, $G39, AF$2)*1.3*1.3,0))</f>
        <v>-</v>
      </c>
      <c r="AG39" s="2" t="str">
        <f>IF(AG$2&gt;$H39,"-",ROUNDUP(Ld_cal($A39, $B39, $C39, $F39,$D39, $E39, $G39, AG$2)*1.3*1.3,0))</f>
        <v>-</v>
      </c>
      <c r="AH39" s="2" t="str">
        <f>IF(AH$2&gt;$H39,"-",ROUNDUP(Ld_cal($A39, $B39, $C39, $F39,$D39, $E39, $G39, AH$2)*1.3*1.3,0))</f>
        <v>-</v>
      </c>
      <c r="AI39" s="2" t="str">
        <f>IF(AI$2&gt;$H39,"-",ROUNDUP(Ld_cal($A39, $B39, $C39, $F39,$D39, $E39, $G39, AI$2)*1.3*1.3,0))</f>
        <v>-</v>
      </c>
      <c r="AJ39" s="2" t="str">
        <f>IF(AJ$2&gt;$H39,"-",ROUNDUP(Ld_cal($A39, $B39, $C39, $F39,$D39, $E39, $G39, AJ$2)*1.3*1.3,0))</f>
        <v>-</v>
      </c>
    </row>
    <row r="40" spans="1:36">
      <c r="A40" s="8">
        <f t="shared" si="15"/>
        <v>100</v>
      </c>
      <c r="B40" s="11">
        <f t="shared" si="16"/>
        <v>5</v>
      </c>
      <c r="C40" s="8">
        <f t="shared" si="17"/>
        <v>4200</v>
      </c>
      <c r="D40" s="12">
        <f t="shared" si="26"/>
        <v>13</v>
      </c>
      <c r="E40" s="5">
        <f t="shared" si="20"/>
        <v>10</v>
      </c>
      <c r="F40" s="8">
        <f>F39</f>
        <v>350</v>
      </c>
      <c r="G40" s="3">
        <f t="shared" ref="G40:H40" si="28">G37</f>
        <v>22</v>
      </c>
      <c r="H40" s="1">
        <f t="shared" si="28"/>
        <v>20</v>
      </c>
      <c r="I40" s="1">
        <f>IF(I$2&gt;$H40,"-",ROUNDUP(Ld_cal($A40, $B40, $C40, $F40,$D40, $E40, $G40, I$2)*1.3*1.3,0))</f>
        <v>94</v>
      </c>
      <c r="J40" s="1">
        <f>IF(J$2&gt;$H40,"-",ROUNDUP(Ld_cal($A40, $B40, $C40, $F40,$D40, $E40, $G40, J$2)*1.3*1.3,0))</f>
        <v>94</v>
      </c>
      <c r="K40" s="1">
        <f>IF(K$2&gt;$H40,"-",ROUNDUP(Ld_cal($A40, $B40, $C40, $F40,$D40, $E40, $G40, K$2)*1.3*1.3,0))</f>
        <v>94</v>
      </c>
      <c r="L40" s="1">
        <f>IF(L$2&gt;$H40,"-",ROUNDUP(Ld_cal($A40, $B40, $C40, $F40,$D40, $E40, $G40, L$2)*1.3*1.3,0))</f>
        <v>94</v>
      </c>
      <c r="M40" s="1">
        <f>IF(M$2&gt;$H40,"-",ROUNDUP(Ld_cal($A40, $B40, $C40, $F40,$D40, $E40, $G40, M$2)*1.3*1.3,0))</f>
        <v>94</v>
      </c>
      <c r="N40" s="1">
        <f>IF(N$2&gt;$H40,"-",ROUNDUP(Ld_cal($A40, $B40, $C40, $F40,$D40, $E40, $G40, N$2)*1.3*1.3,0))</f>
        <v>94</v>
      </c>
      <c r="O40" s="1">
        <f>IF(O$2&gt;$H40,"-",ROUNDUP(Ld_cal($A40, $B40, $C40, $F40,$D40, $E40, $G40, O$2)*1.3*1.3,0))</f>
        <v>94</v>
      </c>
      <c r="P40" s="1">
        <f>IF(P$2&gt;$H40,"-",ROUNDUP(Ld_cal($A40, $B40, $C40, $F40,$D40, $E40, $G40, P$2)*1.3*1.3,0))</f>
        <v>94</v>
      </c>
      <c r="Q40" s="1">
        <f>IF(Q$2&gt;$H40,"-",ROUNDUP(Ld_cal($A40, $B40, $C40, $F40,$D40, $E40, $G40, Q$2)*1.3*1.3,0))</f>
        <v>99</v>
      </c>
      <c r="R40" s="1">
        <f>IF(R$2&gt;$H40,"-",ROUNDUP(Ld_cal($A40, $B40, $C40, $F40,$D40, $E40, $G40, R$2)*1.3*1.3,0))</f>
        <v>109</v>
      </c>
      <c r="S40" s="1">
        <f>IF(S$2&gt;$H40,"-",ROUNDUP(Ld_cal($A40, $B40, $C40, $F40,$D40, $E40, $G40, S$2)*1.3*1.3,0))</f>
        <v>118</v>
      </c>
      <c r="T40" s="1">
        <f>IF(T$2&gt;$H40,"-",ROUNDUP(Ld_cal($A40, $B40, $C40, $F40,$D40, $E40, $G40, T$2)*1.3*1.3,0))</f>
        <v>128</v>
      </c>
      <c r="U40" s="1">
        <f>IF(U$2&gt;$H40,"-",ROUNDUP(Ld_cal($A40, $B40, $C40, $F40,$D40, $E40, $G40, U$2)*1.3*1.3,0))</f>
        <v>138</v>
      </c>
      <c r="V40" s="1">
        <f>IF(V$2&gt;$H40,"-",ROUNDUP(Ld_cal($A40, $B40, $C40, $F40,$D40, $E40, $G40, V$2)*1.3*1.3,0))</f>
        <v>147</v>
      </c>
      <c r="W40" s="2">
        <f>IF(W$2&gt;$H40,"-",ROUNDUP(Ld_cal($A40, $B40, $C40, $F40,$D40, $E40, $G40, W$2)*1.3*1.3,0))</f>
        <v>157</v>
      </c>
      <c r="X40" s="2">
        <f>IF(X$2&gt;$H40,"-",ROUNDUP(Ld_cal($A40, $B40, $C40, $F40,$D40, $E40, $G40, X$2)*1.3*1.3,0))</f>
        <v>167</v>
      </c>
      <c r="Y40" s="2">
        <f>IF(Y$2&gt;$H40,"-",ROUNDUP(Ld_cal($A40, $B40, $C40, $F40,$D40, $E40, $G40, Y$2)*1.3*1.3,0))</f>
        <v>176</v>
      </c>
      <c r="Z40" s="2">
        <f>IF(Z$2&gt;$H40,"-",ROUNDUP(Ld_cal($A40, $B40, $C40, $F40,$D40, $E40, $G40, Z$2)*1.3*1.3,0))</f>
        <v>186</v>
      </c>
      <c r="AA40" s="2" t="str">
        <f>IF(AA$2&gt;$H40,"-",ROUNDUP(Ld_cal($A40, $B40, $C40, $F40,$D40, $E40, $G40, AA$2)*1.3*1.3,0))</f>
        <v>-</v>
      </c>
      <c r="AB40" s="2" t="str">
        <f>IF(AB$2&gt;$H40,"-",ROUNDUP(Ld_cal($A40, $B40, $C40, $F40,$D40, $E40, $G40, AB$2)*1.3*1.3,0))</f>
        <v>-</v>
      </c>
      <c r="AC40" s="2" t="str">
        <f>IF(AC$2&gt;$H40,"-",ROUNDUP(Ld_cal($A40, $B40, $C40, $F40,$D40, $E40, $G40, AC$2)*1.3*1.3,0))</f>
        <v>-</v>
      </c>
      <c r="AD40" s="2" t="str">
        <f>IF(AD$2&gt;$H40,"-",ROUNDUP(Ld_cal($A40, $B40, $C40, $F40,$D40, $E40, $G40, AD$2)*1.3*1.3,0))</f>
        <v>-</v>
      </c>
      <c r="AE40" s="2" t="str">
        <f>IF(AE$2&gt;$H40,"-",ROUNDUP(Ld_cal($A40, $B40, $C40, $F40,$D40, $E40, $G40, AE$2)*1.3*1.3,0))</f>
        <v>-</v>
      </c>
      <c r="AF40" s="2" t="str">
        <f>IF(AF$2&gt;$H40,"-",ROUNDUP(Ld_cal($A40, $B40, $C40, $F40,$D40, $E40, $G40, AF$2)*1.3*1.3,0))</f>
        <v>-</v>
      </c>
      <c r="AG40" s="2" t="str">
        <f>IF(AG$2&gt;$H40,"-",ROUNDUP(Ld_cal($A40, $B40, $C40, $F40,$D40, $E40, $G40, AG$2)*1.3*1.3,0))</f>
        <v>-</v>
      </c>
      <c r="AH40" s="2" t="str">
        <f>IF(AH$2&gt;$H40,"-",ROUNDUP(Ld_cal($A40, $B40, $C40, $F40,$D40, $E40, $G40, AH$2)*1.3*1.3,0))</f>
        <v>-</v>
      </c>
      <c r="AI40" s="2" t="str">
        <f>IF(AI$2&gt;$H40,"-",ROUNDUP(Ld_cal($A40, $B40, $C40, $F40,$D40, $E40, $G40, AI$2)*1.3*1.3,0))</f>
        <v>-</v>
      </c>
      <c r="AJ40" s="2" t="str">
        <f>IF(AJ$2&gt;$H40,"-",ROUNDUP(Ld_cal($A40, $B40, $C40, $F40,$D40, $E40, $G40, AJ$2)*1.3*1.3,0))</f>
        <v>-</v>
      </c>
    </row>
    <row r="41" spans="1:36">
      <c r="A41" s="8">
        <f t="shared" si="15"/>
        <v>100</v>
      </c>
      <c r="B41" s="11">
        <f t="shared" si="16"/>
        <v>5</v>
      </c>
      <c r="C41" s="8">
        <f t="shared" si="17"/>
        <v>4200</v>
      </c>
      <c r="D41" s="12">
        <f>D38</f>
        <v>13</v>
      </c>
      <c r="E41" s="5">
        <f t="shared" si="20"/>
        <v>10</v>
      </c>
      <c r="F41" s="17">
        <f>F16</f>
        <v>420</v>
      </c>
      <c r="G41" s="3">
        <f t="shared" ref="G41:H41" si="29">G38</f>
        <v>32</v>
      </c>
      <c r="H41" s="1">
        <f t="shared" si="29"/>
        <v>14</v>
      </c>
      <c r="I41" s="1">
        <f>IF(I$2&gt;$H41,"-",ROUNDUP(Ld_cal($A41, $B41, $C41, $F41,$D41, $E41, $G41, I$2)*1.3*1.3,0))</f>
        <v>125</v>
      </c>
      <c r="J41" s="1">
        <f>IF(J$2&gt;$H41,"-",ROUNDUP(Ld_cal($A41, $B41, $C41, $F41,$D41, $E41, $G41, J$2)*1.3*1.3,0))</f>
        <v>125</v>
      </c>
      <c r="K41" s="1">
        <f>IF(K$2&gt;$H41,"-",ROUNDUP(Ld_cal($A41, $B41, $C41, $F41,$D41, $E41, $G41, K$2)*1.3*1.3,0))</f>
        <v>125</v>
      </c>
      <c r="L41" s="1">
        <f>IF(L$2&gt;$H41,"-",ROUNDUP(Ld_cal($A41, $B41, $C41, $F41,$D41, $E41, $G41, L$2)*1.3*1.3,0))</f>
        <v>125</v>
      </c>
      <c r="M41" s="1">
        <f>IF(M$2&gt;$H41,"-",ROUNDUP(Ld_cal($A41, $B41, $C41, $F41,$D41, $E41, $G41, M$2)*1.3*1.3,0))</f>
        <v>125</v>
      </c>
      <c r="N41" s="1">
        <f>IF(N$2&gt;$H41,"-",ROUNDUP(Ld_cal($A41, $B41, $C41, $F41,$D41, $E41, $G41, N$2)*1.3*1.3,0))</f>
        <v>136</v>
      </c>
      <c r="O41" s="1">
        <f>IF(O$2&gt;$H41,"-",ROUNDUP(Ld_cal($A41, $B41, $C41, $F41,$D41, $E41, $G41, O$2)*1.3*1.3,0))</f>
        <v>155</v>
      </c>
      <c r="P41" s="1">
        <f>IF(P$2&gt;$H41,"-",ROUNDUP(Ld_cal($A41, $B41, $C41, $F41,$D41, $E41, $G41, P$2)*1.3*1.3,0))</f>
        <v>174</v>
      </c>
      <c r="Q41" s="1">
        <f>IF(Q$2&gt;$H41,"-",ROUNDUP(Ld_cal($A41, $B41, $C41, $F41,$D41, $E41, $G41, Q$2)*1.3*1.3,0))</f>
        <v>192</v>
      </c>
      <c r="R41" s="1">
        <f>IF(R$2&gt;$H41,"-",ROUNDUP(Ld_cal($A41, $B41, $C41, $F41,$D41, $E41, $G41, R$2)*1.3*1.3,0))</f>
        <v>211</v>
      </c>
      <c r="S41" s="1">
        <f>IF(S$2&gt;$H41,"-",ROUNDUP(Ld_cal($A41, $B41, $C41, $F41,$D41, $E41, $G41, S$2)*1.3*1.3,0))</f>
        <v>230</v>
      </c>
      <c r="T41" s="1">
        <f>IF(T$2&gt;$H41,"-",ROUNDUP(Ld_cal($A41, $B41, $C41, $F41,$D41, $E41, $G41, T$2)*1.3*1.3,0))</f>
        <v>249</v>
      </c>
      <c r="U41" s="1" t="str">
        <f>IF(U$2&gt;$H41,"-",ROUNDUP(Ld_cal($A41, $B41, $C41, $F41,$D41, $E41, $G41, U$2)*1.3*1.3,0))</f>
        <v>-</v>
      </c>
      <c r="V41" s="1" t="str">
        <f>IF(V$2&gt;$H41,"-",ROUNDUP(Ld_cal($A41, $B41, $C41, $F41,$D41, $E41, $G41, V$2)*1.3*1.3,0))</f>
        <v>-</v>
      </c>
      <c r="W41" s="2" t="str">
        <f>IF(W$2&gt;$H41,"-",ROUNDUP(Ld_cal($A41, $B41, $C41, $F41,$D41, $E41, $G41, W$2)*1.3*1.3,0))</f>
        <v>-</v>
      </c>
      <c r="X41" s="2" t="str">
        <f>IF(X$2&gt;$H41,"-",ROUNDUP(Ld_cal($A41, $B41, $C41, $F41,$D41, $E41, $G41, X$2)*1.3*1.3,0))</f>
        <v>-</v>
      </c>
      <c r="Y41" s="2" t="str">
        <f>IF(Y$2&gt;$H41,"-",ROUNDUP(Ld_cal($A41, $B41, $C41, $F41,$D41, $E41, $G41, Y$2)*1.3*1.3,0))</f>
        <v>-</v>
      </c>
      <c r="Z41" s="2" t="str">
        <f>IF(Z$2&gt;$H41,"-",ROUNDUP(Ld_cal($A41, $B41, $C41, $F41,$D41, $E41, $G41, Z$2)*1.3*1.3,0))</f>
        <v>-</v>
      </c>
      <c r="AA41" s="2" t="str">
        <f>IF(AA$2&gt;$H41,"-",ROUNDUP(Ld_cal($A41, $B41, $C41, $F41,$D41, $E41, $G41, AA$2)*1.3*1.3,0))</f>
        <v>-</v>
      </c>
      <c r="AB41" s="2" t="str">
        <f>IF(AB$2&gt;$H41,"-",ROUNDUP(Ld_cal($A41, $B41, $C41, $F41,$D41, $E41, $G41, AB$2)*1.3*1.3,0))</f>
        <v>-</v>
      </c>
      <c r="AC41" s="2" t="str">
        <f>IF(AC$2&gt;$H41,"-",ROUNDUP(Ld_cal($A41, $B41, $C41, $F41,$D41, $E41, $G41, AC$2)*1.3*1.3,0))</f>
        <v>-</v>
      </c>
      <c r="AD41" s="2" t="str">
        <f>IF(AD$2&gt;$H41,"-",ROUNDUP(Ld_cal($A41, $B41, $C41, $F41,$D41, $E41, $G41, AD$2)*1.3*1.3,0))</f>
        <v>-</v>
      </c>
      <c r="AE41" s="2" t="str">
        <f>IF(AE$2&gt;$H41,"-",ROUNDUP(Ld_cal($A41, $B41, $C41, $F41,$D41, $E41, $G41, AE$2)*1.3*1.3,0))</f>
        <v>-</v>
      </c>
      <c r="AF41" s="2" t="str">
        <f>IF(AF$2&gt;$H41,"-",ROUNDUP(Ld_cal($A41, $B41, $C41, $F41,$D41, $E41, $G41, AF$2)*1.3*1.3,0))</f>
        <v>-</v>
      </c>
      <c r="AG41" s="2" t="str">
        <f>IF(AG$2&gt;$H41,"-",ROUNDUP(Ld_cal($A41, $B41, $C41, $F41,$D41, $E41, $G41, AG$2)*1.3*1.3,0))</f>
        <v>-</v>
      </c>
      <c r="AH41" s="2" t="str">
        <f>IF(AH$2&gt;$H41,"-",ROUNDUP(Ld_cal($A41, $B41, $C41, $F41,$D41, $E41, $G41, AH$2)*1.3*1.3,0))</f>
        <v>-</v>
      </c>
      <c r="AI41" s="2" t="str">
        <f>IF(AI$2&gt;$H41,"-",ROUNDUP(Ld_cal($A41, $B41, $C41, $F41,$D41, $E41, $G41, AI$2)*1.3*1.3,0))</f>
        <v>-</v>
      </c>
      <c r="AJ41" s="2" t="str">
        <f>IF(AJ$2&gt;$H41,"-",ROUNDUP(Ld_cal($A41, $B41, $C41, $F41,$D41, $E41, $G41, AJ$2)*1.3*1.3,0))</f>
        <v>-</v>
      </c>
    </row>
    <row r="42" spans="1:36">
      <c r="A42" s="8">
        <f t="shared" si="15"/>
        <v>100</v>
      </c>
      <c r="B42" s="11">
        <f t="shared" si="16"/>
        <v>5</v>
      </c>
      <c r="C42" s="8">
        <f t="shared" si="17"/>
        <v>4200</v>
      </c>
      <c r="D42" s="12">
        <f t="shared" ref="D42:D43" si="30">D39</f>
        <v>13</v>
      </c>
      <c r="E42" s="5">
        <f t="shared" si="20"/>
        <v>10</v>
      </c>
      <c r="F42" s="8">
        <f>F41</f>
        <v>420</v>
      </c>
      <c r="G42" s="3">
        <f t="shared" ref="G42:H42" si="31">G39</f>
        <v>25</v>
      </c>
      <c r="H42" s="1">
        <f t="shared" si="31"/>
        <v>17</v>
      </c>
      <c r="I42" s="1">
        <f>IF(I$2&gt;$H42,"-",ROUNDUP(Ld_cal($A42, $B42, $C42, $F42,$D42, $E42, $G42, I$2)*1.3*1.3,0))</f>
        <v>97</v>
      </c>
      <c r="J42" s="1">
        <f>IF(J$2&gt;$H42,"-",ROUNDUP(Ld_cal($A42, $B42, $C42, $F42,$D42, $E42, $G42, J$2)*1.3*1.3,0))</f>
        <v>97</v>
      </c>
      <c r="K42" s="1">
        <f>IF(K$2&gt;$H42,"-",ROUNDUP(Ld_cal($A42, $B42, $C42, $F42,$D42, $E42, $G42, K$2)*1.3*1.3,0))</f>
        <v>97</v>
      </c>
      <c r="L42" s="1">
        <f>IF(L$2&gt;$H42,"-",ROUNDUP(Ld_cal($A42, $B42, $C42, $F42,$D42, $E42, $G42, L$2)*1.3*1.3,0))</f>
        <v>97</v>
      </c>
      <c r="M42" s="1">
        <f>IF(M$2&gt;$H42,"-",ROUNDUP(Ld_cal($A42, $B42, $C42, $F42,$D42, $E42, $G42, M$2)*1.3*1.3,0))</f>
        <v>97</v>
      </c>
      <c r="N42" s="1">
        <f>IF(N$2&gt;$H42,"-",ROUNDUP(Ld_cal($A42, $B42, $C42, $F42,$D42, $E42, $G42, N$2)*1.3*1.3,0))</f>
        <v>97</v>
      </c>
      <c r="O42" s="1">
        <f>IF(O$2&gt;$H42,"-",ROUNDUP(Ld_cal($A42, $B42, $C42, $F42,$D42, $E42, $G42, O$2)*1.3*1.3,0))</f>
        <v>97</v>
      </c>
      <c r="P42" s="1">
        <f>IF(P$2&gt;$H42,"-",ROUNDUP(Ld_cal($A42, $B42, $C42, $F42,$D42, $E42, $G42, P$2)*1.3*1.3,0))</f>
        <v>105</v>
      </c>
      <c r="Q42" s="1">
        <f>IF(Q$2&gt;$H42,"-",ROUNDUP(Ld_cal($A42, $B42, $C42, $F42,$D42, $E42, $G42, Q$2)*1.3*1.3,0))</f>
        <v>117</v>
      </c>
      <c r="R42" s="1">
        <f>IF(R$2&gt;$H42,"-",ROUNDUP(Ld_cal($A42, $B42, $C42, $F42,$D42, $E42, $G42, R$2)*1.3*1.3,0))</f>
        <v>128</v>
      </c>
      <c r="S42" s="1">
        <f>IF(S$2&gt;$H42,"-",ROUNDUP(Ld_cal($A42, $B42, $C42, $F42,$D42, $E42, $G42, S$2)*1.3*1.3,0))</f>
        <v>140</v>
      </c>
      <c r="T42" s="1">
        <f>IF(T$2&gt;$H42,"-",ROUNDUP(Ld_cal($A42, $B42, $C42, $F42,$D42, $E42, $G42, T$2)*1.3*1.3,0))</f>
        <v>151</v>
      </c>
      <c r="U42" s="1">
        <f>IF(U$2&gt;$H42,"-",ROUNDUP(Ld_cal($A42, $B42, $C42, $F42,$D42, $E42, $G42, U$2)*1.3*1.3,0))</f>
        <v>163</v>
      </c>
      <c r="V42" s="1">
        <f>IF(V$2&gt;$H42,"-",ROUNDUP(Ld_cal($A42, $B42, $C42, $F42,$D42, $E42, $G42, V$2)*1.3*1.3,0))</f>
        <v>174</v>
      </c>
      <c r="W42" s="2">
        <f>IF(W$2&gt;$H42,"-",ROUNDUP(Ld_cal($A42, $B42, $C42, $F42,$D42, $E42, $G42, W$2)*1.3*1.3,0))</f>
        <v>185</v>
      </c>
      <c r="X42" s="2" t="str">
        <f>IF(X$2&gt;$H42,"-",ROUNDUP(Ld_cal($A42, $B42, $C42, $F42,$D42, $E42, $G42, X$2)*1.3*1.3,0))</f>
        <v>-</v>
      </c>
      <c r="Y42" s="2" t="str">
        <f>IF(Y$2&gt;$H42,"-",ROUNDUP(Ld_cal($A42, $B42, $C42, $F42,$D42, $E42, $G42, Y$2)*1.3*1.3,0))</f>
        <v>-</v>
      </c>
      <c r="Z42" s="2" t="str">
        <f>IF(Z$2&gt;$H42,"-",ROUNDUP(Ld_cal($A42, $B42, $C42, $F42,$D42, $E42, $G42, Z$2)*1.3*1.3,0))</f>
        <v>-</v>
      </c>
      <c r="AA42" s="2" t="str">
        <f>IF(AA$2&gt;$H42,"-",ROUNDUP(Ld_cal($A42, $B42, $C42, $F42,$D42, $E42, $G42, AA$2)*1.3*1.3,0))</f>
        <v>-</v>
      </c>
      <c r="AB42" s="2" t="str">
        <f>IF(AB$2&gt;$H42,"-",ROUNDUP(Ld_cal($A42, $B42, $C42, $F42,$D42, $E42, $G42, AB$2)*1.3*1.3,0))</f>
        <v>-</v>
      </c>
      <c r="AC42" s="2" t="str">
        <f>IF(AC$2&gt;$H42,"-",ROUNDUP(Ld_cal($A42, $B42, $C42, $F42,$D42, $E42, $G42, AC$2)*1.3*1.3,0))</f>
        <v>-</v>
      </c>
      <c r="AD42" s="2" t="str">
        <f>IF(AD$2&gt;$H42,"-",ROUNDUP(Ld_cal($A42, $B42, $C42, $F42,$D42, $E42, $G42, AD$2)*1.3*1.3,0))</f>
        <v>-</v>
      </c>
      <c r="AE42" s="2" t="str">
        <f>IF(AE$2&gt;$H42,"-",ROUNDUP(Ld_cal($A42, $B42, $C42, $F42,$D42, $E42, $G42, AE$2)*1.3*1.3,0))</f>
        <v>-</v>
      </c>
      <c r="AF42" s="2" t="str">
        <f>IF(AF$2&gt;$H42,"-",ROUNDUP(Ld_cal($A42, $B42, $C42, $F42,$D42, $E42, $G42, AF$2)*1.3*1.3,0))</f>
        <v>-</v>
      </c>
      <c r="AG42" s="2" t="str">
        <f>IF(AG$2&gt;$H42,"-",ROUNDUP(Ld_cal($A42, $B42, $C42, $F42,$D42, $E42, $G42, AG$2)*1.3*1.3,0))</f>
        <v>-</v>
      </c>
      <c r="AH42" s="2" t="str">
        <f>IF(AH$2&gt;$H42,"-",ROUNDUP(Ld_cal($A42, $B42, $C42, $F42,$D42, $E42, $G42, AH$2)*1.3*1.3,0))</f>
        <v>-</v>
      </c>
      <c r="AI42" s="2" t="str">
        <f>IF(AI$2&gt;$H42,"-",ROUNDUP(Ld_cal($A42, $B42, $C42, $F42,$D42, $E42, $G42, AI$2)*1.3*1.3,0))</f>
        <v>-</v>
      </c>
      <c r="AJ42" s="2" t="str">
        <f>IF(AJ$2&gt;$H42,"-",ROUNDUP(Ld_cal($A42, $B42, $C42, $F42,$D42, $E42, $G42, AJ$2)*1.3*1.3,0))</f>
        <v>-</v>
      </c>
    </row>
    <row r="43" spans="1:36">
      <c r="A43" s="8">
        <f t="shared" si="15"/>
        <v>100</v>
      </c>
      <c r="B43" s="11">
        <f t="shared" si="16"/>
        <v>5</v>
      </c>
      <c r="C43" s="8">
        <f t="shared" si="17"/>
        <v>4200</v>
      </c>
      <c r="D43" s="12">
        <f t="shared" si="30"/>
        <v>13</v>
      </c>
      <c r="E43" s="5">
        <f t="shared" si="20"/>
        <v>10</v>
      </c>
      <c r="F43" s="8">
        <f>F42</f>
        <v>420</v>
      </c>
      <c r="G43" s="3">
        <f t="shared" ref="G43:H43" si="32">G40</f>
        <v>22</v>
      </c>
      <c r="H43" s="1">
        <f t="shared" si="32"/>
        <v>20</v>
      </c>
      <c r="I43" s="1">
        <f>IF(I$2&gt;$H43,"-",ROUNDUP(Ld_cal($A43, $B43, $C43, $F43,$D43, $E43, $G43, I$2)*1.3*1.3,0))</f>
        <v>86</v>
      </c>
      <c r="J43" s="1">
        <f>IF(J$2&gt;$H43,"-",ROUNDUP(Ld_cal($A43, $B43, $C43, $F43,$D43, $E43, $G43, J$2)*1.3*1.3,0))</f>
        <v>86</v>
      </c>
      <c r="K43" s="1">
        <f>IF(K$2&gt;$H43,"-",ROUNDUP(Ld_cal($A43, $B43, $C43, $F43,$D43, $E43, $G43, K$2)*1.3*1.3,0))</f>
        <v>86</v>
      </c>
      <c r="L43" s="1">
        <f>IF(L$2&gt;$H43,"-",ROUNDUP(Ld_cal($A43, $B43, $C43, $F43,$D43, $E43, $G43, L$2)*1.3*1.3,0))</f>
        <v>86</v>
      </c>
      <c r="M43" s="1">
        <f>IF(M$2&gt;$H43,"-",ROUNDUP(Ld_cal($A43, $B43, $C43, $F43,$D43, $E43, $G43, M$2)*1.3*1.3,0))</f>
        <v>86</v>
      </c>
      <c r="N43" s="1">
        <f>IF(N$2&gt;$H43,"-",ROUNDUP(Ld_cal($A43, $B43, $C43, $F43,$D43, $E43, $G43, N$2)*1.3*1.3,0))</f>
        <v>86</v>
      </c>
      <c r="O43" s="1">
        <f>IF(O$2&gt;$H43,"-",ROUNDUP(Ld_cal($A43, $B43, $C43, $F43,$D43, $E43, $G43, O$2)*1.3*1.3,0))</f>
        <v>86</v>
      </c>
      <c r="P43" s="1">
        <f>IF(P$2&gt;$H43,"-",ROUNDUP(Ld_cal($A43, $B43, $C43, $F43,$D43, $E43, $G43, P$2)*1.3*1.3,0))</f>
        <v>86</v>
      </c>
      <c r="Q43" s="1">
        <f>IF(Q$2&gt;$H43,"-",ROUNDUP(Ld_cal($A43, $B43, $C43, $F43,$D43, $E43, $G43, Q$2)*1.3*1.3,0))</f>
        <v>90</v>
      </c>
      <c r="R43" s="1">
        <f>IF(R$2&gt;$H43,"-",ROUNDUP(Ld_cal($A43, $B43, $C43, $F43,$D43, $E43, $G43, R$2)*1.3*1.3,0))</f>
        <v>99</v>
      </c>
      <c r="S43" s="1">
        <f>IF(S$2&gt;$H43,"-",ROUNDUP(Ld_cal($A43, $B43, $C43, $F43,$D43, $E43, $G43, S$2)*1.3*1.3,0))</f>
        <v>108</v>
      </c>
      <c r="T43" s="1">
        <f>IF(T$2&gt;$H43,"-",ROUNDUP(Ld_cal($A43, $B43, $C43, $F43,$D43, $E43, $G43, T$2)*1.3*1.3,0))</f>
        <v>117</v>
      </c>
      <c r="U43" s="1">
        <f>IF(U$2&gt;$H43,"-",ROUNDUP(Ld_cal($A43, $B43, $C43, $F43,$D43, $E43, $G43, U$2)*1.3*1.3,0))</f>
        <v>126</v>
      </c>
      <c r="V43" s="1">
        <f>IF(V$2&gt;$H43,"-",ROUNDUP(Ld_cal($A43, $B43, $C43, $F43,$D43, $E43, $G43, V$2)*1.3*1.3,0))</f>
        <v>134</v>
      </c>
      <c r="W43" s="2">
        <f>IF(W$2&gt;$H43,"-",ROUNDUP(Ld_cal($A43, $B43, $C43, $F43,$D43, $E43, $G43, W$2)*1.3*1.3,0))</f>
        <v>143</v>
      </c>
      <c r="X43" s="2">
        <f>IF(X$2&gt;$H43,"-",ROUNDUP(Ld_cal($A43, $B43, $C43, $F43,$D43, $E43, $G43, X$2)*1.3*1.3,0))</f>
        <v>152</v>
      </c>
      <c r="Y43" s="2">
        <f>IF(Y$2&gt;$H43,"-",ROUNDUP(Ld_cal($A43, $B43, $C43, $F43,$D43, $E43, $G43, Y$2)*1.3*1.3,0))</f>
        <v>161</v>
      </c>
      <c r="Z43" s="2">
        <f>IF(Z$2&gt;$H43,"-",ROUNDUP(Ld_cal($A43, $B43, $C43, $F43,$D43, $E43, $G43, Z$2)*1.3*1.3,0))</f>
        <v>170</v>
      </c>
      <c r="AA43" s="2" t="str">
        <f>IF(AA$2&gt;$H43,"-",ROUNDUP(Ld_cal($A43, $B43, $C43, $F43,$D43, $E43, $G43, AA$2)*1.3*1.3,0))</f>
        <v>-</v>
      </c>
      <c r="AB43" s="2" t="str">
        <f>IF(AB$2&gt;$H43,"-",ROUNDUP(Ld_cal($A43, $B43, $C43, $F43,$D43, $E43, $G43, AB$2)*1.3*1.3,0))</f>
        <v>-</v>
      </c>
      <c r="AC43" s="2" t="str">
        <f>IF(AC$2&gt;$H43,"-",ROUNDUP(Ld_cal($A43, $B43, $C43, $F43,$D43, $E43, $G43, AC$2)*1.3*1.3,0))</f>
        <v>-</v>
      </c>
      <c r="AD43" s="2" t="str">
        <f>IF(AD$2&gt;$H43,"-",ROUNDUP(Ld_cal($A43, $B43, $C43, $F43,$D43, $E43, $G43, AD$2)*1.3*1.3,0))</f>
        <v>-</v>
      </c>
      <c r="AE43" s="2" t="str">
        <f>IF(AE$2&gt;$H43,"-",ROUNDUP(Ld_cal($A43, $B43, $C43, $F43,$D43, $E43, $G43, AE$2)*1.3*1.3,0))</f>
        <v>-</v>
      </c>
      <c r="AF43" s="2" t="str">
        <f>IF(AF$2&gt;$H43,"-",ROUNDUP(Ld_cal($A43, $B43, $C43, $F43,$D43, $E43, $G43, AF$2)*1.3*1.3,0))</f>
        <v>-</v>
      </c>
      <c r="AG43" s="2" t="str">
        <f>IF(AG$2&gt;$H43,"-",ROUNDUP(Ld_cal($A43, $B43, $C43, $F43,$D43, $E43, $G43, AG$2)*1.3*1.3,0))</f>
        <v>-</v>
      </c>
      <c r="AH43" s="2" t="str">
        <f>IF(AH$2&gt;$H43,"-",ROUNDUP(Ld_cal($A43, $B43, $C43, $F43,$D43, $E43, $G43, AH$2)*1.3*1.3,0))</f>
        <v>-</v>
      </c>
      <c r="AI43" s="2" t="str">
        <f>IF(AI$2&gt;$H43,"-",ROUNDUP(Ld_cal($A43, $B43, $C43, $F43,$D43, $E43, $G43, AI$2)*1.3*1.3,0))</f>
        <v>-</v>
      </c>
      <c r="AJ43" s="2" t="str">
        <f>IF(AJ$2&gt;$H43,"-",ROUNDUP(Ld_cal($A43, $B43, $C43, $F43,$D43, $E43, $G43, AJ$2)*1.3*1.3,0))</f>
        <v>-</v>
      </c>
    </row>
    <row r="44" spans="1:36">
      <c r="A44" s="8">
        <f t="shared" si="15"/>
        <v>100</v>
      </c>
      <c r="B44" s="11">
        <f t="shared" si="16"/>
        <v>5</v>
      </c>
      <c r="C44" s="8">
        <f t="shared" si="17"/>
        <v>4200</v>
      </c>
      <c r="D44" s="12">
        <f>D41</f>
        <v>13</v>
      </c>
      <c r="E44" s="5">
        <f t="shared" si="20"/>
        <v>10</v>
      </c>
      <c r="F44" s="17">
        <f>F19</f>
        <v>490</v>
      </c>
      <c r="G44" s="3">
        <f t="shared" ref="G44:H44" si="33">G41</f>
        <v>32</v>
      </c>
      <c r="H44" s="1">
        <f t="shared" si="33"/>
        <v>14</v>
      </c>
      <c r="I44" s="1">
        <f>IF(I$2&gt;$H44,"-",ROUNDUP(Ld_cal($A44, $B44, $C44, $F44,$D44, $E44, $G44, I$2)*1.3*1.3,0))</f>
        <v>115</v>
      </c>
      <c r="J44" s="1">
        <f>IF(J$2&gt;$H44,"-",ROUNDUP(Ld_cal($A44, $B44, $C44, $F44,$D44, $E44, $G44, J$2)*1.3*1.3,0))</f>
        <v>115</v>
      </c>
      <c r="K44" s="1">
        <f>IF(K$2&gt;$H44,"-",ROUNDUP(Ld_cal($A44, $B44, $C44, $F44,$D44, $E44, $G44, K$2)*1.3*1.3,0))</f>
        <v>115</v>
      </c>
      <c r="L44" s="1">
        <f>IF(L$2&gt;$H44,"-",ROUNDUP(Ld_cal($A44, $B44, $C44, $F44,$D44, $E44, $G44, L$2)*1.3*1.3,0))</f>
        <v>115</v>
      </c>
      <c r="M44" s="1">
        <f>IF(M$2&gt;$H44,"-",ROUNDUP(Ld_cal($A44, $B44, $C44, $F44,$D44, $E44, $G44, M$2)*1.3*1.3,0))</f>
        <v>115</v>
      </c>
      <c r="N44" s="1">
        <f>IF(N$2&gt;$H44,"-",ROUNDUP(Ld_cal($A44, $B44, $C44, $F44,$D44, $E44, $G44, N$2)*1.3*1.3,0))</f>
        <v>126</v>
      </c>
      <c r="O44" s="1">
        <f>IF(O$2&gt;$H44,"-",ROUNDUP(Ld_cal($A44, $B44, $C44, $F44,$D44, $E44, $G44, O$2)*1.3*1.3,0))</f>
        <v>143</v>
      </c>
      <c r="P44" s="1">
        <f>IF(P$2&gt;$H44,"-",ROUNDUP(Ld_cal($A44, $B44, $C44, $F44,$D44, $E44, $G44, P$2)*1.3*1.3,0))</f>
        <v>161</v>
      </c>
      <c r="Q44" s="1">
        <f>IF(Q$2&gt;$H44,"-",ROUNDUP(Ld_cal($A44, $B44, $C44, $F44,$D44, $E44, $G44, Q$2)*1.3*1.3,0))</f>
        <v>178</v>
      </c>
      <c r="R44" s="1">
        <f>IF(R$2&gt;$H44,"-",ROUNDUP(Ld_cal($A44, $B44, $C44, $F44,$D44, $E44, $G44, R$2)*1.3*1.3,0))</f>
        <v>196</v>
      </c>
      <c r="S44" s="1">
        <f>IF(S$2&gt;$H44,"-",ROUNDUP(Ld_cal($A44, $B44, $C44, $F44,$D44, $E44, $G44, S$2)*1.3*1.3,0))</f>
        <v>213</v>
      </c>
      <c r="T44" s="1">
        <f>IF(T$2&gt;$H44,"-",ROUNDUP(Ld_cal($A44, $B44, $C44, $F44,$D44, $E44, $G44, T$2)*1.3*1.3,0))</f>
        <v>231</v>
      </c>
      <c r="U44" s="1" t="str">
        <f>IF(U$2&gt;$H44,"-",ROUNDUP(Ld_cal($A44, $B44, $C44, $F44,$D44, $E44, $G44, U$2)*1.3*1.3,0))</f>
        <v>-</v>
      </c>
      <c r="V44" s="1" t="str">
        <f>IF(V$2&gt;$H44,"-",ROUNDUP(Ld_cal($A44, $B44, $C44, $F44,$D44, $E44, $G44, V$2)*1.3*1.3,0))</f>
        <v>-</v>
      </c>
      <c r="W44" s="2" t="str">
        <f>IF(W$2&gt;$H44,"-",ROUNDUP(Ld_cal($A44, $B44, $C44, $F44,$D44, $E44, $G44, W$2)*1.3*1.3,0))</f>
        <v>-</v>
      </c>
      <c r="X44" s="2" t="str">
        <f>IF(X$2&gt;$H44,"-",ROUNDUP(Ld_cal($A44, $B44, $C44, $F44,$D44, $E44, $G44, X$2)*1.3*1.3,0))</f>
        <v>-</v>
      </c>
      <c r="Y44" s="2" t="str">
        <f>IF(Y$2&gt;$H44,"-",ROUNDUP(Ld_cal($A44, $B44, $C44, $F44,$D44, $E44, $G44, Y$2)*1.3*1.3,0))</f>
        <v>-</v>
      </c>
      <c r="Z44" s="2" t="str">
        <f>IF(Z$2&gt;$H44,"-",ROUNDUP(Ld_cal($A44, $B44, $C44, $F44,$D44, $E44, $G44, Z$2)*1.3*1.3,0))</f>
        <v>-</v>
      </c>
      <c r="AA44" s="2" t="str">
        <f>IF(AA$2&gt;$H44,"-",ROUNDUP(Ld_cal($A44, $B44, $C44, $F44,$D44, $E44, $G44, AA$2)*1.3*1.3,0))</f>
        <v>-</v>
      </c>
      <c r="AB44" s="2" t="str">
        <f>IF(AB$2&gt;$H44,"-",ROUNDUP(Ld_cal($A44, $B44, $C44, $F44,$D44, $E44, $G44, AB$2)*1.3*1.3,0))</f>
        <v>-</v>
      </c>
      <c r="AC44" s="2" t="str">
        <f>IF(AC$2&gt;$H44,"-",ROUNDUP(Ld_cal($A44, $B44, $C44, $F44,$D44, $E44, $G44, AC$2)*1.3*1.3,0))</f>
        <v>-</v>
      </c>
      <c r="AD44" s="2" t="str">
        <f>IF(AD$2&gt;$H44,"-",ROUNDUP(Ld_cal($A44, $B44, $C44, $F44,$D44, $E44, $G44, AD$2)*1.3*1.3,0))</f>
        <v>-</v>
      </c>
      <c r="AE44" s="2" t="str">
        <f>IF(AE$2&gt;$H44,"-",ROUNDUP(Ld_cal($A44, $B44, $C44, $F44,$D44, $E44, $G44, AE$2)*1.3*1.3,0))</f>
        <v>-</v>
      </c>
      <c r="AF44" s="2" t="str">
        <f>IF(AF$2&gt;$H44,"-",ROUNDUP(Ld_cal($A44, $B44, $C44, $F44,$D44, $E44, $G44, AF$2)*1.3*1.3,0))</f>
        <v>-</v>
      </c>
      <c r="AG44" s="2" t="str">
        <f>IF(AG$2&gt;$H44,"-",ROUNDUP(Ld_cal($A44, $B44, $C44, $F44,$D44, $E44, $G44, AG$2)*1.3*1.3,0))</f>
        <v>-</v>
      </c>
      <c r="AH44" s="2" t="str">
        <f>IF(AH$2&gt;$H44,"-",ROUNDUP(Ld_cal($A44, $B44, $C44, $F44,$D44, $E44, $G44, AH$2)*1.3*1.3,0))</f>
        <v>-</v>
      </c>
      <c r="AI44" s="2" t="str">
        <f>IF(AI$2&gt;$H44,"-",ROUNDUP(Ld_cal($A44, $B44, $C44, $F44,$D44, $E44, $G44, AI$2)*1.3*1.3,0))</f>
        <v>-</v>
      </c>
      <c r="AJ44" s="2" t="str">
        <f>IF(AJ$2&gt;$H44,"-",ROUNDUP(Ld_cal($A44, $B44, $C44, $F44,$D44, $E44, $G44, AJ$2)*1.3*1.3,0))</f>
        <v>-</v>
      </c>
    </row>
    <row r="45" spans="1:36">
      <c r="A45" s="8">
        <f t="shared" si="15"/>
        <v>100</v>
      </c>
      <c r="B45" s="11">
        <f t="shared" si="16"/>
        <v>5</v>
      </c>
      <c r="C45" s="8">
        <f t="shared" si="17"/>
        <v>4200</v>
      </c>
      <c r="D45" s="12">
        <f t="shared" ref="D45:D46" si="34">D42</f>
        <v>13</v>
      </c>
      <c r="E45" s="5">
        <f t="shared" si="20"/>
        <v>10</v>
      </c>
      <c r="F45" s="8">
        <f>F44</f>
        <v>490</v>
      </c>
      <c r="G45" s="3">
        <f t="shared" ref="G45:H45" si="35">G42</f>
        <v>25</v>
      </c>
      <c r="H45" s="1">
        <f t="shared" si="35"/>
        <v>17</v>
      </c>
      <c r="I45" s="1">
        <f>IF(I$2&gt;$H45,"-",ROUNDUP(Ld_cal($A45, $B45, $C45, $F45,$D45, $E45, $G45, I$2)*1.3*1.3,0))</f>
        <v>90</v>
      </c>
      <c r="J45" s="1">
        <f>IF(J$2&gt;$H45,"-",ROUNDUP(Ld_cal($A45, $B45, $C45, $F45,$D45, $E45, $G45, J$2)*1.3*1.3,0))</f>
        <v>90</v>
      </c>
      <c r="K45" s="1">
        <f>IF(K$2&gt;$H45,"-",ROUNDUP(Ld_cal($A45, $B45, $C45, $F45,$D45, $E45, $G45, K$2)*1.3*1.3,0))</f>
        <v>90</v>
      </c>
      <c r="L45" s="1">
        <f>IF(L$2&gt;$H45,"-",ROUNDUP(Ld_cal($A45, $B45, $C45, $F45,$D45, $E45, $G45, L$2)*1.3*1.3,0))</f>
        <v>90</v>
      </c>
      <c r="M45" s="1">
        <f>IF(M$2&gt;$H45,"-",ROUNDUP(Ld_cal($A45, $B45, $C45, $F45,$D45, $E45, $G45, M$2)*1.3*1.3,0))</f>
        <v>90</v>
      </c>
      <c r="N45" s="1">
        <f>IF(N$2&gt;$H45,"-",ROUNDUP(Ld_cal($A45, $B45, $C45, $F45,$D45, $E45, $G45, N$2)*1.3*1.3,0))</f>
        <v>90</v>
      </c>
      <c r="O45" s="1">
        <f>IF(O$2&gt;$H45,"-",ROUNDUP(Ld_cal($A45, $B45, $C45, $F45,$D45, $E45, $G45, O$2)*1.3*1.3,0))</f>
        <v>90</v>
      </c>
      <c r="P45" s="1">
        <f>IF(P$2&gt;$H45,"-",ROUNDUP(Ld_cal($A45, $B45, $C45, $F45,$D45, $E45, $G45, P$2)*1.3*1.3,0))</f>
        <v>98</v>
      </c>
      <c r="Q45" s="1">
        <f>IF(Q$2&gt;$H45,"-",ROUNDUP(Ld_cal($A45, $B45, $C45, $F45,$D45, $E45, $G45, Q$2)*1.3*1.3,0))</f>
        <v>108</v>
      </c>
      <c r="R45" s="1">
        <f>IF(R$2&gt;$H45,"-",ROUNDUP(Ld_cal($A45, $B45, $C45, $F45,$D45, $E45, $G45, R$2)*1.3*1.3,0))</f>
        <v>119</v>
      </c>
      <c r="S45" s="1">
        <f>IF(S$2&gt;$H45,"-",ROUNDUP(Ld_cal($A45, $B45, $C45, $F45,$D45, $E45, $G45, S$2)*1.3*1.3,0))</f>
        <v>129</v>
      </c>
      <c r="T45" s="1">
        <f>IF(T$2&gt;$H45,"-",ROUNDUP(Ld_cal($A45, $B45, $C45, $F45,$D45, $E45, $G45, T$2)*1.3*1.3,0))</f>
        <v>140</v>
      </c>
      <c r="U45" s="1">
        <f>IF(U$2&gt;$H45,"-",ROUNDUP(Ld_cal($A45, $B45, $C45, $F45,$D45, $E45, $G45, U$2)*1.3*1.3,0))</f>
        <v>151</v>
      </c>
      <c r="V45" s="1">
        <f>IF(V$2&gt;$H45,"-",ROUNDUP(Ld_cal($A45, $B45, $C45, $F45,$D45, $E45, $G45, V$2)*1.3*1.3,0))</f>
        <v>161</v>
      </c>
      <c r="W45" s="2">
        <f>IF(W$2&gt;$H45,"-",ROUNDUP(Ld_cal($A45, $B45, $C45, $F45,$D45, $E45, $G45, W$2)*1.3*1.3,0))</f>
        <v>172</v>
      </c>
      <c r="X45" s="2" t="str">
        <f>IF(X$2&gt;$H45,"-",ROUNDUP(Ld_cal($A45, $B45, $C45, $F45,$D45, $E45, $G45, X$2)*1.3*1.3,0))</f>
        <v>-</v>
      </c>
      <c r="Y45" s="2" t="str">
        <f>IF(Y$2&gt;$H45,"-",ROUNDUP(Ld_cal($A45, $B45, $C45, $F45,$D45, $E45, $G45, Y$2)*1.3*1.3,0))</f>
        <v>-</v>
      </c>
      <c r="Z45" s="2" t="str">
        <f>IF(Z$2&gt;$H45,"-",ROUNDUP(Ld_cal($A45, $B45, $C45, $F45,$D45, $E45, $G45, Z$2)*1.3*1.3,0))</f>
        <v>-</v>
      </c>
      <c r="AA45" s="2" t="str">
        <f>IF(AA$2&gt;$H45,"-",ROUNDUP(Ld_cal($A45, $B45, $C45, $F45,$D45, $E45, $G45, AA$2)*1.3*1.3,0))</f>
        <v>-</v>
      </c>
      <c r="AB45" s="2" t="str">
        <f>IF(AB$2&gt;$H45,"-",ROUNDUP(Ld_cal($A45, $B45, $C45, $F45,$D45, $E45, $G45, AB$2)*1.3*1.3,0))</f>
        <v>-</v>
      </c>
      <c r="AC45" s="2" t="str">
        <f>IF(AC$2&gt;$H45,"-",ROUNDUP(Ld_cal($A45, $B45, $C45, $F45,$D45, $E45, $G45, AC$2)*1.3*1.3,0))</f>
        <v>-</v>
      </c>
      <c r="AD45" s="2" t="str">
        <f>IF(AD$2&gt;$H45,"-",ROUNDUP(Ld_cal($A45, $B45, $C45, $F45,$D45, $E45, $G45, AD$2)*1.3*1.3,0))</f>
        <v>-</v>
      </c>
      <c r="AE45" s="2" t="str">
        <f>IF(AE$2&gt;$H45,"-",ROUNDUP(Ld_cal($A45, $B45, $C45, $F45,$D45, $E45, $G45, AE$2)*1.3*1.3,0))</f>
        <v>-</v>
      </c>
      <c r="AF45" s="2" t="str">
        <f>IF(AF$2&gt;$H45,"-",ROUNDUP(Ld_cal($A45, $B45, $C45, $F45,$D45, $E45, $G45, AF$2)*1.3*1.3,0))</f>
        <v>-</v>
      </c>
      <c r="AG45" s="2" t="str">
        <f>IF(AG$2&gt;$H45,"-",ROUNDUP(Ld_cal($A45, $B45, $C45, $F45,$D45, $E45, $G45, AG$2)*1.3*1.3,0))</f>
        <v>-</v>
      </c>
      <c r="AH45" s="2" t="str">
        <f>IF(AH$2&gt;$H45,"-",ROUNDUP(Ld_cal($A45, $B45, $C45, $F45,$D45, $E45, $G45, AH$2)*1.3*1.3,0))</f>
        <v>-</v>
      </c>
      <c r="AI45" s="2" t="str">
        <f>IF(AI$2&gt;$H45,"-",ROUNDUP(Ld_cal($A45, $B45, $C45, $F45,$D45, $E45, $G45, AI$2)*1.3*1.3,0))</f>
        <v>-</v>
      </c>
      <c r="AJ45" s="2" t="str">
        <f>IF(AJ$2&gt;$H45,"-",ROUNDUP(Ld_cal($A45, $B45, $C45, $F45,$D45, $E45, $G45, AJ$2)*1.3*1.3,0))</f>
        <v>-</v>
      </c>
    </row>
    <row r="46" spans="1:36">
      <c r="A46" s="8">
        <f t="shared" si="15"/>
        <v>100</v>
      </c>
      <c r="B46" s="11">
        <f t="shared" si="16"/>
        <v>5</v>
      </c>
      <c r="C46" s="8">
        <f t="shared" si="17"/>
        <v>4200</v>
      </c>
      <c r="D46" s="12">
        <f t="shared" si="34"/>
        <v>13</v>
      </c>
      <c r="E46" s="5">
        <f t="shared" si="20"/>
        <v>10</v>
      </c>
      <c r="F46" s="8">
        <f>F45</f>
        <v>490</v>
      </c>
      <c r="G46" s="3">
        <f t="shared" ref="G46:H46" si="36">G43</f>
        <v>22</v>
      </c>
      <c r="H46" s="1">
        <f t="shared" si="36"/>
        <v>20</v>
      </c>
      <c r="I46" s="1">
        <f>IF(I$2&gt;$H46,"-",ROUNDUP(Ld_cal($A46, $B46, $C46, $F46,$D46, $E46, $G46, I$2)*1.3*1.3,0))</f>
        <v>80</v>
      </c>
      <c r="J46" s="1">
        <f>IF(J$2&gt;$H46,"-",ROUNDUP(Ld_cal($A46, $B46, $C46, $F46,$D46, $E46, $G46, J$2)*1.3*1.3,0))</f>
        <v>80</v>
      </c>
      <c r="K46" s="1">
        <f>IF(K$2&gt;$H46,"-",ROUNDUP(Ld_cal($A46, $B46, $C46, $F46,$D46, $E46, $G46, K$2)*1.3*1.3,0))</f>
        <v>80</v>
      </c>
      <c r="L46" s="1">
        <f>IF(L$2&gt;$H46,"-",ROUNDUP(Ld_cal($A46, $B46, $C46, $F46,$D46, $E46, $G46, L$2)*1.3*1.3,0))</f>
        <v>80</v>
      </c>
      <c r="M46" s="1">
        <f>IF(M$2&gt;$H46,"-",ROUNDUP(Ld_cal($A46, $B46, $C46, $F46,$D46, $E46, $G46, M$2)*1.3*1.3,0))</f>
        <v>80</v>
      </c>
      <c r="N46" s="1">
        <f>IF(N$2&gt;$H46,"-",ROUNDUP(Ld_cal($A46, $B46, $C46, $F46,$D46, $E46, $G46, N$2)*1.3*1.3,0))</f>
        <v>80</v>
      </c>
      <c r="O46" s="1">
        <f>IF(O$2&gt;$H46,"-",ROUNDUP(Ld_cal($A46, $B46, $C46, $F46,$D46, $E46, $G46, O$2)*1.3*1.3,0))</f>
        <v>80</v>
      </c>
      <c r="P46" s="1">
        <f>IF(P$2&gt;$H46,"-",ROUNDUP(Ld_cal($A46, $B46, $C46, $F46,$D46, $E46, $G46, P$2)*1.3*1.3,0))</f>
        <v>80</v>
      </c>
      <c r="Q46" s="1">
        <f>IF(Q$2&gt;$H46,"-",ROUNDUP(Ld_cal($A46, $B46, $C46, $F46,$D46, $E46, $G46, Q$2)*1.3*1.3,0))</f>
        <v>84</v>
      </c>
      <c r="R46" s="1">
        <f>IF(R$2&gt;$H46,"-",ROUNDUP(Ld_cal($A46, $B46, $C46, $F46,$D46, $E46, $G46, R$2)*1.3*1.3,0))</f>
        <v>92</v>
      </c>
      <c r="S46" s="1">
        <f>IF(S$2&gt;$H46,"-",ROUNDUP(Ld_cal($A46, $B46, $C46, $F46,$D46, $E46, $G46, S$2)*1.3*1.3,0))</f>
        <v>100</v>
      </c>
      <c r="T46" s="1">
        <f>IF(T$2&gt;$H46,"-",ROUNDUP(Ld_cal($A46, $B46, $C46, $F46,$D46, $E46, $G46, T$2)*1.3*1.3,0))</f>
        <v>108</v>
      </c>
      <c r="U46" s="1">
        <f>IF(U$2&gt;$H46,"-",ROUNDUP(Ld_cal($A46, $B46, $C46, $F46,$D46, $E46, $G46, U$2)*1.3*1.3,0))</f>
        <v>116</v>
      </c>
      <c r="V46" s="1">
        <f>IF(V$2&gt;$H46,"-",ROUNDUP(Ld_cal($A46, $B46, $C46, $F46,$D46, $E46, $G46, V$2)*1.3*1.3,0))</f>
        <v>125</v>
      </c>
      <c r="W46" s="2">
        <f>IF(W$2&gt;$H46,"-",ROUNDUP(Ld_cal($A46, $B46, $C46, $F46,$D46, $E46, $G46, W$2)*1.3*1.3,0))</f>
        <v>133</v>
      </c>
      <c r="X46" s="2">
        <f>IF(X$2&gt;$H46,"-",ROUNDUP(Ld_cal($A46, $B46, $C46, $F46,$D46, $E46, $G46, X$2)*1.3*1.3,0))</f>
        <v>141</v>
      </c>
      <c r="Y46" s="2">
        <f>IF(Y$2&gt;$H46,"-",ROUNDUP(Ld_cal($A46, $B46, $C46, $F46,$D46, $E46, $G46, Y$2)*1.3*1.3,0))</f>
        <v>149</v>
      </c>
      <c r="Z46" s="2">
        <f>IF(Z$2&gt;$H46,"-",ROUNDUP(Ld_cal($A46, $B46, $C46, $F46,$D46, $E46, $G46, Z$2)*1.3*1.3,0))</f>
        <v>157</v>
      </c>
      <c r="AA46" s="2" t="str">
        <f>IF(AA$2&gt;$H46,"-",ROUNDUP(Ld_cal($A46, $B46, $C46, $F46,$D46, $E46, $G46, AA$2)*1.3*1.3,0))</f>
        <v>-</v>
      </c>
      <c r="AB46" s="2" t="str">
        <f>IF(AB$2&gt;$H46,"-",ROUNDUP(Ld_cal($A46, $B46, $C46, $F46,$D46, $E46, $G46, AB$2)*1.3*1.3,0))</f>
        <v>-</v>
      </c>
      <c r="AC46" s="2" t="str">
        <f>IF(AC$2&gt;$H46,"-",ROUNDUP(Ld_cal($A46, $B46, $C46, $F46,$D46, $E46, $G46, AC$2)*1.3*1.3,0))</f>
        <v>-</v>
      </c>
      <c r="AD46" s="2" t="str">
        <f>IF(AD$2&gt;$H46,"-",ROUNDUP(Ld_cal($A46, $B46, $C46, $F46,$D46, $E46, $G46, AD$2)*1.3*1.3,0))</f>
        <v>-</v>
      </c>
      <c r="AE46" s="2" t="str">
        <f>IF(AE$2&gt;$H46,"-",ROUNDUP(Ld_cal($A46, $B46, $C46, $F46,$D46, $E46, $G46, AE$2)*1.3*1.3,0))</f>
        <v>-</v>
      </c>
      <c r="AF46" s="2" t="str">
        <f>IF(AF$2&gt;$H46,"-",ROUNDUP(Ld_cal($A46, $B46, $C46, $F46,$D46, $E46, $G46, AF$2)*1.3*1.3,0))</f>
        <v>-</v>
      </c>
      <c r="AG46" s="2" t="str">
        <f>IF(AG$2&gt;$H46,"-",ROUNDUP(Ld_cal($A46, $B46, $C46, $F46,$D46, $E46, $G46, AG$2)*1.3*1.3,0))</f>
        <v>-</v>
      </c>
      <c r="AH46" s="2" t="str">
        <f>IF(AH$2&gt;$H46,"-",ROUNDUP(Ld_cal($A46, $B46, $C46, $F46,$D46, $E46, $G46, AH$2)*1.3*1.3,0))</f>
        <v>-</v>
      </c>
      <c r="AI46" s="2" t="str">
        <f>IF(AI$2&gt;$H46,"-",ROUNDUP(Ld_cal($A46, $B46, $C46, $F46,$D46, $E46, $G46, AI$2)*1.3*1.3,0))</f>
        <v>-</v>
      </c>
      <c r="AJ46" s="2" t="str">
        <f>IF(AJ$2&gt;$H46,"-",ROUNDUP(Ld_cal($A46, $B46, $C46, $F46,$D46, $E46, $G46, AJ$2)*1.3*1.3,0))</f>
        <v>-</v>
      </c>
    </row>
    <row r="47" spans="1:36">
      <c r="A47" s="8">
        <f t="shared" si="15"/>
        <v>100</v>
      </c>
      <c r="B47" s="11">
        <f t="shared" si="16"/>
        <v>5</v>
      </c>
      <c r="C47" s="8">
        <f t="shared" si="17"/>
        <v>4200</v>
      </c>
      <c r="D47" s="12">
        <f>D44</f>
        <v>13</v>
      </c>
      <c r="E47" s="5">
        <f t="shared" si="20"/>
        <v>10</v>
      </c>
      <c r="F47" s="17">
        <f>F22</f>
        <v>560</v>
      </c>
      <c r="G47" s="3">
        <f t="shared" ref="G47:H47" si="37">G44</f>
        <v>32</v>
      </c>
      <c r="H47" s="1">
        <f t="shared" si="37"/>
        <v>14</v>
      </c>
      <c r="I47" s="1">
        <f>IF(I$2&gt;$H47,"-",ROUNDUP(Ld_cal($A47, $B47, $C47, $F47,$D47, $E47, $G47, I$2)*1.3*1.3,0))</f>
        <v>108</v>
      </c>
      <c r="J47" s="1">
        <f>IF(J$2&gt;$H47,"-",ROUNDUP(Ld_cal($A47, $B47, $C47, $F47,$D47, $E47, $G47, J$2)*1.3*1.3,0))</f>
        <v>108</v>
      </c>
      <c r="K47" s="1">
        <f>IF(K$2&gt;$H47,"-",ROUNDUP(Ld_cal($A47, $B47, $C47, $F47,$D47, $E47, $G47, K$2)*1.3*1.3,0))</f>
        <v>108</v>
      </c>
      <c r="L47" s="1">
        <f>IF(L$2&gt;$H47,"-",ROUNDUP(Ld_cal($A47, $B47, $C47, $F47,$D47, $E47, $G47, L$2)*1.3*1.3,0))</f>
        <v>108</v>
      </c>
      <c r="M47" s="1">
        <f>IF(M$2&gt;$H47,"-",ROUNDUP(Ld_cal($A47, $B47, $C47, $F47,$D47, $E47, $G47, M$2)*1.3*1.3,0))</f>
        <v>108</v>
      </c>
      <c r="N47" s="1">
        <f>IF(N$2&gt;$H47,"-",ROUNDUP(Ld_cal($A47, $B47, $C47, $F47,$D47, $E47, $G47, N$2)*1.3*1.3,0))</f>
        <v>118</v>
      </c>
      <c r="O47" s="1">
        <f>IF(O$2&gt;$H47,"-",ROUNDUP(Ld_cal($A47, $B47, $C47, $F47,$D47, $E47, $G47, O$2)*1.3*1.3,0))</f>
        <v>134</v>
      </c>
      <c r="P47" s="1">
        <f>IF(P$2&gt;$H47,"-",ROUNDUP(Ld_cal($A47, $B47, $C47, $F47,$D47, $E47, $G47, P$2)*1.3*1.3,0))</f>
        <v>150</v>
      </c>
      <c r="Q47" s="1">
        <f>IF(Q$2&gt;$H47,"-",ROUNDUP(Ld_cal($A47, $B47, $C47, $F47,$D47, $E47, $G47, Q$2)*1.3*1.3,0))</f>
        <v>167</v>
      </c>
      <c r="R47" s="1">
        <f>IF(R$2&gt;$H47,"-",ROUNDUP(Ld_cal($A47, $B47, $C47, $F47,$D47, $E47, $G47, R$2)*1.3*1.3,0))</f>
        <v>183</v>
      </c>
      <c r="S47" s="1">
        <f>IF(S$2&gt;$H47,"-",ROUNDUP(Ld_cal($A47, $B47, $C47, $F47,$D47, $E47, $G47, S$2)*1.3*1.3,0))</f>
        <v>199</v>
      </c>
      <c r="T47" s="1">
        <f>IF(T$2&gt;$H47,"-",ROUNDUP(Ld_cal($A47, $B47, $C47, $F47,$D47, $E47, $G47, T$2)*1.3*1.3,0))</f>
        <v>216</v>
      </c>
      <c r="U47" s="1" t="str">
        <f>IF(U$2&gt;$H47,"-",ROUNDUP(Ld_cal($A47, $B47, $C47, $F47,$D47, $E47, $G47, U$2)*1.3*1.3,0))</f>
        <v>-</v>
      </c>
      <c r="V47" s="1" t="str">
        <f>IF(V$2&gt;$H47,"-",ROUNDUP(Ld_cal($A47, $B47, $C47, $F47,$D47, $E47, $G47, V$2)*1.3*1.3,0))</f>
        <v>-</v>
      </c>
      <c r="W47" s="2" t="str">
        <f>IF(W$2&gt;$H47,"-",ROUNDUP(Ld_cal($A47, $B47, $C47, $F47,$D47, $E47, $G47, W$2)*1.3*1.3,0))</f>
        <v>-</v>
      </c>
      <c r="X47" s="2" t="str">
        <f>IF(X$2&gt;$H47,"-",ROUNDUP(Ld_cal($A47, $B47, $C47, $F47,$D47, $E47, $G47, X$2)*1.3*1.3,0))</f>
        <v>-</v>
      </c>
      <c r="Y47" s="2" t="str">
        <f>IF(Y$2&gt;$H47,"-",ROUNDUP(Ld_cal($A47, $B47, $C47, $F47,$D47, $E47, $G47, Y$2)*1.3*1.3,0))</f>
        <v>-</v>
      </c>
      <c r="Z47" s="2" t="str">
        <f>IF(Z$2&gt;$H47,"-",ROUNDUP(Ld_cal($A47, $B47, $C47, $F47,$D47, $E47, $G47, Z$2)*1.3*1.3,0))</f>
        <v>-</v>
      </c>
      <c r="AA47" s="2" t="str">
        <f>IF(AA$2&gt;$H47,"-",ROUNDUP(Ld_cal($A47, $B47, $C47, $F47,$D47, $E47, $G47, AA$2)*1.3*1.3,0))</f>
        <v>-</v>
      </c>
      <c r="AB47" s="2" t="str">
        <f>IF(AB$2&gt;$H47,"-",ROUNDUP(Ld_cal($A47, $B47, $C47, $F47,$D47, $E47, $G47, AB$2)*1.3*1.3,0))</f>
        <v>-</v>
      </c>
      <c r="AC47" s="2" t="str">
        <f>IF(AC$2&gt;$H47,"-",ROUNDUP(Ld_cal($A47, $B47, $C47, $F47,$D47, $E47, $G47, AC$2)*1.3*1.3,0))</f>
        <v>-</v>
      </c>
      <c r="AD47" s="2" t="str">
        <f>IF(AD$2&gt;$H47,"-",ROUNDUP(Ld_cal($A47, $B47, $C47, $F47,$D47, $E47, $G47, AD$2)*1.3*1.3,0))</f>
        <v>-</v>
      </c>
      <c r="AE47" s="2" t="str">
        <f>IF(AE$2&gt;$H47,"-",ROUNDUP(Ld_cal($A47, $B47, $C47, $F47,$D47, $E47, $G47, AE$2)*1.3*1.3,0))</f>
        <v>-</v>
      </c>
      <c r="AF47" s="2" t="str">
        <f>IF(AF$2&gt;$H47,"-",ROUNDUP(Ld_cal($A47, $B47, $C47, $F47,$D47, $E47, $G47, AF$2)*1.3*1.3,0))</f>
        <v>-</v>
      </c>
      <c r="AG47" s="2" t="str">
        <f>IF(AG$2&gt;$H47,"-",ROUNDUP(Ld_cal($A47, $B47, $C47, $F47,$D47, $E47, $G47, AG$2)*1.3*1.3,0))</f>
        <v>-</v>
      </c>
      <c r="AH47" s="2" t="str">
        <f>IF(AH$2&gt;$H47,"-",ROUNDUP(Ld_cal($A47, $B47, $C47, $F47,$D47, $E47, $G47, AH$2)*1.3*1.3,0))</f>
        <v>-</v>
      </c>
      <c r="AI47" s="2" t="str">
        <f>IF(AI$2&gt;$H47,"-",ROUNDUP(Ld_cal($A47, $B47, $C47, $F47,$D47, $E47, $G47, AI$2)*1.3*1.3,0))</f>
        <v>-</v>
      </c>
      <c r="AJ47" s="2" t="str">
        <f>IF(AJ$2&gt;$H47,"-",ROUNDUP(Ld_cal($A47, $B47, $C47, $F47,$D47, $E47, $G47, AJ$2)*1.3*1.3,0))</f>
        <v>-</v>
      </c>
    </row>
    <row r="48" spans="1:36">
      <c r="A48" s="8">
        <f t="shared" si="15"/>
        <v>100</v>
      </c>
      <c r="B48" s="11">
        <f t="shared" si="16"/>
        <v>5</v>
      </c>
      <c r="C48" s="8">
        <f t="shared" si="17"/>
        <v>4200</v>
      </c>
      <c r="D48" s="12">
        <f t="shared" ref="D48:D49" si="38">D45</f>
        <v>13</v>
      </c>
      <c r="E48" s="5">
        <f t="shared" si="20"/>
        <v>10</v>
      </c>
      <c r="F48" s="8">
        <f>F47</f>
        <v>560</v>
      </c>
      <c r="G48" s="3">
        <f t="shared" ref="G48:H48" si="39">G45</f>
        <v>25</v>
      </c>
      <c r="H48" s="1">
        <f t="shared" si="39"/>
        <v>17</v>
      </c>
      <c r="I48" s="1">
        <f>IF(I$2&gt;$H48,"-",ROUNDUP(Ld_cal($A48, $B48, $C48, $F48,$D48, $E48, $G48, I$2)*1.3*1.3,0))</f>
        <v>84</v>
      </c>
      <c r="J48" s="1">
        <f>IF(J$2&gt;$H48,"-",ROUNDUP(Ld_cal($A48, $B48, $C48, $F48,$D48, $E48, $G48, J$2)*1.3*1.3,0))</f>
        <v>84</v>
      </c>
      <c r="K48" s="1">
        <f>IF(K$2&gt;$H48,"-",ROUNDUP(Ld_cal($A48, $B48, $C48, $F48,$D48, $E48, $G48, K$2)*1.3*1.3,0))</f>
        <v>84</v>
      </c>
      <c r="L48" s="1">
        <f>IF(L$2&gt;$H48,"-",ROUNDUP(Ld_cal($A48, $B48, $C48, $F48,$D48, $E48, $G48, L$2)*1.3*1.3,0))</f>
        <v>84</v>
      </c>
      <c r="M48" s="1">
        <f>IF(M$2&gt;$H48,"-",ROUNDUP(Ld_cal($A48, $B48, $C48, $F48,$D48, $E48, $G48, M$2)*1.3*1.3,0))</f>
        <v>84</v>
      </c>
      <c r="N48" s="1">
        <f>IF(N$2&gt;$H48,"-",ROUNDUP(Ld_cal($A48, $B48, $C48, $F48,$D48, $E48, $G48, N$2)*1.3*1.3,0))</f>
        <v>84</v>
      </c>
      <c r="O48" s="1">
        <f>IF(O$2&gt;$H48,"-",ROUNDUP(Ld_cal($A48, $B48, $C48, $F48,$D48, $E48, $G48, O$2)*1.3*1.3,0))</f>
        <v>84</v>
      </c>
      <c r="P48" s="1">
        <f>IF(P$2&gt;$H48,"-",ROUNDUP(Ld_cal($A48, $B48, $C48, $F48,$D48, $E48, $G48, P$2)*1.3*1.3,0))</f>
        <v>91</v>
      </c>
      <c r="Q48" s="1">
        <f>IF(Q$2&gt;$H48,"-",ROUNDUP(Ld_cal($A48, $B48, $C48, $F48,$D48, $E48, $G48, Q$2)*1.3*1.3,0))</f>
        <v>101</v>
      </c>
      <c r="R48" s="1">
        <f>IF(R$2&gt;$H48,"-",ROUNDUP(Ld_cal($A48, $B48, $C48, $F48,$D48, $E48, $G48, R$2)*1.3*1.3,0))</f>
        <v>111</v>
      </c>
      <c r="S48" s="1">
        <f>IF(S$2&gt;$H48,"-",ROUNDUP(Ld_cal($A48, $B48, $C48, $F48,$D48, $E48, $G48, S$2)*1.3*1.3,0))</f>
        <v>121</v>
      </c>
      <c r="T48" s="1">
        <f>IF(T$2&gt;$H48,"-",ROUNDUP(Ld_cal($A48, $B48, $C48, $F48,$D48, $E48, $G48, T$2)*1.3*1.3,0))</f>
        <v>131</v>
      </c>
      <c r="U48" s="1">
        <f>IF(U$2&gt;$H48,"-",ROUNDUP(Ld_cal($A48, $B48, $C48, $F48,$D48, $E48, $G48, U$2)*1.3*1.3,0))</f>
        <v>141</v>
      </c>
      <c r="V48" s="1">
        <f>IF(V$2&gt;$H48,"-",ROUNDUP(Ld_cal($A48, $B48, $C48, $F48,$D48, $E48, $G48, V$2)*1.3*1.3,0))</f>
        <v>151</v>
      </c>
      <c r="W48" s="2">
        <f>IF(W$2&gt;$H48,"-",ROUNDUP(Ld_cal($A48, $B48, $C48, $F48,$D48, $E48, $G48, W$2)*1.3*1.3,0))</f>
        <v>161</v>
      </c>
      <c r="X48" s="2" t="str">
        <f>IF(X$2&gt;$H48,"-",ROUNDUP(Ld_cal($A48, $B48, $C48, $F48,$D48, $E48, $G48, X$2)*1.3*1.3,0))</f>
        <v>-</v>
      </c>
      <c r="Y48" s="2" t="str">
        <f>IF(Y$2&gt;$H48,"-",ROUNDUP(Ld_cal($A48, $B48, $C48, $F48,$D48, $E48, $G48, Y$2)*1.3*1.3,0))</f>
        <v>-</v>
      </c>
      <c r="Z48" s="2" t="str">
        <f>IF(Z$2&gt;$H48,"-",ROUNDUP(Ld_cal($A48, $B48, $C48, $F48,$D48, $E48, $G48, Z$2)*1.3*1.3,0))</f>
        <v>-</v>
      </c>
      <c r="AA48" s="2" t="str">
        <f>IF(AA$2&gt;$H48,"-",ROUNDUP(Ld_cal($A48, $B48, $C48, $F48,$D48, $E48, $G48, AA$2)*1.3*1.3,0))</f>
        <v>-</v>
      </c>
      <c r="AB48" s="2" t="str">
        <f>IF(AB$2&gt;$H48,"-",ROUNDUP(Ld_cal($A48, $B48, $C48, $F48,$D48, $E48, $G48, AB$2)*1.3*1.3,0))</f>
        <v>-</v>
      </c>
      <c r="AC48" s="2" t="str">
        <f>IF(AC$2&gt;$H48,"-",ROUNDUP(Ld_cal($A48, $B48, $C48, $F48,$D48, $E48, $G48, AC$2)*1.3*1.3,0))</f>
        <v>-</v>
      </c>
      <c r="AD48" s="2" t="str">
        <f>IF(AD$2&gt;$H48,"-",ROUNDUP(Ld_cal($A48, $B48, $C48, $F48,$D48, $E48, $G48, AD$2)*1.3*1.3,0))</f>
        <v>-</v>
      </c>
      <c r="AE48" s="2" t="str">
        <f>IF(AE$2&gt;$H48,"-",ROUNDUP(Ld_cal($A48, $B48, $C48, $F48,$D48, $E48, $G48, AE$2)*1.3*1.3,0))</f>
        <v>-</v>
      </c>
      <c r="AF48" s="2" t="str">
        <f>IF(AF$2&gt;$H48,"-",ROUNDUP(Ld_cal($A48, $B48, $C48, $F48,$D48, $E48, $G48, AF$2)*1.3*1.3,0))</f>
        <v>-</v>
      </c>
      <c r="AG48" s="2" t="str">
        <f>IF(AG$2&gt;$H48,"-",ROUNDUP(Ld_cal($A48, $B48, $C48, $F48,$D48, $E48, $G48, AG$2)*1.3*1.3,0))</f>
        <v>-</v>
      </c>
      <c r="AH48" s="2" t="str">
        <f>IF(AH$2&gt;$H48,"-",ROUNDUP(Ld_cal($A48, $B48, $C48, $F48,$D48, $E48, $G48, AH$2)*1.3*1.3,0))</f>
        <v>-</v>
      </c>
      <c r="AI48" s="2" t="str">
        <f>IF(AI$2&gt;$H48,"-",ROUNDUP(Ld_cal($A48, $B48, $C48, $F48,$D48, $E48, $G48, AI$2)*1.3*1.3,0))</f>
        <v>-</v>
      </c>
      <c r="AJ48" s="2" t="str">
        <f>IF(AJ$2&gt;$H48,"-",ROUNDUP(Ld_cal($A48, $B48, $C48, $F48,$D48, $E48, $G48, AJ$2)*1.3*1.3,0))</f>
        <v>-</v>
      </c>
    </row>
    <row r="49" spans="1:36">
      <c r="A49" s="8">
        <f t="shared" si="15"/>
        <v>100</v>
      </c>
      <c r="B49" s="11">
        <f t="shared" si="16"/>
        <v>5</v>
      </c>
      <c r="C49" s="8">
        <f t="shared" si="17"/>
        <v>4200</v>
      </c>
      <c r="D49" s="12">
        <f t="shared" si="38"/>
        <v>13</v>
      </c>
      <c r="E49" s="5">
        <f t="shared" si="20"/>
        <v>10</v>
      </c>
      <c r="F49" s="8">
        <f>F48</f>
        <v>560</v>
      </c>
      <c r="G49" s="3">
        <f t="shared" ref="G49:H49" si="40">G46</f>
        <v>22</v>
      </c>
      <c r="H49" s="1">
        <f t="shared" si="40"/>
        <v>20</v>
      </c>
      <c r="I49" s="1">
        <f>IF(I$2&gt;$H49,"-",ROUNDUP(Ld_cal($A49, $B49, $C49, $F49,$D49, $E49, $G49, I$2)*1.3*1.3,0))</f>
        <v>74</v>
      </c>
      <c r="J49" s="1">
        <f>IF(J$2&gt;$H49,"-",ROUNDUP(Ld_cal($A49, $B49, $C49, $F49,$D49, $E49, $G49, J$2)*1.3*1.3,0))</f>
        <v>74</v>
      </c>
      <c r="K49" s="1">
        <f>IF(K$2&gt;$H49,"-",ROUNDUP(Ld_cal($A49, $B49, $C49, $F49,$D49, $E49, $G49, K$2)*1.3*1.3,0))</f>
        <v>74</v>
      </c>
      <c r="L49" s="1">
        <f>IF(L$2&gt;$H49,"-",ROUNDUP(Ld_cal($A49, $B49, $C49, $F49,$D49, $E49, $G49, L$2)*1.3*1.3,0))</f>
        <v>74</v>
      </c>
      <c r="M49" s="1">
        <f>IF(M$2&gt;$H49,"-",ROUNDUP(Ld_cal($A49, $B49, $C49, $F49,$D49, $E49, $G49, M$2)*1.3*1.3,0))</f>
        <v>74</v>
      </c>
      <c r="N49" s="1">
        <f>IF(N$2&gt;$H49,"-",ROUNDUP(Ld_cal($A49, $B49, $C49, $F49,$D49, $E49, $G49, N$2)*1.3*1.3,0))</f>
        <v>74</v>
      </c>
      <c r="O49" s="1">
        <f>IF(O$2&gt;$H49,"-",ROUNDUP(Ld_cal($A49, $B49, $C49, $F49,$D49, $E49, $G49, O$2)*1.3*1.3,0))</f>
        <v>74</v>
      </c>
      <c r="P49" s="1">
        <f>IF(P$2&gt;$H49,"-",ROUNDUP(Ld_cal($A49, $B49, $C49, $F49,$D49, $E49, $G49, P$2)*1.3*1.3,0))</f>
        <v>74</v>
      </c>
      <c r="Q49" s="1">
        <f>IF(Q$2&gt;$H49,"-",ROUNDUP(Ld_cal($A49, $B49, $C49, $F49,$D49, $E49, $G49, Q$2)*1.3*1.3,0))</f>
        <v>78</v>
      </c>
      <c r="R49" s="1">
        <f>IF(R$2&gt;$H49,"-",ROUNDUP(Ld_cal($A49, $B49, $C49, $F49,$D49, $E49, $G49, R$2)*1.3*1.3,0))</f>
        <v>86</v>
      </c>
      <c r="S49" s="1">
        <f>IF(S$2&gt;$H49,"-",ROUNDUP(Ld_cal($A49, $B49, $C49, $F49,$D49, $E49, $G49, S$2)*1.3*1.3,0))</f>
        <v>94</v>
      </c>
      <c r="T49" s="1">
        <f>IF(T$2&gt;$H49,"-",ROUNDUP(Ld_cal($A49, $B49, $C49, $F49,$D49, $E49, $G49, T$2)*1.3*1.3,0))</f>
        <v>101</v>
      </c>
      <c r="U49" s="1">
        <f>IF(U$2&gt;$H49,"-",ROUNDUP(Ld_cal($A49, $B49, $C49, $F49,$D49, $E49, $G49, U$2)*1.3*1.3,0))</f>
        <v>109</v>
      </c>
      <c r="V49" s="1">
        <f>IF(V$2&gt;$H49,"-",ROUNDUP(Ld_cal($A49, $B49, $C49, $F49,$D49, $E49, $G49, V$2)*1.3*1.3,0))</f>
        <v>117</v>
      </c>
      <c r="W49" s="2">
        <f>IF(W$2&gt;$H49,"-",ROUNDUP(Ld_cal($A49, $B49, $C49, $F49,$D49, $E49, $G49, W$2)*1.3*1.3,0))</f>
        <v>124</v>
      </c>
      <c r="X49" s="2">
        <f>IF(X$2&gt;$H49,"-",ROUNDUP(Ld_cal($A49, $B49, $C49, $F49,$D49, $E49, $G49, X$2)*1.3*1.3,0))</f>
        <v>132</v>
      </c>
      <c r="Y49" s="2">
        <f>IF(Y$2&gt;$H49,"-",ROUNDUP(Ld_cal($A49, $B49, $C49, $F49,$D49, $E49, $G49, Y$2)*1.3*1.3,0))</f>
        <v>139</v>
      </c>
      <c r="Z49" s="2">
        <f>IF(Z$2&gt;$H49,"-",ROUNDUP(Ld_cal($A49, $B49, $C49, $F49,$D49, $E49, $G49, Z$2)*1.3*1.3,0))</f>
        <v>147</v>
      </c>
      <c r="AA49" s="2" t="str">
        <f>IF(AA$2&gt;$H49,"-",ROUNDUP(Ld_cal($A49, $B49, $C49, $F49,$D49, $E49, $G49, AA$2)*1.3*1.3,0))</f>
        <v>-</v>
      </c>
      <c r="AB49" s="2" t="str">
        <f>IF(AB$2&gt;$H49,"-",ROUNDUP(Ld_cal($A49, $B49, $C49, $F49,$D49, $E49, $G49, AB$2)*1.3*1.3,0))</f>
        <v>-</v>
      </c>
      <c r="AC49" s="2" t="str">
        <f>IF(AC$2&gt;$H49,"-",ROUNDUP(Ld_cal($A49, $B49, $C49, $F49,$D49, $E49, $G49, AC$2)*1.3*1.3,0))</f>
        <v>-</v>
      </c>
      <c r="AD49" s="2" t="str">
        <f>IF(AD$2&gt;$H49,"-",ROUNDUP(Ld_cal($A49, $B49, $C49, $F49,$D49, $E49, $G49, AD$2)*1.3*1.3,0))</f>
        <v>-</v>
      </c>
      <c r="AE49" s="2" t="str">
        <f>IF(AE$2&gt;$H49,"-",ROUNDUP(Ld_cal($A49, $B49, $C49, $F49,$D49, $E49, $G49, AE$2)*1.3*1.3,0))</f>
        <v>-</v>
      </c>
      <c r="AF49" s="2" t="str">
        <f>IF(AF$2&gt;$H49,"-",ROUNDUP(Ld_cal($A49, $B49, $C49, $F49,$D49, $E49, $G49, AF$2)*1.3*1.3,0))</f>
        <v>-</v>
      </c>
      <c r="AG49" s="2" t="str">
        <f>IF(AG$2&gt;$H49,"-",ROUNDUP(Ld_cal($A49, $B49, $C49, $F49,$D49, $E49, $G49, AG$2)*1.3*1.3,0))</f>
        <v>-</v>
      </c>
      <c r="AH49" s="2" t="str">
        <f>IF(AH$2&gt;$H49,"-",ROUNDUP(Ld_cal($A49, $B49, $C49, $F49,$D49, $E49, $G49, AH$2)*1.3*1.3,0))</f>
        <v>-</v>
      </c>
      <c r="AI49" s="2" t="str">
        <f>IF(AI$2&gt;$H49,"-",ROUNDUP(Ld_cal($A49, $B49, $C49, $F49,$D49, $E49, $G49, AI$2)*1.3*1.3,0))</f>
        <v>-</v>
      </c>
      <c r="AJ49" s="2" t="str">
        <f>IF(AJ$2&gt;$H49,"-",ROUNDUP(Ld_cal($A49, $B49, $C49, $F49,$D49, $E49, $G49, AJ$2)*1.3*1.3,0))</f>
        <v>-</v>
      </c>
    </row>
  </sheetData>
  <mergeCells count="21">
    <mergeCell ref="A26:A27"/>
    <mergeCell ref="B26:B27"/>
    <mergeCell ref="C26:C27"/>
    <mergeCell ref="D26:D28"/>
    <mergeCell ref="E26:E27"/>
    <mergeCell ref="D1:D3"/>
    <mergeCell ref="A1:A2"/>
    <mergeCell ref="B1:B2"/>
    <mergeCell ref="C1:C2"/>
    <mergeCell ref="F1:F2"/>
    <mergeCell ref="E1:E2"/>
    <mergeCell ref="G1:G3"/>
    <mergeCell ref="I25:V25"/>
    <mergeCell ref="F26:F27"/>
    <mergeCell ref="G26:G28"/>
    <mergeCell ref="H26:H28"/>
    <mergeCell ref="H1:H3"/>
    <mergeCell ref="I28:AJ28"/>
    <mergeCell ref="I26:AJ26"/>
    <mergeCell ref="I3:AJ3"/>
    <mergeCell ref="I1:AJ1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AJ45"/>
  <sheetViews>
    <sheetView showGridLines="0" view="pageBreakPreview" topLeftCell="A28" zoomScaleNormal="100" zoomScaleSheetLayoutView="100" workbookViewId="0">
      <selection activeCell="I34" sqref="I34"/>
    </sheetView>
  </sheetViews>
  <sheetFormatPr defaultRowHeight="16.5"/>
  <cols>
    <col min="1" max="1" width="5.5" style="15" bestFit="1" customWidth="1"/>
    <col min="2" max="2" width="7.5" style="16" bestFit="1" customWidth="1"/>
    <col min="3" max="3" width="10.125" style="15" customWidth="1"/>
    <col min="4" max="4" width="5.5" style="14" bestFit="1" customWidth="1"/>
    <col min="5" max="5" width="8.125" style="14" customWidth="1"/>
    <col min="6" max="6" width="10.125" style="15" customWidth="1"/>
    <col min="7" max="7" width="5.5" style="13" bestFit="1" customWidth="1"/>
    <col min="8" max="8" width="5.5" style="13" customWidth="1"/>
    <col min="9" max="62" width="6.625" style="13" customWidth="1"/>
    <col min="63" max="16384" width="9" style="13"/>
  </cols>
  <sheetData>
    <row r="1" spans="1:36" ht="31.5" customHeight="1">
      <c r="A1" s="153" t="s">
        <v>32</v>
      </c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  <c r="AH1" s="153"/>
      <c r="AI1" s="153"/>
      <c r="AJ1" s="153"/>
    </row>
    <row r="2" spans="1:36" ht="18" customHeight="1">
      <c r="A2" s="85" t="s">
        <v>24</v>
      </c>
      <c r="B2" s="154" t="s">
        <v>25</v>
      </c>
      <c r="C2" s="85" t="s">
        <v>27</v>
      </c>
      <c r="D2" s="89" t="s">
        <v>22</v>
      </c>
      <c r="E2" s="118" t="s">
        <v>26</v>
      </c>
      <c r="F2" s="156" t="s">
        <v>28</v>
      </c>
      <c r="G2" s="89" t="s">
        <v>23</v>
      </c>
      <c r="H2" s="89" t="s">
        <v>31</v>
      </c>
      <c r="I2" s="150" t="s">
        <v>6</v>
      </c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  <c r="AF2" s="151"/>
      <c r="AG2" s="151"/>
      <c r="AH2" s="151"/>
      <c r="AI2" s="151"/>
      <c r="AJ2" s="152"/>
    </row>
    <row r="3" spans="1:36" ht="18" customHeight="1">
      <c r="A3" s="82"/>
      <c r="B3" s="84"/>
      <c r="C3" s="82"/>
      <c r="D3" s="149"/>
      <c r="E3" s="155"/>
      <c r="F3" s="157"/>
      <c r="G3" s="149"/>
      <c r="H3" s="96"/>
      <c r="I3" s="24">
        <f>計算表格!I2</f>
        <v>3</v>
      </c>
      <c r="J3" s="24">
        <f>計算表格!J2</f>
        <v>4</v>
      </c>
      <c r="K3" s="24">
        <f>計算表格!K2</f>
        <v>5</v>
      </c>
      <c r="L3" s="24">
        <f>計算表格!L2</f>
        <v>6</v>
      </c>
      <c r="M3" s="24">
        <f>計算表格!M2</f>
        <v>7</v>
      </c>
      <c r="N3" s="24">
        <f>計算表格!N2</f>
        <v>8</v>
      </c>
      <c r="O3" s="24">
        <f>計算表格!O2</f>
        <v>9</v>
      </c>
      <c r="P3" s="24">
        <f>計算表格!P2</f>
        <v>10</v>
      </c>
      <c r="Q3" s="24">
        <f>計算表格!Q2</f>
        <v>11</v>
      </c>
      <c r="R3" s="24">
        <f>計算表格!R2</f>
        <v>12</v>
      </c>
      <c r="S3" s="24">
        <f>計算表格!S2</f>
        <v>13</v>
      </c>
      <c r="T3" s="24">
        <f>計算表格!T2</f>
        <v>14</v>
      </c>
      <c r="U3" s="24">
        <f>計算表格!U2</f>
        <v>15</v>
      </c>
      <c r="V3" s="24">
        <f>計算表格!V2</f>
        <v>16</v>
      </c>
      <c r="W3" s="24">
        <f>計算表格!W2</f>
        <v>17</v>
      </c>
      <c r="X3" s="24">
        <f>計算表格!X2</f>
        <v>18</v>
      </c>
      <c r="Y3" s="24">
        <f>計算表格!Y2</f>
        <v>19</v>
      </c>
      <c r="Z3" s="24">
        <f>計算表格!Z2</f>
        <v>20</v>
      </c>
      <c r="AA3" s="24">
        <f>計算表格!AA2</f>
        <v>21</v>
      </c>
      <c r="AB3" s="24">
        <f>計算表格!AB2</f>
        <v>22</v>
      </c>
      <c r="AC3" s="24">
        <f>計算表格!AC2</f>
        <v>23</v>
      </c>
      <c r="AD3" s="24">
        <f>計算表格!AD2</f>
        <v>24</v>
      </c>
      <c r="AE3" s="24">
        <f>計算表格!AE2</f>
        <v>25</v>
      </c>
      <c r="AF3" s="24">
        <f>計算表格!AF2</f>
        <v>26</v>
      </c>
      <c r="AG3" s="24">
        <f>計算表格!AG2</f>
        <v>27</v>
      </c>
      <c r="AH3" s="24">
        <f>計算表格!AH2</f>
        <v>28</v>
      </c>
      <c r="AI3" s="24">
        <f>計算表格!AI2</f>
        <v>29</v>
      </c>
      <c r="AJ3" s="24">
        <f>計算表格!AJ2</f>
        <v>30</v>
      </c>
    </row>
    <row r="4" spans="1:36">
      <c r="A4" s="142">
        <f>計算表格!A4</f>
        <v>100</v>
      </c>
      <c r="B4" s="146">
        <f>計算表格!B4</f>
        <v>5</v>
      </c>
      <c r="C4" s="142">
        <f>計算表格!C4</f>
        <v>4200</v>
      </c>
      <c r="D4" s="140">
        <f>計算表格!D4</f>
        <v>13</v>
      </c>
      <c r="E4" s="142">
        <f>計算表格!E4</f>
        <v>10</v>
      </c>
      <c r="F4" s="142">
        <f>計算表格!F4</f>
        <v>210</v>
      </c>
      <c r="G4" s="140">
        <f>計算表格!G4</f>
        <v>32</v>
      </c>
      <c r="H4" s="31" t="s">
        <v>29</v>
      </c>
      <c r="I4" s="29">
        <f>計算表格!I4</f>
        <v>136</v>
      </c>
      <c r="J4" s="29">
        <f>計算表格!J4</f>
        <v>136</v>
      </c>
      <c r="K4" s="29">
        <f>計算表格!K4</f>
        <v>136</v>
      </c>
      <c r="L4" s="29">
        <f>計算表格!L4</f>
        <v>136</v>
      </c>
      <c r="M4" s="29">
        <f>計算表格!M4</f>
        <v>136</v>
      </c>
      <c r="N4" s="29">
        <f>計算表格!N4</f>
        <v>148</v>
      </c>
      <c r="O4" s="29">
        <f>計算表格!O4</f>
        <v>168</v>
      </c>
      <c r="P4" s="29">
        <f>計算表格!P4</f>
        <v>189</v>
      </c>
      <c r="Q4" s="29">
        <f>計算表格!Q4</f>
        <v>209</v>
      </c>
      <c r="R4" s="29">
        <f>計算表格!R4</f>
        <v>230</v>
      </c>
      <c r="S4" s="29">
        <f>計算表格!S4</f>
        <v>250</v>
      </c>
      <c r="T4" s="29">
        <f>計算表格!T4</f>
        <v>271</v>
      </c>
      <c r="U4" s="29" t="str">
        <f>計算表格!U4</f>
        <v>-</v>
      </c>
      <c r="V4" s="29" t="str">
        <f>計算表格!V4</f>
        <v>-</v>
      </c>
      <c r="W4" s="29" t="str">
        <f>計算表格!W4</f>
        <v>-</v>
      </c>
      <c r="X4" s="29" t="str">
        <f>計算表格!X4</f>
        <v>-</v>
      </c>
      <c r="Y4" s="29" t="str">
        <f>計算表格!Y4</f>
        <v>-</v>
      </c>
      <c r="Z4" s="29" t="str">
        <f>計算表格!Z4</f>
        <v>-</v>
      </c>
      <c r="AA4" s="29" t="str">
        <f>計算表格!AA4</f>
        <v>-</v>
      </c>
      <c r="AB4" s="29" t="str">
        <f>計算表格!AB4</f>
        <v>-</v>
      </c>
      <c r="AC4" s="29" t="str">
        <f>計算表格!AC4</f>
        <v>-</v>
      </c>
      <c r="AD4" s="29" t="str">
        <f>計算表格!AD4</f>
        <v>-</v>
      </c>
      <c r="AE4" s="29" t="str">
        <f>計算表格!AE4</f>
        <v>-</v>
      </c>
      <c r="AF4" s="29" t="str">
        <f>計算表格!AF4</f>
        <v>-</v>
      </c>
      <c r="AG4" s="29" t="str">
        <f>計算表格!AG4</f>
        <v>-</v>
      </c>
      <c r="AH4" s="29" t="str">
        <f>計算表格!AH4</f>
        <v>-</v>
      </c>
      <c r="AI4" s="29" t="str">
        <f>計算表格!AI4</f>
        <v>-</v>
      </c>
      <c r="AJ4" s="29" t="str">
        <f>計算表格!AJ4</f>
        <v>-</v>
      </c>
    </row>
    <row r="5" spans="1:36">
      <c r="A5" s="143"/>
      <c r="B5" s="147"/>
      <c r="C5" s="143"/>
      <c r="D5" s="145"/>
      <c r="E5" s="143"/>
      <c r="F5" s="143"/>
      <c r="G5" s="141"/>
      <c r="H5" s="32" t="s">
        <v>30</v>
      </c>
      <c r="I5" s="29">
        <f>IF(I4&lt;&gt;"-",ROUNDUP(1.3*I4,0),"-")</f>
        <v>177</v>
      </c>
      <c r="J5" s="29">
        <f t="shared" ref="J5:V5" si="0">IF(J4&lt;&gt;"-",ROUNDUP(1.3*J4,0),"-")</f>
        <v>177</v>
      </c>
      <c r="K5" s="29">
        <f t="shared" si="0"/>
        <v>177</v>
      </c>
      <c r="L5" s="29">
        <f t="shared" si="0"/>
        <v>177</v>
      </c>
      <c r="M5" s="29">
        <f t="shared" si="0"/>
        <v>177</v>
      </c>
      <c r="N5" s="29">
        <f t="shared" si="0"/>
        <v>193</v>
      </c>
      <c r="O5" s="29">
        <f t="shared" si="0"/>
        <v>219</v>
      </c>
      <c r="P5" s="29">
        <f t="shared" si="0"/>
        <v>246</v>
      </c>
      <c r="Q5" s="29">
        <f t="shared" si="0"/>
        <v>272</v>
      </c>
      <c r="R5" s="29">
        <f t="shared" si="0"/>
        <v>299</v>
      </c>
      <c r="S5" s="29">
        <f t="shared" si="0"/>
        <v>325</v>
      </c>
      <c r="T5" s="29">
        <f t="shared" si="0"/>
        <v>353</v>
      </c>
      <c r="U5" s="29" t="str">
        <f t="shared" si="0"/>
        <v>-</v>
      </c>
      <c r="V5" s="29" t="str">
        <f t="shared" si="0"/>
        <v>-</v>
      </c>
      <c r="W5" s="29" t="str">
        <f t="shared" ref="W5" si="1">IF(W4&lt;&gt;"-",ROUNDUP(1.3*W4,0),"-")</f>
        <v>-</v>
      </c>
      <c r="X5" s="29" t="str">
        <f t="shared" ref="X5" si="2">IF(X4&lt;&gt;"-",ROUNDUP(1.3*X4,0),"-")</f>
        <v>-</v>
      </c>
      <c r="Y5" s="29" t="str">
        <f t="shared" ref="Y5" si="3">IF(Y4&lt;&gt;"-",ROUNDUP(1.3*Y4,0),"-")</f>
        <v>-</v>
      </c>
      <c r="Z5" s="29" t="str">
        <f t="shared" ref="Z5" si="4">IF(Z4&lt;&gt;"-",ROUNDUP(1.3*Z4,0),"-")</f>
        <v>-</v>
      </c>
      <c r="AA5" s="29" t="str">
        <f t="shared" ref="AA5" si="5">IF(AA4&lt;&gt;"-",ROUNDUP(1.3*AA4,0),"-")</f>
        <v>-</v>
      </c>
      <c r="AB5" s="29" t="str">
        <f t="shared" ref="AB5" si="6">IF(AB4&lt;&gt;"-",ROUNDUP(1.3*AB4,0),"-")</f>
        <v>-</v>
      </c>
      <c r="AC5" s="29" t="str">
        <f t="shared" ref="AC5" si="7">IF(AC4&lt;&gt;"-",ROUNDUP(1.3*AC4,0),"-")</f>
        <v>-</v>
      </c>
      <c r="AD5" s="29" t="str">
        <f t="shared" ref="AD5" si="8">IF(AD4&lt;&gt;"-",ROUNDUP(1.3*AD4,0),"-")</f>
        <v>-</v>
      </c>
      <c r="AE5" s="29" t="str">
        <f t="shared" ref="AE5" si="9">IF(AE4&lt;&gt;"-",ROUNDUP(1.3*AE4,0),"-")</f>
        <v>-</v>
      </c>
      <c r="AF5" s="29" t="str">
        <f t="shared" ref="AF5" si="10">IF(AF4&lt;&gt;"-",ROUNDUP(1.3*AF4,0),"-")</f>
        <v>-</v>
      </c>
      <c r="AG5" s="29" t="str">
        <f t="shared" ref="AG5" si="11">IF(AG4&lt;&gt;"-",ROUNDUP(1.3*AG4,0),"-")</f>
        <v>-</v>
      </c>
      <c r="AH5" s="29" t="str">
        <f t="shared" ref="AH5" si="12">IF(AH4&lt;&gt;"-",ROUNDUP(1.3*AH4,0),"-")</f>
        <v>-</v>
      </c>
      <c r="AI5" s="29" t="str">
        <f t="shared" ref="AI5" si="13">IF(AI4&lt;&gt;"-",ROUNDUP(1.3*AI4,0),"-")</f>
        <v>-</v>
      </c>
      <c r="AJ5" s="29" t="str">
        <f t="shared" ref="AJ5" si="14">IF(AJ4&lt;&gt;"-",ROUNDUP(1.3*AJ4,0),"-")</f>
        <v>-</v>
      </c>
    </row>
    <row r="6" spans="1:36">
      <c r="A6" s="143"/>
      <c r="B6" s="147"/>
      <c r="C6" s="143"/>
      <c r="D6" s="145"/>
      <c r="E6" s="143"/>
      <c r="F6" s="143"/>
      <c r="G6" s="140">
        <f>計算表格!G5</f>
        <v>25</v>
      </c>
      <c r="H6" s="31" t="s">
        <v>29</v>
      </c>
      <c r="I6" s="29">
        <f>計算表格!I5</f>
        <v>106</v>
      </c>
      <c r="J6" s="29">
        <f>計算表格!J5</f>
        <v>106</v>
      </c>
      <c r="K6" s="29">
        <f>計算表格!K5</f>
        <v>106</v>
      </c>
      <c r="L6" s="29">
        <f>計算表格!L5</f>
        <v>106</v>
      </c>
      <c r="M6" s="29">
        <f>計算表格!M5</f>
        <v>106</v>
      </c>
      <c r="N6" s="29">
        <f>計算表格!N5</f>
        <v>106</v>
      </c>
      <c r="O6" s="29">
        <f>計算表格!O5</f>
        <v>106</v>
      </c>
      <c r="P6" s="29">
        <f>計算表格!P5</f>
        <v>115</v>
      </c>
      <c r="Q6" s="29">
        <f>計算表格!Q5</f>
        <v>127</v>
      </c>
      <c r="R6" s="29">
        <f>計算表格!R5</f>
        <v>139</v>
      </c>
      <c r="S6" s="29">
        <f>計算表格!S5</f>
        <v>152</v>
      </c>
      <c r="T6" s="29">
        <f>計算表格!T5</f>
        <v>164</v>
      </c>
      <c r="U6" s="29">
        <f>計算表格!U5</f>
        <v>177</v>
      </c>
      <c r="V6" s="29">
        <f>計算表格!V5</f>
        <v>189</v>
      </c>
      <c r="W6" s="29">
        <f>計算表格!W5</f>
        <v>202</v>
      </c>
      <c r="X6" s="29" t="str">
        <f>計算表格!X5</f>
        <v>-</v>
      </c>
      <c r="Y6" s="29" t="str">
        <f>計算表格!Y5</f>
        <v>-</v>
      </c>
      <c r="Z6" s="29" t="str">
        <f>計算表格!Z5</f>
        <v>-</v>
      </c>
      <c r="AA6" s="29" t="str">
        <f>計算表格!AA5</f>
        <v>-</v>
      </c>
      <c r="AB6" s="29" t="str">
        <f>計算表格!AB5</f>
        <v>-</v>
      </c>
      <c r="AC6" s="29" t="str">
        <f>計算表格!AC5</f>
        <v>-</v>
      </c>
      <c r="AD6" s="29" t="str">
        <f>計算表格!AD5</f>
        <v>-</v>
      </c>
      <c r="AE6" s="29" t="str">
        <f>計算表格!AE5</f>
        <v>-</v>
      </c>
      <c r="AF6" s="29" t="str">
        <f>計算表格!AF5</f>
        <v>-</v>
      </c>
      <c r="AG6" s="29" t="str">
        <f>計算表格!AG5</f>
        <v>-</v>
      </c>
      <c r="AH6" s="29" t="str">
        <f>計算表格!AH5</f>
        <v>-</v>
      </c>
      <c r="AI6" s="29" t="str">
        <f>計算表格!AI5</f>
        <v>-</v>
      </c>
      <c r="AJ6" s="29" t="str">
        <f>計算表格!AJ5</f>
        <v>-</v>
      </c>
    </row>
    <row r="7" spans="1:36">
      <c r="A7" s="143"/>
      <c r="B7" s="147"/>
      <c r="C7" s="143"/>
      <c r="D7" s="145"/>
      <c r="E7" s="143"/>
      <c r="F7" s="143"/>
      <c r="G7" s="141"/>
      <c r="H7" s="32" t="s">
        <v>30</v>
      </c>
      <c r="I7" s="29">
        <f>IF(I6&lt;&gt;"-",ROUNDUP(1.3*I6,0),"-")</f>
        <v>138</v>
      </c>
      <c r="J7" s="29">
        <f t="shared" ref="J7" si="15">IF(J6&lt;&gt;"-",ROUNDUP(1.3*J6,0),"-")</f>
        <v>138</v>
      </c>
      <c r="K7" s="29">
        <f t="shared" ref="K7" si="16">IF(K6&lt;&gt;"-",ROUNDUP(1.3*K6,0),"-")</f>
        <v>138</v>
      </c>
      <c r="L7" s="29">
        <f t="shared" ref="L7" si="17">IF(L6&lt;&gt;"-",ROUNDUP(1.3*L6,0),"-")</f>
        <v>138</v>
      </c>
      <c r="M7" s="29">
        <f t="shared" ref="M7" si="18">IF(M6&lt;&gt;"-",ROUNDUP(1.3*M6,0),"-")</f>
        <v>138</v>
      </c>
      <c r="N7" s="29">
        <f t="shared" ref="N7" si="19">IF(N6&lt;&gt;"-",ROUNDUP(1.3*N6,0),"-")</f>
        <v>138</v>
      </c>
      <c r="O7" s="29">
        <f t="shared" ref="O7" si="20">IF(O6&lt;&gt;"-",ROUNDUP(1.3*O6,0),"-")</f>
        <v>138</v>
      </c>
      <c r="P7" s="29">
        <f t="shared" ref="P7" si="21">IF(P6&lt;&gt;"-",ROUNDUP(1.3*P6,0),"-")</f>
        <v>150</v>
      </c>
      <c r="Q7" s="29">
        <f t="shared" ref="Q7" si="22">IF(Q6&lt;&gt;"-",ROUNDUP(1.3*Q6,0),"-")</f>
        <v>166</v>
      </c>
      <c r="R7" s="29">
        <f t="shared" ref="R7" si="23">IF(R6&lt;&gt;"-",ROUNDUP(1.3*R6,0),"-")</f>
        <v>181</v>
      </c>
      <c r="S7" s="29">
        <f t="shared" ref="S7" si="24">IF(S6&lt;&gt;"-",ROUNDUP(1.3*S6,0),"-")</f>
        <v>198</v>
      </c>
      <c r="T7" s="29">
        <f t="shared" ref="T7" si="25">IF(T6&lt;&gt;"-",ROUNDUP(1.3*T6,0),"-")</f>
        <v>214</v>
      </c>
      <c r="U7" s="29">
        <f t="shared" ref="U7" si="26">IF(U6&lt;&gt;"-",ROUNDUP(1.3*U6,0),"-")</f>
        <v>231</v>
      </c>
      <c r="V7" s="29">
        <f t="shared" ref="V7" si="27">IF(V6&lt;&gt;"-",ROUNDUP(1.3*V6,0),"-")</f>
        <v>246</v>
      </c>
      <c r="W7" s="29">
        <f t="shared" ref="W7" si="28">IF(W6&lt;&gt;"-",ROUNDUP(1.3*W6,0),"-")</f>
        <v>263</v>
      </c>
      <c r="X7" s="29" t="str">
        <f t="shared" ref="X7" si="29">IF(X6&lt;&gt;"-",ROUNDUP(1.3*X6,0),"-")</f>
        <v>-</v>
      </c>
      <c r="Y7" s="29" t="str">
        <f t="shared" ref="Y7" si="30">IF(Y6&lt;&gt;"-",ROUNDUP(1.3*Y6,0),"-")</f>
        <v>-</v>
      </c>
      <c r="Z7" s="29" t="str">
        <f t="shared" ref="Z7" si="31">IF(Z6&lt;&gt;"-",ROUNDUP(1.3*Z6,0),"-")</f>
        <v>-</v>
      </c>
      <c r="AA7" s="29" t="str">
        <f t="shared" ref="AA7" si="32">IF(AA6&lt;&gt;"-",ROUNDUP(1.3*AA6,0),"-")</f>
        <v>-</v>
      </c>
      <c r="AB7" s="29" t="str">
        <f t="shared" ref="AB7" si="33">IF(AB6&lt;&gt;"-",ROUNDUP(1.3*AB6,0),"-")</f>
        <v>-</v>
      </c>
      <c r="AC7" s="29" t="str">
        <f t="shared" ref="AC7" si="34">IF(AC6&lt;&gt;"-",ROUNDUP(1.3*AC6,0),"-")</f>
        <v>-</v>
      </c>
      <c r="AD7" s="29" t="str">
        <f t="shared" ref="AD7" si="35">IF(AD6&lt;&gt;"-",ROUNDUP(1.3*AD6,0),"-")</f>
        <v>-</v>
      </c>
      <c r="AE7" s="29" t="str">
        <f t="shared" ref="AE7" si="36">IF(AE6&lt;&gt;"-",ROUNDUP(1.3*AE6,0),"-")</f>
        <v>-</v>
      </c>
      <c r="AF7" s="29" t="str">
        <f t="shared" ref="AF7" si="37">IF(AF6&lt;&gt;"-",ROUNDUP(1.3*AF6,0),"-")</f>
        <v>-</v>
      </c>
      <c r="AG7" s="29" t="str">
        <f t="shared" ref="AG7" si="38">IF(AG6&lt;&gt;"-",ROUNDUP(1.3*AG6,0),"-")</f>
        <v>-</v>
      </c>
      <c r="AH7" s="29" t="str">
        <f t="shared" ref="AH7" si="39">IF(AH6&lt;&gt;"-",ROUNDUP(1.3*AH6,0),"-")</f>
        <v>-</v>
      </c>
      <c r="AI7" s="29" t="str">
        <f t="shared" ref="AI7" si="40">IF(AI6&lt;&gt;"-",ROUNDUP(1.3*AI6,0),"-")</f>
        <v>-</v>
      </c>
      <c r="AJ7" s="29" t="str">
        <f t="shared" ref="AJ7" si="41">IF(AJ6&lt;&gt;"-",ROUNDUP(1.3*AJ6,0),"-")</f>
        <v>-</v>
      </c>
    </row>
    <row r="8" spans="1:36">
      <c r="A8" s="143"/>
      <c r="B8" s="147"/>
      <c r="C8" s="143"/>
      <c r="D8" s="145"/>
      <c r="E8" s="143"/>
      <c r="F8" s="143"/>
      <c r="G8" s="140">
        <f>計算表格!G6</f>
        <v>22</v>
      </c>
      <c r="H8" s="31" t="s">
        <v>29</v>
      </c>
      <c r="I8" s="29">
        <f>計算表格!I6</f>
        <v>93</v>
      </c>
      <c r="J8" s="29">
        <f>計算表格!J6</f>
        <v>93</v>
      </c>
      <c r="K8" s="29">
        <f>計算表格!K6</f>
        <v>93</v>
      </c>
      <c r="L8" s="29">
        <f>計算表格!L6</f>
        <v>93</v>
      </c>
      <c r="M8" s="29">
        <f>計算表格!M6</f>
        <v>93</v>
      </c>
      <c r="N8" s="29">
        <f>計算表格!N6</f>
        <v>93</v>
      </c>
      <c r="O8" s="29">
        <f>計算表格!O6</f>
        <v>93</v>
      </c>
      <c r="P8" s="29">
        <f>計算表格!P6</f>
        <v>93</v>
      </c>
      <c r="Q8" s="29">
        <f>計算表格!Q6</f>
        <v>98</v>
      </c>
      <c r="R8" s="29">
        <f>計算表格!R6</f>
        <v>108</v>
      </c>
      <c r="S8" s="29">
        <f>計算表格!S6</f>
        <v>117</v>
      </c>
      <c r="T8" s="29">
        <f>計算表格!T6</f>
        <v>127</v>
      </c>
      <c r="U8" s="29">
        <f>計算表格!U6</f>
        <v>137</v>
      </c>
      <c r="V8" s="29">
        <f>計算表格!V6</f>
        <v>146</v>
      </c>
      <c r="W8" s="29">
        <f>計算表格!W6</f>
        <v>156</v>
      </c>
      <c r="X8" s="29">
        <f>計算表格!X6</f>
        <v>165</v>
      </c>
      <c r="Y8" s="29">
        <f>計算表格!Y6</f>
        <v>175</v>
      </c>
      <c r="Z8" s="29">
        <f>計算表格!Z6</f>
        <v>185</v>
      </c>
      <c r="AA8" s="29" t="str">
        <f>計算表格!AA6</f>
        <v>-</v>
      </c>
      <c r="AB8" s="29" t="str">
        <f>計算表格!AB6</f>
        <v>-</v>
      </c>
      <c r="AC8" s="29" t="str">
        <f>計算表格!AC6</f>
        <v>-</v>
      </c>
      <c r="AD8" s="29" t="str">
        <f>計算表格!AD6</f>
        <v>-</v>
      </c>
      <c r="AE8" s="29" t="str">
        <f>計算表格!AE6</f>
        <v>-</v>
      </c>
      <c r="AF8" s="29" t="str">
        <f>計算表格!AF6</f>
        <v>-</v>
      </c>
      <c r="AG8" s="29" t="str">
        <f>計算表格!AG6</f>
        <v>-</v>
      </c>
      <c r="AH8" s="29" t="str">
        <f>計算表格!AH6</f>
        <v>-</v>
      </c>
      <c r="AI8" s="29" t="str">
        <f>計算表格!AI6</f>
        <v>-</v>
      </c>
      <c r="AJ8" s="29" t="str">
        <f>計算表格!AJ6</f>
        <v>-</v>
      </c>
    </row>
    <row r="9" spans="1:36">
      <c r="A9" s="143"/>
      <c r="B9" s="147"/>
      <c r="C9" s="143"/>
      <c r="D9" s="145"/>
      <c r="E9" s="143"/>
      <c r="F9" s="144"/>
      <c r="G9" s="141"/>
      <c r="H9" s="32" t="s">
        <v>30</v>
      </c>
      <c r="I9" s="29">
        <f>IF(I8&lt;&gt;"-",ROUNDUP(1.3*I8,0),"-")</f>
        <v>121</v>
      </c>
      <c r="J9" s="29">
        <f t="shared" ref="J9" si="42">IF(J8&lt;&gt;"-",ROUNDUP(1.3*J8,0),"-")</f>
        <v>121</v>
      </c>
      <c r="K9" s="29">
        <f t="shared" ref="K9" si="43">IF(K8&lt;&gt;"-",ROUNDUP(1.3*K8,0),"-")</f>
        <v>121</v>
      </c>
      <c r="L9" s="29">
        <f t="shared" ref="L9" si="44">IF(L8&lt;&gt;"-",ROUNDUP(1.3*L8,0),"-")</f>
        <v>121</v>
      </c>
      <c r="M9" s="29">
        <f t="shared" ref="M9" si="45">IF(M8&lt;&gt;"-",ROUNDUP(1.3*M8,0),"-")</f>
        <v>121</v>
      </c>
      <c r="N9" s="29">
        <f t="shared" ref="N9" si="46">IF(N8&lt;&gt;"-",ROUNDUP(1.3*N8,0),"-")</f>
        <v>121</v>
      </c>
      <c r="O9" s="29">
        <f t="shared" ref="O9" si="47">IF(O8&lt;&gt;"-",ROUNDUP(1.3*O8,0),"-")</f>
        <v>121</v>
      </c>
      <c r="P9" s="29">
        <f t="shared" ref="P9" si="48">IF(P8&lt;&gt;"-",ROUNDUP(1.3*P8,0),"-")</f>
        <v>121</v>
      </c>
      <c r="Q9" s="29">
        <f t="shared" ref="Q9" si="49">IF(Q8&lt;&gt;"-",ROUNDUP(1.3*Q8,0),"-")</f>
        <v>128</v>
      </c>
      <c r="R9" s="29">
        <f t="shared" ref="R9" si="50">IF(R8&lt;&gt;"-",ROUNDUP(1.3*R8,0),"-")</f>
        <v>141</v>
      </c>
      <c r="S9" s="29">
        <f t="shared" ref="S9" si="51">IF(S8&lt;&gt;"-",ROUNDUP(1.3*S8,0),"-")</f>
        <v>153</v>
      </c>
      <c r="T9" s="29">
        <f t="shared" ref="T9" si="52">IF(T8&lt;&gt;"-",ROUNDUP(1.3*T8,0),"-")</f>
        <v>166</v>
      </c>
      <c r="U9" s="29">
        <f t="shared" ref="U9" si="53">IF(U8&lt;&gt;"-",ROUNDUP(1.3*U8,0),"-")</f>
        <v>179</v>
      </c>
      <c r="V9" s="29">
        <f t="shared" ref="V9" si="54">IF(V8&lt;&gt;"-",ROUNDUP(1.3*V8,0),"-")</f>
        <v>190</v>
      </c>
      <c r="W9" s="29">
        <f t="shared" ref="W9" si="55">IF(W8&lt;&gt;"-",ROUNDUP(1.3*W8,0),"-")</f>
        <v>203</v>
      </c>
      <c r="X9" s="29">
        <f t="shared" ref="X9" si="56">IF(X8&lt;&gt;"-",ROUNDUP(1.3*X8,0),"-")</f>
        <v>215</v>
      </c>
      <c r="Y9" s="29">
        <f t="shared" ref="Y9" si="57">IF(Y8&lt;&gt;"-",ROUNDUP(1.3*Y8,0),"-")</f>
        <v>228</v>
      </c>
      <c r="Z9" s="29">
        <f t="shared" ref="Z9" si="58">IF(Z8&lt;&gt;"-",ROUNDUP(1.3*Z8,0),"-")</f>
        <v>241</v>
      </c>
      <c r="AA9" s="29" t="str">
        <f t="shared" ref="AA9" si="59">IF(AA8&lt;&gt;"-",ROUNDUP(1.3*AA8,0),"-")</f>
        <v>-</v>
      </c>
      <c r="AB9" s="29" t="str">
        <f t="shared" ref="AB9" si="60">IF(AB8&lt;&gt;"-",ROUNDUP(1.3*AB8,0),"-")</f>
        <v>-</v>
      </c>
      <c r="AC9" s="29" t="str">
        <f t="shared" ref="AC9" si="61">IF(AC8&lt;&gt;"-",ROUNDUP(1.3*AC8,0),"-")</f>
        <v>-</v>
      </c>
      <c r="AD9" s="29" t="str">
        <f t="shared" ref="AD9" si="62">IF(AD8&lt;&gt;"-",ROUNDUP(1.3*AD8,0),"-")</f>
        <v>-</v>
      </c>
      <c r="AE9" s="29" t="str">
        <f t="shared" ref="AE9" si="63">IF(AE8&lt;&gt;"-",ROUNDUP(1.3*AE8,0),"-")</f>
        <v>-</v>
      </c>
      <c r="AF9" s="29" t="str">
        <f t="shared" ref="AF9" si="64">IF(AF8&lt;&gt;"-",ROUNDUP(1.3*AF8,0),"-")</f>
        <v>-</v>
      </c>
      <c r="AG9" s="29" t="str">
        <f t="shared" ref="AG9" si="65">IF(AG8&lt;&gt;"-",ROUNDUP(1.3*AG8,0),"-")</f>
        <v>-</v>
      </c>
      <c r="AH9" s="29" t="str">
        <f t="shared" ref="AH9" si="66">IF(AH8&lt;&gt;"-",ROUNDUP(1.3*AH8,0),"-")</f>
        <v>-</v>
      </c>
      <c r="AI9" s="29" t="str">
        <f t="shared" ref="AI9" si="67">IF(AI8&lt;&gt;"-",ROUNDUP(1.3*AI8,0),"-")</f>
        <v>-</v>
      </c>
      <c r="AJ9" s="29" t="str">
        <f t="shared" ref="AJ9" si="68">IF(AJ8&lt;&gt;"-",ROUNDUP(1.3*AJ8,0),"-")</f>
        <v>-</v>
      </c>
    </row>
    <row r="10" spans="1:36">
      <c r="A10" s="143"/>
      <c r="B10" s="147"/>
      <c r="C10" s="143"/>
      <c r="D10" s="145"/>
      <c r="E10" s="143"/>
      <c r="F10" s="142">
        <f>計算表格!F7</f>
        <v>245</v>
      </c>
      <c r="G10" s="140">
        <f>計算表格!G7</f>
        <v>32</v>
      </c>
      <c r="H10" s="31" t="s">
        <v>29</v>
      </c>
      <c r="I10" s="29">
        <f>計算表格!I7</f>
        <v>126</v>
      </c>
      <c r="J10" s="29">
        <f>計算表格!J7</f>
        <v>126</v>
      </c>
      <c r="K10" s="29">
        <f>計算表格!K7</f>
        <v>126</v>
      </c>
      <c r="L10" s="29">
        <f>計算表格!L7</f>
        <v>126</v>
      </c>
      <c r="M10" s="29">
        <f>計算表格!M7</f>
        <v>126</v>
      </c>
      <c r="N10" s="29">
        <f>計算表格!N7</f>
        <v>137</v>
      </c>
      <c r="O10" s="29">
        <f>計算表格!O7</f>
        <v>156</v>
      </c>
      <c r="P10" s="29">
        <f>計算表格!P7</f>
        <v>175</v>
      </c>
      <c r="Q10" s="29">
        <f>計算表格!Q7</f>
        <v>194</v>
      </c>
      <c r="R10" s="29">
        <f>計算表格!R7</f>
        <v>213</v>
      </c>
      <c r="S10" s="29">
        <f>計算表格!S7</f>
        <v>232</v>
      </c>
      <c r="T10" s="29">
        <f>計算表格!T7</f>
        <v>251</v>
      </c>
      <c r="U10" s="29" t="str">
        <f>計算表格!U7</f>
        <v>-</v>
      </c>
      <c r="V10" s="29" t="str">
        <f>計算表格!V7</f>
        <v>-</v>
      </c>
      <c r="W10" s="29" t="str">
        <f>計算表格!W7</f>
        <v>-</v>
      </c>
      <c r="X10" s="29" t="str">
        <f>計算表格!X7</f>
        <v>-</v>
      </c>
      <c r="Y10" s="29" t="str">
        <f>計算表格!Y7</f>
        <v>-</v>
      </c>
      <c r="Z10" s="29" t="str">
        <f>計算表格!Z7</f>
        <v>-</v>
      </c>
      <c r="AA10" s="29" t="str">
        <f>計算表格!AA7</f>
        <v>-</v>
      </c>
      <c r="AB10" s="29" t="str">
        <f>計算表格!AB7</f>
        <v>-</v>
      </c>
      <c r="AC10" s="29" t="str">
        <f>計算表格!AC7</f>
        <v>-</v>
      </c>
      <c r="AD10" s="29" t="str">
        <f>計算表格!AD7</f>
        <v>-</v>
      </c>
      <c r="AE10" s="29" t="str">
        <f>計算表格!AE7</f>
        <v>-</v>
      </c>
      <c r="AF10" s="29" t="str">
        <f>計算表格!AF7</f>
        <v>-</v>
      </c>
      <c r="AG10" s="29" t="str">
        <f>計算表格!AG7</f>
        <v>-</v>
      </c>
      <c r="AH10" s="29" t="str">
        <f>計算表格!AH7</f>
        <v>-</v>
      </c>
      <c r="AI10" s="29" t="str">
        <f>計算表格!AI7</f>
        <v>-</v>
      </c>
      <c r="AJ10" s="29" t="str">
        <f>計算表格!AJ7</f>
        <v>-</v>
      </c>
    </row>
    <row r="11" spans="1:36">
      <c r="A11" s="143"/>
      <c r="B11" s="147"/>
      <c r="C11" s="143"/>
      <c r="D11" s="145"/>
      <c r="E11" s="143"/>
      <c r="F11" s="143"/>
      <c r="G11" s="141"/>
      <c r="H11" s="32" t="s">
        <v>30</v>
      </c>
      <c r="I11" s="29">
        <f>IF(I10&lt;&gt;"-",ROUNDUP(1.3*I10,0),"-")</f>
        <v>164</v>
      </c>
      <c r="J11" s="29">
        <f t="shared" ref="J11" si="69">IF(J10&lt;&gt;"-",ROUNDUP(1.3*J10,0),"-")</f>
        <v>164</v>
      </c>
      <c r="K11" s="29">
        <f t="shared" ref="K11" si="70">IF(K10&lt;&gt;"-",ROUNDUP(1.3*K10,0),"-")</f>
        <v>164</v>
      </c>
      <c r="L11" s="29">
        <f t="shared" ref="L11" si="71">IF(L10&lt;&gt;"-",ROUNDUP(1.3*L10,0),"-")</f>
        <v>164</v>
      </c>
      <c r="M11" s="29">
        <f t="shared" ref="M11" si="72">IF(M10&lt;&gt;"-",ROUNDUP(1.3*M10,0),"-")</f>
        <v>164</v>
      </c>
      <c r="N11" s="29">
        <f t="shared" ref="N11" si="73">IF(N10&lt;&gt;"-",ROUNDUP(1.3*N10,0),"-")</f>
        <v>179</v>
      </c>
      <c r="O11" s="29">
        <f t="shared" ref="O11" si="74">IF(O10&lt;&gt;"-",ROUNDUP(1.3*O10,0),"-")</f>
        <v>203</v>
      </c>
      <c r="P11" s="29">
        <f t="shared" ref="P11" si="75">IF(P10&lt;&gt;"-",ROUNDUP(1.3*P10,0),"-")</f>
        <v>228</v>
      </c>
      <c r="Q11" s="29">
        <f t="shared" ref="Q11" si="76">IF(Q10&lt;&gt;"-",ROUNDUP(1.3*Q10,0),"-")</f>
        <v>253</v>
      </c>
      <c r="R11" s="29">
        <f t="shared" ref="R11" si="77">IF(R10&lt;&gt;"-",ROUNDUP(1.3*R10,0),"-")</f>
        <v>277</v>
      </c>
      <c r="S11" s="29">
        <f t="shared" ref="S11" si="78">IF(S10&lt;&gt;"-",ROUNDUP(1.3*S10,0),"-")</f>
        <v>302</v>
      </c>
      <c r="T11" s="29">
        <f t="shared" ref="T11" si="79">IF(T10&lt;&gt;"-",ROUNDUP(1.3*T10,0),"-")</f>
        <v>327</v>
      </c>
      <c r="U11" s="29" t="str">
        <f t="shared" ref="U11" si="80">IF(U10&lt;&gt;"-",ROUNDUP(1.3*U10,0),"-")</f>
        <v>-</v>
      </c>
      <c r="V11" s="29" t="str">
        <f t="shared" ref="V11" si="81">IF(V10&lt;&gt;"-",ROUNDUP(1.3*V10,0),"-")</f>
        <v>-</v>
      </c>
      <c r="W11" s="29" t="str">
        <f t="shared" ref="W11" si="82">IF(W10&lt;&gt;"-",ROUNDUP(1.3*W10,0),"-")</f>
        <v>-</v>
      </c>
      <c r="X11" s="29" t="str">
        <f t="shared" ref="X11" si="83">IF(X10&lt;&gt;"-",ROUNDUP(1.3*X10,0),"-")</f>
        <v>-</v>
      </c>
      <c r="Y11" s="29" t="str">
        <f t="shared" ref="Y11" si="84">IF(Y10&lt;&gt;"-",ROUNDUP(1.3*Y10,0),"-")</f>
        <v>-</v>
      </c>
      <c r="Z11" s="29" t="str">
        <f t="shared" ref="Z11" si="85">IF(Z10&lt;&gt;"-",ROUNDUP(1.3*Z10,0),"-")</f>
        <v>-</v>
      </c>
      <c r="AA11" s="29" t="str">
        <f t="shared" ref="AA11" si="86">IF(AA10&lt;&gt;"-",ROUNDUP(1.3*AA10,0),"-")</f>
        <v>-</v>
      </c>
      <c r="AB11" s="29" t="str">
        <f t="shared" ref="AB11" si="87">IF(AB10&lt;&gt;"-",ROUNDUP(1.3*AB10,0),"-")</f>
        <v>-</v>
      </c>
      <c r="AC11" s="29" t="str">
        <f t="shared" ref="AC11" si="88">IF(AC10&lt;&gt;"-",ROUNDUP(1.3*AC10,0),"-")</f>
        <v>-</v>
      </c>
      <c r="AD11" s="29" t="str">
        <f t="shared" ref="AD11" si="89">IF(AD10&lt;&gt;"-",ROUNDUP(1.3*AD10,0),"-")</f>
        <v>-</v>
      </c>
      <c r="AE11" s="29" t="str">
        <f t="shared" ref="AE11" si="90">IF(AE10&lt;&gt;"-",ROUNDUP(1.3*AE10,0),"-")</f>
        <v>-</v>
      </c>
      <c r="AF11" s="29" t="str">
        <f t="shared" ref="AF11" si="91">IF(AF10&lt;&gt;"-",ROUNDUP(1.3*AF10,0),"-")</f>
        <v>-</v>
      </c>
      <c r="AG11" s="29" t="str">
        <f t="shared" ref="AG11" si="92">IF(AG10&lt;&gt;"-",ROUNDUP(1.3*AG10,0),"-")</f>
        <v>-</v>
      </c>
      <c r="AH11" s="29" t="str">
        <f t="shared" ref="AH11" si="93">IF(AH10&lt;&gt;"-",ROUNDUP(1.3*AH10,0),"-")</f>
        <v>-</v>
      </c>
      <c r="AI11" s="29" t="str">
        <f t="shared" ref="AI11" si="94">IF(AI10&lt;&gt;"-",ROUNDUP(1.3*AI10,0),"-")</f>
        <v>-</v>
      </c>
      <c r="AJ11" s="29" t="str">
        <f t="shared" ref="AJ11" si="95">IF(AJ10&lt;&gt;"-",ROUNDUP(1.3*AJ10,0),"-")</f>
        <v>-</v>
      </c>
    </row>
    <row r="12" spans="1:36">
      <c r="A12" s="143"/>
      <c r="B12" s="147"/>
      <c r="C12" s="143"/>
      <c r="D12" s="145"/>
      <c r="E12" s="143"/>
      <c r="F12" s="143"/>
      <c r="G12" s="140">
        <f>計算表格!G8</f>
        <v>25</v>
      </c>
      <c r="H12" s="31" t="s">
        <v>29</v>
      </c>
      <c r="I12" s="29">
        <f>計算表格!I8</f>
        <v>98</v>
      </c>
      <c r="J12" s="29">
        <f>計算表格!J8</f>
        <v>98</v>
      </c>
      <c r="K12" s="29">
        <f>計算表格!K8</f>
        <v>98</v>
      </c>
      <c r="L12" s="29">
        <f>計算表格!L8</f>
        <v>98</v>
      </c>
      <c r="M12" s="29">
        <f>計算表格!M8</f>
        <v>98</v>
      </c>
      <c r="N12" s="29">
        <f>計算表格!N8</f>
        <v>98</v>
      </c>
      <c r="O12" s="29">
        <f>計算表格!O8</f>
        <v>98</v>
      </c>
      <c r="P12" s="29">
        <f>計算表格!P8</f>
        <v>106</v>
      </c>
      <c r="Q12" s="29">
        <f>計算表格!Q8</f>
        <v>118</v>
      </c>
      <c r="R12" s="29">
        <f>計算表格!R8</f>
        <v>129</v>
      </c>
      <c r="S12" s="29">
        <f>計算表格!S8</f>
        <v>141</v>
      </c>
      <c r="T12" s="29">
        <f>計算表格!T8</f>
        <v>152</v>
      </c>
      <c r="U12" s="29">
        <f>計算表格!U8</f>
        <v>164</v>
      </c>
      <c r="V12" s="29">
        <f>計算表格!V8</f>
        <v>175</v>
      </c>
      <c r="W12" s="29">
        <f>計算表格!W8</f>
        <v>187</v>
      </c>
      <c r="X12" s="29" t="str">
        <f>計算表格!X8</f>
        <v>-</v>
      </c>
      <c r="Y12" s="29" t="str">
        <f>計算表格!Y8</f>
        <v>-</v>
      </c>
      <c r="Z12" s="29" t="str">
        <f>計算表格!Z8</f>
        <v>-</v>
      </c>
      <c r="AA12" s="29" t="str">
        <f>計算表格!AA8</f>
        <v>-</v>
      </c>
      <c r="AB12" s="29" t="str">
        <f>計算表格!AB8</f>
        <v>-</v>
      </c>
      <c r="AC12" s="29" t="str">
        <f>計算表格!AC8</f>
        <v>-</v>
      </c>
      <c r="AD12" s="29" t="str">
        <f>計算表格!AD8</f>
        <v>-</v>
      </c>
      <c r="AE12" s="29" t="str">
        <f>計算表格!AE8</f>
        <v>-</v>
      </c>
      <c r="AF12" s="29" t="str">
        <f>計算表格!AF8</f>
        <v>-</v>
      </c>
      <c r="AG12" s="29" t="str">
        <f>計算表格!AG8</f>
        <v>-</v>
      </c>
      <c r="AH12" s="29" t="str">
        <f>計算表格!AH8</f>
        <v>-</v>
      </c>
      <c r="AI12" s="29" t="str">
        <f>計算表格!AI8</f>
        <v>-</v>
      </c>
      <c r="AJ12" s="29" t="str">
        <f>計算表格!AJ8</f>
        <v>-</v>
      </c>
    </row>
    <row r="13" spans="1:36">
      <c r="A13" s="143"/>
      <c r="B13" s="147"/>
      <c r="C13" s="143"/>
      <c r="D13" s="145"/>
      <c r="E13" s="143"/>
      <c r="F13" s="143"/>
      <c r="G13" s="141"/>
      <c r="H13" s="32" t="s">
        <v>30</v>
      </c>
      <c r="I13" s="29">
        <f>IF(I12&lt;&gt;"-",ROUNDUP(1.3*I12,0),"-")</f>
        <v>128</v>
      </c>
      <c r="J13" s="29">
        <f t="shared" ref="J13" si="96">IF(J12&lt;&gt;"-",ROUNDUP(1.3*J12,0),"-")</f>
        <v>128</v>
      </c>
      <c r="K13" s="29">
        <f t="shared" ref="K13" si="97">IF(K12&lt;&gt;"-",ROUNDUP(1.3*K12,0),"-")</f>
        <v>128</v>
      </c>
      <c r="L13" s="29">
        <f t="shared" ref="L13" si="98">IF(L12&lt;&gt;"-",ROUNDUP(1.3*L12,0),"-")</f>
        <v>128</v>
      </c>
      <c r="M13" s="29">
        <f t="shared" ref="M13" si="99">IF(M12&lt;&gt;"-",ROUNDUP(1.3*M12,0),"-")</f>
        <v>128</v>
      </c>
      <c r="N13" s="29">
        <f t="shared" ref="N13" si="100">IF(N12&lt;&gt;"-",ROUNDUP(1.3*N12,0),"-")</f>
        <v>128</v>
      </c>
      <c r="O13" s="29">
        <f t="shared" ref="O13" si="101">IF(O12&lt;&gt;"-",ROUNDUP(1.3*O12,0),"-")</f>
        <v>128</v>
      </c>
      <c r="P13" s="29">
        <f t="shared" ref="P13" si="102">IF(P12&lt;&gt;"-",ROUNDUP(1.3*P12,0),"-")</f>
        <v>138</v>
      </c>
      <c r="Q13" s="29">
        <f t="shared" ref="Q13" si="103">IF(Q12&lt;&gt;"-",ROUNDUP(1.3*Q12,0),"-")</f>
        <v>154</v>
      </c>
      <c r="R13" s="29">
        <f t="shared" ref="R13" si="104">IF(R12&lt;&gt;"-",ROUNDUP(1.3*R12,0),"-")</f>
        <v>168</v>
      </c>
      <c r="S13" s="29">
        <f t="shared" ref="S13" si="105">IF(S12&lt;&gt;"-",ROUNDUP(1.3*S12,0),"-")</f>
        <v>184</v>
      </c>
      <c r="T13" s="29">
        <f t="shared" ref="T13" si="106">IF(T12&lt;&gt;"-",ROUNDUP(1.3*T12,0),"-")</f>
        <v>198</v>
      </c>
      <c r="U13" s="29">
        <f t="shared" ref="U13" si="107">IF(U12&lt;&gt;"-",ROUNDUP(1.3*U12,0),"-")</f>
        <v>214</v>
      </c>
      <c r="V13" s="29">
        <f t="shared" ref="V13" si="108">IF(V12&lt;&gt;"-",ROUNDUP(1.3*V12,0),"-")</f>
        <v>228</v>
      </c>
      <c r="W13" s="29">
        <f t="shared" ref="W13" si="109">IF(W12&lt;&gt;"-",ROUNDUP(1.3*W12,0),"-")</f>
        <v>244</v>
      </c>
      <c r="X13" s="29" t="str">
        <f t="shared" ref="X13" si="110">IF(X12&lt;&gt;"-",ROUNDUP(1.3*X12,0),"-")</f>
        <v>-</v>
      </c>
      <c r="Y13" s="29" t="str">
        <f t="shared" ref="Y13" si="111">IF(Y12&lt;&gt;"-",ROUNDUP(1.3*Y12,0),"-")</f>
        <v>-</v>
      </c>
      <c r="Z13" s="29" t="str">
        <f t="shared" ref="Z13" si="112">IF(Z12&lt;&gt;"-",ROUNDUP(1.3*Z12,0),"-")</f>
        <v>-</v>
      </c>
      <c r="AA13" s="29" t="str">
        <f t="shared" ref="AA13" si="113">IF(AA12&lt;&gt;"-",ROUNDUP(1.3*AA12,0),"-")</f>
        <v>-</v>
      </c>
      <c r="AB13" s="29" t="str">
        <f t="shared" ref="AB13" si="114">IF(AB12&lt;&gt;"-",ROUNDUP(1.3*AB12,0),"-")</f>
        <v>-</v>
      </c>
      <c r="AC13" s="29" t="str">
        <f t="shared" ref="AC13" si="115">IF(AC12&lt;&gt;"-",ROUNDUP(1.3*AC12,0),"-")</f>
        <v>-</v>
      </c>
      <c r="AD13" s="29" t="str">
        <f t="shared" ref="AD13" si="116">IF(AD12&lt;&gt;"-",ROUNDUP(1.3*AD12,0),"-")</f>
        <v>-</v>
      </c>
      <c r="AE13" s="29" t="str">
        <f t="shared" ref="AE13" si="117">IF(AE12&lt;&gt;"-",ROUNDUP(1.3*AE12,0),"-")</f>
        <v>-</v>
      </c>
      <c r="AF13" s="29" t="str">
        <f t="shared" ref="AF13" si="118">IF(AF12&lt;&gt;"-",ROUNDUP(1.3*AF12,0),"-")</f>
        <v>-</v>
      </c>
      <c r="AG13" s="29" t="str">
        <f t="shared" ref="AG13" si="119">IF(AG12&lt;&gt;"-",ROUNDUP(1.3*AG12,0),"-")</f>
        <v>-</v>
      </c>
      <c r="AH13" s="29" t="str">
        <f t="shared" ref="AH13" si="120">IF(AH12&lt;&gt;"-",ROUNDUP(1.3*AH12,0),"-")</f>
        <v>-</v>
      </c>
      <c r="AI13" s="29" t="str">
        <f t="shared" ref="AI13" si="121">IF(AI12&lt;&gt;"-",ROUNDUP(1.3*AI12,0),"-")</f>
        <v>-</v>
      </c>
      <c r="AJ13" s="29" t="str">
        <f t="shared" ref="AJ13" si="122">IF(AJ12&lt;&gt;"-",ROUNDUP(1.3*AJ12,0),"-")</f>
        <v>-</v>
      </c>
    </row>
    <row r="14" spans="1:36">
      <c r="A14" s="143"/>
      <c r="B14" s="147"/>
      <c r="C14" s="143"/>
      <c r="D14" s="145"/>
      <c r="E14" s="143"/>
      <c r="F14" s="143"/>
      <c r="G14" s="140">
        <f>計算表格!G9</f>
        <v>22</v>
      </c>
      <c r="H14" s="31" t="s">
        <v>29</v>
      </c>
      <c r="I14" s="29">
        <f>計算表格!I9</f>
        <v>86</v>
      </c>
      <c r="J14" s="29">
        <f>計算表格!J9</f>
        <v>86</v>
      </c>
      <c r="K14" s="29">
        <f>計算表格!K9</f>
        <v>86</v>
      </c>
      <c r="L14" s="29">
        <f>計算表格!L9</f>
        <v>86</v>
      </c>
      <c r="M14" s="29">
        <f>計算表格!M9</f>
        <v>86</v>
      </c>
      <c r="N14" s="29">
        <f>計算表格!N9</f>
        <v>86</v>
      </c>
      <c r="O14" s="29">
        <f>計算表格!O9</f>
        <v>86</v>
      </c>
      <c r="P14" s="29">
        <f>計算表格!P9</f>
        <v>86</v>
      </c>
      <c r="Q14" s="29">
        <f>計算表格!Q9</f>
        <v>91</v>
      </c>
      <c r="R14" s="29">
        <f>計算表格!R9</f>
        <v>100</v>
      </c>
      <c r="S14" s="29">
        <f>計算表格!S9</f>
        <v>109</v>
      </c>
      <c r="T14" s="29">
        <f>計算表格!T9</f>
        <v>118</v>
      </c>
      <c r="U14" s="29">
        <f>計算表格!U9</f>
        <v>127</v>
      </c>
      <c r="V14" s="29">
        <f>計算表格!V9</f>
        <v>135</v>
      </c>
      <c r="W14" s="29">
        <f>計算表格!W9</f>
        <v>144</v>
      </c>
      <c r="X14" s="29">
        <f>計算表格!X9</f>
        <v>153</v>
      </c>
      <c r="Y14" s="29">
        <f>計算表格!Y9</f>
        <v>162</v>
      </c>
      <c r="Z14" s="29">
        <f>計算表格!Z9</f>
        <v>171</v>
      </c>
      <c r="AA14" s="29" t="str">
        <f>計算表格!AA9</f>
        <v>-</v>
      </c>
      <c r="AB14" s="29" t="str">
        <f>計算表格!AB9</f>
        <v>-</v>
      </c>
      <c r="AC14" s="29" t="str">
        <f>計算表格!AC9</f>
        <v>-</v>
      </c>
      <c r="AD14" s="29" t="str">
        <f>計算表格!AD9</f>
        <v>-</v>
      </c>
      <c r="AE14" s="29" t="str">
        <f>計算表格!AE9</f>
        <v>-</v>
      </c>
      <c r="AF14" s="29" t="str">
        <f>計算表格!AF9</f>
        <v>-</v>
      </c>
      <c r="AG14" s="29" t="str">
        <f>計算表格!AG9</f>
        <v>-</v>
      </c>
      <c r="AH14" s="29" t="str">
        <f>計算表格!AH9</f>
        <v>-</v>
      </c>
      <c r="AI14" s="29" t="str">
        <f>計算表格!AI9</f>
        <v>-</v>
      </c>
      <c r="AJ14" s="29" t="str">
        <f>計算表格!AJ9</f>
        <v>-</v>
      </c>
    </row>
    <row r="15" spans="1:36">
      <c r="A15" s="143"/>
      <c r="B15" s="147"/>
      <c r="C15" s="143"/>
      <c r="D15" s="145"/>
      <c r="E15" s="143"/>
      <c r="F15" s="144"/>
      <c r="G15" s="141"/>
      <c r="H15" s="32" t="s">
        <v>30</v>
      </c>
      <c r="I15" s="29">
        <f>IF(I14&lt;&gt;"-",ROUNDUP(1.3*I14,0),"-")</f>
        <v>112</v>
      </c>
      <c r="J15" s="29">
        <f t="shared" ref="J15" si="123">IF(J14&lt;&gt;"-",ROUNDUP(1.3*J14,0),"-")</f>
        <v>112</v>
      </c>
      <c r="K15" s="29">
        <f t="shared" ref="K15" si="124">IF(K14&lt;&gt;"-",ROUNDUP(1.3*K14,0),"-")</f>
        <v>112</v>
      </c>
      <c r="L15" s="29">
        <f t="shared" ref="L15" si="125">IF(L14&lt;&gt;"-",ROUNDUP(1.3*L14,0),"-")</f>
        <v>112</v>
      </c>
      <c r="M15" s="29">
        <f t="shared" ref="M15" si="126">IF(M14&lt;&gt;"-",ROUNDUP(1.3*M14,0),"-")</f>
        <v>112</v>
      </c>
      <c r="N15" s="29">
        <f t="shared" ref="N15" si="127">IF(N14&lt;&gt;"-",ROUNDUP(1.3*N14,0),"-")</f>
        <v>112</v>
      </c>
      <c r="O15" s="29">
        <f t="shared" ref="O15" si="128">IF(O14&lt;&gt;"-",ROUNDUP(1.3*O14,0),"-")</f>
        <v>112</v>
      </c>
      <c r="P15" s="29">
        <f t="shared" ref="P15" si="129">IF(P14&lt;&gt;"-",ROUNDUP(1.3*P14,0),"-")</f>
        <v>112</v>
      </c>
      <c r="Q15" s="29">
        <f t="shared" ref="Q15" si="130">IF(Q14&lt;&gt;"-",ROUNDUP(1.3*Q14,0),"-")</f>
        <v>119</v>
      </c>
      <c r="R15" s="29">
        <f t="shared" ref="R15" si="131">IF(R14&lt;&gt;"-",ROUNDUP(1.3*R14,0),"-")</f>
        <v>130</v>
      </c>
      <c r="S15" s="29">
        <f t="shared" ref="S15" si="132">IF(S14&lt;&gt;"-",ROUNDUP(1.3*S14,0),"-")</f>
        <v>142</v>
      </c>
      <c r="T15" s="29">
        <f t="shared" ref="T15" si="133">IF(T14&lt;&gt;"-",ROUNDUP(1.3*T14,0),"-")</f>
        <v>154</v>
      </c>
      <c r="U15" s="29">
        <f t="shared" ref="U15" si="134">IF(U14&lt;&gt;"-",ROUNDUP(1.3*U14,0),"-")</f>
        <v>166</v>
      </c>
      <c r="V15" s="29">
        <f t="shared" ref="V15" si="135">IF(V14&lt;&gt;"-",ROUNDUP(1.3*V14,0),"-")</f>
        <v>176</v>
      </c>
      <c r="W15" s="29">
        <f t="shared" ref="W15" si="136">IF(W14&lt;&gt;"-",ROUNDUP(1.3*W14,0),"-")</f>
        <v>188</v>
      </c>
      <c r="X15" s="29">
        <f t="shared" ref="X15" si="137">IF(X14&lt;&gt;"-",ROUNDUP(1.3*X14,0),"-")</f>
        <v>199</v>
      </c>
      <c r="Y15" s="29">
        <f t="shared" ref="Y15" si="138">IF(Y14&lt;&gt;"-",ROUNDUP(1.3*Y14,0),"-")</f>
        <v>211</v>
      </c>
      <c r="Z15" s="29">
        <f t="shared" ref="Z15" si="139">IF(Z14&lt;&gt;"-",ROUNDUP(1.3*Z14,0),"-")</f>
        <v>223</v>
      </c>
      <c r="AA15" s="29" t="str">
        <f t="shared" ref="AA15" si="140">IF(AA14&lt;&gt;"-",ROUNDUP(1.3*AA14,0),"-")</f>
        <v>-</v>
      </c>
      <c r="AB15" s="29" t="str">
        <f t="shared" ref="AB15" si="141">IF(AB14&lt;&gt;"-",ROUNDUP(1.3*AB14,0),"-")</f>
        <v>-</v>
      </c>
      <c r="AC15" s="29" t="str">
        <f t="shared" ref="AC15" si="142">IF(AC14&lt;&gt;"-",ROUNDUP(1.3*AC14,0),"-")</f>
        <v>-</v>
      </c>
      <c r="AD15" s="29" t="str">
        <f t="shared" ref="AD15" si="143">IF(AD14&lt;&gt;"-",ROUNDUP(1.3*AD14,0),"-")</f>
        <v>-</v>
      </c>
      <c r="AE15" s="29" t="str">
        <f t="shared" ref="AE15" si="144">IF(AE14&lt;&gt;"-",ROUNDUP(1.3*AE14,0),"-")</f>
        <v>-</v>
      </c>
      <c r="AF15" s="29" t="str">
        <f t="shared" ref="AF15" si="145">IF(AF14&lt;&gt;"-",ROUNDUP(1.3*AF14,0),"-")</f>
        <v>-</v>
      </c>
      <c r="AG15" s="29" t="str">
        <f t="shared" ref="AG15" si="146">IF(AG14&lt;&gt;"-",ROUNDUP(1.3*AG14,0),"-")</f>
        <v>-</v>
      </c>
      <c r="AH15" s="29" t="str">
        <f t="shared" ref="AH15" si="147">IF(AH14&lt;&gt;"-",ROUNDUP(1.3*AH14,0),"-")</f>
        <v>-</v>
      </c>
      <c r="AI15" s="29" t="str">
        <f t="shared" ref="AI15" si="148">IF(AI14&lt;&gt;"-",ROUNDUP(1.3*AI14,0),"-")</f>
        <v>-</v>
      </c>
      <c r="AJ15" s="29" t="str">
        <f t="shared" ref="AJ15" si="149">IF(AJ14&lt;&gt;"-",ROUNDUP(1.3*AJ14,0),"-")</f>
        <v>-</v>
      </c>
    </row>
    <row r="16" spans="1:36">
      <c r="A16" s="143"/>
      <c r="B16" s="147"/>
      <c r="C16" s="143"/>
      <c r="D16" s="145"/>
      <c r="E16" s="143"/>
      <c r="F16" s="142">
        <f>計算表格!F10</f>
        <v>280</v>
      </c>
      <c r="G16" s="140">
        <f>計算表格!G10</f>
        <v>32</v>
      </c>
      <c r="H16" s="31" t="s">
        <v>29</v>
      </c>
      <c r="I16" s="29">
        <f>計算表格!I10</f>
        <v>117</v>
      </c>
      <c r="J16" s="29">
        <f>計算表格!J10</f>
        <v>117</v>
      </c>
      <c r="K16" s="29">
        <f>計算表格!K10</f>
        <v>117</v>
      </c>
      <c r="L16" s="29">
        <f>計算表格!L10</f>
        <v>117</v>
      </c>
      <c r="M16" s="29">
        <f>計算表格!M10</f>
        <v>117</v>
      </c>
      <c r="N16" s="29">
        <f>計算表格!N10</f>
        <v>128</v>
      </c>
      <c r="O16" s="29">
        <f>計算表格!O10</f>
        <v>146</v>
      </c>
      <c r="P16" s="29">
        <f>計算表格!P10</f>
        <v>163</v>
      </c>
      <c r="Q16" s="29">
        <f>計算表格!Q10</f>
        <v>181</v>
      </c>
      <c r="R16" s="29">
        <f>計算表格!R10</f>
        <v>199</v>
      </c>
      <c r="S16" s="29">
        <f>計算表格!S10</f>
        <v>217</v>
      </c>
      <c r="T16" s="29">
        <f>計算表格!T10</f>
        <v>235</v>
      </c>
      <c r="U16" s="29" t="str">
        <f>計算表格!U10</f>
        <v>-</v>
      </c>
      <c r="V16" s="29" t="str">
        <f>計算表格!V10</f>
        <v>-</v>
      </c>
      <c r="W16" s="29" t="str">
        <f>計算表格!W10</f>
        <v>-</v>
      </c>
      <c r="X16" s="29" t="str">
        <f>計算表格!X10</f>
        <v>-</v>
      </c>
      <c r="Y16" s="29" t="str">
        <f>計算表格!Y10</f>
        <v>-</v>
      </c>
      <c r="Z16" s="29" t="str">
        <f>計算表格!Z10</f>
        <v>-</v>
      </c>
      <c r="AA16" s="29" t="str">
        <f>計算表格!AA10</f>
        <v>-</v>
      </c>
      <c r="AB16" s="29" t="str">
        <f>計算表格!AB10</f>
        <v>-</v>
      </c>
      <c r="AC16" s="29" t="str">
        <f>計算表格!AC10</f>
        <v>-</v>
      </c>
      <c r="AD16" s="29" t="str">
        <f>計算表格!AD10</f>
        <v>-</v>
      </c>
      <c r="AE16" s="29" t="str">
        <f>計算表格!AE10</f>
        <v>-</v>
      </c>
      <c r="AF16" s="29" t="str">
        <f>計算表格!AF10</f>
        <v>-</v>
      </c>
      <c r="AG16" s="29" t="str">
        <f>計算表格!AG10</f>
        <v>-</v>
      </c>
      <c r="AH16" s="29" t="str">
        <f>計算表格!AH10</f>
        <v>-</v>
      </c>
      <c r="AI16" s="29" t="str">
        <f>計算表格!AI10</f>
        <v>-</v>
      </c>
      <c r="AJ16" s="29" t="str">
        <f>計算表格!AJ10</f>
        <v>-</v>
      </c>
    </row>
    <row r="17" spans="1:36">
      <c r="A17" s="143"/>
      <c r="B17" s="147"/>
      <c r="C17" s="143"/>
      <c r="D17" s="145"/>
      <c r="E17" s="143"/>
      <c r="F17" s="143"/>
      <c r="G17" s="141"/>
      <c r="H17" s="32" t="s">
        <v>30</v>
      </c>
      <c r="I17" s="29">
        <f>IF(I16&lt;&gt;"-",ROUNDUP(1.3*I16,0),"-")</f>
        <v>153</v>
      </c>
      <c r="J17" s="29">
        <f t="shared" ref="J17" si="150">IF(J16&lt;&gt;"-",ROUNDUP(1.3*J16,0),"-")</f>
        <v>153</v>
      </c>
      <c r="K17" s="29">
        <f t="shared" ref="K17" si="151">IF(K16&lt;&gt;"-",ROUNDUP(1.3*K16,0),"-")</f>
        <v>153</v>
      </c>
      <c r="L17" s="29">
        <f t="shared" ref="L17" si="152">IF(L16&lt;&gt;"-",ROUNDUP(1.3*L16,0),"-")</f>
        <v>153</v>
      </c>
      <c r="M17" s="29">
        <f t="shared" ref="M17" si="153">IF(M16&lt;&gt;"-",ROUNDUP(1.3*M16,0),"-")</f>
        <v>153</v>
      </c>
      <c r="N17" s="29">
        <f t="shared" ref="N17" si="154">IF(N16&lt;&gt;"-",ROUNDUP(1.3*N16,0),"-")</f>
        <v>167</v>
      </c>
      <c r="O17" s="29">
        <f t="shared" ref="O17" si="155">IF(O16&lt;&gt;"-",ROUNDUP(1.3*O16,0),"-")</f>
        <v>190</v>
      </c>
      <c r="P17" s="29">
        <f t="shared" ref="P17" si="156">IF(P16&lt;&gt;"-",ROUNDUP(1.3*P16,0),"-")</f>
        <v>212</v>
      </c>
      <c r="Q17" s="29">
        <f t="shared" ref="Q17" si="157">IF(Q16&lt;&gt;"-",ROUNDUP(1.3*Q16,0),"-")</f>
        <v>236</v>
      </c>
      <c r="R17" s="29">
        <f t="shared" ref="R17" si="158">IF(R16&lt;&gt;"-",ROUNDUP(1.3*R16,0),"-")</f>
        <v>259</v>
      </c>
      <c r="S17" s="29">
        <f t="shared" ref="S17" si="159">IF(S16&lt;&gt;"-",ROUNDUP(1.3*S16,0),"-")</f>
        <v>283</v>
      </c>
      <c r="T17" s="29">
        <f t="shared" ref="T17" si="160">IF(T16&lt;&gt;"-",ROUNDUP(1.3*T16,0),"-")</f>
        <v>306</v>
      </c>
      <c r="U17" s="29" t="str">
        <f t="shared" ref="U17" si="161">IF(U16&lt;&gt;"-",ROUNDUP(1.3*U16,0),"-")</f>
        <v>-</v>
      </c>
      <c r="V17" s="29" t="str">
        <f t="shared" ref="V17" si="162">IF(V16&lt;&gt;"-",ROUNDUP(1.3*V16,0),"-")</f>
        <v>-</v>
      </c>
      <c r="W17" s="29" t="str">
        <f t="shared" ref="W17" si="163">IF(W16&lt;&gt;"-",ROUNDUP(1.3*W16,0),"-")</f>
        <v>-</v>
      </c>
      <c r="X17" s="29" t="str">
        <f t="shared" ref="X17" si="164">IF(X16&lt;&gt;"-",ROUNDUP(1.3*X16,0),"-")</f>
        <v>-</v>
      </c>
      <c r="Y17" s="29" t="str">
        <f t="shared" ref="Y17" si="165">IF(Y16&lt;&gt;"-",ROUNDUP(1.3*Y16,0),"-")</f>
        <v>-</v>
      </c>
      <c r="Z17" s="29" t="str">
        <f t="shared" ref="Z17" si="166">IF(Z16&lt;&gt;"-",ROUNDUP(1.3*Z16,0),"-")</f>
        <v>-</v>
      </c>
      <c r="AA17" s="29" t="str">
        <f t="shared" ref="AA17" si="167">IF(AA16&lt;&gt;"-",ROUNDUP(1.3*AA16,0),"-")</f>
        <v>-</v>
      </c>
      <c r="AB17" s="29" t="str">
        <f t="shared" ref="AB17" si="168">IF(AB16&lt;&gt;"-",ROUNDUP(1.3*AB16,0),"-")</f>
        <v>-</v>
      </c>
      <c r="AC17" s="29" t="str">
        <f t="shared" ref="AC17" si="169">IF(AC16&lt;&gt;"-",ROUNDUP(1.3*AC16,0),"-")</f>
        <v>-</v>
      </c>
      <c r="AD17" s="29" t="str">
        <f t="shared" ref="AD17" si="170">IF(AD16&lt;&gt;"-",ROUNDUP(1.3*AD16,0),"-")</f>
        <v>-</v>
      </c>
      <c r="AE17" s="29" t="str">
        <f t="shared" ref="AE17" si="171">IF(AE16&lt;&gt;"-",ROUNDUP(1.3*AE16,0),"-")</f>
        <v>-</v>
      </c>
      <c r="AF17" s="29" t="str">
        <f t="shared" ref="AF17" si="172">IF(AF16&lt;&gt;"-",ROUNDUP(1.3*AF16,0),"-")</f>
        <v>-</v>
      </c>
      <c r="AG17" s="29" t="str">
        <f t="shared" ref="AG17" si="173">IF(AG16&lt;&gt;"-",ROUNDUP(1.3*AG16,0),"-")</f>
        <v>-</v>
      </c>
      <c r="AH17" s="29" t="str">
        <f t="shared" ref="AH17" si="174">IF(AH16&lt;&gt;"-",ROUNDUP(1.3*AH16,0),"-")</f>
        <v>-</v>
      </c>
      <c r="AI17" s="29" t="str">
        <f t="shared" ref="AI17" si="175">IF(AI16&lt;&gt;"-",ROUNDUP(1.3*AI16,0),"-")</f>
        <v>-</v>
      </c>
      <c r="AJ17" s="29" t="str">
        <f t="shared" ref="AJ17" si="176">IF(AJ16&lt;&gt;"-",ROUNDUP(1.3*AJ16,0),"-")</f>
        <v>-</v>
      </c>
    </row>
    <row r="18" spans="1:36">
      <c r="A18" s="143"/>
      <c r="B18" s="147"/>
      <c r="C18" s="143"/>
      <c r="D18" s="145"/>
      <c r="E18" s="143"/>
      <c r="F18" s="143"/>
      <c r="G18" s="140">
        <f>計算表格!G11</f>
        <v>25</v>
      </c>
      <c r="H18" s="31" t="s">
        <v>29</v>
      </c>
      <c r="I18" s="29">
        <f>計算表格!I11</f>
        <v>92</v>
      </c>
      <c r="J18" s="29">
        <f>計算表格!J11</f>
        <v>92</v>
      </c>
      <c r="K18" s="29">
        <f>計算表格!K11</f>
        <v>92</v>
      </c>
      <c r="L18" s="29">
        <f>計算表格!L11</f>
        <v>92</v>
      </c>
      <c r="M18" s="29">
        <f>計算表格!M11</f>
        <v>92</v>
      </c>
      <c r="N18" s="29">
        <f>計算表格!N11</f>
        <v>92</v>
      </c>
      <c r="O18" s="29">
        <f>計算表格!O11</f>
        <v>92</v>
      </c>
      <c r="P18" s="29">
        <f>計算表格!P11</f>
        <v>99</v>
      </c>
      <c r="Q18" s="29">
        <f>計算表格!Q11</f>
        <v>110</v>
      </c>
      <c r="R18" s="29">
        <f>計算表格!R11</f>
        <v>121</v>
      </c>
      <c r="S18" s="29">
        <f>計算表格!S11</f>
        <v>132</v>
      </c>
      <c r="T18" s="29">
        <f>計算表格!T11</f>
        <v>142</v>
      </c>
      <c r="U18" s="29">
        <f>計算表格!U11</f>
        <v>153</v>
      </c>
      <c r="V18" s="29">
        <f>計算表格!V11</f>
        <v>164</v>
      </c>
      <c r="W18" s="29">
        <f>計算表格!W11</f>
        <v>175</v>
      </c>
      <c r="X18" s="29" t="str">
        <f>計算表格!X11</f>
        <v>-</v>
      </c>
      <c r="Y18" s="29" t="str">
        <f>計算表格!Y11</f>
        <v>-</v>
      </c>
      <c r="Z18" s="29" t="str">
        <f>計算表格!Z11</f>
        <v>-</v>
      </c>
      <c r="AA18" s="29" t="str">
        <f>計算表格!AA11</f>
        <v>-</v>
      </c>
      <c r="AB18" s="29" t="str">
        <f>計算表格!AB11</f>
        <v>-</v>
      </c>
      <c r="AC18" s="29" t="str">
        <f>計算表格!AC11</f>
        <v>-</v>
      </c>
      <c r="AD18" s="29" t="str">
        <f>計算表格!AD11</f>
        <v>-</v>
      </c>
      <c r="AE18" s="29" t="str">
        <f>計算表格!AE11</f>
        <v>-</v>
      </c>
      <c r="AF18" s="29" t="str">
        <f>計算表格!AF11</f>
        <v>-</v>
      </c>
      <c r="AG18" s="29" t="str">
        <f>計算表格!AG11</f>
        <v>-</v>
      </c>
      <c r="AH18" s="29" t="str">
        <f>計算表格!AH11</f>
        <v>-</v>
      </c>
      <c r="AI18" s="29" t="str">
        <f>計算表格!AI11</f>
        <v>-</v>
      </c>
      <c r="AJ18" s="29" t="str">
        <f>計算表格!AJ11</f>
        <v>-</v>
      </c>
    </row>
    <row r="19" spans="1:36">
      <c r="A19" s="143"/>
      <c r="B19" s="147"/>
      <c r="C19" s="143"/>
      <c r="D19" s="145"/>
      <c r="E19" s="143"/>
      <c r="F19" s="143"/>
      <c r="G19" s="141"/>
      <c r="H19" s="32" t="s">
        <v>30</v>
      </c>
      <c r="I19" s="29">
        <f>IF(I18&lt;&gt;"-",ROUNDUP(1.3*I18,0),"-")</f>
        <v>120</v>
      </c>
      <c r="J19" s="29">
        <f t="shared" ref="J19" si="177">IF(J18&lt;&gt;"-",ROUNDUP(1.3*J18,0),"-")</f>
        <v>120</v>
      </c>
      <c r="K19" s="29">
        <f t="shared" ref="K19" si="178">IF(K18&lt;&gt;"-",ROUNDUP(1.3*K18,0),"-")</f>
        <v>120</v>
      </c>
      <c r="L19" s="29">
        <f t="shared" ref="L19" si="179">IF(L18&lt;&gt;"-",ROUNDUP(1.3*L18,0),"-")</f>
        <v>120</v>
      </c>
      <c r="M19" s="29">
        <f t="shared" ref="M19" si="180">IF(M18&lt;&gt;"-",ROUNDUP(1.3*M18,0),"-")</f>
        <v>120</v>
      </c>
      <c r="N19" s="29">
        <f t="shared" ref="N19" si="181">IF(N18&lt;&gt;"-",ROUNDUP(1.3*N18,0),"-")</f>
        <v>120</v>
      </c>
      <c r="O19" s="29">
        <f t="shared" ref="O19" si="182">IF(O18&lt;&gt;"-",ROUNDUP(1.3*O18,0),"-")</f>
        <v>120</v>
      </c>
      <c r="P19" s="29">
        <f t="shared" ref="P19" si="183">IF(P18&lt;&gt;"-",ROUNDUP(1.3*P18,0),"-")</f>
        <v>129</v>
      </c>
      <c r="Q19" s="29">
        <f t="shared" ref="Q19" si="184">IF(Q18&lt;&gt;"-",ROUNDUP(1.3*Q18,0),"-")</f>
        <v>143</v>
      </c>
      <c r="R19" s="29">
        <f t="shared" ref="R19" si="185">IF(R18&lt;&gt;"-",ROUNDUP(1.3*R18,0),"-")</f>
        <v>158</v>
      </c>
      <c r="S19" s="29">
        <f t="shared" ref="S19" si="186">IF(S18&lt;&gt;"-",ROUNDUP(1.3*S18,0),"-")</f>
        <v>172</v>
      </c>
      <c r="T19" s="29">
        <f t="shared" ref="T19" si="187">IF(T18&lt;&gt;"-",ROUNDUP(1.3*T18,0),"-")</f>
        <v>185</v>
      </c>
      <c r="U19" s="29">
        <f t="shared" ref="U19" si="188">IF(U18&lt;&gt;"-",ROUNDUP(1.3*U18,0),"-")</f>
        <v>199</v>
      </c>
      <c r="V19" s="29">
        <f t="shared" ref="V19" si="189">IF(V18&lt;&gt;"-",ROUNDUP(1.3*V18,0),"-")</f>
        <v>214</v>
      </c>
      <c r="W19" s="29">
        <f t="shared" ref="W19" si="190">IF(W18&lt;&gt;"-",ROUNDUP(1.3*W18,0),"-")</f>
        <v>228</v>
      </c>
      <c r="X19" s="29" t="str">
        <f t="shared" ref="X19" si="191">IF(X18&lt;&gt;"-",ROUNDUP(1.3*X18,0),"-")</f>
        <v>-</v>
      </c>
      <c r="Y19" s="29" t="str">
        <f t="shared" ref="Y19" si="192">IF(Y18&lt;&gt;"-",ROUNDUP(1.3*Y18,0),"-")</f>
        <v>-</v>
      </c>
      <c r="Z19" s="29" t="str">
        <f t="shared" ref="Z19" si="193">IF(Z18&lt;&gt;"-",ROUNDUP(1.3*Z18,0),"-")</f>
        <v>-</v>
      </c>
      <c r="AA19" s="29" t="str">
        <f t="shared" ref="AA19" si="194">IF(AA18&lt;&gt;"-",ROUNDUP(1.3*AA18,0),"-")</f>
        <v>-</v>
      </c>
      <c r="AB19" s="29" t="str">
        <f t="shared" ref="AB19" si="195">IF(AB18&lt;&gt;"-",ROUNDUP(1.3*AB18,0),"-")</f>
        <v>-</v>
      </c>
      <c r="AC19" s="29" t="str">
        <f t="shared" ref="AC19" si="196">IF(AC18&lt;&gt;"-",ROUNDUP(1.3*AC18,0),"-")</f>
        <v>-</v>
      </c>
      <c r="AD19" s="29" t="str">
        <f t="shared" ref="AD19" si="197">IF(AD18&lt;&gt;"-",ROUNDUP(1.3*AD18,0),"-")</f>
        <v>-</v>
      </c>
      <c r="AE19" s="29" t="str">
        <f t="shared" ref="AE19" si="198">IF(AE18&lt;&gt;"-",ROUNDUP(1.3*AE18,0),"-")</f>
        <v>-</v>
      </c>
      <c r="AF19" s="29" t="str">
        <f t="shared" ref="AF19" si="199">IF(AF18&lt;&gt;"-",ROUNDUP(1.3*AF18,0),"-")</f>
        <v>-</v>
      </c>
      <c r="AG19" s="29" t="str">
        <f t="shared" ref="AG19" si="200">IF(AG18&lt;&gt;"-",ROUNDUP(1.3*AG18,0),"-")</f>
        <v>-</v>
      </c>
      <c r="AH19" s="29" t="str">
        <f t="shared" ref="AH19" si="201">IF(AH18&lt;&gt;"-",ROUNDUP(1.3*AH18,0),"-")</f>
        <v>-</v>
      </c>
      <c r="AI19" s="29" t="str">
        <f t="shared" ref="AI19" si="202">IF(AI18&lt;&gt;"-",ROUNDUP(1.3*AI18,0),"-")</f>
        <v>-</v>
      </c>
      <c r="AJ19" s="29" t="str">
        <f t="shared" ref="AJ19" si="203">IF(AJ18&lt;&gt;"-",ROUNDUP(1.3*AJ18,0),"-")</f>
        <v>-</v>
      </c>
    </row>
    <row r="20" spans="1:36">
      <c r="A20" s="143"/>
      <c r="B20" s="147"/>
      <c r="C20" s="143"/>
      <c r="D20" s="145"/>
      <c r="E20" s="143"/>
      <c r="F20" s="143"/>
      <c r="G20" s="140">
        <f>計算表格!G12</f>
        <v>22</v>
      </c>
      <c r="H20" s="31" t="s">
        <v>29</v>
      </c>
      <c r="I20" s="29">
        <f>計算表格!I12</f>
        <v>81</v>
      </c>
      <c r="J20" s="29">
        <f>計算表格!J12</f>
        <v>81</v>
      </c>
      <c r="K20" s="29">
        <f>計算表格!K12</f>
        <v>81</v>
      </c>
      <c r="L20" s="29">
        <f>計算表格!L12</f>
        <v>81</v>
      </c>
      <c r="M20" s="29">
        <f>計算表格!M12</f>
        <v>81</v>
      </c>
      <c r="N20" s="29">
        <f>計算表格!N12</f>
        <v>81</v>
      </c>
      <c r="O20" s="29">
        <f>計算表格!O12</f>
        <v>81</v>
      </c>
      <c r="P20" s="29">
        <f>計算表格!P12</f>
        <v>81</v>
      </c>
      <c r="Q20" s="29">
        <f>計算表格!Q12</f>
        <v>85</v>
      </c>
      <c r="R20" s="29">
        <f>計算表格!R12</f>
        <v>93</v>
      </c>
      <c r="S20" s="29">
        <f>計算表格!S12</f>
        <v>102</v>
      </c>
      <c r="T20" s="29">
        <f>計算表格!T12</f>
        <v>110</v>
      </c>
      <c r="U20" s="29">
        <f>計算表格!U12</f>
        <v>118</v>
      </c>
      <c r="V20" s="29">
        <f>計算表格!V12</f>
        <v>127</v>
      </c>
      <c r="W20" s="29">
        <f>計算表格!W12</f>
        <v>135</v>
      </c>
      <c r="X20" s="29">
        <f>計算表格!X12</f>
        <v>143</v>
      </c>
      <c r="Y20" s="29">
        <f>計算表格!Y12</f>
        <v>152</v>
      </c>
      <c r="Z20" s="29">
        <f>計算表格!Z12</f>
        <v>160</v>
      </c>
      <c r="AA20" s="29" t="str">
        <f>計算表格!AA12</f>
        <v>-</v>
      </c>
      <c r="AB20" s="29" t="str">
        <f>計算表格!AB12</f>
        <v>-</v>
      </c>
      <c r="AC20" s="29" t="str">
        <f>計算表格!AC12</f>
        <v>-</v>
      </c>
      <c r="AD20" s="29" t="str">
        <f>計算表格!AD12</f>
        <v>-</v>
      </c>
      <c r="AE20" s="29" t="str">
        <f>計算表格!AE12</f>
        <v>-</v>
      </c>
      <c r="AF20" s="29" t="str">
        <f>計算表格!AF12</f>
        <v>-</v>
      </c>
      <c r="AG20" s="29" t="str">
        <f>計算表格!AG12</f>
        <v>-</v>
      </c>
      <c r="AH20" s="29" t="str">
        <f>計算表格!AH12</f>
        <v>-</v>
      </c>
      <c r="AI20" s="29" t="str">
        <f>計算表格!AI12</f>
        <v>-</v>
      </c>
      <c r="AJ20" s="29" t="str">
        <f>計算表格!AJ12</f>
        <v>-</v>
      </c>
    </row>
    <row r="21" spans="1:36">
      <c r="A21" s="143"/>
      <c r="B21" s="147"/>
      <c r="C21" s="143"/>
      <c r="D21" s="145"/>
      <c r="E21" s="143"/>
      <c r="F21" s="144"/>
      <c r="G21" s="141"/>
      <c r="H21" s="32" t="s">
        <v>30</v>
      </c>
      <c r="I21" s="29">
        <f>IF(I20&lt;&gt;"-",ROUNDUP(1.3*I20,0),"-")</f>
        <v>106</v>
      </c>
      <c r="J21" s="29">
        <f t="shared" ref="J21" si="204">IF(J20&lt;&gt;"-",ROUNDUP(1.3*J20,0),"-")</f>
        <v>106</v>
      </c>
      <c r="K21" s="29">
        <f t="shared" ref="K21" si="205">IF(K20&lt;&gt;"-",ROUNDUP(1.3*K20,0),"-")</f>
        <v>106</v>
      </c>
      <c r="L21" s="29">
        <f t="shared" ref="L21" si="206">IF(L20&lt;&gt;"-",ROUNDUP(1.3*L20,0),"-")</f>
        <v>106</v>
      </c>
      <c r="M21" s="29">
        <f t="shared" ref="M21" si="207">IF(M20&lt;&gt;"-",ROUNDUP(1.3*M20,0),"-")</f>
        <v>106</v>
      </c>
      <c r="N21" s="29">
        <f t="shared" ref="N21" si="208">IF(N20&lt;&gt;"-",ROUNDUP(1.3*N20,0),"-")</f>
        <v>106</v>
      </c>
      <c r="O21" s="29">
        <f t="shared" ref="O21" si="209">IF(O20&lt;&gt;"-",ROUNDUP(1.3*O20,0),"-")</f>
        <v>106</v>
      </c>
      <c r="P21" s="29">
        <f t="shared" ref="P21" si="210">IF(P20&lt;&gt;"-",ROUNDUP(1.3*P20,0),"-")</f>
        <v>106</v>
      </c>
      <c r="Q21" s="29">
        <f t="shared" ref="Q21" si="211">IF(Q20&lt;&gt;"-",ROUNDUP(1.3*Q20,0),"-")</f>
        <v>111</v>
      </c>
      <c r="R21" s="29">
        <f t="shared" ref="R21" si="212">IF(R20&lt;&gt;"-",ROUNDUP(1.3*R20,0),"-")</f>
        <v>121</v>
      </c>
      <c r="S21" s="29">
        <f t="shared" ref="S21" si="213">IF(S20&lt;&gt;"-",ROUNDUP(1.3*S20,0),"-")</f>
        <v>133</v>
      </c>
      <c r="T21" s="29">
        <f t="shared" ref="T21" si="214">IF(T20&lt;&gt;"-",ROUNDUP(1.3*T20,0),"-")</f>
        <v>143</v>
      </c>
      <c r="U21" s="29">
        <f t="shared" ref="U21" si="215">IF(U20&lt;&gt;"-",ROUNDUP(1.3*U20,0),"-")</f>
        <v>154</v>
      </c>
      <c r="V21" s="29">
        <f t="shared" ref="V21" si="216">IF(V20&lt;&gt;"-",ROUNDUP(1.3*V20,0),"-")</f>
        <v>166</v>
      </c>
      <c r="W21" s="29">
        <f t="shared" ref="W21" si="217">IF(W20&lt;&gt;"-",ROUNDUP(1.3*W20,0),"-")</f>
        <v>176</v>
      </c>
      <c r="X21" s="29">
        <f t="shared" ref="X21" si="218">IF(X20&lt;&gt;"-",ROUNDUP(1.3*X20,0),"-")</f>
        <v>186</v>
      </c>
      <c r="Y21" s="29">
        <f t="shared" ref="Y21" si="219">IF(Y20&lt;&gt;"-",ROUNDUP(1.3*Y20,0),"-")</f>
        <v>198</v>
      </c>
      <c r="Z21" s="29">
        <f t="shared" ref="Z21" si="220">IF(Z20&lt;&gt;"-",ROUNDUP(1.3*Z20,0),"-")</f>
        <v>208</v>
      </c>
      <c r="AA21" s="29" t="str">
        <f t="shared" ref="AA21" si="221">IF(AA20&lt;&gt;"-",ROUNDUP(1.3*AA20,0),"-")</f>
        <v>-</v>
      </c>
      <c r="AB21" s="29" t="str">
        <f t="shared" ref="AB21" si="222">IF(AB20&lt;&gt;"-",ROUNDUP(1.3*AB20,0),"-")</f>
        <v>-</v>
      </c>
      <c r="AC21" s="29" t="str">
        <f t="shared" ref="AC21" si="223">IF(AC20&lt;&gt;"-",ROUNDUP(1.3*AC20,0),"-")</f>
        <v>-</v>
      </c>
      <c r="AD21" s="29" t="str">
        <f t="shared" ref="AD21" si="224">IF(AD20&lt;&gt;"-",ROUNDUP(1.3*AD20,0),"-")</f>
        <v>-</v>
      </c>
      <c r="AE21" s="29" t="str">
        <f t="shared" ref="AE21" si="225">IF(AE20&lt;&gt;"-",ROUNDUP(1.3*AE20,0),"-")</f>
        <v>-</v>
      </c>
      <c r="AF21" s="29" t="str">
        <f t="shared" ref="AF21" si="226">IF(AF20&lt;&gt;"-",ROUNDUP(1.3*AF20,0),"-")</f>
        <v>-</v>
      </c>
      <c r="AG21" s="29" t="str">
        <f t="shared" ref="AG21" si="227">IF(AG20&lt;&gt;"-",ROUNDUP(1.3*AG20,0),"-")</f>
        <v>-</v>
      </c>
      <c r="AH21" s="29" t="str">
        <f t="shared" ref="AH21" si="228">IF(AH20&lt;&gt;"-",ROUNDUP(1.3*AH20,0),"-")</f>
        <v>-</v>
      </c>
      <c r="AI21" s="29" t="str">
        <f t="shared" ref="AI21" si="229">IF(AI20&lt;&gt;"-",ROUNDUP(1.3*AI20,0),"-")</f>
        <v>-</v>
      </c>
      <c r="AJ21" s="29" t="str">
        <f t="shared" ref="AJ21" si="230">IF(AJ20&lt;&gt;"-",ROUNDUP(1.3*AJ20,0),"-")</f>
        <v>-</v>
      </c>
    </row>
    <row r="22" spans="1:36">
      <c r="A22" s="143"/>
      <c r="B22" s="147"/>
      <c r="C22" s="143"/>
      <c r="D22" s="145"/>
      <c r="E22" s="143"/>
      <c r="F22" s="142">
        <f>計算表格!F13</f>
        <v>350</v>
      </c>
      <c r="G22" s="140">
        <f>計算表格!G13</f>
        <v>32</v>
      </c>
      <c r="H22" s="31" t="s">
        <v>29</v>
      </c>
      <c r="I22" s="29">
        <f>計算表格!I13</f>
        <v>105</v>
      </c>
      <c r="J22" s="29">
        <f>計算表格!J13</f>
        <v>105</v>
      </c>
      <c r="K22" s="29">
        <f>計算表格!K13</f>
        <v>105</v>
      </c>
      <c r="L22" s="29">
        <f>計算表格!L13</f>
        <v>105</v>
      </c>
      <c r="M22" s="29">
        <f>計算表格!M13</f>
        <v>105</v>
      </c>
      <c r="N22" s="29">
        <f>計算表格!N13</f>
        <v>114</v>
      </c>
      <c r="O22" s="29">
        <f>計算表格!O13</f>
        <v>130</v>
      </c>
      <c r="P22" s="29">
        <f>計算表格!P13</f>
        <v>146</v>
      </c>
      <c r="Q22" s="29">
        <f>計算表格!Q13</f>
        <v>162</v>
      </c>
      <c r="R22" s="29">
        <f>計算表格!R13</f>
        <v>178</v>
      </c>
      <c r="S22" s="29">
        <f>計算表格!S13</f>
        <v>194</v>
      </c>
      <c r="T22" s="29">
        <f>計算表格!T13</f>
        <v>210</v>
      </c>
      <c r="U22" s="29" t="str">
        <f>計算表格!U13</f>
        <v>-</v>
      </c>
      <c r="V22" s="29" t="str">
        <f>計算表格!V13</f>
        <v>-</v>
      </c>
      <c r="W22" s="29" t="str">
        <f>計算表格!W13</f>
        <v>-</v>
      </c>
      <c r="X22" s="29" t="str">
        <f>計算表格!X13</f>
        <v>-</v>
      </c>
      <c r="Y22" s="29" t="str">
        <f>計算表格!Y13</f>
        <v>-</v>
      </c>
      <c r="Z22" s="29" t="str">
        <f>計算表格!Z13</f>
        <v>-</v>
      </c>
      <c r="AA22" s="29" t="str">
        <f>計算表格!AA13</f>
        <v>-</v>
      </c>
      <c r="AB22" s="29" t="str">
        <f>計算表格!AB13</f>
        <v>-</v>
      </c>
      <c r="AC22" s="29" t="str">
        <f>計算表格!AC13</f>
        <v>-</v>
      </c>
      <c r="AD22" s="29" t="str">
        <f>計算表格!AD13</f>
        <v>-</v>
      </c>
      <c r="AE22" s="29" t="str">
        <f>計算表格!AE13</f>
        <v>-</v>
      </c>
      <c r="AF22" s="29" t="str">
        <f>計算表格!AF13</f>
        <v>-</v>
      </c>
      <c r="AG22" s="29" t="str">
        <f>計算表格!AG13</f>
        <v>-</v>
      </c>
      <c r="AH22" s="29" t="str">
        <f>計算表格!AH13</f>
        <v>-</v>
      </c>
      <c r="AI22" s="29" t="str">
        <f>計算表格!AI13</f>
        <v>-</v>
      </c>
      <c r="AJ22" s="29" t="str">
        <f>計算表格!AJ13</f>
        <v>-</v>
      </c>
    </row>
    <row r="23" spans="1:36">
      <c r="A23" s="143"/>
      <c r="B23" s="147"/>
      <c r="C23" s="143"/>
      <c r="D23" s="145"/>
      <c r="E23" s="143"/>
      <c r="F23" s="143"/>
      <c r="G23" s="141"/>
      <c r="H23" s="32" t="s">
        <v>30</v>
      </c>
      <c r="I23" s="29">
        <f>IF(I22&lt;&gt;"-",ROUNDUP(1.3*I22,0),"-")</f>
        <v>137</v>
      </c>
      <c r="J23" s="29">
        <f t="shared" ref="J23" si="231">IF(J22&lt;&gt;"-",ROUNDUP(1.3*J22,0),"-")</f>
        <v>137</v>
      </c>
      <c r="K23" s="29">
        <f t="shared" ref="K23" si="232">IF(K22&lt;&gt;"-",ROUNDUP(1.3*K22,0),"-")</f>
        <v>137</v>
      </c>
      <c r="L23" s="29">
        <f t="shared" ref="L23" si="233">IF(L22&lt;&gt;"-",ROUNDUP(1.3*L22,0),"-")</f>
        <v>137</v>
      </c>
      <c r="M23" s="29">
        <f t="shared" ref="M23" si="234">IF(M22&lt;&gt;"-",ROUNDUP(1.3*M22,0),"-")</f>
        <v>137</v>
      </c>
      <c r="N23" s="29">
        <f t="shared" ref="N23" si="235">IF(N22&lt;&gt;"-",ROUNDUP(1.3*N22,0),"-")</f>
        <v>149</v>
      </c>
      <c r="O23" s="29">
        <f t="shared" ref="O23" si="236">IF(O22&lt;&gt;"-",ROUNDUP(1.3*O22,0),"-")</f>
        <v>169</v>
      </c>
      <c r="P23" s="29">
        <f t="shared" ref="P23" si="237">IF(P22&lt;&gt;"-",ROUNDUP(1.3*P22,0),"-")</f>
        <v>190</v>
      </c>
      <c r="Q23" s="29">
        <f t="shared" ref="Q23" si="238">IF(Q22&lt;&gt;"-",ROUNDUP(1.3*Q22,0),"-")</f>
        <v>211</v>
      </c>
      <c r="R23" s="29">
        <f t="shared" ref="R23" si="239">IF(R22&lt;&gt;"-",ROUNDUP(1.3*R22,0),"-")</f>
        <v>232</v>
      </c>
      <c r="S23" s="29">
        <f t="shared" ref="S23" si="240">IF(S22&lt;&gt;"-",ROUNDUP(1.3*S22,0),"-")</f>
        <v>253</v>
      </c>
      <c r="T23" s="29">
        <f t="shared" ref="T23" si="241">IF(T22&lt;&gt;"-",ROUNDUP(1.3*T22,0),"-")</f>
        <v>273</v>
      </c>
      <c r="U23" s="29" t="str">
        <f t="shared" ref="U23" si="242">IF(U22&lt;&gt;"-",ROUNDUP(1.3*U22,0),"-")</f>
        <v>-</v>
      </c>
      <c r="V23" s="29" t="str">
        <f t="shared" ref="V23" si="243">IF(V22&lt;&gt;"-",ROUNDUP(1.3*V22,0),"-")</f>
        <v>-</v>
      </c>
      <c r="W23" s="29" t="str">
        <f t="shared" ref="W23" si="244">IF(W22&lt;&gt;"-",ROUNDUP(1.3*W22,0),"-")</f>
        <v>-</v>
      </c>
      <c r="X23" s="29" t="str">
        <f t="shared" ref="X23" si="245">IF(X22&lt;&gt;"-",ROUNDUP(1.3*X22,0),"-")</f>
        <v>-</v>
      </c>
      <c r="Y23" s="29" t="str">
        <f t="shared" ref="Y23" si="246">IF(Y22&lt;&gt;"-",ROUNDUP(1.3*Y22,0),"-")</f>
        <v>-</v>
      </c>
      <c r="Z23" s="29" t="str">
        <f t="shared" ref="Z23" si="247">IF(Z22&lt;&gt;"-",ROUNDUP(1.3*Z22,0),"-")</f>
        <v>-</v>
      </c>
      <c r="AA23" s="29" t="str">
        <f t="shared" ref="AA23" si="248">IF(AA22&lt;&gt;"-",ROUNDUP(1.3*AA22,0),"-")</f>
        <v>-</v>
      </c>
      <c r="AB23" s="29" t="str">
        <f t="shared" ref="AB23" si="249">IF(AB22&lt;&gt;"-",ROUNDUP(1.3*AB22,0),"-")</f>
        <v>-</v>
      </c>
      <c r="AC23" s="29" t="str">
        <f t="shared" ref="AC23" si="250">IF(AC22&lt;&gt;"-",ROUNDUP(1.3*AC22,0),"-")</f>
        <v>-</v>
      </c>
      <c r="AD23" s="29" t="str">
        <f t="shared" ref="AD23" si="251">IF(AD22&lt;&gt;"-",ROUNDUP(1.3*AD22,0),"-")</f>
        <v>-</v>
      </c>
      <c r="AE23" s="29" t="str">
        <f t="shared" ref="AE23" si="252">IF(AE22&lt;&gt;"-",ROUNDUP(1.3*AE22,0),"-")</f>
        <v>-</v>
      </c>
      <c r="AF23" s="29" t="str">
        <f t="shared" ref="AF23" si="253">IF(AF22&lt;&gt;"-",ROUNDUP(1.3*AF22,0),"-")</f>
        <v>-</v>
      </c>
      <c r="AG23" s="29" t="str">
        <f t="shared" ref="AG23" si="254">IF(AG22&lt;&gt;"-",ROUNDUP(1.3*AG22,0),"-")</f>
        <v>-</v>
      </c>
      <c r="AH23" s="29" t="str">
        <f t="shared" ref="AH23" si="255">IF(AH22&lt;&gt;"-",ROUNDUP(1.3*AH22,0),"-")</f>
        <v>-</v>
      </c>
      <c r="AI23" s="29" t="str">
        <f t="shared" ref="AI23" si="256">IF(AI22&lt;&gt;"-",ROUNDUP(1.3*AI22,0),"-")</f>
        <v>-</v>
      </c>
      <c r="AJ23" s="29" t="str">
        <f t="shared" ref="AJ23" si="257">IF(AJ22&lt;&gt;"-",ROUNDUP(1.3*AJ22,0),"-")</f>
        <v>-</v>
      </c>
    </row>
    <row r="24" spans="1:36">
      <c r="A24" s="143"/>
      <c r="B24" s="147"/>
      <c r="C24" s="143"/>
      <c r="D24" s="145"/>
      <c r="E24" s="143"/>
      <c r="F24" s="143"/>
      <c r="G24" s="140">
        <f>計算表格!G14</f>
        <v>25</v>
      </c>
      <c r="H24" s="31" t="s">
        <v>29</v>
      </c>
      <c r="I24" s="29">
        <f>計算表格!I14</f>
        <v>82</v>
      </c>
      <c r="J24" s="29">
        <f>計算表格!J14</f>
        <v>82</v>
      </c>
      <c r="K24" s="29">
        <f>計算表格!K14</f>
        <v>82</v>
      </c>
      <c r="L24" s="29">
        <f>計算表格!L14</f>
        <v>82</v>
      </c>
      <c r="M24" s="29">
        <f>計算表格!M14</f>
        <v>82</v>
      </c>
      <c r="N24" s="29">
        <f>計算表格!N14</f>
        <v>82</v>
      </c>
      <c r="O24" s="29">
        <f>計算表格!O14</f>
        <v>82</v>
      </c>
      <c r="P24" s="29">
        <f>計算表格!P14</f>
        <v>89</v>
      </c>
      <c r="Q24" s="29">
        <f>計算表格!Q14</f>
        <v>99</v>
      </c>
      <c r="R24" s="29">
        <f>計算表格!R14</f>
        <v>108</v>
      </c>
      <c r="S24" s="29">
        <f>計算表格!S14</f>
        <v>118</v>
      </c>
      <c r="T24" s="29">
        <f>計算表格!T14</f>
        <v>127</v>
      </c>
      <c r="U24" s="29">
        <f>計算表格!U14</f>
        <v>137</v>
      </c>
      <c r="V24" s="29">
        <f>計算表格!V14</f>
        <v>147</v>
      </c>
      <c r="W24" s="29">
        <f>計算表格!W14</f>
        <v>156</v>
      </c>
      <c r="X24" s="29" t="str">
        <f>計算表格!X14</f>
        <v>-</v>
      </c>
      <c r="Y24" s="29" t="str">
        <f>計算表格!Y14</f>
        <v>-</v>
      </c>
      <c r="Z24" s="29" t="str">
        <f>計算表格!Z14</f>
        <v>-</v>
      </c>
      <c r="AA24" s="29" t="str">
        <f>計算表格!AA14</f>
        <v>-</v>
      </c>
      <c r="AB24" s="29" t="str">
        <f>計算表格!AB14</f>
        <v>-</v>
      </c>
      <c r="AC24" s="29" t="str">
        <f>計算表格!AC14</f>
        <v>-</v>
      </c>
      <c r="AD24" s="29" t="str">
        <f>計算表格!AD14</f>
        <v>-</v>
      </c>
      <c r="AE24" s="29" t="str">
        <f>計算表格!AE14</f>
        <v>-</v>
      </c>
      <c r="AF24" s="29" t="str">
        <f>計算表格!AF14</f>
        <v>-</v>
      </c>
      <c r="AG24" s="29" t="str">
        <f>計算表格!AG14</f>
        <v>-</v>
      </c>
      <c r="AH24" s="29" t="str">
        <f>計算表格!AH14</f>
        <v>-</v>
      </c>
      <c r="AI24" s="29" t="str">
        <f>計算表格!AI14</f>
        <v>-</v>
      </c>
      <c r="AJ24" s="29" t="str">
        <f>計算表格!AJ14</f>
        <v>-</v>
      </c>
    </row>
    <row r="25" spans="1:36">
      <c r="A25" s="143"/>
      <c r="B25" s="147"/>
      <c r="C25" s="143"/>
      <c r="D25" s="145"/>
      <c r="E25" s="143"/>
      <c r="F25" s="143"/>
      <c r="G25" s="141"/>
      <c r="H25" s="32" t="s">
        <v>30</v>
      </c>
      <c r="I25" s="29">
        <f>IF(I24&lt;&gt;"-",ROUNDUP(1.3*I24,0),"-")</f>
        <v>107</v>
      </c>
      <c r="J25" s="29">
        <f t="shared" ref="J25" si="258">IF(J24&lt;&gt;"-",ROUNDUP(1.3*J24,0),"-")</f>
        <v>107</v>
      </c>
      <c r="K25" s="29">
        <f t="shared" ref="K25" si="259">IF(K24&lt;&gt;"-",ROUNDUP(1.3*K24,0),"-")</f>
        <v>107</v>
      </c>
      <c r="L25" s="29">
        <f t="shared" ref="L25" si="260">IF(L24&lt;&gt;"-",ROUNDUP(1.3*L24,0),"-")</f>
        <v>107</v>
      </c>
      <c r="M25" s="29">
        <f t="shared" ref="M25" si="261">IF(M24&lt;&gt;"-",ROUNDUP(1.3*M24,0),"-")</f>
        <v>107</v>
      </c>
      <c r="N25" s="29">
        <f t="shared" ref="N25" si="262">IF(N24&lt;&gt;"-",ROUNDUP(1.3*N24,0),"-")</f>
        <v>107</v>
      </c>
      <c r="O25" s="29">
        <f t="shared" ref="O25" si="263">IF(O24&lt;&gt;"-",ROUNDUP(1.3*O24,0),"-")</f>
        <v>107</v>
      </c>
      <c r="P25" s="29">
        <f t="shared" ref="P25" si="264">IF(P24&lt;&gt;"-",ROUNDUP(1.3*P24,0),"-")</f>
        <v>116</v>
      </c>
      <c r="Q25" s="29">
        <f t="shared" ref="Q25" si="265">IF(Q24&lt;&gt;"-",ROUNDUP(1.3*Q24,0),"-")</f>
        <v>129</v>
      </c>
      <c r="R25" s="29">
        <f t="shared" ref="R25" si="266">IF(R24&lt;&gt;"-",ROUNDUP(1.3*R24,0),"-")</f>
        <v>141</v>
      </c>
      <c r="S25" s="29">
        <f t="shared" ref="S25" si="267">IF(S24&lt;&gt;"-",ROUNDUP(1.3*S24,0),"-")</f>
        <v>154</v>
      </c>
      <c r="T25" s="29">
        <f t="shared" ref="T25" si="268">IF(T24&lt;&gt;"-",ROUNDUP(1.3*T24,0),"-")</f>
        <v>166</v>
      </c>
      <c r="U25" s="29">
        <f t="shared" ref="U25" si="269">IF(U24&lt;&gt;"-",ROUNDUP(1.3*U24,0),"-")</f>
        <v>179</v>
      </c>
      <c r="V25" s="29">
        <f t="shared" ref="V25" si="270">IF(V24&lt;&gt;"-",ROUNDUP(1.3*V24,0),"-")</f>
        <v>192</v>
      </c>
      <c r="W25" s="29">
        <f t="shared" ref="W25" si="271">IF(W24&lt;&gt;"-",ROUNDUP(1.3*W24,0),"-")</f>
        <v>203</v>
      </c>
      <c r="X25" s="29" t="str">
        <f t="shared" ref="X25" si="272">IF(X24&lt;&gt;"-",ROUNDUP(1.3*X24,0),"-")</f>
        <v>-</v>
      </c>
      <c r="Y25" s="29" t="str">
        <f t="shared" ref="Y25" si="273">IF(Y24&lt;&gt;"-",ROUNDUP(1.3*Y24,0),"-")</f>
        <v>-</v>
      </c>
      <c r="Z25" s="29" t="str">
        <f t="shared" ref="Z25" si="274">IF(Z24&lt;&gt;"-",ROUNDUP(1.3*Z24,0),"-")</f>
        <v>-</v>
      </c>
      <c r="AA25" s="29" t="str">
        <f t="shared" ref="AA25" si="275">IF(AA24&lt;&gt;"-",ROUNDUP(1.3*AA24,0),"-")</f>
        <v>-</v>
      </c>
      <c r="AB25" s="29" t="str">
        <f t="shared" ref="AB25" si="276">IF(AB24&lt;&gt;"-",ROUNDUP(1.3*AB24,0),"-")</f>
        <v>-</v>
      </c>
      <c r="AC25" s="29" t="str">
        <f t="shared" ref="AC25" si="277">IF(AC24&lt;&gt;"-",ROUNDUP(1.3*AC24,0),"-")</f>
        <v>-</v>
      </c>
      <c r="AD25" s="29" t="str">
        <f t="shared" ref="AD25" si="278">IF(AD24&lt;&gt;"-",ROUNDUP(1.3*AD24,0),"-")</f>
        <v>-</v>
      </c>
      <c r="AE25" s="29" t="str">
        <f t="shared" ref="AE25" si="279">IF(AE24&lt;&gt;"-",ROUNDUP(1.3*AE24,0),"-")</f>
        <v>-</v>
      </c>
      <c r="AF25" s="29" t="str">
        <f t="shared" ref="AF25" si="280">IF(AF24&lt;&gt;"-",ROUNDUP(1.3*AF24,0),"-")</f>
        <v>-</v>
      </c>
      <c r="AG25" s="29" t="str">
        <f t="shared" ref="AG25" si="281">IF(AG24&lt;&gt;"-",ROUNDUP(1.3*AG24,0),"-")</f>
        <v>-</v>
      </c>
      <c r="AH25" s="29" t="str">
        <f t="shared" ref="AH25" si="282">IF(AH24&lt;&gt;"-",ROUNDUP(1.3*AH24,0),"-")</f>
        <v>-</v>
      </c>
      <c r="AI25" s="29" t="str">
        <f t="shared" ref="AI25" si="283">IF(AI24&lt;&gt;"-",ROUNDUP(1.3*AI24,0),"-")</f>
        <v>-</v>
      </c>
      <c r="AJ25" s="29" t="str">
        <f t="shared" ref="AJ25" si="284">IF(AJ24&lt;&gt;"-",ROUNDUP(1.3*AJ24,0),"-")</f>
        <v>-</v>
      </c>
    </row>
    <row r="26" spans="1:36">
      <c r="A26" s="143"/>
      <c r="B26" s="147"/>
      <c r="C26" s="143"/>
      <c r="D26" s="145"/>
      <c r="E26" s="143"/>
      <c r="F26" s="143"/>
      <c r="G26" s="140">
        <f>計算表格!G15</f>
        <v>22</v>
      </c>
      <c r="H26" s="31" t="s">
        <v>29</v>
      </c>
      <c r="I26" s="29">
        <f>計算表格!I15</f>
        <v>72</v>
      </c>
      <c r="J26" s="29">
        <f>計算表格!J15</f>
        <v>72</v>
      </c>
      <c r="K26" s="29">
        <f>計算表格!K15</f>
        <v>72</v>
      </c>
      <c r="L26" s="29">
        <f>計算表格!L15</f>
        <v>72</v>
      </c>
      <c r="M26" s="29">
        <f>計算表格!M15</f>
        <v>72</v>
      </c>
      <c r="N26" s="29">
        <f>計算表格!N15</f>
        <v>72</v>
      </c>
      <c r="O26" s="29">
        <f>計算表格!O15</f>
        <v>72</v>
      </c>
      <c r="P26" s="29">
        <f>計算表格!P15</f>
        <v>72</v>
      </c>
      <c r="Q26" s="29">
        <f>計算表格!Q15</f>
        <v>76</v>
      </c>
      <c r="R26" s="29">
        <f>計算表格!R15</f>
        <v>84</v>
      </c>
      <c r="S26" s="29">
        <f>計算表格!S15</f>
        <v>91</v>
      </c>
      <c r="T26" s="29">
        <f>計算表格!T15</f>
        <v>99</v>
      </c>
      <c r="U26" s="29">
        <f>計算表格!U15</f>
        <v>106</v>
      </c>
      <c r="V26" s="29">
        <f>計算表格!V15</f>
        <v>113</v>
      </c>
      <c r="W26" s="29">
        <f>計算表格!W15</f>
        <v>121</v>
      </c>
      <c r="X26" s="29">
        <f>計算表格!X15</f>
        <v>128</v>
      </c>
      <c r="Y26" s="29">
        <f>計算表格!Y15</f>
        <v>136</v>
      </c>
      <c r="Z26" s="29">
        <f>計算表格!Z15</f>
        <v>143</v>
      </c>
      <c r="AA26" s="29" t="str">
        <f>計算表格!AA15</f>
        <v>-</v>
      </c>
      <c r="AB26" s="29" t="str">
        <f>計算表格!AB15</f>
        <v>-</v>
      </c>
      <c r="AC26" s="29" t="str">
        <f>計算表格!AC15</f>
        <v>-</v>
      </c>
      <c r="AD26" s="29" t="str">
        <f>計算表格!AD15</f>
        <v>-</v>
      </c>
      <c r="AE26" s="29" t="str">
        <f>計算表格!AE15</f>
        <v>-</v>
      </c>
      <c r="AF26" s="29" t="str">
        <f>計算表格!AF15</f>
        <v>-</v>
      </c>
      <c r="AG26" s="29" t="str">
        <f>計算表格!AG15</f>
        <v>-</v>
      </c>
      <c r="AH26" s="29" t="str">
        <f>計算表格!AH15</f>
        <v>-</v>
      </c>
      <c r="AI26" s="29" t="str">
        <f>計算表格!AI15</f>
        <v>-</v>
      </c>
      <c r="AJ26" s="29" t="str">
        <f>計算表格!AJ15</f>
        <v>-</v>
      </c>
    </row>
    <row r="27" spans="1:36">
      <c r="A27" s="143"/>
      <c r="B27" s="147"/>
      <c r="C27" s="143"/>
      <c r="D27" s="145"/>
      <c r="E27" s="143"/>
      <c r="F27" s="144"/>
      <c r="G27" s="141"/>
      <c r="H27" s="32" t="s">
        <v>30</v>
      </c>
      <c r="I27" s="29">
        <f>IF(I26&lt;&gt;"-",ROUNDUP(1.3*I26,0),"-")</f>
        <v>94</v>
      </c>
      <c r="J27" s="29">
        <f t="shared" ref="J27" si="285">IF(J26&lt;&gt;"-",ROUNDUP(1.3*J26,0),"-")</f>
        <v>94</v>
      </c>
      <c r="K27" s="29">
        <f t="shared" ref="K27" si="286">IF(K26&lt;&gt;"-",ROUNDUP(1.3*K26,0),"-")</f>
        <v>94</v>
      </c>
      <c r="L27" s="29">
        <f t="shared" ref="L27" si="287">IF(L26&lt;&gt;"-",ROUNDUP(1.3*L26,0),"-")</f>
        <v>94</v>
      </c>
      <c r="M27" s="29">
        <f t="shared" ref="M27" si="288">IF(M26&lt;&gt;"-",ROUNDUP(1.3*M26,0),"-")</f>
        <v>94</v>
      </c>
      <c r="N27" s="29">
        <f t="shared" ref="N27" si="289">IF(N26&lt;&gt;"-",ROUNDUP(1.3*N26,0),"-")</f>
        <v>94</v>
      </c>
      <c r="O27" s="29">
        <f t="shared" ref="O27" si="290">IF(O26&lt;&gt;"-",ROUNDUP(1.3*O26,0),"-")</f>
        <v>94</v>
      </c>
      <c r="P27" s="29">
        <f t="shared" ref="P27" si="291">IF(P26&lt;&gt;"-",ROUNDUP(1.3*P26,0),"-")</f>
        <v>94</v>
      </c>
      <c r="Q27" s="29">
        <f t="shared" ref="Q27" si="292">IF(Q26&lt;&gt;"-",ROUNDUP(1.3*Q26,0),"-")</f>
        <v>99</v>
      </c>
      <c r="R27" s="29">
        <f t="shared" ref="R27" si="293">IF(R26&lt;&gt;"-",ROUNDUP(1.3*R26,0),"-")</f>
        <v>110</v>
      </c>
      <c r="S27" s="29">
        <f t="shared" ref="S27" si="294">IF(S26&lt;&gt;"-",ROUNDUP(1.3*S26,0),"-")</f>
        <v>119</v>
      </c>
      <c r="T27" s="29">
        <f t="shared" ref="T27" si="295">IF(T26&lt;&gt;"-",ROUNDUP(1.3*T26,0),"-")</f>
        <v>129</v>
      </c>
      <c r="U27" s="29">
        <f t="shared" ref="U27" si="296">IF(U26&lt;&gt;"-",ROUNDUP(1.3*U26,0),"-")</f>
        <v>138</v>
      </c>
      <c r="V27" s="29">
        <f t="shared" ref="V27" si="297">IF(V26&lt;&gt;"-",ROUNDUP(1.3*V26,0),"-")</f>
        <v>147</v>
      </c>
      <c r="W27" s="29">
        <f t="shared" ref="W27" si="298">IF(W26&lt;&gt;"-",ROUNDUP(1.3*W26,0),"-")</f>
        <v>158</v>
      </c>
      <c r="X27" s="29">
        <f t="shared" ref="X27" si="299">IF(X26&lt;&gt;"-",ROUNDUP(1.3*X26,0),"-")</f>
        <v>167</v>
      </c>
      <c r="Y27" s="29">
        <f t="shared" ref="Y27" si="300">IF(Y26&lt;&gt;"-",ROUNDUP(1.3*Y26,0),"-")</f>
        <v>177</v>
      </c>
      <c r="Z27" s="29">
        <f t="shared" ref="Z27" si="301">IF(Z26&lt;&gt;"-",ROUNDUP(1.3*Z26,0),"-")</f>
        <v>186</v>
      </c>
      <c r="AA27" s="29" t="str">
        <f t="shared" ref="AA27" si="302">IF(AA26&lt;&gt;"-",ROUNDUP(1.3*AA26,0),"-")</f>
        <v>-</v>
      </c>
      <c r="AB27" s="29" t="str">
        <f t="shared" ref="AB27" si="303">IF(AB26&lt;&gt;"-",ROUNDUP(1.3*AB26,0),"-")</f>
        <v>-</v>
      </c>
      <c r="AC27" s="29" t="str">
        <f t="shared" ref="AC27" si="304">IF(AC26&lt;&gt;"-",ROUNDUP(1.3*AC26,0),"-")</f>
        <v>-</v>
      </c>
      <c r="AD27" s="29" t="str">
        <f t="shared" ref="AD27" si="305">IF(AD26&lt;&gt;"-",ROUNDUP(1.3*AD26,0),"-")</f>
        <v>-</v>
      </c>
      <c r="AE27" s="29" t="str">
        <f t="shared" ref="AE27" si="306">IF(AE26&lt;&gt;"-",ROUNDUP(1.3*AE26,0),"-")</f>
        <v>-</v>
      </c>
      <c r="AF27" s="29" t="str">
        <f t="shared" ref="AF27" si="307">IF(AF26&lt;&gt;"-",ROUNDUP(1.3*AF26,0),"-")</f>
        <v>-</v>
      </c>
      <c r="AG27" s="29" t="str">
        <f t="shared" ref="AG27" si="308">IF(AG26&lt;&gt;"-",ROUNDUP(1.3*AG26,0),"-")</f>
        <v>-</v>
      </c>
      <c r="AH27" s="29" t="str">
        <f t="shared" ref="AH27" si="309">IF(AH26&lt;&gt;"-",ROUNDUP(1.3*AH26,0),"-")</f>
        <v>-</v>
      </c>
      <c r="AI27" s="29" t="str">
        <f t="shared" ref="AI27" si="310">IF(AI26&lt;&gt;"-",ROUNDUP(1.3*AI26,0),"-")</f>
        <v>-</v>
      </c>
      <c r="AJ27" s="29" t="str">
        <f t="shared" ref="AJ27" si="311">IF(AJ26&lt;&gt;"-",ROUNDUP(1.3*AJ26,0),"-")</f>
        <v>-</v>
      </c>
    </row>
    <row r="28" spans="1:36">
      <c r="A28" s="143"/>
      <c r="B28" s="147"/>
      <c r="C28" s="143"/>
      <c r="D28" s="145"/>
      <c r="E28" s="143"/>
      <c r="F28" s="142">
        <f>計算表格!F16</f>
        <v>420</v>
      </c>
      <c r="G28" s="140">
        <f>計算表格!G16</f>
        <v>32</v>
      </c>
      <c r="H28" s="31" t="s">
        <v>29</v>
      </c>
      <c r="I28" s="29">
        <f>計算表格!I16</f>
        <v>96</v>
      </c>
      <c r="J28" s="29">
        <f>計算表格!J16</f>
        <v>96</v>
      </c>
      <c r="K28" s="29">
        <f>計算表格!K16</f>
        <v>96</v>
      </c>
      <c r="L28" s="29">
        <f>計算表格!L16</f>
        <v>96</v>
      </c>
      <c r="M28" s="29">
        <f>計算表格!M16</f>
        <v>96</v>
      </c>
      <c r="N28" s="29">
        <f>計算表格!N16</f>
        <v>105</v>
      </c>
      <c r="O28" s="29">
        <f>計算表格!O16</f>
        <v>119</v>
      </c>
      <c r="P28" s="29">
        <f>計算表格!P16</f>
        <v>134</v>
      </c>
      <c r="Q28" s="29">
        <f>計算表格!Q16</f>
        <v>148</v>
      </c>
      <c r="R28" s="29">
        <f>計算表格!R16</f>
        <v>163</v>
      </c>
      <c r="S28" s="29">
        <f>計算表格!S16</f>
        <v>177</v>
      </c>
      <c r="T28" s="29">
        <f>計算表格!T16</f>
        <v>192</v>
      </c>
      <c r="U28" s="29" t="str">
        <f>計算表格!U16</f>
        <v>-</v>
      </c>
      <c r="V28" s="29" t="str">
        <f>計算表格!V16</f>
        <v>-</v>
      </c>
      <c r="W28" s="29" t="str">
        <f>計算表格!W16</f>
        <v>-</v>
      </c>
      <c r="X28" s="29" t="str">
        <f>計算表格!X16</f>
        <v>-</v>
      </c>
      <c r="Y28" s="29" t="str">
        <f>計算表格!Y16</f>
        <v>-</v>
      </c>
      <c r="Z28" s="29" t="str">
        <f>計算表格!Z16</f>
        <v>-</v>
      </c>
      <c r="AA28" s="29" t="str">
        <f>計算表格!AA16</f>
        <v>-</v>
      </c>
      <c r="AB28" s="29" t="str">
        <f>計算表格!AB16</f>
        <v>-</v>
      </c>
      <c r="AC28" s="29" t="str">
        <f>計算表格!AC16</f>
        <v>-</v>
      </c>
      <c r="AD28" s="29" t="str">
        <f>計算表格!AD16</f>
        <v>-</v>
      </c>
      <c r="AE28" s="29" t="str">
        <f>計算表格!AE16</f>
        <v>-</v>
      </c>
      <c r="AF28" s="29" t="str">
        <f>計算表格!AF16</f>
        <v>-</v>
      </c>
      <c r="AG28" s="29" t="str">
        <f>計算表格!AG16</f>
        <v>-</v>
      </c>
      <c r="AH28" s="29" t="str">
        <f>計算表格!AH16</f>
        <v>-</v>
      </c>
      <c r="AI28" s="29" t="str">
        <f>計算表格!AI16</f>
        <v>-</v>
      </c>
      <c r="AJ28" s="29" t="str">
        <f>計算表格!AJ16</f>
        <v>-</v>
      </c>
    </row>
    <row r="29" spans="1:36">
      <c r="A29" s="143"/>
      <c r="B29" s="147"/>
      <c r="C29" s="143"/>
      <c r="D29" s="145"/>
      <c r="E29" s="143"/>
      <c r="F29" s="143"/>
      <c r="G29" s="141"/>
      <c r="H29" s="32" t="s">
        <v>30</v>
      </c>
      <c r="I29" s="29">
        <f>IF(I28&lt;&gt;"-",ROUNDUP(1.3*I28,0),"-")</f>
        <v>125</v>
      </c>
      <c r="J29" s="29">
        <f t="shared" ref="J29" si="312">IF(J28&lt;&gt;"-",ROUNDUP(1.3*J28,0),"-")</f>
        <v>125</v>
      </c>
      <c r="K29" s="29">
        <f t="shared" ref="K29" si="313">IF(K28&lt;&gt;"-",ROUNDUP(1.3*K28,0),"-")</f>
        <v>125</v>
      </c>
      <c r="L29" s="29">
        <f t="shared" ref="L29" si="314">IF(L28&lt;&gt;"-",ROUNDUP(1.3*L28,0),"-")</f>
        <v>125</v>
      </c>
      <c r="M29" s="29">
        <f t="shared" ref="M29" si="315">IF(M28&lt;&gt;"-",ROUNDUP(1.3*M28,0),"-")</f>
        <v>125</v>
      </c>
      <c r="N29" s="29">
        <f t="shared" ref="N29" si="316">IF(N28&lt;&gt;"-",ROUNDUP(1.3*N28,0),"-")</f>
        <v>137</v>
      </c>
      <c r="O29" s="29">
        <f t="shared" ref="O29" si="317">IF(O28&lt;&gt;"-",ROUNDUP(1.3*O28,0),"-")</f>
        <v>155</v>
      </c>
      <c r="P29" s="29">
        <f t="shared" ref="P29" si="318">IF(P28&lt;&gt;"-",ROUNDUP(1.3*P28,0),"-")</f>
        <v>175</v>
      </c>
      <c r="Q29" s="29">
        <f t="shared" ref="Q29" si="319">IF(Q28&lt;&gt;"-",ROUNDUP(1.3*Q28,0),"-")</f>
        <v>193</v>
      </c>
      <c r="R29" s="29">
        <f t="shared" ref="R29" si="320">IF(R28&lt;&gt;"-",ROUNDUP(1.3*R28,0),"-")</f>
        <v>212</v>
      </c>
      <c r="S29" s="29">
        <f t="shared" ref="S29" si="321">IF(S28&lt;&gt;"-",ROUNDUP(1.3*S28,0),"-")</f>
        <v>231</v>
      </c>
      <c r="T29" s="29">
        <f t="shared" ref="T29" si="322">IF(T28&lt;&gt;"-",ROUNDUP(1.3*T28,0),"-")</f>
        <v>250</v>
      </c>
      <c r="U29" s="29" t="str">
        <f t="shared" ref="U29" si="323">IF(U28&lt;&gt;"-",ROUNDUP(1.3*U28,0),"-")</f>
        <v>-</v>
      </c>
      <c r="V29" s="29" t="str">
        <f t="shared" ref="V29" si="324">IF(V28&lt;&gt;"-",ROUNDUP(1.3*V28,0),"-")</f>
        <v>-</v>
      </c>
      <c r="W29" s="29" t="str">
        <f t="shared" ref="W29" si="325">IF(W28&lt;&gt;"-",ROUNDUP(1.3*W28,0),"-")</f>
        <v>-</v>
      </c>
      <c r="X29" s="29" t="str">
        <f t="shared" ref="X29" si="326">IF(X28&lt;&gt;"-",ROUNDUP(1.3*X28,0),"-")</f>
        <v>-</v>
      </c>
      <c r="Y29" s="29" t="str">
        <f t="shared" ref="Y29" si="327">IF(Y28&lt;&gt;"-",ROUNDUP(1.3*Y28,0),"-")</f>
        <v>-</v>
      </c>
      <c r="Z29" s="29" t="str">
        <f t="shared" ref="Z29" si="328">IF(Z28&lt;&gt;"-",ROUNDUP(1.3*Z28,0),"-")</f>
        <v>-</v>
      </c>
      <c r="AA29" s="29" t="str">
        <f t="shared" ref="AA29" si="329">IF(AA28&lt;&gt;"-",ROUNDUP(1.3*AA28,0),"-")</f>
        <v>-</v>
      </c>
      <c r="AB29" s="29" t="str">
        <f t="shared" ref="AB29" si="330">IF(AB28&lt;&gt;"-",ROUNDUP(1.3*AB28,0),"-")</f>
        <v>-</v>
      </c>
      <c r="AC29" s="29" t="str">
        <f t="shared" ref="AC29" si="331">IF(AC28&lt;&gt;"-",ROUNDUP(1.3*AC28,0),"-")</f>
        <v>-</v>
      </c>
      <c r="AD29" s="29" t="str">
        <f t="shared" ref="AD29" si="332">IF(AD28&lt;&gt;"-",ROUNDUP(1.3*AD28,0),"-")</f>
        <v>-</v>
      </c>
      <c r="AE29" s="29" t="str">
        <f t="shared" ref="AE29" si="333">IF(AE28&lt;&gt;"-",ROUNDUP(1.3*AE28,0),"-")</f>
        <v>-</v>
      </c>
      <c r="AF29" s="29" t="str">
        <f t="shared" ref="AF29" si="334">IF(AF28&lt;&gt;"-",ROUNDUP(1.3*AF28,0),"-")</f>
        <v>-</v>
      </c>
      <c r="AG29" s="29" t="str">
        <f t="shared" ref="AG29" si="335">IF(AG28&lt;&gt;"-",ROUNDUP(1.3*AG28,0),"-")</f>
        <v>-</v>
      </c>
      <c r="AH29" s="29" t="str">
        <f t="shared" ref="AH29" si="336">IF(AH28&lt;&gt;"-",ROUNDUP(1.3*AH28,0),"-")</f>
        <v>-</v>
      </c>
      <c r="AI29" s="29" t="str">
        <f t="shared" ref="AI29" si="337">IF(AI28&lt;&gt;"-",ROUNDUP(1.3*AI28,0),"-")</f>
        <v>-</v>
      </c>
      <c r="AJ29" s="29" t="str">
        <f t="shared" ref="AJ29" si="338">IF(AJ28&lt;&gt;"-",ROUNDUP(1.3*AJ28,0),"-")</f>
        <v>-</v>
      </c>
    </row>
    <row r="30" spans="1:36">
      <c r="A30" s="143"/>
      <c r="B30" s="147"/>
      <c r="C30" s="143"/>
      <c r="D30" s="145"/>
      <c r="E30" s="143"/>
      <c r="F30" s="143"/>
      <c r="G30" s="140">
        <f>計算表格!G17</f>
        <v>25</v>
      </c>
      <c r="H30" s="31" t="s">
        <v>29</v>
      </c>
      <c r="I30" s="29">
        <f>計算表格!I17</f>
        <v>75</v>
      </c>
      <c r="J30" s="29">
        <f>計算表格!J17</f>
        <v>75</v>
      </c>
      <c r="K30" s="29">
        <f>計算表格!K17</f>
        <v>75</v>
      </c>
      <c r="L30" s="29">
        <f>計算表格!L17</f>
        <v>75</v>
      </c>
      <c r="M30" s="29">
        <f>計算表格!M17</f>
        <v>75</v>
      </c>
      <c r="N30" s="29">
        <f>計算表格!N17</f>
        <v>75</v>
      </c>
      <c r="O30" s="29">
        <f>計算表格!O17</f>
        <v>75</v>
      </c>
      <c r="P30" s="29">
        <f>計算表格!P17</f>
        <v>81</v>
      </c>
      <c r="Q30" s="29">
        <f>計算表格!Q17</f>
        <v>90</v>
      </c>
      <c r="R30" s="29">
        <f>計算表格!R17</f>
        <v>99</v>
      </c>
      <c r="S30" s="29">
        <f>計算表格!S17</f>
        <v>108</v>
      </c>
      <c r="T30" s="29">
        <f>計算表格!T17</f>
        <v>116</v>
      </c>
      <c r="U30" s="29">
        <f>計算表格!U17</f>
        <v>125</v>
      </c>
      <c r="V30" s="29">
        <f>計算表格!V17</f>
        <v>134</v>
      </c>
      <c r="W30" s="29">
        <f>計算表格!W17</f>
        <v>143</v>
      </c>
      <c r="X30" s="29" t="str">
        <f>計算表格!X17</f>
        <v>-</v>
      </c>
      <c r="Y30" s="29" t="str">
        <f>計算表格!Y17</f>
        <v>-</v>
      </c>
      <c r="Z30" s="29" t="str">
        <f>計算表格!Z17</f>
        <v>-</v>
      </c>
      <c r="AA30" s="29" t="str">
        <f>計算表格!AA17</f>
        <v>-</v>
      </c>
      <c r="AB30" s="29" t="str">
        <f>計算表格!AB17</f>
        <v>-</v>
      </c>
      <c r="AC30" s="29" t="str">
        <f>計算表格!AC17</f>
        <v>-</v>
      </c>
      <c r="AD30" s="29" t="str">
        <f>計算表格!AD17</f>
        <v>-</v>
      </c>
      <c r="AE30" s="29" t="str">
        <f>計算表格!AE17</f>
        <v>-</v>
      </c>
      <c r="AF30" s="29" t="str">
        <f>計算表格!AF17</f>
        <v>-</v>
      </c>
      <c r="AG30" s="29" t="str">
        <f>計算表格!AG17</f>
        <v>-</v>
      </c>
      <c r="AH30" s="29" t="str">
        <f>計算表格!AH17</f>
        <v>-</v>
      </c>
      <c r="AI30" s="29" t="str">
        <f>計算表格!AI17</f>
        <v>-</v>
      </c>
      <c r="AJ30" s="29" t="str">
        <f>計算表格!AJ17</f>
        <v>-</v>
      </c>
    </row>
    <row r="31" spans="1:36">
      <c r="A31" s="143"/>
      <c r="B31" s="147"/>
      <c r="C31" s="143"/>
      <c r="D31" s="145"/>
      <c r="E31" s="143"/>
      <c r="F31" s="143"/>
      <c r="G31" s="141"/>
      <c r="H31" s="32" t="s">
        <v>30</v>
      </c>
      <c r="I31" s="29">
        <f>IF(I30&lt;&gt;"-",ROUNDUP(1.3*I30,0),"-")</f>
        <v>98</v>
      </c>
      <c r="J31" s="29">
        <f t="shared" ref="J31" si="339">IF(J30&lt;&gt;"-",ROUNDUP(1.3*J30,0),"-")</f>
        <v>98</v>
      </c>
      <c r="K31" s="29">
        <f t="shared" ref="K31" si="340">IF(K30&lt;&gt;"-",ROUNDUP(1.3*K30,0),"-")</f>
        <v>98</v>
      </c>
      <c r="L31" s="29">
        <f t="shared" ref="L31" si="341">IF(L30&lt;&gt;"-",ROUNDUP(1.3*L30,0),"-")</f>
        <v>98</v>
      </c>
      <c r="M31" s="29">
        <f t="shared" ref="M31" si="342">IF(M30&lt;&gt;"-",ROUNDUP(1.3*M30,0),"-")</f>
        <v>98</v>
      </c>
      <c r="N31" s="29">
        <f t="shared" ref="N31" si="343">IF(N30&lt;&gt;"-",ROUNDUP(1.3*N30,0),"-")</f>
        <v>98</v>
      </c>
      <c r="O31" s="29">
        <f t="shared" ref="O31" si="344">IF(O30&lt;&gt;"-",ROUNDUP(1.3*O30,0),"-")</f>
        <v>98</v>
      </c>
      <c r="P31" s="29">
        <f t="shared" ref="P31" si="345">IF(P30&lt;&gt;"-",ROUNDUP(1.3*P30,0),"-")</f>
        <v>106</v>
      </c>
      <c r="Q31" s="29">
        <f t="shared" ref="Q31" si="346">IF(Q30&lt;&gt;"-",ROUNDUP(1.3*Q30,0),"-")</f>
        <v>117</v>
      </c>
      <c r="R31" s="29">
        <f t="shared" ref="R31" si="347">IF(R30&lt;&gt;"-",ROUNDUP(1.3*R30,0),"-")</f>
        <v>129</v>
      </c>
      <c r="S31" s="29">
        <f t="shared" ref="S31" si="348">IF(S30&lt;&gt;"-",ROUNDUP(1.3*S30,0),"-")</f>
        <v>141</v>
      </c>
      <c r="T31" s="29">
        <f t="shared" ref="T31" si="349">IF(T30&lt;&gt;"-",ROUNDUP(1.3*T30,0),"-")</f>
        <v>151</v>
      </c>
      <c r="U31" s="29">
        <f t="shared" ref="U31" si="350">IF(U30&lt;&gt;"-",ROUNDUP(1.3*U30,0),"-")</f>
        <v>163</v>
      </c>
      <c r="V31" s="29">
        <f t="shared" ref="V31" si="351">IF(V30&lt;&gt;"-",ROUNDUP(1.3*V30,0),"-")</f>
        <v>175</v>
      </c>
      <c r="W31" s="29">
        <f t="shared" ref="W31" si="352">IF(W30&lt;&gt;"-",ROUNDUP(1.3*W30,0),"-")</f>
        <v>186</v>
      </c>
      <c r="X31" s="29" t="str">
        <f t="shared" ref="X31" si="353">IF(X30&lt;&gt;"-",ROUNDUP(1.3*X30,0),"-")</f>
        <v>-</v>
      </c>
      <c r="Y31" s="29" t="str">
        <f t="shared" ref="Y31" si="354">IF(Y30&lt;&gt;"-",ROUNDUP(1.3*Y30,0),"-")</f>
        <v>-</v>
      </c>
      <c r="Z31" s="29" t="str">
        <f t="shared" ref="Z31" si="355">IF(Z30&lt;&gt;"-",ROUNDUP(1.3*Z30,0),"-")</f>
        <v>-</v>
      </c>
      <c r="AA31" s="29" t="str">
        <f t="shared" ref="AA31" si="356">IF(AA30&lt;&gt;"-",ROUNDUP(1.3*AA30,0),"-")</f>
        <v>-</v>
      </c>
      <c r="AB31" s="29" t="str">
        <f t="shared" ref="AB31" si="357">IF(AB30&lt;&gt;"-",ROUNDUP(1.3*AB30,0),"-")</f>
        <v>-</v>
      </c>
      <c r="AC31" s="29" t="str">
        <f t="shared" ref="AC31" si="358">IF(AC30&lt;&gt;"-",ROUNDUP(1.3*AC30,0),"-")</f>
        <v>-</v>
      </c>
      <c r="AD31" s="29" t="str">
        <f t="shared" ref="AD31" si="359">IF(AD30&lt;&gt;"-",ROUNDUP(1.3*AD30,0),"-")</f>
        <v>-</v>
      </c>
      <c r="AE31" s="29" t="str">
        <f t="shared" ref="AE31" si="360">IF(AE30&lt;&gt;"-",ROUNDUP(1.3*AE30,0),"-")</f>
        <v>-</v>
      </c>
      <c r="AF31" s="29" t="str">
        <f t="shared" ref="AF31" si="361">IF(AF30&lt;&gt;"-",ROUNDUP(1.3*AF30,0),"-")</f>
        <v>-</v>
      </c>
      <c r="AG31" s="29" t="str">
        <f t="shared" ref="AG31" si="362">IF(AG30&lt;&gt;"-",ROUNDUP(1.3*AG30,0),"-")</f>
        <v>-</v>
      </c>
      <c r="AH31" s="29" t="str">
        <f t="shared" ref="AH31" si="363">IF(AH30&lt;&gt;"-",ROUNDUP(1.3*AH30,0),"-")</f>
        <v>-</v>
      </c>
      <c r="AI31" s="29" t="str">
        <f t="shared" ref="AI31" si="364">IF(AI30&lt;&gt;"-",ROUNDUP(1.3*AI30,0),"-")</f>
        <v>-</v>
      </c>
      <c r="AJ31" s="29" t="str">
        <f t="shared" ref="AJ31" si="365">IF(AJ30&lt;&gt;"-",ROUNDUP(1.3*AJ30,0),"-")</f>
        <v>-</v>
      </c>
    </row>
    <row r="32" spans="1:36">
      <c r="A32" s="143"/>
      <c r="B32" s="147"/>
      <c r="C32" s="143"/>
      <c r="D32" s="145"/>
      <c r="E32" s="143"/>
      <c r="F32" s="143"/>
      <c r="G32" s="140">
        <f>計算表格!G18</f>
        <v>22</v>
      </c>
      <c r="H32" s="31" t="s">
        <v>29</v>
      </c>
      <c r="I32" s="29">
        <f>計算表格!I18</f>
        <v>66</v>
      </c>
      <c r="J32" s="29">
        <f>計算表格!J18</f>
        <v>66</v>
      </c>
      <c r="K32" s="29">
        <f>計算表格!K18</f>
        <v>66</v>
      </c>
      <c r="L32" s="29">
        <f>計算表格!L18</f>
        <v>66</v>
      </c>
      <c r="M32" s="29">
        <f>計算表格!M18</f>
        <v>66</v>
      </c>
      <c r="N32" s="29">
        <f>計算表格!N18</f>
        <v>66</v>
      </c>
      <c r="O32" s="29">
        <f>計算表格!O18</f>
        <v>66</v>
      </c>
      <c r="P32" s="29">
        <f>計算表格!P18</f>
        <v>66</v>
      </c>
      <c r="Q32" s="29">
        <f>計算表格!Q18</f>
        <v>70</v>
      </c>
      <c r="R32" s="29">
        <f>計算表格!R18</f>
        <v>76</v>
      </c>
      <c r="S32" s="29">
        <f>計算表格!S18</f>
        <v>83</v>
      </c>
      <c r="T32" s="29">
        <f>計算表格!T18</f>
        <v>90</v>
      </c>
      <c r="U32" s="29">
        <f>計算表格!U18</f>
        <v>97</v>
      </c>
      <c r="V32" s="29">
        <f>計算表格!V18</f>
        <v>104</v>
      </c>
      <c r="W32" s="29">
        <f>計算表格!W18</f>
        <v>110</v>
      </c>
      <c r="X32" s="29">
        <f>計算表格!X18</f>
        <v>117</v>
      </c>
      <c r="Y32" s="29">
        <f>計算表格!Y18</f>
        <v>124</v>
      </c>
      <c r="Z32" s="29">
        <f>計算表格!Z18</f>
        <v>131</v>
      </c>
      <c r="AA32" s="29" t="str">
        <f>計算表格!AA18</f>
        <v>-</v>
      </c>
      <c r="AB32" s="29" t="str">
        <f>計算表格!AB18</f>
        <v>-</v>
      </c>
      <c r="AC32" s="29" t="str">
        <f>計算表格!AC18</f>
        <v>-</v>
      </c>
      <c r="AD32" s="29" t="str">
        <f>計算表格!AD18</f>
        <v>-</v>
      </c>
      <c r="AE32" s="29" t="str">
        <f>計算表格!AE18</f>
        <v>-</v>
      </c>
      <c r="AF32" s="29" t="str">
        <f>計算表格!AF18</f>
        <v>-</v>
      </c>
      <c r="AG32" s="29" t="str">
        <f>計算表格!AG18</f>
        <v>-</v>
      </c>
      <c r="AH32" s="29" t="str">
        <f>計算表格!AH18</f>
        <v>-</v>
      </c>
      <c r="AI32" s="29" t="str">
        <f>計算表格!AI18</f>
        <v>-</v>
      </c>
      <c r="AJ32" s="29" t="str">
        <f>計算表格!AJ18</f>
        <v>-</v>
      </c>
    </row>
    <row r="33" spans="1:36">
      <c r="A33" s="143"/>
      <c r="B33" s="147"/>
      <c r="C33" s="143"/>
      <c r="D33" s="145"/>
      <c r="E33" s="143"/>
      <c r="F33" s="144"/>
      <c r="G33" s="141"/>
      <c r="H33" s="32" t="s">
        <v>30</v>
      </c>
      <c r="I33" s="29">
        <f>IF(I32&lt;&gt;"-",ROUNDUP(1.3*I32,0),"-")</f>
        <v>86</v>
      </c>
      <c r="J33" s="29">
        <f t="shared" ref="J33" si="366">IF(J32&lt;&gt;"-",ROUNDUP(1.3*J32,0),"-")</f>
        <v>86</v>
      </c>
      <c r="K33" s="29">
        <f t="shared" ref="K33" si="367">IF(K32&lt;&gt;"-",ROUNDUP(1.3*K32,0),"-")</f>
        <v>86</v>
      </c>
      <c r="L33" s="29">
        <f t="shared" ref="L33" si="368">IF(L32&lt;&gt;"-",ROUNDUP(1.3*L32,0),"-")</f>
        <v>86</v>
      </c>
      <c r="M33" s="29">
        <f t="shared" ref="M33" si="369">IF(M32&lt;&gt;"-",ROUNDUP(1.3*M32,0),"-")</f>
        <v>86</v>
      </c>
      <c r="N33" s="29">
        <f t="shared" ref="N33" si="370">IF(N32&lt;&gt;"-",ROUNDUP(1.3*N32,0),"-")</f>
        <v>86</v>
      </c>
      <c r="O33" s="29">
        <f t="shared" ref="O33" si="371">IF(O32&lt;&gt;"-",ROUNDUP(1.3*O32,0),"-")</f>
        <v>86</v>
      </c>
      <c r="P33" s="29">
        <f t="shared" ref="P33" si="372">IF(P32&lt;&gt;"-",ROUNDUP(1.3*P32,0),"-")</f>
        <v>86</v>
      </c>
      <c r="Q33" s="29">
        <f t="shared" ref="Q33" si="373">IF(Q32&lt;&gt;"-",ROUNDUP(1.3*Q32,0),"-")</f>
        <v>91</v>
      </c>
      <c r="R33" s="29">
        <f t="shared" ref="R33" si="374">IF(R32&lt;&gt;"-",ROUNDUP(1.3*R32,0),"-")</f>
        <v>99</v>
      </c>
      <c r="S33" s="29">
        <f t="shared" ref="S33" si="375">IF(S32&lt;&gt;"-",ROUNDUP(1.3*S32,0),"-")</f>
        <v>108</v>
      </c>
      <c r="T33" s="29">
        <f t="shared" ref="T33" si="376">IF(T32&lt;&gt;"-",ROUNDUP(1.3*T32,0),"-")</f>
        <v>117</v>
      </c>
      <c r="U33" s="29">
        <f t="shared" ref="U33" si="377">IF(U32&lt;&gt;"-",ROUNDUP(1.3*U32,0),"-")</f>
        <v>127</v>
      </c>
      <c r="V33" s="29">
        <f t="shared" ref="V33" si="378">IF(V32&lt;&gt;"-",ROUNDUP(1.3*V32,0),"-")</f>
        <v>136</v>
      </c>
      <c r="W33" s="29">
        <f t="shared" ref="W33" si="379">IF(W32&lt;&gt;"-",ROUNDUP(1.3*W32,0),"-")</f>
        <v>143</v>
      </c>
      <c r="X33" s="29">
        <f t="shared" ref="X33" si="380">IF(X32&lt;&gt;"-",ROUNDUP(1.3*X32,0),"-")</f>
        <v>153</v>
      </c>
      <c r="Y33" s="29">
        <f t="shared" ref="Y33" si="381">IF(Y32&lt;&gt;"-",ROUNDUP(1.3*Y32,0),"-")</f>
        <v>162</v>
      </c>
      <c r="Z33" s="29">
        <f t="shared" ref="Z33" si="382">IF(Z32&lt;&gt;"-",ROUNDUP(1.3*Z32,0),"-")</f>
        <v>171</v>
      </c>
      <c r="AA33" s="29" t="str">
        <f t="shared" ref="AA33" si="383">IF(AA32&lt;&gt;"-",ROUNDUP(1.3*AA32,0),"-")</f>
        <v>-</v>
      </c>
      <c r="AB33" s="29" t="str">
        <f t="shared" ref="AB33" si="384">IF(AB32&lt;&gt;"-",ROUNDUP(1.3*AB32,0),"-")</f>
        <v>-</v>
      </c>
      <c r="AC33" s="29" t="str">
        <f t="shared" ref="AC33" si="385">IF(AC32&lt;&gt;"-",ROUNDUP(1.3*AC32,0),"-")</f>
        <v>-</v>
      </c>
      <c r="AD33" s="29" t="str">
        <f t="shared" ref="AD33" si="386">IF(AD32&lt;&gt;"-",ROUNDUP(1.3*AD32,0),"-")</f>
        <v>-</v>
      </c>
      <c r="AE33" s="29" t="str">
        <f t="shared" ref="AE33" si="387">IF(AE32&lt;&gt;"-",ROUNDUP(1.3*AE32,0),"-")</f>
        <v>-</v>
      </c>
      <c r="AF33" s="29" t="str">
        <f t="shared" ref="AF33" si="388">IF(AF32&lt;&gt;"-",ROUNDUP(1.3*AF32,0),"-")</f>
        <v>-</v>
      </c>
      <c r="AG33" s="29" t="str">
        <f t="shared" ref="AG33" si="389">IF(AG32&lt;&gt;"-",ROUNDUP(1.3*AG32,0),"-")</f>
        <v>-</v>
      </c>
      <c r="AH33" s="29" t="str">
        <f t="shared" ref="AH33" si="390">IF(AH32&lt;&gt;"-",ROUNDUP(1.3*AH32,0),"-")</f>
        <v>-</v>
      </c>
      <c r="AI33" s="29" t="str">
        <f t="shared" ref="AI33" si="391">IF(AI32&lt;&gt;"-",ROUNDUP(1.3*AI32,0),"-")</f>
        <v>-</v>
      </c>
      <c r="AJ33" s="29" t="str">
        <f t="shared" ref="AJ33" si="392">IF(AJ32&lt;&gt;"-",ROUNDUP(1.3*AJ32,0),"-")</f>
        <v>-</v>
      </c>
    </row>
    <row r="34" spans="1:36">
      <c r="A34" s="143"/>
      <c r="B34" s="147"/>
      <c r="C34" s="143"/>
      <c r="D34" s="145"/>
      <c r="E34" s="143"/>
      <c r="F34" s="142">
        <f>計算表格!F19</f>
        <v>490</v>
      </c>
      <c r="G34" s="140">
        <f>計算表格!G19</f>
        <v>32</v>
      </c>
      <c r="H34" s="31" t="s">
        <v>29</v>
      </c>
      <c r="I34" s="29">
        <f>計算表格!I19</f>
        <v>89</v>
      </c>
      <c r="J34" s="29">
        <f>計算表格!J19</f>
        <v>89</v>
      </c>
      <c r="K34" s="29">
        <f>計算表格!K19</f>
        <v>89</v>
      </c>
      <c r="L34" s="29">
        <f>計算表格!L19</f>
        <v>89</v>
      </c>
      <c r="M34" s="29">
        <f>計算表格!M19</f>
        <v>89</v>
      </c>
      <c r="N34" s="29">
        <f>計算表格!N19</f>
        <v>97</v>
      </c>
      <c r="O34" s="29">
        <f>計算表格!O19</f>
        <v>110</v>
      </c>
      <c r="P34" s="29">
        <f>計算表格!P19</f>
        <v>124</v>
      </c>
      <c r="Q34" s="29">
        <f>計算表格!Q19</f>
        <v>137</v>
      </c>
      <c r="R34" s="29">
        <f>計算表格!R19</f>
        <v>151</v>
      </c>
      <c r="S34" s="29">
        <f>計算表格!S19</f>
        <v>164</v>
      </c>
      <c r="T34" s="29">
        <f>計算表格!T19</f>
        <v>177</v>
      </c>
      <c r="U34" s="29" t="str">
        <f>計算表格!U19</f>
        <v>-</v>
      </c>
      <c r="V34" s="29" t="str">
        <f>計算表格!V19</f>
        <v>-</v>
      </c>
      <c r="W34" s="29" t="str">
        <f>計算表格!W19</f>
        <v>-</v>
      </c>
      <c r="X34" s="29" t="str">
        <f>計算表格!X19</f>
        <v>-</v>
      </c>
      <c r="Y34" s="29" t="str">
        <f>計算表格!Y19</f>
        <v>-</v>
      </c>
      <c r="Z34" s="29" t="str">
        <f>計算表格!Z19</f>
        <v>-</v>
      </c>
      <c r="AA34" s="29" t="str">
        <f>計算表格!AA19</f>
        <v>-</v>
      </c>
      <c r="AB34" s="29" t="str">
        <f>計算表格!AB19</f>
        <v>-</v>
      </c>
      <c r="AC34" s="29" t="str">
        <f>計算表格!AC19</f>
        <v>-</v>
      </c>
      <c r="AD34" s="29" t="str">
        <f>計算表格!AD19</f>
        <v>-</v>
      </c>
      <c r="AE34" s="29" t="str">
        <f>計算表格!AE19</f>
        <v>-</v>
      </c>
      <c r="AF34" s="29" t="str">
        <f>計算表格!AF19</f>
        <v>-</v>
      </c>
      <c r="AG34" s="29" t="str">
        <f>計算表格!AG19</f>
        <v>-</v>
      </c>
      <c r="AH34" s="29" t="str">
        <f>計算表格!AH19</f>
        <v>-</v>
      </c>
      <c r="AI34" s="29" t="str">
        <f>計算表格!AI19</f>
        <v>-</v>
      </c>
      <c r="AJ34" s="29" t="str">
        <f>計算表格!AJ19</f>
        <v>-</v>
      </c>
    </row>
    <row r="35" spans="1:36">
      <c r="A35" s="143"/>
      <c r="B35" s="147"/>
      <c r="C35" s="143"/>
      <c r="D35" s="145"/>
      <c r="E35" s="143"/>
      <c r="F35" s="143"/>
      <c r="G35" s="141"/>
      <c r="H35" s="32" t="s">
        <v>30</v>
      </c>
      <c r="I35" s="29">
        <f>IF(I34&lt;&gt;"-",ROUNDUP(1.3*I34,0),"-")</f>
        <v>116</v>
      </c>
      <c r="J35" s="29">
        <f t="shared" ref="J35" si="393">IF(J34&lt;&gt;"-",ROUNDUP(1.3*J34,0),"-")</f>
        <v>116</v>
      </c>
      <c r="K35" s="29">
        <f t="shared" ref="K35" si="394">IF(K34&lt;&gt;"-",ROUNDUP(1.3*K34,0),"-")</f>
        <v>116</v>
      </c>
      <c r="L35" s="29">
        <f t="shared" ref="L35" si="395">IF(L34&lt;&gt;"-",ROUNDUP(1.3*L34,0),"-")</f>
        <v>116</v>
      </c>
      <c r="M35" s="29">
        <f t="shared" ref="M35" si="396">IF(M34&lt;&gt;"-",ROUNDUP(1.3*M34,0),"-")</f>
        <v>116</v>
      </c>
      <c r="N35" s="29">
        <f t="shared" ref="N35" si="397">IF(N34&lt;&gt;"-",ROUNDUP(1.3*N34,0),"-")</f>
        <v>127</v>
      </c>
      <c r="O35" s="29">
        <f t="shared" ref="O35" si="398">IF(O34&lt;&gt;"-",ROUNDUP(1.3*O34,0),"-")</f>
        <v>143</v>
      </c>
      <c r="P35" s="29">
        <f t="shared" ref="P35" si="399">IF(P34&lt;&gt;"-",ROUNDUP(1.3*P34,0),"-")</f>
        <v>162</v>
      </c>
      <c r="Q35" s="29">
        <f t="shared" ref="Q35" si="400">IF(Q34&lt;&gt;"-",ROUNDUP(1.3*Q34,0),"-")</f>
        <v>179</v>
      </c>
      <c r="R35" s="29">
        <f t="shared" ref="R35" si="401">IF(R34&lt;&gt;"-",ROUNDUP(1.3*R34,0),"-")</f>
        <v>197</v>
      </c>
      <c r="S35" s="29">
        <f t="shared" ref="S35" si="402">IF(S34&lt;&gt;"-",ROUNDUP(1.3*S34,0),"-")</f>
        <v>214</v>
      </c>
      <c r="T35" s="29">
        <f t="shared" ref="T35" si="403">IF(T34&lt;&gt;"-",ROUNDUP(1.3*T34,0),"-")</f>
        <v>231</v>
      </c>
      <c r="U35" s="29" t="str">
        <f t="shared" ref="U35" si="404">IF(U34&lt;&gt;"-",ROUNDUP(1.3*U34,0),"-")</f>
        <v>-</v>
      </c>
      <c r="V35" s="29" t="str">
        <f t="shared" ref="V35" si="405">IF(V34&lt;&gt;"-",ROUNDUP(1.3*V34,0),"-")</f>
        <v>-</v>
      </c>
      <c r="W35" s="29" t="str">
        <f t="shared" ref="W35" si="406">IF(W34&lt;&gt;"-",ROUNDUP(1.3*W34,0),"-")</f>
        <v>-</v>
      </c>
      <c r="X35" s="29" t="str">
        <f t="shared" ref="X35" si="407">IF(X34&lt;&gt;"-",ROUNDUP(1.3*X34,0),"-")</f>
        <v>-</v>
      </c>
      <c r="Y35" s="29" t="str">
        <f t="shared" ref="Y35" si="408">IF(Y34&lt;&gt;"-",ROUNDUP(1.3*Y34,0),"-")</f>
        <v>-</v>
      </c>
      <c r="Z35" s="29" t="str">
        <f t="shared" ref="Z35" si="409">IF(Z34&lt;&gt;"-",ROUNDUP(1.3*Z34,0),"-")</f>
        <v>-</v>
      </c>
      <c r="AA35" s="29" t="str">
        <f t="shared" ref="AA35" si="410">IF(AA34&lt;&gt;"-",ROUNDUP(1.3*AA34,0),"-")</f>
        <v>-</v>
      </c>
      <c r="AB35" s="29" t="str">
        <f t="shared" ref="AB35" si="411">IF(AB34&lt;&gt;"-",ROUNDUP(1.3*AB34,0),"-")</f>
        <v>-</v>
      </c>
      <c r="AC35" s="29" t="str">
        <f t="shared" ref="AC35" si="412">IF(AC34&lt;&gt;"-",ROUNDUP(1.3*AC34,0),"-")</f>
        <v>-</v>
      </c>
      <c r="AD35" s="29" t="str">
        <f t="shared" ref="AD35" si="413">IF(AD34&lt;&gt;"-",ROUNDUP(1.3*AD34,0),"-")</f>
        <v>-</v>
      </c>
      <c r="AE35" s="29" t="str">
        <f t="shared" ref="AE35" si="414">IF(AE34&lt;&gt;"-",ROUNDUP(1.3*AE34,0),"-")</f>
        <v>-</v>
      </c>
      <c r="AF35" s="29" t="str">
        <f t="shared" ref="AF35" si="415">IF(AF34&lt;&gt;"-",ROUNDUP(1.3*AF34,0),"-")</f>
        <v>-</v>
      </c>
      <c r="AG35" s="29" t="str">
        <f t="shared" ref="AG35" si="416">IF(AG34&lt;&gt;"-",ROUNDUP(1.3*AG34,0),"-")</f>
        <v>-</v>
      </c>
      <c r="AH35" s="29" t="str">
        <f t="shared" ref="AH35" si="417">IF(AH34&lt;&gt;"-",ROUNDUP(1.3*AH34,0),"-")</f>
        <v>-</v>
      </c>
      <c r="AI35" s="29" t="str">
        <f t="shared" ref="AI35" si="418">IF(AI34&lt;&gt;"-",ROUNDUP(1.3*AI34,0),"-")</f>
        <v>-</v>
      </c>
      <c r="AJ35" s="29" t="str">
        <f t="shared" ref="AJ35" si="419">IF(AJ34&lt;&gt;"-",ROUNDUP(1.3*AJ34,0),"-")</f>
        <v>-</v>
      </c>
    </row>
    <row r="36" spans="1:36">
      <c r="A36" s="143"/>
      <c r="B36" s="147"/>
      <c r="C36" s="143"/>
      <c r="D36" s="145"/>
      <c r="E36" s="143"/>
      <c r="F36" s="143"/>
      <c r="G36" s="140">
        <f>計算表格!G20</f>
        <v>25</v>
      </c>
      <c r="H36" s="31" t="s">
        <v>29</v>
      </c>
      <c r="I36" s="29">
        <f>計算表格!I20</f>
        <v>70</v>
      </c>
      <c r="J36" s="29">
        <f>計算表格!J20</f>
        <v>70</v>
      </c>
      <c r="K36" s="29">
        <f>計算表格!K20</f>
        <v>70</v>
      </c>
      <c r="L36" s="29">
        <f>計算表格!L20</f>
        <v>70</v>
      </c>
      <c r="M36" s="29">
        <f>計算表格!M20</f>
        <v>70</v>
      </c>
      <c r="N36" s="29">
        <f>計算表格!N20</f>
        <v>70</v>
      </c>
      <c r="O36" s="29">
        <f>計算表格!O20</f>
        <v>70</v>
      </c>
      <c r="P36" s="29">
        <f>計算表格!P20</f>
        <v>75</v>
      </c>
      <c r="Q36" s="29">
        <f>計算表格!Q20</f>
        <v>83</v>
      </c>
      <c r="R36" s="29">
        <f>計算表格!R20</f>
        <v>91</v>
      </c>
      <c r="S36" s="29">
        <f>計算表格!S20</f>
        <v>100</v>
      </c>
      <c r="T36" s="29">
        <f>計算表格!T20</f>
        <v>108</v>
      </c>
      <c r="U36" s="29">
        <f>計算表格!U20</f>
        <v>116</v>
      </c>
      <c r="V36" s="29">
        <f>計算表格!V20</f>
        <v>124</v>
      </c>
      <c r="W36" s="29">
        <f>計算表格!W20</f>
        <v>132</v>
      </c>
      <c r="X36" s="29" t="str">
        <f>計算表格!X20</f>
        <v>-</v>
      </c>
      <c r="Y36" s="29" t="str">
        <f>計算表格!Y20</f>
        <v>-</v>
      </c>
      <c r="Z36" s="29" t="str">
        <f>計算表格!Z20</f>
        <v>-</v>
      </c>
      <c r="AA36" s="29" t="str">
        <f>計算表格!AA20</f>
        <v>-</v>
      </c>
      <c r="AB36" s="29" t="str">
        <f>計算表格!AB20</f>
        <v>-</v>
      </c>
      <c r="AC36" s="29" t="str">
        <f>計算表格!AC20</f>
        <v>-</v>
      </c>
      <c r="AD36" s="29" t="str">
        <f>計算表格!AD20</f>
        <v>-</v>
      </c>
      <c r="AE36" s="29" t="str">
        <f>計算表格!AE20</f>
        <v>-</v>
      </c>
      <c r="AF36" s="29" t="str">
        <f>計算表格!AF20</f>
        <v>-</v>
      </c>
      <c r="AG36" s="29" t="str">
        <f>計算表格!AG20</f>
        <v>-</v>
      </c>
      <c r="AH36" s="29" t="str">
        <f>計算表格!AH20</f>
        <v>-</v>
      </c>
      <c r="AI36" s="29" t="str">
        <f>計算表格!AI20</f>
        <v>-</v>
      </c>
      <c r="AJ36" s="29" t="str">
        <f>計算表格!AJ20</f>
        <v>-</v>
      </c>
    </row>
    <row r="37" spans="1:36">
      <c r="A37" s="143"/>
      <c r="B37" s="147"/>
      <c r="C37" s="143"/>
      <c r="D37" s="145"/>
      <c r="E37" s="143"/>
      <c r="F37" s="143"/>
      <c r="G37" s="141"/>
      <c r="H37" s="32" t="s">
        <v>30</v>
      </c>
      <c r="I37" s="29">
        <f>IF(I36&lt;&gt;"-",ROUNDUP(1.3*I36,0),"-")</f>
        <v>91</v>
      </c>
      <c r="J37" s="29">
        <f t="shared" ref="J37" si="420">IF(J36&lt;&gt;"-",ROUNDUP(1.3*J36,0),"-")</f>
        <v>91</v>
      </c>
      <c r="K37" s="29">
        <f t="shared" ref="K37" si="421">IF(K36&lt;&gt;"-",ROUNDUP(1.3*K36,0),"-")</f>
        <v>91</v>
      </c>
      <c r="L37" s="29">
        <f t="shared" ref="L37" si="422">IF(L36&lt;&gt;"-",ROUNDUP(1.3*L36,0),"-")</f>
        <v>91</v>
      </c>
      <c r="M37" s="29">
        <f t="shared" ref="M37" si="423">IF(M36&lt;&gt;"-",ROUNDUP(1.3*M36,0),"-")</f>
        <v>91</v>
      </c>
      <c r="N37" s="29">
        <f t="shared" ref="N37" si="424">IF(N36&lt;&gt;"-",ROUNDUP(1.3*N36,0),"-")</f>
        <v>91</v>
      </c>
      <c r="O37" s="29">
        <f t="shared" ref="O37" si="425">IF(O36&lt;&gt;"-",ROUNDUP(1.3*O36,0),"-")</f>
        <v>91</v>
      </c>
      <c r="P37" s="29">
        <f t="shared" ref="P37" si="426">IF(P36&lt;&gt;"-",ROUNDUP(1.3*P36,0),"-")</f>
        <v>98</v>
      </c>
      <c r="Q37" s="29">
        <f t="shared" ref="Q37" si="427">IF(Q36&lt;&gt;"-",ROUNDUP(1.3*Q36,0),"-")</f>
        <v>108</v>
      </c>
      <c r="R37" s="29">
        <f t="shared" ref="R37" si="428">IF(R36&lt;&gt;"-",ROUNDUP(1.3*R36,0),"-")</f>
        <v>119</v>
      </c>
      <c r="S37" s="29">
        <f t="shared" ref="S37" si="429">IF(S36&lt;&gt;"-",ROUNDUP(1.3*S36,0),"-")</f>
        <v>130</v>
      </c>
      <c r="T37" s="29">
        <f t="shared" ref="T37" si="430">IF(T36&lt;&gt;"-",ROUNDUP(1.3*T36,0),"-")</f>
        <v>141</v>
      </c>
      <c r="U37" s="29">
        <f t="shared" ref="U37" si="431">IF(U36&lt;&gt;"-",ROUNDUP(1.3*U36,0),"-")</f>
        <v>151</v>
      </c>
      <c r="V37" s="29">
        <f t="shared" ref="V37" si="432">IF(V36&lt;&gt;"-",ROUNDUP(1.3*V36,0),"-")</f>
        <v>162</v>
      </c>
      <c r="W37" s="29">
        <f t="shared" ref="W37" si="433">IF(W36&lt;&gt;"-",ROUNDUP(1.3*W36,0),"-")</f>
        <v>172</v>
      </c>
      <c r="X37" s="29" t="str">
        <f t="shared" ref="X37" si="434">IF(X36&lt;&gt;"-",ROUNDUP(1.3*X36,0),"-")</f>
        <v>-</v>
      </c>
      <c r="Y37" s="29" t="str">
        <f t="shared" ref="Y37" si="435">IF(Y36&lt;&gt;"-",ROUNDUP(1.3*Y36,0),"-")</f>
        <v>-</v>
      </c>
      <c r="Z37" s="29" t="str">
        <f t="shared" ref="Z37" si="436">IF(Z36&lt;&gt;"-",ROUNDUP(1.3*Z36,0),"-")</f>
        <v>-</v>
      </c>
      <c r="AA37" s="29" t="str">
        <f t="shared" ref="AA37" si="437">IF(AA36&lt;&gt;"-",ROUNDUP(1.3*AA36,0),"-")</f>
        <v>-</v>
      </c>
      <c r="AB37" s="29" t="str">
        <f t="shared" ref="AB37" si="438">IF(AB36&lt;&gt;"-",ROUNDUP(1.3*AB36,0),"-")</f>
        <v>-</v>
      </c>
      <c r="AC37" s="29" t="str">
        <f t="shared" ref="AC37" si="439">IF(AC36&lt;&gt;"-",ROUNDUP(1.3*AC36,0),"-")</f>
        <v>-</v>
      </c>
      <c r="AD37" s="29" t="str">
        <f t="shared" ref="AD37" si="440">IF(AD36&lt;&gt;"-",ROUNDUP(1.3*AD36,0),"-")</f>
        <v>-</v>
      </c>
      <c r="AE37" s="29" t="str">
        <f t="shared" ref="AE37" si="441">IF(AE36&lt;&gt;"-",ROUNDUP(1.3*AE36,0),"-")</f>
        <v>-</v>
      </c>
      <c r="AF37" s="29" t="str">
        <f t="shared" ref="AF37" si="442">IF(AF36&lt;&gt;"-",ROUNDUP(1.3*AF36,0),"-")</f>
        <v>-</v>
      </c>
      <c r="AG37" s="29" t="str">
        <f t="shared" ref="AG37" si="443">IF(AG36&lt;&gt;"-",ROUNDUP(1.3*AG36,0),"-")</f>
        <v>-</v>
      </c>
      <c r="AH37" s="29" t="str">
        <f t="shared" ref="AH37" si="444">IF(AH36&lt;&gt;"-",ROUNDUP(1.3*AH36,0),"-")</f>
        <v>-</v>
      </c>
      <c r="AI37" s="29" t="str">
        <f t="shared" ref="AI37" si="445">IF(AI36&lt;&gt;"-",ROUNDUP(1.3*AI36,0),"-")</f>
        <v>-</v>
      </c>
      <c r="AJ37" s="29" t="str">
        <f t="shared" ref="AJ37" si="446">IF(AJ36&lt;&gt;"-",ROUNDUP(1.3*AJ36,0),"-")</f>
        <v>-</v>
      </c>
    </row>
    <row r="38" spans="1:36">
      <c r="A38" s="143"/>
      <c r="B38" s="147"/>
      <c r="C38" s="143"/>
      <c r="D38" s="145"/>
      <c r="E38" s="143"/>
      <c r="F38" s="143"/>
      <c r="G38" s="140">
        <f>計算表格!G21</f>
        <v>22</v>
      </c>
      <c r="H38" s="31" t="s">
        <v>29</v>
      </c>
      <c r="I38" s="29">
        <f>計算表格!I21</f>
        <v>61</v>
      </c>
      <c r="J38" s="29">
        <f>計算表格!J21</f>
        <v>61</v>
      </c>
      <c r="K38" s="29">
        <f>計算表格!K21</f>
        <v>61</v>
      </c>
      <c r="L38" s="29">
        <f>計算表格!L21</f>
        <v>61</v>
      </c>
      <c r="M38" s="29">
        <f>計算表格!M21</f>
        <v>61</v>
      </c>
      <c r="N38" s="29">
        <f>計算表格!N21</f>
        <v>61</v>
      </c>
      <c r="O38" s="29">
        <f>計算表格!O21</f>
        <v>61</v>
      </c>
      <c r="P38" s="29">
        <f>計算表格!P21</f>
        <v>61</v>
      </c>
      <c r="Q38" s="29">
        <f>計算表格!Q21</f>
        <v>64</v>
      </c>
      <c r="R38" s="29">
        <f>計算表格!R21</f>
        <v>71</v>
      </c>
      <c r="S38" s="29">
        <f>計算表格!S21</f>
        <v>77</v>
      </c>
      <c r="T38" s="29">
        <f>計算表格!T21</f>
        <v>83</v>
      </c>
      <c r="U38" s="29">
        <f>計算表格!U21</f>
        <v>90</v>
      </c>
      <c r="V38" s="29">
        <f>計算表格!V21</f>
        <v>96</v>
      </c>
      <c r="W38" s="29">
        <f>計算表格!W21</f>
        <v>102</v>
      </c>
      <c r="X38" s="29">
        <f>計算表格!X21</f>
        <v>108</v>
      </c>
      <c r="Y38" s="29">
        <f>計算表格!Y21</f>
        <v>115</v>
      </c>
      <c r="Z38" s="29">
        <f>計算表格!Z21</f>
        <v>121</v>
      </c>
      <c r="AA38" s="29" t="str">
        <f>計算表格!AA21</f>
        <v>-</v>
      </c>
      <c r="AB38" s="29" t="str">
        <f>計算表格!AB21</f>
        <v>-</v>
      </c>
      <c r="AC38" s="29" t="str">
        <f>計算表格!AC21</f>
        <v>-</v>
      </c>
      <c r="AD38" s="29" t="str">
        <f>計算表格!AD21</f>
        <v>-</v>
      </c>
      <c r="AE38" s="29" t="str">
        <f>計算表格!AE21</f>
        <v>-</v>
      </c>
      <c r="AF38" s="29" t="str">
        <f>計算表格!AF21</f>
        <v>-</v>
      </c>
      <c r="AG38" s="29" t="str">
        <f>計算表格!AG21</f>
        <v>-</v>
      </c>
      <c r="AH38" s="29" t="str">
        <f>計算表格!AH21</f>
        <v>-</v>
      </c>
      <c r="AI38" s="29" t="str">
        <f>計算表格!AI21</f>
        <v>-</v>
      </c>
      <c r="AJ38" s="29" t="str">
        <f>計算表格!AJ21</f>
        <v>-</v>
      </c>
    </row>
    <row r="39" spans="1:36">
      <c r="A39" s="143"/>
      <c r="B39" s="147"/>
      <c r="C39" s="143"/>
      <c r="D39" s="145"/>
      <c r="E39" s="143"/>
      <c r="F39" s="144"/>
      <c r="G39" s="141"/>
      <c r="H39" s="32" t="s">
        <v>30</v>
      </c>
      <c r="I39" s="29">
        <f>IF(I38&lt;&gt;"-",ROUNDUP(1.3*I38,0),"-")</f>
        <v>80</v>
      </c>
      <c r="J39" s="29">
        <f t="shared" ref="J39" si="447">IF(J38&lt;&gt;"-",ROUNDUP(1.3*J38,0),"-")</f>
        <v>80</v>
      </c>
      <c r="K39" s="29">
        <f t="shared" ref="K39" si="448">IF(K38&lt;&gt;"-",ROUNDUP(1.3*K38,0),"-")</f>
        <v>80</v>
      </c>
      <c r="L39" s="29">
        <f t="shared" ref="L39" si="449">IF(L38&lt;&gt;"-",ROUNDUP(1.3*L38,0),"-")</f>
        <v>80</v>
      </c>
      <c r="M39" s="29">
        <f t="shared" ref="M39" si="450">IF(M38&lt;&gt;"-",ROUNDUP(1.3*M38,0),"-")</f>
        <v>80</v>
      </c>
      <c r="N39" s="29">
        <f t="shared" ref="N39" si="451">IF(N38&lt;&gt;"-",ROUNDUP(1.3*N38,0),"-")</f>
        <v>80</v>
      </c>
      <c r="O39" s="29">
        <f t="shared" ref="O39" si="452">IF(O38&lt;&gt;"-",ROUNDUP(1.3*O38,0),"-")</f>
        <v>80</v>
      </c>
      <c r="P39" s="29">
        <f t="shared" ref="P39" si="453">IF(P38&lt;&gt;"-",ROUNDUP(1.3*P38,0),"-")</f>
        <v>80</v>
      </c>
      <c r="Q39" s="29">
        <f t="shared" ref="Q39" si="454">IF(Q38&lt;&gt;"-",ROUNDUP(1.3*Q38,0),"-")</f>
        <v>84</v>
      </c>
      <c r="R39" s="29">
        <f t="shared" ref="R39" si="455">IF(R38&lt;&gt;"-",ROUNDUP(1.3*R38,0),"-")</f>
        <v>93</v>
      </c>
      <c r="S39" s="29">
        <f t="shared" ref="S39" si="456">IF(S38&lt;&gt;"-",ROUNDUP(1.3*S38,0),"-")</f>
        <v>101</v>
      </c>
      <c r="T39" s="29">
        <f t="shared" ref="T39" si="457">IF(T38&lt;&gt;"-",ROUNDUP(1.3*T38,0),"-")</f>
        <v>108</v>
      </c>
      <c r="U39" s="29">
        <f t="shared" ref="U39" si="458">IF(U38&lt;&gt;"-",ROUNDUP(1.3*U38,0),"-")</f>
        <v>117</v>
      </c>
      <c r="V39" s="29">
        <f t="shared" ref="V39" si="459">IF(V38&lt;&gt;"-",ROUNDUP(1.3*V38,0),"-")</f>
        <v>125</v>
      </c>
      <c r="W39" s="29">
        <f t="shared" ref="W39" si="460">IF(W38&lt;&gt;"-",ROUNDUP(1.3*W38,0),"-")</f>
        <v>133</v>
      </c>
      <c r="X39" s="29">
        <f t="shared" ref="X39" si="461">IF(X38&lt;&gt;"-",ROUNDUP(1.3*X38,0),"-")</f>
        <v>141</v>
      </c>
      <c r="Y39" s="29">
        <f t="shared" ref="Y39" si="462">IF(Y38&lt;&gt;"-",ROUNDUP(1.3*Y38,0),"-")</f>
        <v>150</v>
      </c>
      <c r="Z39" s="29">
        <f t="shared" ref="Z39" si="463">IF(Z38&lt;&gt;"-",ROUNDUP(1.3*Z38,0),"-")</f>
        <v>158</v>
      </c>
      <c r="AA39" s="29" t="str">
        <f t="shared" ref="AA39" si="464">IF(AA38&lt;&gt;"-",ROUNDUP(1.3*AA38,0),"-")</f>
        <v>-</v>
      </c>
      <c r="AB39" s="29" t="str">
        <f t="shared" ref="AB39" si="465">IF(AB38&lt;&gt;"-",ROUNDUP(1.3*AB38,0),"-")</f>
        <v>-</v>
      </c>
      <c r="AC39" s="29" t="str">
        <f t="shared" ref="AC39" si="466">IF(AC38&lt;&gt;"-",ROUNDUP(1.3*AC38,0),"-")</f>
        <v>-</v>
      </c>
      <c r="AD39" s="29" t="str">
        <f t="shared" ref="AD39" si="467">IF(AD38&lt;&gt;"-",ROUNDUP(1.3*AD38,0),"-")</f>
        <v>-</v>
      </c>
      <c r="AE39" s="29" t="str">
        <f t="shared" ref="AE39" si="468">IF(AE38&lt;&gt;"-",ROUNDUP(1.3*AE38,0),"-")</f>
        <v>-</v>
      </c>
      <c r="AF39" s="29" t="str">
        <f t="shared" ref="AF39" si="469">IF(AF38&lt;&gt;"-",ROUNDUP(1.3*AF38,0),"-")</f>
        <v>-</v>
      </c>
      <c r="AG39" s="29" t="str">
        <f t="shared" ref="AG39" si="470">IF(AG38&lt;&gt;"-",ROUNDUP(1.3*AG38,0),"-")</f>
        <v>-</v>
      </c>
      <c r="AH39" s="29" t="str">
        <f t="shared" ref="AH39" si="471">IF(AH38&lt;&gt;"-",ROUNDUP(1.3*AH38,0),"-")</f>
        <v>-</v>
      </c>
      <c r="AI39" s="29" t="str">
        <f t="shared" ref="AI39" si="472">IF(AI38&lt;&gt;"-",ROUNDUP(1.3*AI38,0),"-")</f>
        <v>-</v>
      </c>
      <c r="AJ39" s="29" t="str">
        <f t="shared" ref="AJ39" si="473">IF(AJ38&lt;&gt;"-",ROUNDUP(1.3*AJ38,0),"-")</f>
        <v>-</v>
      </c>
    </row>
    <row r="40" spans="1:36">
      <c r="A40" s="143"/>
      <c r="B40" s="147"/>
      <c r="C40" s="143"/>
      <c r="D40" s="145"/>
      <c r="E40" s="143"/>
      <c r="F40" s="142">
        <f>計算表格!F22</f>
        <v>560</v>
      </c>
      <c r="G40" s="140">
        <f>計算表格!G22</f>
        <v>32</v>
      </c>
      <c r="H40" s="31" t="s">
        <v>29</v>
      </c>
      <c r="I40" s="29">
        <f>計算表格!I22</f>
        <v>83</v>
      </c>
      <c r="J40" s="29">
        <f>計算表格!J22</f>
        <v>83</v>
      </c>
      <c r="K40" s="29">
        <f>計算表格!K22</f>
        <v>83</v>
      </c>
      <c r="L40" s="29">
        <f>計算表格!L22</f>
        <v>83</v>
      </c>
      <c r="M40" s="29">
        <f>計算表格!M22</f>
        <v>83</v>
      </c>
      <c r="N40" s="29">
        <f>計算表格!N22</f>
        <v>91</v>
      </c>
      <c r="O40" s="29">
        <f>計算表格!O22</f>
        <v>103</v>
      </c>
      <c r="P40" s="29">
        <f>計算表格!P22</f>
        <v>116</v>
      </c>
      <c r="Q40" s="29">
        <f>計算表格!Q22</f>
        <v>128</v>
      </c>
      <c r="R40" s="29">
        <f>計算表格!R22</f>
        <v>141</v>
      </c>
      <c r="S40" s="29">
        <f>計算表格!S22</f>
        <v>153</v>
      </c>
      <c r="T40" s="29">
        <f>計算表格!T22</f>
        <v>166</v>
      </c>
      <c r="U40" s="29" t="str">
        <f>計算表格!U22</f>
        <v>-</v>
      </c>
      <c r="V40" s="29" t="str">
        <f>計算表格!V22</f>
        <v>-</v>
      </c>
      <c r="W40" s="29" t="str">
        <f>計算表格!W22</f>
        <v>-</v>
      </c>
      <c r="X40" s="29" t="str">
        <f>計算表格!X22</f>
        <v>-</v>
      </c>
      <c r="Y40" s="29" t="str">
        <f>計算表格!Y22</f>
        <v>-</v>
      </c>
      <c r="Z40" s="29" t="str">
        <f>計算表格!Z22</f>
        <v>-</v>
      </c>
      <c r="AA40" s="29" t="str">
        <f>計算表格!AA22</f>
        <v>-</v>
      </c>
      <c r="AB40" s="29" t="str">
        <f>計算表格!AB22</f>
        <v>-</v>
      </c>
      <c r="AC40" s="29" t="str">
        <f>計算表格!AC22</f>
        <v>-</v>
      </c>
      <c r="AD40" s="29" t="str">
        <f>計算表格!AD22</f>
        <v>-</v>
      </c>
      <c r="AE40" s="29" t="str">
        <f>計算表格!AE22</f>
        <v>-</v>
      </c>
      <c r="AF40" s="29" t="str">
        <f>計算表格!AF22</f>
        <v>-</v>
      </c>
      <c r="AG40" s="29" t="str">
        <f>計算表格!AG22</f>
        <v>-</v>
      </c>
      <c r="AH40" s="29" t="str">
        <f>計算表格!AH22</f>
        <v>-</v>
      </c>
      <c r="AI40" s="29" t="str">
        <f>計算表格!AI22</f>
        <v>-</v>
      </c>
      <c r="AJ40" s="29" t="str">
        <f>計算表格!AJ22</f>
        <v>-</v>
      </c>
    </row>
    <row r="41" spans="1:36">
      <c r="A41" s="143"/>
      <c r="B41" s="147"/>
      <c r="C41" s="143"/>
      <c r="D41" s="145"/>
      <c r="E41" s="143"/>
      <c r="F41" s="143"/>
      <c r="G41" s="141"/>
      <c r="H41" s="32" t="s">
        <v>30</v>
      </c>
      <c r="I41" s="29">
        <f>IF(I40&lt;&gt;"-",ROUNDUP(1.3*I40,0),"-")</f>
        <v>108</v>
      </c>
      <c r="J41" s="29">
        <f t="shared" ref="J41" si="474">IF(J40&lt;&gt;"-",ROUNDUP(1.3*J40,0),"-")</f>
        <v>108</v>
      </c>
      <c r="K41" s="29">
        <f t="shared" ref="K41" si="475">IF(K40&lt;&gt;"-",ROUNDUP(1.3*K40,0),"-")</f>
        <v>108</v>
      </c>
      <c r="L41" s="29">
        <f t="shared" ref="L41" si="476">IF(L40&lt;&gt;"-",ROUNDUP(1.3*L40,0),"-")</f>
        <v>108</v>
      </c>
      <c r="M41" s="29">
        <f t="shared" ref="M41" si="477">IF(M40&lt;&gt;"-",ROUNDUP(1.3*M40,0),"-")</f>
        <v>108</v>
      </c>
      <c r="N41" s="29">
        <f t="shared" ref="N41" si="478">IF(N40&lt;&gt;"-",ROUNDUP(1.3*N40,0),"-")</f>
        <v>119</v>
      </c>
      <c r="O41" s="29">
        <f t="shared" ref="O41" si="479">IF(O40&lt;&gt;"-",ROUNDUP(1.3*O40,0),"-")</f>
        <v>134</v>
      </c>
      <c r="P41" s="29">
        <f t="shared" ref="P41" si="480">IF(P40&lt;&gt;"-",ROUNDUP(1.3*P40,0),"-")</f>
        <v>151</v>
      </c>
      <c r="Q41" s="29">
        <f t="shared" ref="Q41" si="481">IF(Q40&lt;&gt;"-",ROUNDUP(1.3*Q40,0),"-")</f>
        <v>167</v>
      </c>
      <c r="R41" s="29">
        <f t="shared" ref="R41" si="482">IF(R40&lt;&gt;"-",ROUNDUP(1.3*R40,0),"-")</f>
        <v>184</v>
      </c>
      <c r="S41" s="29">
        <f t="shared" ref="S41" si="483">IF(S40&lt;&gt;"-",ROUNDUP(1.3*S40,0),"-")</f>
        <v>199</v>
      </c>
      <c r="T41" s="29">
        <f t="shared" ref="T41" si="484">IF(T40&lt;&gt;"-",ROUNDUP(1.3*T40,0),"-")</f>
        <v>216</v>
      </c>
      <c r="U41" s="29" t="str">
        <f t="shared" ref="U41" si="485">IF(U40&lt;&gt;"-",ROUNDUP(1.3*U40,0),"-")</f>
        <v>-</v>
      </c>
      <c r="V41" s="29" t="str">
        <f t="shared" ref="V41" si="486">IF(V40&lt;&gt;"-",ROUNDUP(1.3*V40,0),"-")</f>
        <v>-</v>
      </c>
      <c r="W41" s="29" t="str">
        <f t="shared" ref="W41" si="487">IF(W40&lt;&gt;"-",ROUNDUP(1.3*W40,0),"-")</f>
        <v>-</v>
      </c>
      <c r="X41" s="29" t="str">
        <f t="shared" ref="X41" si="488">IF(X40&lt;&gt;"-",ROUNDUP(1.3*X40,0),"-")</f>
        <v>-</v>
      </c>
      <c r="Y41" s="29" t="str">
        <f t="shared" ref="Y41" si="489">IF(Y40&lt;&gt;"-",ROUNDUP(1.3*Y40,0),"-")</f>
        <v>-</v>
      </c>
      <c r="Z41" s="29" t="str">
        <f t="shared" ref="Z41" si="490">IF(Z40&lt;&gt;"-",ROUNDUP(1.3*Z40,0),"-")</f>
        <v>-</v>
      </c>
      <c r="AA41" s="29" t="str">
        <f t="shared" ref="AA41" si="491">IF(AA40&lt;&gt;"-",ROUNDUP(1.3*AA40,0),"-")</f>
        <v>-</v>
      </c>
      <c r="AB41" s="29" t="str">
        <f t="shared" ref="AB41" si="492">IF(AB40&lt;&gt;"-",ROUNDUP(1.3*AB40,0),"-")</f>
        <v>-</v>
      </c>
      <c r="AC41" s="29" t="str">
        <f t="shared" ref="AC41" si="493">IF(AC40&lt;&gt;"-",ROUNDUP(1.3*AC40,0),"-")</f>
        <v>-</v>
      </c>
      <c r="AD41" s="29" t="str">
        <f t="shared" ref="AD41" si="494">IF(AD40&lt;&gt;"-",ROUNDUP(1.3*AD40,0),"-")</f>
        <v>-</v>
      </c>
      <c r="AE41" s="29" t="str">
        <f t="shared" ref="AE41" si="495">IF(AE40&lt;&gt;"-",ROUNDUP(1.3*AE40,0),"-")</f>
        <v>-</v>
      </c>
      <c r="AF41" s="29" t="str">
        <f t="shared" ref="AF41" si="496">IF(AF40&lt;&gt;"-",ROUNDUP(1.3*AF40,0),"-")</f>
        <v>-</v>
      </c>
      <c r="AG41" s="29" t="str">
        <f t="shared" ref="AG41" si="497">IF(AG40&lt;&gt;"-",ROUNDUP(1.3*AG40,0),"-")</f>
        <v>-</v>
      </c>
      <c r="AH41" s="29" t="str">
        <f t="shared" ref="AH41" si="498">IF(AH40&lt;&gt;"-",ROUNDUP(1.3*AH40,0),"-")</f>
        <v>-</v>
      </c>
      <c r="AI41" s="29" t="str">
        <f t="shared" ref="AI41" si="499">IF(AI40&lt;&gt;"-",ROUNDUP(1.3*AI40,0),"-")</f>
        <v>-</v>
      </c>
      <c r="AJ41" s="29" t="str">
        <f t="shared" ref="AJ41" si="500">IF(AJ40&lt;&gt;"-",ROUNDUP(1.3*AJ40,0),"-")</f>
        <v>-</v>
      </c>
    </row>
    <row r="42" spans="1:36">
      <c r="A42" s="143"/>
      <c r="B42" s="147"/>
      <c r="C42" s="143"/>
      <c r="D42" s="145"/>
      <c r="E42" s="143"/>
      <c r="F42" s="143"/>
      <c r="G42" s="140">
        <f>計算表格!G23</f>
        <v>25</v>
      </c>
      <c r="H42" s="31" t="s">
        <v>29</v>
      </c>
      <c r="I42" s="29">
        <f>計算表格!I23</f>
        <v>65</v>
      </c>
      <c r="J42" s="29">
        <f>計算表格!J23</f>
        <v>65</v>
      </c>
      <c r="K42" s="29">
        <f>計算表格!K23</f>
        <v>65</v>
      </c>
      <c r="L42" s="29">
        <f>計算表格!L23</f>
        <v>65</v>
      </c>
      <c r="M42" s="29">
        <f>計算表格!M23</f>
        <v>65</v>
      </c>
      <c r="N42" s="29">
        <f>計算表格!N23</f>
        <v>65</v>
      </c>
      <c r="O42" s="29">
        <f>計算表格!O23</f>
        <v>65</v>
      </c>
      <c r="P42" s="29">
        <f>計算表格!P23</f>
        <v>70</v>
      </c>
      <c r="Q42" s="29">
        <f>計算表格!Q23</f>
        <v>78</v>
      </c>
      <c r="R42" s="29">
        <f>計算表格!R23</f>
        <v>86</v>
      </c>
      <c r="S42" s="29">
        <f>計算表格!S23</f>
        <v>93</v>
      </c>
      <c r="T42" s="29">
        <f>計算表格!T23</f>
        <v>101</v>
      </c>
      <c r="U42" s="29">
        <f>計算表格!U23</f>
        <v>108</v>
      </c>
      <c r="V42" s="29">
        <f>計算表格!V23</f>
        <v>116</v>
      </c>
      <c r="W42" s="29">
        <f>計算表格!W23</f>
        <v>124</v>
      </c>
      <c r="X42" s="29" t="str">
        <f>計算表格!X23</f>
        <v>-</v>
      </c>
      <c r="Y42" s="29" t="str">
        <f>計算表格!Y23</f>
        <v>-</v>
      </c>
      <c r="Z42" s="29" t="str">
        <f>計算表格!Z23</f>
        <v>-</v>
      </c>
      <c r="AA42" s="29" t="str">
        <f>計算表格!AA23</f>
        <v>-</v>
      </c>
      <c r="AB42" s="29" t="str">
        <f>計算表格!AB23</f>
        <v>-</v>
      </c>
      <c r="AC42" s="29" t="str">
        <f>計算表格!AC23</f>
        <v>-</v>
      </c>
      <c r="AD42" s="29" t="str">
        <f>計算表格!AD23</f>
        <v>-</v>
      </c>
      <c r="AE42" s="29" t="str">
        <f>計算表格!AE23</f>
        <v>-</v>
      </c>
      <c r="AF42" s="29" t="str">
        <f>計算表格!AF23</f>
        <v>-</v>
      </c>
      <c r="AG42" s="29" t="str">
        <f>計算表格!AG23</f>
        <v>-</v>
      </c>
      <c r="AH42" s="29" t="str">
        <f>計算表格!AH23</f>
        <v>-</v>
      </c>
      <c r="AI42" s="29" t="str">
        <f>計算表格!AI23</f>
        <v>-</v>
      </c>
      <c r="AJ42" s="29" t="str">
        <f>計算表格!AJ23</f>
        <v>-</v>
      </c>
    </row>
    <row r="43" spans="1:36">
      <c r="A43" s="143"/>
      <c r="B43" s="147"/>
      <c r="C43" s="143"/>
      <c r="D43" s="145"/>
      <c r="E43" s="143"/>
      <c r="F43" s="143"/>
      <c r="G43" s="141"/>
      <c r="H43" s="32" t="s">
        <v>30</v>
      </c>
      <c r="I43" s="29">
        <f>IF(I42&lt;&gt;"-",ROUNDUP(1.3*I42,0),"-")</f>
        <v>85</v>
      </c>
      <c r="J43" s="29">
        <f t="shared" ref="J43" si="501">IF(J42&lt;&gt;"-",ROUNDUP(1.3*J42,0),"-")</f>
        <v>85</v>
      </c>
      <c r="K43" s="29">
        <f t="shared" ref="K43" si="502">IF(K42&lt;&gt;"-",ROUNDUP(1.3*K42,0),"-")</f>
        <v>85</v>
      </c>
      <c r="L43" s="29">
        <f t="shared" ref="L43" si="503">IF(L42&lt;&gt;"-",ROUNDUP(1.3*L42,0),"-")</f>
        <v>85</v>
      </c>
      <c r="M43" s="29">
        <f t="shared" ref="M43" si="504">IF(M42&lt;&gt;"-",ROUNDUP(1.3*M42,0),"-")</f>
        <v>85</v>
      </c>
      <c r="N43" s="29">
        <f t="shared" ref="N43" si="505">IF(N42&lt;&gt;"-",ROUNDUP(1.3*N42,0),"-")</f>
        <v>85</v>
      </c>
      <c r="O43" s="29">
        <f t="shared" ref="O43" si="506">IF(O42&lt;&gt;"-",ROUNDUP(1.3*O42,0),"-")</f>
        <v>85</v>
      </c>
      <c r="P43" s="29">
        <f t="shared" ref="P43" si="507">IF(P42&lt;&gt;"-",ROUNDUP(1.3*P42,0),"-")</f>
        <v>91</v>
      </c>
      <c r="Q43" s="29">
        <f t="shared" ref="Q43" si="508">IF(Q42&lt;&gt;"-",ROUNDUP(1.3*Q42,0),"-")</f>
        <v>102</v>
      </c>
      <c r="R43" s="29">
        <f t="shared" ref="R43" si="509">IF(R42&lt;&gt;"-",ROUNDUP(1.3*R42,0),"-")</f>
        <v>112</v>
      </c>
      <c r="S43" s="29">
        <f t="shared" ref="S43" si="510">IF(S42&lt;&gt;"-",ROUNDUP(1.3*S42,0),"-")</f>
        <v>121</v>
      </c>
      <c r="T43" s="29">
        <f t="shared" ref="T43" si="511">IF(T42&lt;&gt;"-",ROUNDUP(1.3*T42,0),"-")</f>
        <v>132</v>
      </c>
      <c r="U43" s="29">
        <f t="shared" ref="U43" si="512">IF(U42&lt;&gt;"-",ROUNDUP(1.3*U42,0),"-")</f>
        <v>141</v>
      </c>
      <c r="V43" s="29">
        <f t="shared" ref="V43" si="513">IF(V42&lt;&gt;"-",ROUNDUP(1.3*V42,0),"-")</f>
        <v>151</v>
      </c>
      <c r="W43" s="29">
        <f t="shared" ref="W43" si="514">IF(W42&lt;&gt;"-",ROUNDUP(1.3*W42,0),"-")</f>
        <v>162</v>
      </c>
      <c r="X43" s="29" t="str">
        <f t="shared" ref="X43" si="515">IF(X42&lt;&gt;"-",ROUNDUP(1.3*X42,0),"-")</f>
        <v>-</v>
      </c>
      <c r="Y43" s="29" t="str">
        <f t="shared" ref="Y43" si="516">IF(Y42&lt;&gt;"-",ROUNDUP(1.3*Y42,0),"-")</f>
        <v>-</v>
      </c>
      <c r="Z43" s="29" t="str">
        <f t="shared" ref="Z43" si="517">IF(Z42&lt;&gt;"-",ROUNDUP(1.3*Z42,0),"-")</f>
        <v>-</v>
      </c>
      <c r="AA43" s="29" t="str">
        <f t="shared" ref="AA43" si="518">IF(AA42&lt;&gt;"-",ROUNDUP(1.3*AA42,0),"-")</f>
        <v>-</v>
      </c>
      <c r="AB43" s="29" t="str">
        <f t="shared" ref="AB43" si="519">IF(AB42&lt;&gt;"-",ROUNDUP(1.3*AB42,0),"-")</f>
        <v>-</v>
      </c>
      <c r="AC43" s="29" t="str">
        <f t="shared" ref="AC43" si="520">IF(AC42&lt;&gt;"-",ROUNDUP(1.3*AC42,0),"-")</f>
        <v>-</v>
      </c>
      <c r="AD43" s="29" t="str">
        <f t="shared" ref="AD43" si="521">IF(AD42&lt;&gt;"-",ROUNDUP(1.3*AD42,0),"-")</f>
        <v>-</v>
      </c>
      <c r="AE43" s="29" t="str">
        <f t="shared" ref="AE43" si="522">IF(AE42&lt;&gt;"-",ROUNDUP(1.3*AE42,0),"-")</f>
        <v>-</v>
      </c>
      <c r="AF43" s="29" t="str">
        <f t="shared" ref="AF43" si="523">IF(AF42&lt;&gt;"-",ROUNDUP(1.3*AF42,0),"-")</f>
        <v>-</v>
      </c>
      <c r="AG43" s="29" t="str">
        <f t="shared" ref="AG43" si="524">IF(AG42&lt;&gt;"-",ROUNDUP(1.3*AG42,0),"-")</f>
        <v>-</v>
      </c>
      <c r="AH43" s="29" t="str">
        <f t="shared" ref="AH43" si="525">IF(AH42&lt;&gt;"-",ROUNDUP(1.3*AH42,0),"-")</f>
        <v>-</v>
      </c>
      <c r="AI43" s="29" t="str">
        <f t="shared" ref="AI43" si="526">IF(AI42&lt;&gt;"-",ROUNDUP(1.3*AI42,0),"-")</f>
        <v>-</v>
      </c>
      <c r="AJ43" s="29" t="str">
        <f t="shared" ref="AJ43" si="527">IF(AJ42&lt;&gt;"-",ROUNDUP(1.3*AJ42,0),"-")</f>
        <v>-</v>
      </c>
    </row>
    <row r="44" spans="1:36">
      <c r="A44" s="143"/>
      <c r="B44" s="147"/>
      <c r="C44" s="143"/>
      <c r="D44" s="145"/>
      <c r="E44" s="143"/>
      <c r="F44" s="143"/>
      <c r="G44" s="140">
        <f>計算表格!G24</f>
        <v>22</v>
      </c>
      <c r="H44" s="31" t="s">
        <v>29</v>
      </c>
      <c r="I44" s="29">
        <f>計算表格!I24</f>
        <v>57</v>
      </c>
      <c r="J44" s="29">
        <f>計算表格!J24</f>
        <v>57</v>
      </c>
      <c r="K44" s="29">
        <f>計算表格!K24</f>
        <v>57</v>
      </c>
      <c r="L44" s="29">
        <f>計算表格!L24</f>
        <v>57</v>
      </c>
      <c r="M44" s="29">
        <f>計算表格!M24</f>
        <v>57</v>
      </c>
      <c r="N44" s="29">
        <f>計算表格!N24</f>
        <v>57</v>
      </c>
      <c r="O44" s="29">
        <f>計算表格!O24</f>
        <v>57</v>
      </c>
      <c r="P44" s="29">
        <f>計算表格!P24</f>
        <v>57</v>
      </c>
      <c r="Q44" s="29">
        <f>計算表格!Q24</f>
        <v>60</v>
      </c>
      <c r="R44" s="29">
        <f>計算表格!R24</f>
        <v>66</v>
      </c>
      <c r="S44" s="29">
        <f>計算表格!S24</f>
        <v>72</v>
      </c>
      <c r="T44" s="29">
        <f>計算表格!T24</f>
        <v>78</v>
      </c>
      <c r="U44" s="29">
        <f>計算表格!U24</f>
        <v>84</v>
      </c>
      <c r="V44" s="29">
        <f>計算表格!V24</f>
        <v>90</v>
      </c>
      <c r="W44" s="29">
        <f>計算表格!W24</f>
        <v>96</v>
      </c>
      <c r="X44" s="29">
        <f>計算表格!X24</f>
        <v>102</v>
      </c>
      <c r="Y44" s="29">
        <f>計算表格!Y24</f>
        <v>107</v>
      </c>
      <c r="Z44" s="29">
        <f>計算表格!Z24</f>
        <v>113</v>
      </c>
      <c r="AA44" s="29" t="str">
        <f>計算表格!AA24</f>
        <v>-</v>
      </c>
      <c r="AB44" s="29" t="str">
        <f>計算表格!AB24</f>
        <v>-</v>
      </c>
      <c r="AC44" s="29" t="str">
        <f>計算表格!AC24</f>
        <v>-</v>
      </c>
      <c r="AD44" s="29" t="str">
        <f>計算表格!AD24</f>
        <v>-</v>
      </c>
      <c r="AE44" s="29" t="str">
        <f>計算表格!AE24</f>
        <v>-</v>
      </c>
      <c r="AF44" s="29" t="str">
        <f>計算表格!AF24</f>
        <v>-</v>
      </c>
      <c r="AG44" s="29" t="str">
        <f>計算表格!AG24</f>
        <v>-</v>
      </c>
      <c r="AH44" s="29" t="str">
        <f>計算表格!AH24</f>
        <v>-</v>
      </c>
      <c r="AI44" s="29" t="str">
        <f>計算表格!AI24</f>
        <v>-</v>
      </c>
      <c r="AJ44" s="29" t="str">
        <f>計算表格!AJ24</f>
        <v>-</v>
      </c>
    </row>
    <row r="45" spans="1:36">
      <c r="A45" s="144"/>
      <c r="B45" s="148"/>
      <c r="C45" s="144"/>
      <c r="D45" s="141"/>
      <c r="E45" s="144"/>
      <c r="F45" s="144"/>
      <c r="G45" s="141"/>
      <c r="H45" s="32" t="s">
        <v>30</v>
      </c>
      <c r="I45" s="29">
        <f>IF(I44&lt;&gt;"-",ROUNDUP(1.3*I44,0),"-")</f>
        <v>75</v>
      </c>
      <c r="J45" s="29">
        <f t="shared" ref="J45" si="528">IF(J44&lt;&gt;"-",ROUNDUP(1.3*J44,0),"-")</f>
        <v>75</v>
      </c>
      <c r="K45" s="29">
        <f t="shared" ref="K45" si="529">IF(K44&lt;&gt;"-",ROUNDUP(1.3*K44,0),"-")</f>
        <v>75</v>
      </c>
      <c r="L45" s="29">
        <f t="shared" ref="L45" si="530">IF(L44&lt;&gt;"-",ROUNDUP(1.3*L44,0),"-")</f>
        <v>75</v>
      </c>
      <c r="M45" s="29">
        <f t="shared" ref="M45" si="531">IF(M44&lt;&gt;"-",ROUNDUP(1.3*M44,0),"-")</f>
        <v>75</v>
      </c>
      <c r="N45" s="29">
        <f t="shared" ref="N45" si="532">IF(N44&lt;&gt;"-",ROUNDUP(1.3*N44,0),"-")</f>
        <v>75</v>
      </c>
      <c r="O45" s="29">
        <f t="shared" ref="O45" si="533">IF(O44&lt;&gt;"-",ROUNDUP(1.3*O44,0),"-")</f>
        <v>75</v>
      </c>
      <c r="P45" s="29">
        <f t="shared" ref="P45" si="534">IF(P44&lt;&gt;"-",ROUNDUP(1.3*P44,0),"-")</f>
        <v>75</v>
      </c>
      <c r="Q45" s="29">
        <f t="shared" ref="Q45" si="535">IF(Q44&lt;&gt;"-",ROUNDUP(1.3*Q44,0),"-")</f>
        <v>78</v>
      </c>
      <c r="R45" s="29">
        <f t="shared" ref="R45" si="536">IF(R44&lt;&gt;"-",ROUNDUP(1.3*R44,0),"-")</f>
        <v>86</v>
      </c>
      <c r="S45" s="29">
        <f t="shared" ref="S45" si="537">IF(S44&lt;&gt;"-",ROUNDUP(1.3*S44,0),"-")</f>
        <v>94</v>
      </c>
      <c r="T45" s="29">
        <f t="shared" ref="T45" si="538">IF(T44&lt;&gt;"-",ROUNDUP(1.3*T44,0),"-")</f>
        <v>102</v>
      </c>
      <c r="U45" s="29">
        <f t="shared" ref="U45" si="539">IF(U44&lt;&gt;"-",ROUNDUP(1.3*U44,0),"-")</f>
        <v>110</v>
      </c>
      <c r="V45" s="29">
        <f t="shared" ref="V45" si="540">IF(V44&lt;&gt;"-",ROUNDUP(1.3*V44,0),"-")</f>
        <v>117</v>
      </c>
      <c r="W45" s="29">
        <f t="shared" ref="W45" si="541">IF(W44&lt;&gt;"-",ROUNDUP(1.3*W44,0),"-")</f>
        <v>125</v>
      </c>
      <c r="X45" s="29">
        <f t="shared" ref="X45" si="542">IF(X44&lt;&gt;"-",ROUNDUP(1.3*X44,0),"-")</f>
        <v>133</v>
      </c>
      <c r="Y45" s="29">
        <f t="shared" ref="Y45" si="543">IF(Y44&lt;&gt;"-",ROUNDUP(1.3*Y44,0),"-")</f>
        <v>140</v>
      </c>
      <c r="Z45" s="29">
        <f t="shared" ref="Z45" si="544">IF(Z44&lt;&gt;"-",ROUNDUP(1.3*Z44,0),"-")</f>
        <v>147</v>
      </c>
      <c r="AA45" s="29" t="str">
        <f t="shared" ref="AA45" si="545">IF(AA44&lt;&gt;"-",ROUNDUP(1.3*AA44,0),"-")</f>
        <v>-</v>
      </c>
      <c r="AB45" s="29" t="str">
        <f t="shared" ref="AB45" si="546">IF(AB44&lt;&gt;"-",ROUNDUP(1.3*AB44,0),"-")</f>
        <v>-</v>
      </c>
      <c r="AC45" s="29" t="str">
        <f t="shared" ref="AC45" si="547">IF(AC44&lt;&gt;"-",ROUNDUP(1.3*AC44,0),"-")</f>
        <v>-</v>
      </c>
      <c r="AD45" s="29" t="str">
        <f t="shared" ref="AD45" si="548">IF(AD44&lt;&gt;"-",ROUNDUP(1.3*AD44,0),"-")</f>
        <v>-</v>
      </c>
      <c r="AE45" s="29" t="str">
        <f t="shared" ref="AE45" si="549">IF(AE44&lt;&gt;"-",ROUNDUP(1.3*AE44,0),"-")</f>
        <v>-</v>
      </c>
      <c r="AF45" s="29" t="str">
        <f t="shared" ref="AF45" si="550">IF(AF44&lt;&gt;"-",ROUNDUP(1.3*AF44,0),"-")</f>
        <v>-</v>
      </c>
      <c r="AG45" s="29" t="str">
        <f t="shared" ref="AG45" si="551">IF(AG44&lt;&gt;"-",ROUNDUP(1.3*AG44,0),"-")</f>
        <v>-</v>
      </c>
      <c r="AH45" s="29" t="str">
        <f t="shared" ref="AH45" si="552">IF(AH44&lt;&gt;"-",ROUNDUP(1.3*AH44,0),"-")</f>
        <v>-</v>
      </c>
      <c r="AI45" s="29" t="str">
        <f t="shared" ref="AI45" si="553">IF(AI44&lt;&gt;"-",ROUNDUP(1.3*AI44,0),"-")</f>
        <v>-</v>
      </c>
      <c r="AJ45" s="29" t="str">
        <f t="shared" ref="AJ45" si="554">IF(AJ44&lt;&gt;"-",ROUNDUP(1.3*AJ44,0),"-")</f>
        <v>-</v>
      </c>
    </row>
  </sheetData>
  <mergeCells count="43">
    <mergeCell ref="F10:F15"/>
    <mergeCell ref="F16:F21"/>
    <mergeCell ref="F22:F27"/>
    <mergeCell ref="F28:F33"/>
    <mergeCell ref="G30:G31"/>
    <mergeCell ref="A2:A3"/>
    <mergeCell ref="B2:B3"/>
    <mergeCell ref="C2:C3"/>
    <mergeCell ref="E2:E3"/>
    <mergeCell ref="F2:F3"/>
    <mergeCell ref="D2:D3"/>
    <mergeCell ref="G2:G3"/>
    <mergeCell ref="H2:H3"/>
    <mergeCell ref="I2:AJ2"/>
    <mergeCell ref="A1:AJ1"/>
    <mergeCell ref="A4:A45"/>
    <mergeCell ref="G14:G15"/>
    <mergeCell ref="G20:G21"/>
    <mergeCell ref="G22:G23"/>
    <mergeCell ref="G24:G25"/>
    <mergeCell ref="G26:G27"/>
    <mergeCell ref="G4:G5"/>
    <mergeCell ref="G6:G7"/>
    <mergeCell ref="G8:G9"/>
    <mergeCell ref="G10:G11"/>
    <mergeCell ref="G12:G13"/>
    <mergeCell ref="F34:F39"/>
    <mergeCell ref="G44:G45"/>
    <mergeCell ref="E4:E45"/>
    <mergeCell ref="D4:D45"/>
    <mergeCell ref="C4:C45"/>
    <mergeCell ref="B4:B45"/>
    <mergeCell ref="G32:G33"/>
    <mergeCell ref="G34:G35"/>
    <mergeCell ref="G36:G37"/>
    <mergeCell ref="G38:G39"/>
    <mergeCell ref="G40:G41"/>
    <mergeCell ref="G42:G43"/>
    <mergeCell ref="G28:G29"/>
    <mergeCell ref="F40:F45"/>
    <mergeCell ref="G16:G17"/>
    <mergeCell ref="G18:G19"/>
    <mergeCell ref="F4:F9"/>
  </mergeCells>
  <phoneticPr fontId="1" type="noConversion"/>
  <pageMargins left="0.7" right="0.7" top="0.75" bottom="0.75" header="0.3" footer="0.3"/>
  <pageSetup paperSize="9" scale="92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U49"/>
  <sheetViews>
    <sheetView showGridLines="0" tabSelected="1" view="pageBreakPreview" zoomScaleNormal="100" zoomScaleSheetLayoutView="100" workbookViewId="0">
      <selection activeCell="C4" sqref="C4:C24"/>
    </sheetView>
  </sheetViews>
  <sheetFormatPr defaultRowHeight="16.5"/>
  <cols>
    <col min="1" max="1" width="5.5" style="15" bestFit="1" customWidth="1"/>
    <col min="2" max="2" width="7.5" style="16" bestFit="1" customWidth="1"/>
    <col min="3" max="3" width="10.125" style="15" customWidth="1"/>
    <col min="4" max="4" width="5.5" style="14" bestFit="1" customWidth="1"/>
    <col min="5" max="5" width="5.5" style="14" customWidth="1"/>
    <col min="6" max="6" width="10.125" style="15" customWidth="1"/>
    <col min="7" max="7" width="5.5" style="13" bestFit="1" customWidth="1"/>
    <col min="8" max="21" width="6.625" style="13" customWidth="1"/>
    <col min="22" max="16384" width="9" style="13"/>
  </cols>
  <sheetData>
    <row r="1" spans="1:21" ht="18" customHeight="1">
      <c r="A1" s="81" t="s">
        <v>14</v>
      </c>
      <c r="B1" s="83" t="s">
        <v>0</v>
      </c>
      <c r="C1" s="85" t="s">
        <v>13</v>
      </c>
      <c r="D1" s="89" t="s">
        <v>22</v>
      </c>
      <c r="E1" s="89" t="s">
        <v>8</v>
      </c>
      <c r="F1" s="85" t="s">
        <v>12</v>
      </c>
      <c r="G1" s="78" t="s">
        <v>23</v>
      </c>
      <c r="H1" s="79" t="s">
        <v>6</v>
      </c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</row>
    <row r="2" spans="1:21" ht="18" customHeight="1">
      <c r="A2" s="82"/>
      <c r="B2" s="84"/>
      <c r="C2" s="82"/>
      <c r="D2" s="87"/>
      <c r="E2" s="87"/>
      <c r="F2" s="82"/>
      <c r="G2" s="79"/>
      <c r="H2" s="24">
        <f>計算表格!I2</f>
        <v>3</v>
      </c>
      <c r="I2" s="24">
        <f>計算表格!J2</f>
        <v>4</v>
      </c>
      <c r="J2" s="24">
        <f>計算表格!K2</f>
        <v>5</v>
      </c>
      <c r="K2" s="24">
        <f>計算表格!L2</f>
        <v>6</v>
      </c>
      <c r="L2" s="24">
        <f>計算表格!M2</f>
        <v>7</v>
      </c>
      <c r="M2" s="24">
        <f>計算表格!N2</f>
        <v>8</v>
      </c>
      <c r="N2" s="24">
        <f>計算表格!O2</f>
        <v>9</v>
      </c>
      <c r="O2" s="24">
        <f>計算表格!P2</f>
        <v>10</v>
      </c>
      <c r="P2" s="24">
        <f>計算表格!Q2</f>
        <v>11</v>
      </c>
      <c r="Q2" s="24">
        <f>計算表格!R2</f>
        <v>12</v>
      </c>
      <c r="R2" s="24">
        <f>計算表格!S2</f>
        <v>13</v>
      </c>
      <c r="S2" s="24">
        <f>計算表格!T2</f>
        <v>14</v>
      </c>
      <c r="T2" s="24">
        <f>計算表格!U2</f>
        <v>15</v>
      </c>
      <c r="U2" s="24">
        <f>計算表格!V2</f>
        <v>16</v>
      </c>
    </row>
    <row r="3" spans="1:21" ht="18" customHeight="1">
      <c r="A3" s="26" t="s">
        <v>4</v>
      </c>
      <c r="B3" s="27" t="s">
        <v>4</v>
      </c>
      <c r="C3" s="26" t="s">
        <v>15</v>
      </c>
      <c r="D3" s="88"/>
      <c r="E3" s="28" t="s">
        <v>9</v>
      </c>
      <c r="F3" s="26" t="s">
        <v>15</v>
      </c>
      <c r="G3" s="79"/>
      <c r="H3" s="79" t="s">
        <v>10</v>
      </c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</row>
    <row r="4" spans="1:21">
      <c r="A4" s="90">
        <f>計算表格!A4</f>
        <v>100</v>
      </c>
      <c r="B4" s="91">
        <f>計算表格!B4</f>
        <v>5</v>
      </c>
      <c r="C4" s="90">
        <f>計算表格!C4</f>
        <v>4200</v>
      </c>
      <c r="D4" s="92">
        <f>計算表格!D4</f>
        <v>13</v>
      </c>
      <c r="E4" s="90">
        <f>計算表格!E4</f>
        <v>10</v>
      </c>
      <c r="F4" s="90">
        <f>計算表格!F4</f>
        <v>210</v>
      </c>
      <c r="G4" s="25">
        <f>計算表格!G4</f>
        <v>32</v>
      </c>
      <c r="H4" s="29">
        <f>計算表格!I4</f>
        <v>136</v>
      </c>
      <c r="I4" s="29">
        <f>計算表格!J4</f>
        <v>136</v>
      </c>
      <c r="J4" s="29">
        <f>計算表格!K4</f>
        <v>136</v>
      </c>
      <c r="K4" s="29">
        <f>計算表格!L4</f>
        <v>136</v>
      </c>
      <c r="L4" s="29">
        <f>計算表格!M4</f>
        <v>136</v>
      </c>
      <c r="M4" s="29">
        <f>計算表格!N4</f>
        <v>148</v>
      </c>
      <c r="N4" s="29">
        <f>計算表格!O4</f>
        <v>168</v>
      </c>
      <c r="O4" s="29">
        <f>計算表格!P4</f>
        <v>189</v>
      </c>
      <c r="P4" s="29">
        <f>計算表格!Q4</f>
        <v>209</v>
      </c>
      <c r="Q4" s="29">
        <f>計算表格!R4</f>
        <v>230</v>
      </c>
      <c r="R4" s="29">
        <f>計算表格!S4</f>
        <v>250</v>
      </c>
      <c r="S4" s="29">
        <f>計算表格!T4</f>
        <v>271</v>
      </c>
      <c r="T4" s="29" t="str">
        <f>計算表格!U4</f>
        <v>-</v>
      </c>
      <c r="U4" s="29" t="str">
        <f>計算表格!V4</f>
        <v>-</v>
      </c>
    </row>
    <row r="5" spans="1:21">
      <c r="A5" s="90"/>
      <c r="B5" s="91"/>
      <c r="C5" s="90"/>
      <c r="D5" s="92"/>
      <c r="E5" s="90"/>
      <c r="F5" s="90"/>
      <c r="G5" s="25">
        <f>計算表格!G5</f>
        <v>25</v>
      </c>
      <c r="H5" s="29">
        <f>計算表格!I5</f>
        <v>106</v>
      </c>
      <c r="I5" s="29">
        <f>計算表格!J5</f>
        <v>106</v>
      </c>
      <c r="J5" s="29">
        <f>計算表格!K5</f>
        <v>106</v>
      </c>
      <c r="K5" s="29">
        <f>計算表格!L5</f>
        <v>106</v>
      </c>
      <c r="L5" s="29">
        <f>計算表格!M5</f>
        <v>106</v>
      </c>
      <c r="M5" s="29">
        <f>計算表格!N5</f>
        <v>106</v>
      </c>
      <c r="N5" s="29">
        <f>計算表格!O5</f>
        <v>106</v>
      </c>
      <c r="O5" s="29">
        <f>計算表格!P5</f>
        <v>115</v>
      </c>
      <c r="P5" s="29">
        <f>計算表格!Q5</f>
        <v>127</v>
      </c>
      <c r="Q5" s="29">
        <f>計算表格!R5</f>
        <v>139</v>
      </c>
      <c r="R5" s="29">
        <f>計算表格!S5</f>
        <v>152</v>
      </c>
      <c r="S5" s="29">
        <f>計算表格!T5</f>
        <v>164</v>
      </c>
      <c r="T5" s="29">
        <f>計算表格!U5</f>
        <v>177</v>
      </c>
      <c r="U5" s="29">
        <f>計算表格!V5</f>
        <v>189</v>
      </c>
    </row>
    <row r="6" spans="1:21">
      <c r="A6" s="90"/>
      <c r="B6" s="91"/>
      <c r="C6" s="90"/>
      <c r="D6" s="92"/>
      <c r="E6" s="90"/>
      <c r="F6" s="90"/>
      <c r="G6" s="25">
        <f>計算表格!G6</f>
        <v>22</v>
      </c>
      <c r="H6" s="29">
        <f>計算表格!I6</f>
        <v>93</v>
      </c>
      <c r="I6" s="29">
        <f>計算表格!J6</f>
        <v>93</v>
      </c>
      <c r="J6" s="29">
        <f>計算表格!K6</f>
        <v>93</v>
      </c>
      <c r="K6" s="29">
        <f>計算表格!L6</f>
        <v>93</v>
      </c>
      <c r="L6" s="29">
        <f>計算表格!M6</f>
        <v>93</v>
      </c>
      <c r="M6" s="29">
        <f>計算表格!N6</f>
        <v>93</v>
      </c>
      <c r="N6" s="29">
        <f>計算表格!O6</f>
        <v>93</v>
      </c>
      <c r="O6" s="29">
        <f>計算表格!P6</f>
        <v>93</v>
      </c>
      <c r="P6" s="29">
        <f>計算表格!Q6</f>
        <v>98</v>
      </c>
      <c r="Q6" s="29">
        <f>計算表格!R6</f>
        <v>108</v>
      </c>
      <c r="R6" s="29">
        <f>計算表格!S6</f>
        <v>117</v>
      </c>
      <c r="S6" s="29">
        <f>計算表格!T6</f>
        <v>127</v>
      </c>
      <c r="T6" s="29">
        <f>計算表格!U6</f>
        <v>137</v>
      </c>
      <c r="U6" s="29">
        <f>計算表格!V6</f>
        <v>146</v>
      </c>
    </row>
    <row r="7" spans="1:21">
      <c r="A7" s="90"/>
      <c r="B7" s="91"/>
      <c r="C7" s="90"/>
      <c r="D7" s="92"/>
      <c r="E7" s="90"/>
      <c r="F7" s="90">
        <f>計算表格!F7</f>
        <v>245</v>
      </c>
      <c r="G7" s="25">
        <f>計算表格!G7</f>
        <v>32</v>
      </c>
      <c r="H7" s="29">
        <f>計算表格!I7</f>
        <v>126</v>
      </c>
      <c r="I7" s="29">
        <f>計算表格!J7</f>
        <v>126</v>
      </c>
      <c r="J7" s="29">
        <f>計算表格!K7</f>
        <v>126</v>
      </c>
      <c r="K7" s="29">
        <f>計算表格!L7</f>
        <v>126</v>
      </c>
      <c r="L7" s="29">
        <f>計算表格!M7</f>
        <v>126</v>
      </c>
      <c r="M7" s="29">
        <f>計算表格!N7</f>
        <v>137</v>
      </c>
      <c r="N7" s="29">
        <f>計算表格!O7</f>
        <v>156</v>
      </c>
      <c r="O7" s="29">
        <f>計算表格!P7</f>
        <v>175</v>
      </c>
      <c r="P7" s="29">
        <f>計算表格!Q7</f>
        <v>194</v>
      </c>
      <c r="Q7" s="29">
        <f>計算表格!R7</f>
        <v>213</v>
      </c>
      <c r="R7" s="29">
        <f>計算表格!S7</f>
        <v>232</v>
      </c>
      <c r="S7" s="29">
        <f>計算表格!T7</f>
        <v>251</v>
      </c>
      <c r="T7" s="29" t="str">
        <f>計算表格!U7</f>
        <v>-</v>
      </c>
      <c r="U7" s="29" t="str">
        <f>計算表格!V7</f>
        <v>-</v>
      </c>
    </row>
    <row r="8" spans="1:21">
      <c r="A8" s="90"/>
      <c r="B8" s="91"/>
      <c r="C8" s="90"/>
      <c r="D8" s="92"/>
      <c r="E8" s="90"/>
      <c r="F8" s="90"/>
      <c r="G8" s="25">
        <f>計算表格!G8</f>
        <v>25</v>
      </c>
      <c r="H8" s="29">
        <f>計算表格!I8</f>
        <v>98</v>
      </c>
      <c r="I8" s="29">
        <f>計算表格!J8</f>
        <v>98</v>
      </c>
      <c r="J8" s="29">
        <f>計算表格!K8</f>
        <v>98</v>
      </c>
      <c r="K8" s="29">
        <f>計算表格!L8</f>
        <v>98</v>
      </c>
      <c r="L8" s="29">
        <f>計算表格!M8</f>
        <v>98</v>
      </c>
      <c r="M8" s="29">
        <f>計算表格!N8</f>
        <v>98</v>
      </c>
      <c r="N8" s="29">
        <f>計算表格!O8</f>
        <v>98</v>
      </c>
      <c r="O8" s="29">
        <f>計算表格!P8</f>
        <v>106</v>
      </c>
      <c r="P8" s="29">
        <f>計算表格!Q8</f>
        <v>118</v>
      </c>
      <c r="Q8" s="29">
        <f>計算表格!R8</f>
        <v>129</v>
      </c>
      <c r="R8" s="29">
        <f>計算表格!S8</f>
        <v>141</v>
      </c>
      <c r="S8" s="29">
        <f>計算表格!T8</f>
        <v>152</v>
      </c>
      <c r="T8" s="29">
        <f>計算表格!U8</f>
        <v>164</v>
      </c>
      <c r="U8" s="29">
        <f>計算表格!V8</f>
        <v>175</v>
      </c>
    </row>
    <row r="9" spans="1:21">
      <c r="A9" s="90"/>
      <c r="B9" s="91"/>
      <c r="C9" s="90"/>
      <c r="D9" s="92"/>
      <c r="E9" s="90"/>
      <c r="F9" s="90"/>
      <c r="G9" s="25">
        <f>計算表格!G9</f>
        <v>22</v>
      </c>
      <c r="H9" s="29">
        <f>計算表格!I9</f>
        <v>86</v>
      </c>
      <c r="I9" s="29">
        <f>計算表格!J9</f>
        <v>86</v>
      </c>
      <c r="J9" s="29">
        <f>計算表格!K9</f>
        <v>86</v>
      </c>
      <c r="K9" s="29">
        <f>計算表格!L9</f>
        <v>86</v>
      </c>
      <c r="L9" s="29">
        <f>計算表格!M9</f>
        <v>86</v>
      </c>
      <c r="M9" s="29">
        <f>計算表格!N9</f>
        <v>86</v>
      </c>
      <c r="N9" s="29">
        <f>計算表格!O9</f>
        <v>86</v>
      </c>
      <c r="O9" s="29">
        <f>計算表格!P9</f>
        <v>86</v>
      </c>
      <c r="P9" s="29">
        <f>計算表格!Q9</f>
        <v>91</v>
      </c>
      <c r="Q9" s="29">
        <f>計算表格!R9</f>
        <v>100</v>
      </c>
      <c r="R9" s="29">
        <f>計算表格!S9</f>
        <v>109</v>
      </c>
      <c r="S9" s="29">
        <f>計算表格!T9</f>
        <v>118</v>
      </c>
      <c r="T9" s="29">
        <f>計算表格!U9</f>
        <v>127</v>
      </c>
      <c r="U9" s="29">
        <f>計算表格!V9</f>
        <v>135</v>
      </c>
    </row>
    <row r="10" spans="1:21">
      <c r="A10" s="90"/>
      <c r="B10" s="91"/>
      <c r="C10" s="90"/>
      <c r="D10" s="92"/>
      <c r="E10" s="90"/>
      <c r="F10" s="90">
        <f>計算表格!F10</f>
        <v>280</v>
      </c>
      <c r="G10" s="25">
        <f>計算表格!G10</f>
        <v>32</v>
      </c>
      <c r="H10" s="29">
        <f>計算表格!I10</f>
        <v>117</v>
      </c>
      <c r="I10" s="29">
        <f>計算表格!J10</f>
        <v>117</v>
      </c>
      <c r="J10" s="29">
        <f>計算表格!K10</f>
        <v>117</v>
      </c>
      <c r="K10" s="29">
        <f>計算表格!L10</f>
        <v>117</v>
      </c>
      <c r="L10" s="29">
        <f>計算表格!M10</f>
        <v>117</v>
      </c>
      <c r="M10" s="29">
        <f>計算表格!N10</f>
        <v>128</v>
      </c>
      <c r="N10" s="29">
        <f>計算表格!O10</f>
        <v>146</v>
      </c>
      <c r="O10" s="29">
        <f>計算表格!P10</f>
        <v>163</v>
      </c>
      <c r="P10" s="29">
        <f>計算表格!Q10</f>
        <v>181</v>
      </c>
      <c r="Q10" s="29">
        <f>計算表格!R10</f>
        <v>199</v>
      </c>
      <c r="R10" s="29">
        <f>計算表格!S10</f>
        <v>217</v>
      </c>
      <c r="S10" s="29">
        <f>計算表格!T10</f>
        <v>235</v>
      </c>
      <c r="T10" s="29" t="str">
        <f>計算表格!U10</f>
        <v>-</v>
      </c>
      <c r="U10" s="29" t="str">
        <f>計算表格!V10</f>
        <v>-</v>
      </c>
    </row>
    <row r="11" spans="1:21">
      <c r="A11" s="90"/>
      <c r="B11" s="91"/>
      <c r="C11" s="90"/>
      <c r="D11" s="92"/>
      <c r="E11" s="90"/>
      <c r="F11" s="90"/>
      <c r="G11" s="25">
        <f>計算表格!G11</f>
        <v>25</v>
      </c>
      <c r="H11" s="29">
        <f>計算表格!I11</f>
        <v>92</v>
      </c>
      <c r="I11" s="29">
        <f>計算表格!J11</f>
        <v>92</v>
      </c>
      <c r="J11" s="29">
        <f>計算表格!K11</f>
        <v>92</v>
      </c>
      <c r="K11" s="29">
        <f>計算表格!L11</f>
        <v>92</v>
      </c>
      <c r="L11" s="29">
        <f>計算表格!M11</f>
        <v>92</v>
      </c>
      <c r="M11" s="29">
        <f>計算表格!N11</f>
        <v>92</v>
      </c>
      <c r="N11" s="29">
        <f>計算表格!O11</f>
        <v>92</v>
      </c>
      <c r="O11" s="29">
        <f>計算表格!P11</f>
        <v>99</v>
      </c>
      <c r="P11" s="29">
        <f>計算表格!Q11</f>
        <v>110</v>
      </c>
      <c r="Q11" s="29">
        <f>計算表格!R11</f>
        <v>121</v>
      </c>
      <c r="R11" s="29">
        <f>計算表格!S11</f>
        <v>132</v>
      </c>
      <c r="S11" s="29">
        <f>計算表格!T11</f>
        <v>142</v>
      </c>
      <c r="T11" s="29">
        <f>計算表格!U11</f>
        <v>153</v>
      </c>
      <c r="U11" s="29">
        <f>計算表格!V11</f>
        <v>164</v>
      </c>
    </row>
    <row r="12" spans="1:21">
      <c r="A12" s="90"/>
      <c r="B12" s="91"/>
      <c r="C12" s="90"/>
      <c r="D12" s="92"/>
      <c r="E12" s="90"/>
      <c r="F12" s="90"/>
      <c r="G12" s="25">
        <f>計算表格!G12</f>
        <v>22</v>
      </c>
      <c r="H12" s="29">
        <f>計算表格!I12</f>
        <v>81</v>
      </c>
      <c r="I12" s="29">
        <f>計算表格!J12</f>
        <v>81</v>
      </c>
      <c r="J12" s="29">
        <f>計算表格!K12</f>
        <v>81</v>
      </c>
      <c r="K12" s="29">
        <f>計算表格!L12</f>
        <v>81</v>
      </c>
      <c r="L12" s="29">
        <f>計算表格!M12</f>
        <v>81</v>
      </c>
      <c r="M12" s="29">
        <f>計算表格!N12</f>
        <v>81</v>
      </c>
      <c r="N12" s="29">
        <f>計算表格!O12</f>
        <v>81</v>
      </c>
      <c r="O12" s="29">
        <f>計算表格!P12</f>
        <v>81</v>
      </c>
      <c r="P12" s="29">
        <f>計算表格!Q12</f>
        <v>85</v>
      </c>
      <c r="Q12" s="29">
        <f>計算表格!R12</f>
        <v>93</v>
      </c>
      <c r="R12" s="29">
        <f>計算表格!S12</f>
        <v>102</v>
      </c>
      <c r="S12" s="29">
        <f>計算表格!T12</f>
        <v>110</v>
      </c>
      <c r="T12" s="29">
        <f>計算表格!U12</f>
        <v>118</v>
      </c>
      <c r="U12" s="29">
        <f>計算表格!V12</f>
        <v>127</v>
      </c>
    </row>
    <row r="13" spans="1:21">
      <c r="A13" s="90"/>
      <c r="B13" s="91"/>
      <c r="C13" s="90"/>
      <c r="D13" s="92"/>
      <c r="E13" s="90"/>
      <c r="F13" s="90">
        <f>計算表格!F13</f>
        <v>350</v>
      </c>
      <c r="G13" s="25">
        <f>計算表格!G13</f>
        <v>32</v>
      </c>
      <c r="H13" s="29">
        <f>計算表格!I13</f>
        <v>105</v>
      </c>
      <c r="I13" s="29">
        <f>計算表格!J13</f>
        <v>105</v>
      </c>
      <c r="J13" s="29">
        <f>計算表格!K13</f>
        <v>105</v>
      </c>
      <c r="K13" s="29">
        <f>計算表格!L13</f>
        <v>105</v>
      </c>
      <c r="L13" s="29">
        <f>計算表格!M13</f>
        <v>105</v>
      </c>
      <c r="M13" s="29">
        <f>計算表格!N13</f>
        <v>114</v>
      </c>
      <c r="N13" s="29">
        <f>計算表格!O13</f>
        <v>130</v>
      </c>
      <c r="O13" s="29">
        <f>計算表格!P13</f>
        <v>146</v>
      </c>
      <c r="P13" s="29">
        <f>計算表格!Q13</f>
        <v>162</v>
      </c>
      <c r="Q13" s="29">
        <f>計算表格!R13</f>
        <v>178</v>
      </c>
      <c r="R13" s="29">
        <f>計算表格!S13</f>
        <v>194</v>
      </c>
      <c r="S13" s="29">
        <f>計算表格!T13</f>
        <v>210</v>
      </c>
      <c r="T13" s="29" t="str">
        <f>計算表格!U13</f>
        <v>-</v>
      </c>
      <c r="U13" s="29" t="str">
        <f>計算表格!V13</f>
        <v>-</v>
      </c>
    </row>
    <row r="14" spans="1:21">
      <c r="A14" s="90"/>
      <c r="B14" s="91"/>
      <c r="C14" s="90"/>
      <c r="D14" s="92"/>
      <c r="E14" s="90"/>
      <c r="F14" s="90"/>
      <c r="G14" s="25">
        <f>計算表格!G14</f>
        <v>25</v>
      </c>
      <c r="H14" s="29">
        <f>計算表格!I14</f>
        <v>82</v>
      </c>
      <c r="I14" s="29">
        <f>計算表格!J14</f>
        <v>82</v>
      </c>
      <c r="J14" s="29">
        <f>計算表格!K14</f>
        <v>82</v>
      </c>
      <c r="K14" s="29">
        <f>計算表格!L14</f>
        <v>82</v>
      </c>
      <c r="L14" s="29">
        <f>計算表格!M14</f>
        <v>82</v>
      </c>
      <c r="M14" s="29">
        <f>計算表格!N14</f>
        <v>82</v>
      </c>
      <c r="N14" s="29">
        <f>計算表格!O14</f>
        <v>82</v>
      </c>
      <c r="O14" s="29">
        <f>計算表格!P14</f>
        <v>89</v>
      </c>
      <c r="P14" s="29">
        <f>計算表格!Q14</f>
        <v>99</v>
      </c>
      <c r="Q14" s="29">
        <f>計算表格!R14</f>
        <v>108</v>
      </c>
      <c r="R14" s="29">
        <f>計算表格!S14</f>
        <v>118</v>
      </c>
      <c r="S14" s="29">
        <f>計算表格!T14</f>
        <v>127</v>
      </c>
      <c r="T14" s="29">
        <f>計算表格!U14</f>
        <v>137</v>
      </c>
      <c r="U14" s="29">
        <f>計算表格!V14</f>
        <v>147</v>
      </c>
    </row>
    <row r="15" spans="1:21">
      <c r="A15" s="90"/>
      <c r="B15" s="91"/>
      <c r="C15" s="90"/>
      <c r="D15" s="92"/>
      <c r="E15" s="90"/>
      <c r="F15" s="90"/>
      <c r="G15" s="25">
        <f>計算表格!G15</f>
        <v>22</v>
      </c>
      <c r="H15" s="29">
        <f>計算表格!I15</f>
        <v>72</v>
      </c>
      <c r="I15" s="29">
        <f>計算表格!J15</f>
        <v>72</v>
      </c>
      <c r="J15" s="29">
        <f>計算表格!K15</f>
        <v>72</v>
      </c>
      <c r="K15" s="29">
        <f>計算表格!L15</f>
        <v>72</v>
      </c>
      <c r="L15" s="29">
        <f>計算表格!M15</f>
        <v>72</v>
      </c>
      <c r="M15" s="29">
        <f>計算表格!N15</f>
        <v>72</v>
      </c>
      <c r="N15" s="29">
        <f>計算表格!O15</f>
        <v>72</v>
      </c>
      <c r="O15" s="29">
        <f>計算表格!P15</f>
        <v>72</v>
      </c>
      <c r="P15" s="29">
        <f>計算表格!Q15</f>
        <v>76</v>
      </c>
      <c r="Q15" s="29">
        <f>計算表格!R15</f>
        <v>84</v>
      </c>
      <c r="R15" s="29">
        <f>計算表格!S15</f>
        <v>91</v>
      </c>
      <c r="S15" s="29">
        <f>計算表格!T15</f>
        <v>99</v>
      </c>
      <c r="T15" s="29">
        <f>計算表格!U15</f>
        <v>106</v>
      </c>
      <c r="U15" s="29">
        <f>計算表格!V15</f>
        <v>113</v>
      </c>
    </row>
    <row r="16" spans="1:21">
      <c r="A16" s="90"/>
      <c r="B16" s="91"/>
      <c r="C16" s="90"/>
      <c r="D16" s="92"/>
      <c r="E16" s="90"/>
      <c r="F16" s="90">
        <f>計算表格!F16</f>
        <v>420</v>
      </c>
      <c r="G16" s="25">
        <f>計算表格!G16</f>
        <v>32</v>
      </c>
      <c r="H16" s="29">
        <f>計算表格!I16</f>
        <v>96</v>
      </c>
      <c r="I16" s="29">
        <f>計算表格!J16</f>
        <v>96</v>
      </c>
      <c r="J16" s="29">
        <f>計算表格!K16</f>
        <v>96</v>
      </c>
      <c r="K16" s="29">
        <f>計算表格!L16</f>
        <v>96</v>
      </c>
      <c r="L16" s="29">
        <f>計算表格!M16</f>
        <v>96</v>
      </c>
      <c r="M16" s="29">
        <f>計算表格!N16</f>
        <v>105</v>
      </c>
      <c r="N16" s="29">
        <f>計算表格!O16</f>
        <v>119</v>
      </c>
      <c r="O16" s="29">
        <f>計算表格!P16</f>
        <v>134</v>
      </c>
      <c r="P16" s="29">
        <f>計算表格!Q16</f>
        <v>148</v>
      </c>
      <c r="Q16" s="29">
        <f>計算表格!R16</f>
        <v>163</v>
      </c>
      <c r="R16" s="29">
        <f>計算表格!S16</f>
        <v>177</v>
      </c>
      <c r="S16" s="29">
        <f>計算表格!T16</f>
        <v>192</v>
      </c>
      <c r="T16" s="29" t="str">
        <f>計算表格!U16</f>
        <v>-</v>
      </c>
      <c r="U16" s="29" t="str">
        <f>計算表格!V16</f>
        <v>-</v>
      </c>
    </row>
    <row r="17" spans="1:21">
      <c r="A17" s="90"/>
      <c r="B17" s="91"/>
      <c r="C17" s="90"/>
      <c r="D17" s="92"/>
      <c r="E17" s="90"/>
      <c r="F17" s="90"/>
      <c r="G17" s="25">
        <f>計算表格!G17</f>
        <v>25</v>
      </c>
      <c r="H17" s="29">
        <f>計算表格!I17</f>
        <v>75</v>
      </c>
      <c r="I17" s="29">
        <f>計算表格!J17</f>
        <v>75</v>
      </c>
      <c r="J17" s="29">
        <f>計算表格!K17</f>
        <v>75</v>
      </c>
      <c r="K17" s="29">
        <f>計算表格!L17</f>
        <v>75</v>
      </c>
      <c r="L17" s="29">
        <f>計算表格!M17</f>
        <v>75</v>
      </c>
      <c r="M17" s="29">
        <f>計算表格!N17</f>
        <v>75</v>
      </c>
      <c r="N17" s="29">
        <f>計算表格!O17</f>
        <v>75</v>
      </c>
      <c r="O17" s="29">
        <f>計算表格!P17</f>
        <v>81</v>
      </c>
      <c r="P17" s="29">
        <f>計算表格!Q17</f>
        <v>90</v>
      </c>
      <c r="Q17" s="29">
        <f>計算表格!R17</f>
        <v>99</v>
      </c>
      <c r="R17" s="29">
        <f>計算表格!S17</f>
        <v>108</v>
      </c>
      <c r="S17" s="29">
        <f>計算表格!T17</f>
        <v>116</v>
      </c>
      <c r="T17" s="29">
        <f>計算表格!U17</f>
        <v>125</v>
      </c>
      <c r="U17" s="29">
        <f>計算表格!V17</f>
        <v>134</v>
      </c>
    </row>
    <row r="18" spans="1:21">
      <c r="A18" s="90"/>
      <c r="B18" s="91"/>
      <c r="C18" s="90"/>
      <c r="D18" s="92"/>
      <c r="E18" s="90"/>
      <c r="F18" s="90"/>
      <c r="G18" s="25">
        <f>計算表格!G18</f>
        <v>22</v>
      </c>
      <c r="H18" s="29">
        <f>計算表格!I18</f>
        <v>66</v>
      </c>
      <c r="I18" s="29">
        <f>計算表格!J18</f>
        <v>66</v>
      </c>
      <c r="J18" s="29">
        <f>計算表格!K18</f>
        <v>66</v>
      </c>
      <c r="K18" s="29">
        <f>計算表格!L18</f>
        <v>66</v>
      </c>
      <c r="L18" s="29">
        <f>計算表格!M18</f>
        <v>66</v>
      </c>
      <c r="M18" s="29">
        <f>計算表格!N18</f>
        <v>66</v>
      </c>
      <c r="N18" s="29">
        <f>計算表格!O18</f>
        <v>66</v>
      </c>
      <c r="O18" s="29">
        <f>計算表格!P18</f>
        <v>66</v>
      </c>
      <c r="P18" s="29">
        <f>計算表格!Q18</f>
        <v>70</v>
      </c>
      <c r="Q18" s="29">
        <f>計算表格!R18</f>
        <v>76</v>
      </c>
      <c r="R18" s="29">
        <f>計算表格!S18</f>
        <v>83</v>
      </c>
      <c r="S18" s="29">
        <f>計算表格!T18</f>
        <v>90</v>
      </c>
      <c r="T18" s="29">
        <f>計算表格!U18</f>
        <v>97</v>
      </c>
      <c r="U18" s="29">
        <f>計算表格!V18</f>
        <v>104</v>
      </c>
    </row>
    <row r="19" spans="1:21">
      <c r="A19" s="90"/>
      <c r="B19" s="91"/>
      <c r="C19" s="90"/>
      <c r="D19" s="92"/>
      <c r="E19" s="90"/>
      <c r="F19" s="90">
        <f>計算表格!F19</f>
        <v>490</v>
      </c>
      <c r="G19" s="25">
        <f>計算表格!G19</f>
        <v>32</v>
      </c>
      <c r="H19" s="29">
        <f>計算表格!I19</f>
        <v>89</v>
      </c>
      <c r="I19" s="29">
        <f>計算表格!J19</f>
        <v>89</v>
      </c>
      <c r="J19" s="29">
        <f>計算表格!K19</f>
        <v>89</v>
      </c>
      <c r="K19" s="29">
        <f>計算表格!L19</f>
        <v>89</v>
      </c>
      <c r="L19" s="29">
        <f>計算表格!M19</f>
        <v>89</v>
      </c>
      <c r="M19" s="29">
        <f>計算表格!N19</f>
        <v>97</v>
      </c>
      <c r="N19" s="29">
        <f>計算表格!O19</f>
        <v>110</v>
      </c>
      <c r="O19" s="29">
        <f>計算表格!P19</f>
        <v>124</v>
      </c>
      <c r="P19" s="29">
        <f>計算表格!Q19</f>
        <v>137</v>
      </c>
      <c r="Q19" s="29">
        <f>計算表格!R19</f>
        <v>151</v>
      </c>
      <c r="R19" s="29">
        <f>計算表格!S19</f>
        <v>164</v>
      </c>
      <c r="S19" s="29">
        <f>計算表格!T19</f>
        <v>177</v>
      </c>
      <c r="T19" s="29" t="str">
        <f>計算表格!U19</f>
        <v>-</v>
      </c>
      <c r="U19" s="29" t="str">
        <f>計算表格!V19</f>
        <v>-</v>
      </c>
    </row>
    <row r="20" spans="1:21">
      <c r="A20" s="90"/>
      <c r="B20" s="91"/>
      <c r="C20" s="90"/>
      <c r="D20" s="92"/>
      <c r="E20" s="90"/>
      <c r="F20" s="90"/>
      <c r="G20" s="25">
        <f>計算表格!G20</f>
        <v>25</v>
      </c>
      <c r="H20" s="29">
        <f>計算表格!I20</f>
        <v>70</v>
      </c>
      <c r="I20" s="29">
        <f>計算表格!J20</f>
        <v>70</v>
      </c>
      <c r="J20" s="29">
        <f>計算表格!K20</f>
        <v>70</v>
      </c>
      <c r="K20" s="29">
        <f>計算表格!L20</f>
        <v>70</v>
      </c>
      <c r="L20" s="29">
        <f>計算表格!M20</f>
        <v>70</v>
      </c>
      <c r="M20" s="29">
        <f>計算表格!N20</f>
        <v>70</v>
      </c>
      <c r="N20" s="29">
        <f>計算表格!O20</f>
        <v>70</v>
      </c>
      <c r="O20" s="29">
        <f>計算表格!P20</f>
        <v>75</v>
      </c>
      <c r="P20" s="29">
        <f>計算表格!Q20</f>
        <v>83</v>
      </c>
      <c r="Q20" s="29">
        <f>計算表格!R20</f>
        <v>91</v>
      </c>
      <c r="R20" s="29">
        <f>計算表格!S20</f>
        <v>100</v>
      </c>
      <c r="S20" s="29">
        <f>計算表格!T20</f>
        <v>108</v>
      </c>
      <c r="T20" s="29">
        <f>計算表格!U20</f>
        <v>116</v>
      </c>
      <c r="U20" s="29">
        <f>計算表格!V20</f>
        <v>124</v>
      </c>
    </row>
    <row r="21" spans="1:21">
      <c r="A21" s="90"/>
      <c r="B21" s="91"/>
      <c r="C21" s="90"/>
      <c r="D21" s="92"/>
      <c r="E21" s="90"/>
      <c r="F21" s="90"/>
      <c r="G21" s="25">
        <f>計算表格!G21</f>
        <v>22</v>
      </c>
      <c r="H21" s="29">
        <f>計算表格!I21</f>
        <v>61</v>
      </c>
      <c r="I21" s="29">
        <f>計算表格!J21</f>
        <v>61</v>
      </c>
      <c r="J21" s="29">
        <f>計算表格!K21</f>
        <v>61</v>
      </c>
      <c r="K21" s="29">
        <f>計算表格!L21</f>
        <v>61</v>
      </c>
      <c r="L21" s="29">
        <f>計算表格!M21</f>
        <v>61</v>
      </c>
      <c r="M21" s="29">
        <f>計算表格!N21</f>
        <v>61</v>
      </c>
      <c r="N21" s="29">
        <f>計算表格!O21</f>
        <v>61</v>
      </c>
      <c r="O21" s="29">
        <f>計算表格!P21</f>
        <v>61</v>
      </c>
      <c r="P21" s="29">
        <f>計算表格!Q21</f>
        <v>64</v>
      </c>
      <c r="Q21" s="29">
        <f>計算表格!R21</f>
        <v>71</v>
      </c>
      <c r="R21" s="29">
        <f>計算表格!S21</f>
        <v>77</v>
      </c>
      <c r="S21" s="29">
        <f>計算表格!T21</f>
        <v>83</v>
      </c>
      <c r="T21" s="29">
        <f>計算表格!U21</f>
        <v>90</v>
      </c>
      <c r="U21" s="29">
        <f>計算表格!V21</f>
        <v>96</v>
      </c>
    </row>
    <row r="22" spans="1:21">
      <c r="A22" s="90"/>
      <c r="B22" s="91"/>
      <c r="C22" s="90"/>
      <c r="D22" s="92"/>
      <c r="E22" s="90"/>
      <c r="F22" s="90">
        <f>計算表格!F22</f>
        <v>560</v>
      </c>
      <c r="G22" s="25">
        <f>計算表格!G22</f>
        <v>32</v>
      </c>
      <c r="H22" s="29">
        <f>計算表格!I22</f>
        <v>83</v>
      </c>
      <c r="I22" s="29">
        <f>計算表格!J22</f>
        <v>83</v>
      </c>
      <c r="J22" s="29">
        <f>計算表格!K22</f>
        <v>83</v>
      </c>
      <c r="K22" s="29">
        <f>計算表格!L22</f>
        <v>83</v>
      </c>
      <c r="L22" s="29">
        <f>計算表格!M22</f>
        <v>83</v>
      </c>
      <c r="M22" s="29">
        <f>計算表格!N22</f>
        <v>91</v>
      </c>
      <c r="N22" s="29">
        <f>計算表格!O22</f>
        <v>103</v>
      </c>
      <c r="O22" s="29">
        <f>計算表格!P22</f>
        <v>116</v>
      </c>
      <c r="P22" s="29">
        <f>計算表格!Q22</f>
        <v>128</v>
      </c>
      <c r="Q22" s="29">
        <f>計算表格!R22</f>
        <v>141</v>
      </c>
      <c r="R22" s="29">
        <f>計算表格!S22</f>
        <v>153</v>
      </c>
      <c r="S22" s="29">
        <f>計算表格!T22</f>
        <v>166</v>
      </c>
      <c r="T22" s="29" t="str">
        <f>計算表格!U22</f>
        <v>-</v>
      </c>
      <c r="U22" s="29" t="str">
        <f>計算表格!V22</f>
        <v>-</v>
      </c>
    </row>
    <row r="23" spans="1:21">
      <c r="A23" s="90"/>
      <c r="B23" s="91"/>
      <c r="C23" s="90"/>
      <c r="D23" s="92"/>
      <c r="E23" s="90"/>
      <c r="F23" s="90"/>
      <c r="G23" s="25">
        <f>計算表格!G23</f>
        <v>25</v>
      </c>
      <c r="H23" s="29">
        <f>計算表格!I23</f>
        <v>65</v>
      </c>
      <c r="I23" s="29">
        <f>計算表格!J23</f>
        <v>65</v>
      </c>
      <c r="J23" s="29">
        <f>計算表格!K23</f>
        <v>65</v>
      </c>
      <c r="K23" s="29">
        <f>計算表格!L23</f>
        <v>65</v>
      </c>
      <c r="L23" s="29">
        <f>計算表格!M23</f>
        <v>65</v>
      </c>
      <c r="M23" s="29">
        <f>計算表格!N23</f>
        <v>65</v>
      </c>
      <c r="N23" s="29">
        <f>計算表格!O23</f>
        <v>65</v>
      </c>
      <c r="O23" s="29">
        <f>計算表格!P23</f>
        <v>70</v>
      </c>
      <c r="P23" s="29">
        <f>計算表格!Q23</f>
        <v>78</v>
      </c>
      <c r="Q23" s="29">
        <f>計算表格!R23</f>
        <v>86</v>
      </c>
      <c r="R23" s="29">
        <f>計算表格!S23</f>
        <v>93</v>
      </c>
      <c r="S23" s="29">
        <f>計算表格!T23</f>
        <v>101</v>
      </c>
      <c r="T23" s="29">
        <f>計算表格!U23</f>
        <v>108</v>
      </c>
      <c r="U23" s="29">
        <f>計算表格!V23</f>
        <v>116</v>
      </c>
    </row>
    <row r="24" spans="1:21">
      <c r="A24" s="90"/>
      <c r="B24" s="91"/>
      <c r="C24" s="90"/>
      <c r="D24" s="92"/>
      <c r="E24" s="90"/>
      <c r="F24" s="90"/>
      <c r="G24" s="25">
        <f>計算表格!G24</f>
        <v>22</v>
      </c>
      <c r="H24" s="29">
        <f>計算表格!I24</f>
        <v>57</v>
      </c>
      <c r="I24" s="29">
        <f>計算表格!J24</f>
        <v>57</v>
      </c>
      <c r="J24" s="29">
        <f>計算表格!K24</f>
        <v>57</v>
      </c>
      <c r="K24" s="29">
        <f>計算表格!L24</f>
        <v>57</v>
      </c>
      <c r="L24" s="29">
        <f>計算表格!M24</f>
        <v>57</v>
      </c>
      <c r="M24" s="29">
        <f>計算表格!N24</f>
        <v>57</v>
      </c>
      <c r="N24" s="29">
        <f>計算表格!O24</f>
        <v>57</v>
      </c>
      <c r="O24" s="29">
        <f>計算表格!P24</f>
        <v>57</v>
      </c>
      <c r="P24" s="29">
        <f>計算表格!Q24</f>
        <v>60</v>
      </c>
      <c r="Q24" s="29">
        <f>計算表格!R24</f>
        <v>66</v>
      </c>
      <c r="R24" s="29">
        <f>計算表格!S24</f>
        <v>72</v>
      </c>
      <c r="S24" s="29">
        <f>計算表格!T24</f>
        <v>78</v>
      </c>
      <c r="T24" s="29">
        <f>計算表格!U24</f>
        <v>84</v>
      </c>
      <c r="U24" s="29">
        <f>計算表格!V24</f>
        <v>90</v>
      </c>
    </row>
    <row r="25" spans="1:21" ht="32.25" customHeight="1">
      <c r="H25" s="80"/>
      <c r="I25" s="80"/>
      <c r="J25" s="80"/>
      <c r="K25" s="80"/>
      <c r="L25" s="80"/>
      <c r="M25" s="80"/>
      <c r="N25" s="80"/>
      <c r="O25" s="80"/>
      <c r="P25" s="80"/>
      <c r="Q25" s="80"/>
      <c r="R25" s="80"/>
      <c r="S25" s="80"/>
      <c r="T25" s="80"/>
      <c r="U25" s="80"/>
    </row>
    <row r="26" spans="1:21" ht="18" customHeight="1">
      <c r="A26" s="81" t="s">
        <v>16</v>
      </c>
      <c r="B26" s="83" t="s">
        <v>17</v>
      </c>
      <c r="C26" s="85" t="s">
        <v>18</v>
      </c>
      <c r="D26" s="86" t="s">
        <v>19</v>
      </c>
      <c r="E26" s="89" t="s">
        <v>8</v>
      </c>
      <c r="F26" s="85" t="s">
        <v>12</v>
      </c>
      <c r="G26" s="79" t="s">
        <v>20</v>
      </c>
      <c r="H26" s="79" t="s">
        <v>6</v>
      </c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79"/>
      <c r="U26" s="79"/>
    </row>
    <row r="27" spans="1:21" ht="18" customHeight="1">
      <c r="A27" s="82"/>
      <c r="B27" s="84"/>
      <c r="C27" s="82"/>
      <c r="D27" s="87"/>
      <c r="E27" s="87"/>
      <c r="F27" s="82"/>
      <c r="G27" s="79"/>
      <c r="H27" s="24">
        <f>H2</f>
        <v>3</v>
      </c>
      <c r="I27" s="24">
        <f t="shared" ref="I27:U27" si="0">I2</f>
        <v>4</v>
      </c>
      <c r="J27" s="24">
        <f t="shared" si="0"/>
        <v>5</v>
      </c>
      <c r="K27" s="24">
        <f t="shared" si="0"/>
        <v>6</v>
      </c>
      <c r="L27" s="24">
        <f t="shared" si="0"/>
        <v>7</v>
      </c>
      <c r="M27" s="24">
        <f t="shared" si="0"/>
        <v>8</v>
      </c>
      <c r="N27" s="24">
        <f t="shared" si="0"/>
        <v>9</v>
      </c>
      <c r="O27" s="24">
        <f t="shared" si="0"/>
        <v>10</v>
      </c>
      <c r="P27" s="24">
        <f t="shared" si="0"/>
        <v>11</v>
      </c>
      <c r="Q27" s="24">
        <f t="shared" si="0"/>
        <v>12</v>
      </c>
      <c r="R27" s="24">
        <f t="shared" si="0"/>
        <v>13</v>
      </c>
      <c r="S27" s="24">
        <f t="shared" si="0"/>
        <v>14</v>
      </c>
      <c r="T27" s="24">
        <f t="shared" si="0"/>
        <v>15</v>
      </c>
      <c r="U27" s="24">
        <f t="shared" si="0"/>
        <v>16</v>
      </c>
    </row>
    <row r="28" spans="1:21" ht="18" customHeight="1">
      <c r="A28" s="26" t="s">
        <v>21</v>
      </c>
      <c r="B28" s="27" t="s">
        <v>21</v>
      </c>
      <c r="C28" s="26" t="s">
        <v>15</v>
      </c>
      <c r="D28" s="88"/>
      <c r="E28" s="28" t="s">
        <v>21</v>
      </c>
      <c r="F28" s="26" t="s">
        <v>15</v>
      </c>
      <c r="G28" s="79"/>
      <c r="H28" s="79" t="s">
        <v>11</v>
      </c>
      <c r="I28" s="79"/>
      <c r="J28" s="79"/>
      <c r="K28" s="79"/>
      <c r="L28" s="79"/>
      <c r="M28" s="79"/>
      <c r="N28" s="79"/>
      <c r="O28" s="79"/>
      <c r="P28" s="79"/>
      <c r="Q28" s="79"/>
      <c r="R28" s="79"/>
      <c r="S28" s="79"/>
      <c r="T28" s="79"/>
      <c r="U28" s="79"/>
    </row>
    <row r="29" spans="1:21">
      <c r="A29" s="90">
        <f>計算表格!A29</f>
        <v>100</v>
      </c>
      <c r="B29" s="91">
        <f>計算表格!B29</f>
        <v>5</v>
      </c>
      <c r="C29" s="90">
        <f>計算表格!C29</f>
        <v>4200</v>
      </c>
      <c r="D29" s="92">
        <f>計算表格!D29</f>
        <v>13</v>
      </c>
      <c r="E29" s="90">
        <f>計算表格!E29</f>
        <v>10</v>
      </c>
      <c r="F29" s="90">
        <f>計算表格!F29</f>
        <v>210</v>
      </c>
      <c r="G29" s="25">
        <f>計算表格!G29</f>
        <v>32</v>
      </c>
      <c r="H29" s="29">
        <f>計算表格!I29</f>
        <v>176</v>
      </c>
      <c r="I29" s="29">
        <f>計算表格!J29</f>
        <v>176</v>
      </c>
      <c r="J29" s="29">
        <f>計算表格!K29</f>
        <v>176</v>
      </c>
      <c r="K29" s="29">
        <f>計算表格!L29</f>
        <v>176</v>
      </c>
      <c r="L29" s="29">
        <f>計算表格!M29</f>
        <v>176</v>
      </c>
      <c r="M29" s="29">
        <f>計算表格!N29</f>
        <v>192</v>
      </c>
      <c r="N29" s="29">
        <f>計算表格!O29</f>
        <v>218</v>
      </c>
      <c r="O29" s="29">
        <f>計算表格!P29</f>
        <v>245</v>
      </c>
      <c r="P29" s="29">
        <f>計算表格!Q29</f>
        <v>272</v>
      </c>
      <c r="Q29" s="29">
        <f>計算表格!R29</f>
        <v>299</v>
      </c>
      <c r="R29" s="29">
        <f>計算表格!S29</f>
        <v>325</v>
      </c>
      <c r="S29" s="29">
        <f>計算表格!T29</f>
        <v>352</v>
      </c>
      <c r="T29" s="29" t="str">
        <f>計算表格!U29</f>
        <v>-</v>
      </c>
      <c r="U29" s="29" t="str">
        <f>計算表格!V29</f>
        <v>-</v>
      </c>
    </row>
    <row r="30" spans="1:21">
      <c r="A30" s="90"/>
      <c r="B30" s="91"/>
      <c r="C30" s="90"/>
      <c r="D30" s="92"/>
      <c r="E30" s="90"/>
      <c r="F30" s="90"/>
      <c r="G30" s="25">
        <f>計算表格!G30</f>
        <v>25</v>
      </c>
      <c r="H30" s="29">
        <f>計算表格!I30</f>
        <v>138</v>
      </c>
      <c r="I30" s="29">
        <f>計算表格!J30</f>
        <v>138</v>
      </c>
      <c r="J30" s="29">
        <f>計算表格!K30</f>
        <v>138</v>
      </c>
      <c r="K30" s="29">
        <f>計算表格!L30</f>
        <v>138</v>
      </c>
      <c r="L30" s="29">
        <f>計算表格!M30</f>
        <v>138</v>
      </c>
      <c r="M30" s="29">
        <f>計算表格!N30</f>
        <v>138</v>
      </c>
      <c r="N30" s="29">
        <f>計算表格!O30</f>
        <v>138</v>
      </c>
      <c r="O30" s="29">
        <f>計算表格!P30</f>
        <v>149</v>
      </c>
      <c r="P30" s="29">
        <f>計算表格!Q30</f>
        <v>165</v>
      </c>
      <c r="Q30" s="29">
        <f>計算表格!R30</f>
        <v>181</v>
      </c>
      <c r="R30" s="29">
        <f>計算表格!S30</f>
        <v>197</v>
      </c>
      <c r="S30" s="29">
        <f>計算表格!T30</f>
        <v>214</v>
      </c>
      <c r="T30" s="29">
        <f>計算表格!U30</f>
        <v>230</v>
      </c>
      <c r="U30" s="29">
        <f>計算表格!V30</f>
        <v>246</v>
      </c>
    </row>
    <row r="31" spans="1:21">
      <c r="A31" s="90"/>
      <c r="B31" s="91"/>
      <c r="C31" s="90"/>
      <c r="D31" s="92"/>
      <c r="E31" s="90"/>
      <c r="F31" s="90"/>
      <c r="G31" s="25">
        <f>計算表格!G31</f>
        <v>22</v>
      </c>
      <c r="H31" s="29">
        <f>計算表格!I31</f>
        <v>121</v>
      </c>
      <c r="I31" s="29">
        <f>計算表格!J31</f>
        <v>121</v>
      </c>
      <c r="J31" s="29">
        <f>計算表格!K31</f>
        <v>121</v>
      </c>
      <c r="K31" s="29">
        <f>計算表格!L31</f>
        <v>121</v>
      </c>
      <c r="L31" s="29">
        <f>計算表格!M31</f>
        <v>121</v>
      </c>
      <c r="M31" s="29">
        <f>計算表格!N31</f>
        <v>121</v>
      </c>
      <c r="N31" s="29">
        <f>計算表格!O31</f>
        <v>121</v>
      </c>
      <c r="O31" s="29">
        <f>計算表格!P31</f>
        <v>121</v>
      </c>
      <c r="P31" s="29">
        <f>計算表格!Q31</f>
        <v>128</v>
      </c>
      <c r="Q31" s="29">
        <f>計算表格!R31</f>
        <v>140</v>
      </c>
      <c r="R31" s="29">
        <f>計算表格!S31</f>
        <v>153</v>
      </c>
      <c r="S31" s="29">
        <f>計算表格!T31</f>
        <v>165</v>
      </c>
      <c r="T31" s="29">
        <f>計算表格!U31</f>
        <v>177</v>
      </c>
      <c r="U31" s="29">
        <f>計算表格!V31</f>
        <v>190</v>
      </c>
    </row>
    <row r="32" spans="1:21">
      <c r="A32" s="90"/>
      <c r="B32" s="91"/>
      <c r="C32" s="90"/>
      <c r="D32" s="92"/>
      <c r="E32" s="90"/>
      <c r="F32" s="90">
        <f>計算表格!F32</f>
        <v>245</v>
      </c>
      <c r="G32" s="25">
        <f>計算表格!G32</f>
        <v>32</v>
      </c>
      <c r="H32" s="29">
        <f>計算表格!I32</f>
        <v>163</v>
      </c>
      <c r="I32" s="29">
        <f>計算表格!J32</f>
        <v>163</v>
      </c>
      <c r="J32" s="29">
        <f>計算表格!K32</f>
        <v>163</v>
      </c>
      <c r="K32" s="29">
        <f>計算表格!L32</f>
        <v>163</v>
      </c>
      <c r="L32" s="29">
        <f>計算表格!M32</f>
        <v>163</v>
      </c>
      <c r="M32" s="29">
        <f>計算表格!N32</f>
        <v>178</v>
      </c>
      <c r="N32" s="29">
        <f>計算表格!O32</f>
        <v>202</v>
      </c>
      <c r="O32" s="29">
        <f>計算表格!P32</f>
        <v>227</v>
      </c>
      <c r="P32" s="29">
        <f>計算表格!Q32</f>
        <v>252</v>
      </c>
      <c r="Q32" s="29">
        <f>計算表格!R32</f>
        <v>276</v>
      </c>
      <c r="R32" s="29">
        <f>計算表格!S32</f>
        <v>301</v>
      </c>
      <c r="S32" s="29">
        <f>計算表格!T32</f>
        <v>326</v>
      </c>
      <c r="T32" s="29" t="str">
        <f>計算表格!U32</f>
        <v>-</v>
      </c>
      <c r="U32" s="29" t="str">
        <f>計算表格!V32</f>
        <v>-</v>
      </c>
    </row>
    <row r="33" spans="1:21">
      <c r="A33" s="90"/>
      <c r="B33" s="91"/>
      <c r="C33" s="90"/>
      <c r="D33" s="92"/>
      <c r="E33" s="90"/>
      <c r="F33" s="90"/>
      <c r="G33" s="25">
        <f>計算表格!G33</f>
        <v>25</v>
      </c>
      <c r="H33" s="29">
        <f>計算表格!I33</f>
        <v>127</v>
      </c>
      <c r="I33" s="29">
        <f>計算表格!J33</f>
        <v>127</v>
      </c>
      <c r="J33" s="29">
        <f>計算表格!K33</f>
        <v>127</v>
      </c>
      <c r="K33" s="29">
        <f>計算表格!L33</f>
        <v>127</v>
      </c>
      <c r="L33" s="29">
        <f>計算表格!M33</f>
        <v>127</v>
      </c>
      <c r="M33" s="29">
        <f>計算表格!N33</f>
        <v>127</v>
      </c>
      <c r="N33" s="29">
        <f>計算表格!O33</f>
        <v>127</v>
      </c>
      <c r="O33" s="29">
        <f>計算表格!P33</f>
        <v>138</v>
      </c>
      <c r="P33" s="29">
        <f>計算表格!Q33</f>
        <v>153</v>
      </c>
      <c r="Q33" s="29">
        <f>計算表格!R33</f>
        <v>168</v>
      </c>
      <c r="R33" s="29">
        <f>計算表格!S33</f>
        <v>183</v>
      </c>
      <c r="S33" s="29">
        <f>計算表格!T33</f>
        <v>198</v>
      </c>
      <c r="T33" s="29">
        <f>計算表格!U33</f>
        <v>213</v>
      </c>
      <c r="U33" s="29">
        <f>計算表格!V33</f>
        <v>228</v>
      </c>
    </row>
    <row r="34" spans="1:21">
      <c r="A34" s="90"/>
      <c r="B34" s="91"/>
      <c r="C34" s="90"/>
      <c r="D34" s="92"/>
      <c r="E34" s="90"/>
      <c r="F34" s="90"/>
      <c r="G34" s="25">
        <f>計算表格!G34</f>
        <v>22</v>
      </c>
      <c r="H34" s="29">
        <f>計算表格!I34</f>
        <v>112</v>
      </c>
      <c r="I34" s="29">
        <f>計算表格!J34</f>
        <v>112</v>
      </c>
      <c r="J34" s="29">
        <f>計算表格!K34</f>
        <v>112</v>
      </c>
      <c r="K34" s="29">
        <f>計算表格!L34</f>
        <v>112</v>
      </c>
      <c r="L34" s="29">
        <f>計算表格!M34</f>
        <v>112</v>
      </c>
      <c r="M34" s="29">
        <f>計算表格!N34</f>
        <v>112</v>
      </c>
      <c r="N34" s="29">
        <f>計算表格!O34</f>
        <v>112</v>
      </c>
      <c r="O34" s="29">
        <f>計算表格!P34</f>
        <v>112</v>
      </c>
      <c r="P34" s="29">
        <f>計算表格!Q34</f>
        <v>118</v>
      </c>
      <c r="Q34" s="29">
        <f>計算表格!R34</f>
        <v>130</v>
      </c>
      <c r="R34" s="29">
        <f>計算表格!S34</f>
        <v>141</v>
      </c>
      <c r="S34" s="29">
        <f>計算表格!T34</f>
        <v>153</v>
      </c>
      <c r="T34" s="29">
        <f>計算表格!U34</f>
        <v>164</v>
      </c>
      <c r="U34" s="29">
        <f>計算表格!V34</f>
        <v>176</v>
      </c>
    </row>
    <row r="35" spans="1:21">
      <c r="A35" s="90"/>
      <c r="B35" s="91"/>
      <c r="C35" s="90"/>
      <c r="D35" s="92"/>
      <c r="E35" s="90"/>
      <c r="F35" s="90">
        <f>計算表格!F35</f>
        <v>280</v>
      </c>
      <c r="G35" s="25">
        <f>計算表格!G35</f>
        <v>32</v>
      </c>
      <c r="H35" s="29">
        <f>計算表格!I35</f>
        <v>153</v>
      </c>
      <c r="I35" s="29">
        <f>計算表格!J35</f>
        <v>153</v>
      </c>
      <c r="J35" s="29">
        <f>計算表格!K35</f>
        <v>153</v>
      </c>
      <c r="K35" s="29">
        <f>計算表格!L35</f>
        <v>153</v>
      </c>
      <c r="L35" s="29">
        <f>計算表格!M35</f>
        <v>153</v>
      </c>
      <c r="M35" s="29">
        <f>計算表格!N35</f>
        <v>166</v>
      </c>
      <c r="N35" s="29">
        <f>計算表格!O35</f>
        <v>189</v>
      </c>
      <c r="O35" s="29">
        <f>計算表格!P35</f>
        <v>212</v>
      </c>
      <c r="P35" s="29">
        <f>計算表格!Q35</f>
        <v>236</v>
      </c>
      <c r="Q35" s="29">
        <f>計算表格!R35</f>
        <v>259</v>
      </c>
      <c r="R35" s="29">
        <f>計算表格!S35</f>
        <v>282</v>
      </c>
      <c r="S35" s="29">
        <f>計算表格!T35</f>
        <v>305</v>
      </c>
      <c r="T35" s="29" t="str">
        <f>計算表格!U35</f>
        <v>-</v>
      </c>
      <c r="U35" s="29" t="str">
        <f>計算表格!V35</f>
        <v>-</v>
      </c>
    </row>
    <row r="36" spans="1:21">
      <c r="A36" s="90"/>
      <c r="B36" s="91"/>
      <c r="C36" s="90"/>
      <c r="D36" s="92"/>
      <c r="E36" s="90"/>
      <c r="F36" s="90"/>
      <c r="G36" s="25">
        <f>計算表格!G36</f>
        <v>25</v>
      </c>
      <c r="H36" s="29">
        <f>計算表格!I36</f>
        <v>119</v>
      </c>
      <c r="I36" s="29">
        <f>計算表格!J36</f>
        <v>119</v>
      </c>
      <c r="J36" s="29">
        <f>計算表格!K36</f>
        <v>119</v>
      </c>
      <c r="K36" s="29">
        <f>計算表格!L36</f>
        <v>119</v>
      </c>
      <c r="L36" s="29">
        <f>計算表格!M36</f>
        <v>119</v>
      </c>
      <c r="M36" s="29">
        <f>計算表格!N36</f>
        <v>119</v>
      </c>
      <c r="N36" s="29">
        <f>計算表格!O36</f>
        <v>119</v>
      </c>
      <c r="O36" s="29">
        <f>計算表格!P36</f>
        <v>129</v>
      </c>
      <c r="P36" s="29">
        <f>計算表格!Q36</f>
        <v>143</v>
      </c>
      <c r="Q36" s="29">
        <f>計算表格!R36</f>
        <v>157</v>
      </c>
      <c r="R36" s="29">
        <f>計算表格!S36</f>
        <v>171</v>
      </c>
      <c r="S36" s="29">
        <f>計算表格!T36</f>
        <v>185</v>
      </c>
      <c r="T36" s="29">
        <f>計算表格!U36</f>
        <v>199</v>
      </c>
      <c r="U36" s="29">
        <f>計算表格!V36</f>
        <v>213</v>
      </c>
    </row>
    <row r="37" spans="1:21">
      <c r="A37" s="90"/>
      <c r="B37" s="91"/>
      <c r="C37" s="90"/>
      <c r="D37" s="92"/>
      <c r="E37" s="90"/>
      <c r="F37" s="90"/>
      <c r="G37" s="25">
        <f>計算表格!G37</f>
        <v>22</v>
      </c>
      <c r="H37" s="29">
        <f>計算表格!I37</f>
        <v>105</v>
      </c>
      <c r="I37" s="29">
        <f>計算表格!J37</f>
        <v>105</v>
      </c>
      <c r="J37" s="29">
        <f>計算表格!K37</f>
        <v>105</v>
      </c>
      <c r="K37" s="29">
        <f>計算表格!L37</f>
        <v>105</v>
      </c>
      <c r="L37" s="29">
        <f>計算表格!M37</f>
        <v>105</v>
      </c>
      <c r="M37" s="29">
        <f>計算表格!N37</f>
        <v>105</v>
      </c>
      <c r="N37" s="29">
        <f>計算表格!O37</f>
        <v>105</v>
      </c>
      <c r="O37" s="29">
        <f>計算表格!P37</f>
        <v>105</v>
      </c>
      <c r="P37" s="29">
        <f>計算表格!Q37</f>
        <v>111</v>
      </c>
      <c r="Q37" s="29">
        <f>計算表格!R37</f>
        <v>121</v>
      </c>
      <c r="R37" s="29">
        <f>計算表格!S37</f>
        <v>132</v>
      </c>
      <c r="S37" s="29">
        <f>計算表格!T37</f>
        <v>143</v>
      </c>
      <c r="T37" s="29">
        <f>計算表格!U37</f>
        <v>154</v>
      </c>
      <c r="U37" s="29">
        <f>計算表格!V37</f>
        <v>165</v>
      </c>
    </row>
    <row r="38" spans="1:21">
      <c r="A38" s="90"/>
      <c r="B38" s="91"/>
      <c r="C38" s="90"/>
      <c r="D38" s="92"/>
      <c r="E38" s="90"/>
      <c r="F38" s="90">
        <f>計算表格!F38</f>
        <v>350</v>
      </c>
      <c r="G38" s="25">
        <f>計算表格!G38</f>
        <v>32</v>
      </c>
      <c r="H38" s="29">
        <f>計算表格!I38</f>
        <v>136</v>
      </c>
      <c r="I38" s="29">
        <f>計算表格!J38</f>
        <v>136</v>
      </c>
      <c r="J38" s="29">
        <f>計算表格!K38</f>
        <v>136</v>
      </c>
      <c r="K38" s="29">
        <f>計算表格!L38</f>
        <v>136</v>
      </c>
      <c r="L38" s="29">
        <f>計算表格!M38</f>
        <v>136</v>
      </c>
      <c r="M38" s="29">
        <f>計算表格!N38</f>
        <v>149</v>
      </c>
      <c r="N38" s="29">
        <f>計算表格!O38</f>
        <v>169</v>
      </c>
      <c r="O38" s="29">
        <f>計算表格!P38</f>
        <v>190</v>
      </c>
      <c r="P38" s="29">
        <f>計算表格!Q38</f>
        <v>211</v>
      </c>
      <c r="Q38" s="29">
        <f>計算表格!R38</f>
        <v>231</v>
      </c>
      <c r="R38" s="29">
        <f>計算表格!S38</f>
        <v>252</v>
      </c>
      <c r="S38" s="29">
        <f>計算表格!T38</f>
        <v>273</v>
      </c>
      <c r="T38" s="29" t="str">
        <f>計算表格!U38</f>
        <v>-</v>
      </c>
      <c r="U38" s="29" t="str">
        <f>計算表格!V38</f>
        <v>-</v>
      </c>
    </row>
    <row r="39" spans="1:21">
      <c r="A39" s="90"/>
      <c r="B39" s="91"/>
      <c r="C39" s="90"/>
      <c r="D39" s="92"/>
      <c r="E39" s="90"/>
      <c r="F39" s="90"/>
      <c r="G39" s="25">
        <f>計算表格!G39</f>
        <v>25</v>
      </c>
      <c r="H39" s="29">
        <f>計算表格!I39</f>
        <v>107</v>
      </c>
      <c r="I39" s="29">
        <f>計算表格!J39</f>
        <v>107</v>
      </c>
      <c r="J39" s="29">
        <f>計算表格!K39</f>
        <v>107</v>
      </c>
      <c r="K39" s="29">
        <f>計算表格!L39</f>
        <v>107</v>
      </c>
      <c r="L39" s="29">
        <f>計算表格!M39</f>
        <v>107</v>
      </c>
      <c r="M39" s="29">
        <f>計算表格!N39</f>
        <v>107</v>
      </c>
      <c r="N39" s="29">
        <f>計算表格!O39</f>
        <v>107</v>
      </c>
      <c r="O39" s="29">
        <f>計算表格!P39</f>
        <v>115</v>
      </c>
      <c r="P39" s="29">
        <f>計算表格!Q39</f>
        <v>128</v>
      </c>
      <c r="Q39" s="29">
        <f>計算表格!R39</f>
        <v>140</v>
      </c>
      <c r="R39" s="29">
        <f>計算表格!S39</f>
        <v>153</v>
      </c>
      <c r="S39" s="29">
        <f>計算表格!T39</f>
        <v>166</v>
      </c>
      <c r="T39" s="29">
        <f>計算表格!U39</f>
        <v>178</v>
      </c>
      <c r="U39" s="29">
        <f>計算表格!V39</f>
        <v>191</v>
      </c>
    </row>
    <row r="40" spans="1:21">
      <c r="A40" s="90"/>
      <c r="B40" s="91"/>
      <c r="C40" s="90"/>
      <c r="D40" s="92"/>
      <c r="E40" s="90"/>
      <c r="F40" s="90"/>
      <c r="G40" s="25">
        <f>計算表格!G40</f>
        <v>22</v>
      </c>
      <c r="H40" s="29">
        <f>計算表格!I40</f>
        <v>94</v>
      </c>
      <c r="I40" s="29">
        <f>計算表格!J40</f>
        <v>94</v>
      </c>
      <c r="J40" s="29">
        <f>計算表格!K40</f>
        <v>94</v>
      </c>
      <c r="K40" s="29">
        <f>計算表格!L40</f>
        <v>94</v>
      </c>
      <c r="L40" s="29">
        <f>計算表格!M40</f>
        <v>94</v>
      </c>
      <c r="M40" s="29">
        <f>計算表格!N40</f>
        <v>94</v>
      </c>
      <c r="N40" s="29">
        <f>計算表格!O40</f>
        <v>94</v>
      </c>
      <c r="O40" s="29">
        <f>計算表格!P40</f>
        <v>94</v>
      </c>
      <c r="P40" s="29">
        <f>計算表格!Q40</f>
        <v>99</v>
      </c>
      <c r="Q40" s="29">
        <f>計算表格!R40</f>
        <v>109</v>
      </c>
      <c r="R40" s="29">
        <f>計算表格!S40</f>
        <v>118</v>
      </c>
      <c r="S40" s="29">
        <f>計算表格!T40</f>
        <v>128</v>
      </c>
      <c r="T40" s="29">
        <f>計算表格!U40</f>
        <v>138</v>
      </c>
      <c r="U40" s="29">
        <f>計算表格!V40</f>
        <v>147</v>
      </c>
    </row>
    <row r="41" spans="1:21">
      <c r="A41" s="90"/>
      <c r="B41" s="91"/>
      <c r="C41" s="90"/>
      <c r="D41" s="92"/>
      <c r="E41" s="90"/>
      <c r="F41" s="90">
        <f>計算表格!F41</f>
        <v>420</v>
      </c>
      <c r="G41" s="25">
        <f>計算表格!G41</f>
        <v>32</v>
      </c>
      <c r="H41" s="29">
        <f>計算表格!I41</f>
        <v>125</v>
      </c>
      <c r="I41" s="29">
        <f>計算表格!J41</f>
        <v>125</v>
      </c>
      <c r="J41" s="29">
        <f>計算表格!K41</f>
        <v>125</v>
      </c>
      <c r="K41" s="29">
        <f>計算表格!L41</f>
        <v>125</v>
      </c>
      <c r="L41" s="29">
        <f>計算表格!M41</f>
        <v>125</v>
      </c>
      <c r="M41" s="29">
        <f>計算表格!N41</f>
        <v>136</v>
      </c>
      <c r="N41" s="29">
        <f>計算表格!O41</f>
        <v>155</v>
      </c>
      <c r="O41" s="29">
        <f>計算表格!P41</f>
        <v>174</v>
      </c>
      <c r="P41" s="29">
        <f>計算表格!Q41</f>
        <v>192</v>
      </c>
      <c r="Q41" s="29">
        <f>計算表格!R41</f>
        <v>211</v>
      </c>
      <c r="R41" s="29">
        <f>計算表格!S41</f>
        <v>230</v>
      </c>
      <c r="S41" s="29">
        <f>計算表格!T41</f>
        <v>249</v>
      </c>
      <c r="T41" s="29" t="str">
        <f>計算表格!U41</f>
        <v>-</v>
      </c>
      <c r="U41" s="29" t="str">
        <f>計算表格!V41</f>
        <v>-</v>
      </c>
    </row>
    <row r="42" spans="1:21">
      <c r="A42" s="90"/>
      <c r="B42" s="91"/>
      <c r="C42" s="90"/>
      <c r="D42" s="92"/>
      <c r="E42" s="90"/>
      <c r="F42" s="90"/>
      <c r="G42" s="25">
        <f>計算表格!G42</f>
        <v>25</v>
      </c>
      <c r="H42" s="29">
        <f>計算表格!I42</f>
        <v>97</v>
      </c>
      <c r="I42" s="29">
        <f>計算表格!J42</f>
        <v>97</v>
      </c>
      <c r="J42" s="29">
        <f>計算表格!K42</f>
        <v>97</v>
      </c>
      <c r="K42" s="29">
        <f>計算表格!L42</f>
        <v>97</v>
      </c>
      <c r="L42" s="29">
        <f>計算表格!M42</f>
        <v>97</v>
      </c>
      <c r="M42" s="29">
        <f>計算表格!N42</f>
        <v>97</v>
      </c>
      <c r="N42" s="29">
        <f>計算表格!O42</f>
        <v>97</v>
      </c>
      <c r="O42" s="29">
        <f>計算表格!P42</f>
        <v>105</v>
      </c>
      <c r="P42" s="29">
        <f>計算表格!Q42</f>
        <v>117</v>
      </c>
      <c r="Q42" s="29">
        <f>計算表格!R42</f>
        <v>128</v>
      </c>
      <c r="R42" s="29">
        <f>計算表格!S42</f>
        <v>140</v>
      </c>
      <c r="S42" s="29">
        <f>計算表格!T42</f>
        <v>151</v>
      </c>
      <c r="T42" s="29">
        <f>計算表格!U42</f>
        <v>163</v>
      </c>
      <c r="U42" s="29">
        <f>計算表格!V42</f>
        <v>174</v>
      </c>
    </row>
    <row r="43" spans="1:21">
      <c r="A43" s="90"/>
      <c r="B43" s="91"/>
      <c r="C43" s="90"/>
      <c r="D43" s="92"/>
      <c r="E43" s="90"/>
      <c r="F43" s="90"/>
      <c r="G43" s="25">
        <f>計算表格!G43</f>
        <v>22</v>
      </c>
      <c r="H43" s="29">
        <f>計算表格!I43</f>
        <v>86</v>
      </c>
      <c r="I43" s="29">
        <f>計算表格!J43</f>
        <v>86</v>
      </c>
      <c r="J43" s="29">
        <f>計算表格!K43</f>
        <v>86</v>
      </c>
      <c r="K43" s="29">
        <f>計算表格!L43</f>
        <v>86</v>
      </c>
      <c r="L43" s="29">
        <f>計算表格!M43</f>
        <v>86</v>
      </c>
      <c r="M43" s="29">
        <f>計算表格!N43</f>
        <v>86</v>
      </c>
      <c r="N43" s="29">
        <f>計算表格!O43</f>
        <v>86</v>
      </c>
      <c r="O43" s="29">
        <f>計算表格!P43</f>
        <v>86</v>
      </c>
      <c r="P43" s="29">
        <f>計算表格!Q43</f>
        <v>90</v>
      </c>
      <c r="Q43" s="29">
        <f>計算表格!R43</f>
        <v>99</v>
      </c>
      <c r="R43" s="29">
        <f>計算表格!S43</f>
        <v>108</v>
      </c>
      <c r="S43" s="29">
        <f>計算表格!T43</f>
        <v>117</v>
      </c>
      <c r="T43" s="29">
        <f>計算表格!U43</f>
        <v>126</v>
      </c>
      <c r="U43" s="29">
        <f>計算表格!V43</f>
        <v>134</v>
      </c>
    </row>
    <row r="44" spans="1:21">
      <c r="A44" s="90"/>
      <c r="B44" s="91"/>
      <c r="C44" s="90"/>
      <c r="D44" s="92"/>
      <c r="E44" s="90"/>
      <c r="F44" s="90">
        <f>計算表格!F44</f>
        <v>490</v>
      </c>
      <c r="G44" s="25">
        <f>計算表格!G44</f>
        <v>32</v>
      </c>
      <c r="H44" s="29">
        <f>計算表格!I44</f>
        <v>115</v>
      </c>
      <c r="I44" s="29">
        <f>計算表格!J44</f>
        <v>115</v>
      </c>
      <c r="J44" s="29">
        <f>計算表格!K44</f>
        <v>115</v>
      </c>
      <c r="K44" s="29">
        <f>計算表格!L44</f>
        <v>115</v>
      </c>
      <c r="L44" s="29">
        <f>計算表格!M44</f>
        <v>115</v>
      </c>
      <c r="M44" s="29">
        <f>計算表格!N44</f>
        <v>126</v>
      </c>
      <c r="N44" s="29">
        <f>計算表格!O44</f>
        <v>143</v>
      </c>
      <c r="O44" s="29">
        <f>計算表格!P44</f>
        <v>161</v>
      </c>
      <c r="P44" s="29">
        <f>計算表格!Q44</f>
        <v>178</v>
      </c>
      <c r="Q44" s="29">
        <f>計算表格!R44</f>
        <v>196</v>
      </c>
      <c r="R44" s="29">
        <f>計算表格!S44</f>
        <v>213</v>
      </c>
      <c r="S44" s="29">
        <f>計算表格!T44</f>
        <v>231</v>
      </c>
      <c r="T44" s="29" t="str">
        <f>計算表格!U44</f>
        <v>-</v>
      </c>
      <c r="U44" s="29" t="str">
        <f>計算表格!V44</f>
        <v>-</v>
      </c>
    </row>
    <row r="45" spans="1:21">
      <c r="A45" s="90"/>
      <c r="B45" s="91"/>
      <c r="C45" s="90"/>
      <c r="D45" s="92"/>
      <c r="E45" s="90"/>
      <c r="F45" s="90"/>
      <c r="G45" s="25">
        <f>計算表格!G45</f>
        <v>25</v>
      </c>
      <c r="H45" s="29">
        <f>計算表格!I45</f>
        <v>90</v>
      </c>
      <c r="I45" s="29">
        <f>計算表格!J45</f>
        <v>90</v>
      </c>
      <c r="J45" s="29">
        <f>計算表格!K45</f>
        <v>90</v>
      </c>
      <c r="K45" s="29">
        <f>計算表格!L45</f>
        <v>90</v>
      </c>
      <c r="L45" s="29">
        <f>計算表格!M45</f>
        <v>90</v>
      </c>
      <c r="M45" s="29">
        <f>計算表格!N45</f>
        <v>90</v>
      </c>
      <c r="N45" s="29">
        <f>計算表格!O45</f>
        <v>90</v>
      </c>
      <c r="O45" s="29">
        <f>計算表格!P45</f>
        <v>98</v>
      </c>
      <c r="P45" s="29">
        <f>計算表格!Q45</f>
        <v>108</v>
      </c>
      <c r="Q45" s="29">
        <f>計算表格!R45</f>
        <v>119</v>
      </c>
      <c r="R45" s="29">
        <f>計算表格!S45</f>
        <v>129</v>
      </c>
      <c r="S45" s="29">
        <f>計算表格!T45</f>
        <v>140</v>
      </c>
      <c r="T45" s="29">
        <f>計算表格!U45</f>
        <v>151</v>
      </c>
      <c r="U45" s="29">
        <f>計算表格!V45</f>
        <v>161</v>
      </c>
    </row>
    <row r="46" spans="1:21">
      <c r="A46" s="90"/>
      <c r="B46" s="91"/>
      <c r="C46" s="90"/>
      <c r="D46" s="92"/>
      <c r="E46" s="90"/>
      <c r="F46" s="90"/>
      <c r="G46" s="25">
        <f>計算表格!G46</f>
        <v>22</v>
      </c>
      <c r="H46" s="29">
        <f>計算表格!I46</f>
        <v>80</v>
      </c>
      <c r="I46" s="29">
        <f>計算表格!J46</f>
        <v>80</v>
      </c>
      <c r="J46" s="29">
        <f>計算表格!K46</f>
        <v>80</v>
      </c>
      <c r="K46" s="29">
        <f>計算表格!L46</f>
        <v>80</v>
      </c>
      <c r="L46" s="29">
        <f>計算表格!M46</f>
        <v>80</v>
      </c>
      <c r="M46" s="29">
        <f>計算表格!N46</f>
        <v>80</v>
      </c>
      <c r="N46" s="29">
        <f>計算表格!O46</f>
        <v>80</v>
      </c>
      <c r="O46" s="29">
        <f>計算表格!P46</f>
        <v>80</v>
      </c>
      <c r="P46" s="29">
        <f>計算表格!Q46</f>
        <v>84</v>
      </c>
      <c r="Q46" s="29">
        <f>計算表格!R46</f>
        <v>92</v>
      </c>
      <c r="R46" s="29">
        <f>計算表格!S46</f>
        <v>100</v>
      </c>
      <c r="S46" s="29">
        <f>計算表格!T46</f>
        <v>108</v>
      </c>
      <c r="T46" s="29">
        <f>計算表格!U46</f>
        <v>116</v>
      </c>
      <c r="U46" s="29">
        <f>計算表格!V46</f>
        <v>125</v>
      </c>
    </row>
    <row r="47" spans="1:21">
      <c r="A47" s="90"/>
      <c r="B47" s="91"/>
      <c r="C47" s="90"/>
      <c r="D47" s="92"/>
      <c r="E47" s="90"/>
      <c r="F47" s="90">
        <f>計算表格!F47</f>
        <v>560</v>
      </c>
      <c r="G47" s="25">
        <f>計算表格!G47</f>
        <v>32</v>
      </c>
      <c r="H47" s="29">
        <f>計算表格!I47</f>
        <v>108</v>
      </c>
      <c r="I47" s="29">
        <f>計算表格!J47</f>
        <v>108</v>
      </c>
      <c r="J47" s="29">
        <f>計算表格!K47</f>
        <v>108</v>
      </c>
      <c r="K47" s="29">
        <f>計算表格!L47</f>
        <v>108</v>
      </c>
      <c r="L47" s="29">
        <f>計算表格!M47</f>
        <v>108</v>
      </c>
      <c r="M47" s="29">
        <f>計算表格!N47</f>
        <v>118</v>
      </c>
      <c r="N47" s="29">
        <f>計算表格!O47</f>
        <v>134</v>
      </c>
      <c r="O47" s="29">
        <f>計算表格!P47</f>
        <v>150</v>
      </c>
      <c r="P47" s="29">
        <f>計算表格!Q47</f>
        <v>167</v>
      </c>
      <c r="Q47" s="29">
        <f>計算表格!R47</f>
        <v>183</v>
      </c>
      <c r="R47" s="29">
        <f>計算表格!S47</f>
        <v>199</v>
      </c>
      <c r="S47" s="29">
        <f>計算表格!T47</f>
        <v>216</v>
      </c>
      <c r="T47" s="29" t="str">
        <f>計算表格!U47</f>
        <v>-</v>
      </c>
      <c r="U47" s="29" t="str">
        <f>計算表格!V47</f>
        <v>-</v>
      </c>
    </row>
    <row r="48" spans="1:21">
      <c r="A48" s="90"/>
      <c r="B48" s="91"/>
      <c r="C48" s="90"/>
      <c r="D48" s="92"/>
      <c r="E48" s="90"/>
      <c r="F48" s="90"/>
      <c r="G48" s="25">
        <f>計算表格!G48</f>
        <v>25</v>
      </c>
      <c r="H48" s="29">
        <f>計算表格!I48</f>
        <v>84</v>
      </c>
      <c r="I48" s="29">
        <f>計算表格!J48</f>
        <v>84</v>
      </c>
      <c r="J48" s="29">
        <f>計算表格!K48</f>
        <v>84</v>
      </c>
      <c r="K48" s="29">
        <f>計算表格!L48</f>
        <v>84</v>
      </c>
      <c r="L48" s="29">
        <f>計算表格!M48</f>
        <v>84</v>
      </c>
      <c r="M48" s="29">
        <f>計算表格!N48</f>
        <v>84</v>
      </c>
      <c r="N48" s="29">
        <f>計算表格!O48</f>
        <v>84</v>
      </c>
      <c r="O48" s="29">
        <f>計算表格!P48</f>
        <v>91</v>
      </c>
      <c r="P48" s="29">
        <f>計算表格!Q48</f>
        <v>101</v>
      </c>
      <c r="Q48" s="29">
        <f>計算表格!R48</f>
        <v>111</v>
      </c>
      <c r="R48" s="29">
        <f>計算表格!S48</f>
        <v>121</v>
      </c>
      <c r="S48" s="29">
        <f>計算表格!T48</f>
        <v>131</v>
      </c>
      <c r="T48" s="29">
        <f>計算表格!U48</f>
        <v>141</v>
      </c>
      <c r="U48" s="29">
        <f>計算表格!V48</f>
        <v>151</v>
      </c>
    </row>
    <row r="49" spans="1:21">
      <c r="A49" s="90"/>
      <c r="B49" s="91"/>
      <c r="C49" s="90"/>
      <c r="D49" s="92"/>
      <c r="E49" s="90"/>
      <c r="F49" s="90"/>
      <c r="G49" s="25">
        <f>計算表格!G49</f>
        <v>22</v>
      </c>
      <c r="H49" s="29">
        <f>計算表格!I49</f>
        <v>74</v>
      </c>
      <c r="I49" s="29">
        <f>計算表格!J49</f>
        <v>74</v>
      </c>
      <c r="J49" s="29">
        <f>計算表格!K49</f>
        <v>74</v>
      </c>
      <c r="K49" s="29">
        <f>計算表格!L49</f>
        <v>74</v>
      </c>
      <c r="L49" s="29">
        <f>計算表格!M49</f>
        <v>74</v>
      </c>
      <c r="M49" s="29">
        <f>計算表格!N49</f>
        <v>74</v>
      </c>
      <c r="N49" s="29">
        <f>計算表格!O49</f>
        <v>74</v>
      </c>
      <c r="O49" s="29">
        <f>計算表格!P49</f>
        <v>74</v>
      </c>
      <c r="P49" s="29">
        <f>計算表格!Q49</f>
        <v>78</v>
      </c>
      <c r="Q49" s="29">
        <f>計算表格!R49</f>
        <v>86</v>
      </c>
      <c r="R49" s="29">
        <f>計算表格!S49</f>
        <v>94</v>
      </c>
      <c r="S49" s="29">
        <f>計算表格!T49</f>
        <v>101</v>
      </c>
      <c r="T49" s="29">
        <f>計算表格!U49</f>
        <v>109</v>
      </c>
      <c r="U49" s="29">
        <f>計算表格!V49</f>
        <v>117</v>
      </c>
    </row>
  </sheetData>
  <mergeCells count="43">
    <mergeCell ref="F44:F46"/>
    <mergeCell ref="F47:F49"/>
    <mergeCell ref="A29:A49"/>
    <mergeCell ref="B29:B49"/>
    <mergeCell ref="C29:C49"/>
    <mergeCell ref="D29:D49"/>
    <mergeCell ref="E29:E49"/>
    <mergeCell ref="F29:F31"/>
    <mergeCell ref="F32:F34"/>
    <mergeCell ref="F35:F37"/>
    <mergeCell ref="F38:F40"/>
    <mergeCell ref="F41:F43"/>
    <mergeCell ref="G26:G28"/>
    <mergeCell ref="H26:U26"/>
    <mergeCell ref="H28:U28"/>
    <mergeCell ref="A4:A24"/>
    <mergeCell ref="B4:B24"/>
    <mergeCell ref="C4:C24"/>
    <mergeCell ref="D4:D24"/>
    <mergeCell ref="E4:E24"/>
    <mergeCell ref="F4:F6"/>
    <mergeCell ref="F7:F9"/>
    <mergeCell ref="F10:F12"/>
    <mergeCell ref="F13:F15"/>
    <mergeCell ref="F16:F18"/>
    <mergeCell ref="F19:F21"/>
    <mergeCell ref="F22:F24"/>
    <mergeCell ref="G1:G3"/>
    <mergeCell ref="H1:U1"/>
    <mergeCell ref="H3:U3"/>
    <mergeCell ref="H25:U25"/>
    <mergeCell ref="A26:A27"/>
    <mergeCell ref="B26:B27"/>
    <mergeCell ref="C26:C27"/>
    <mergeCell ref="D26:D28"/>
    <mergeCell ref="E26:E27"/>
    <mergeCell ref="A1:A2"/>
    <mergeCell ref="B1:B2"/>
    <mergeCell ref="C1:C2"/>
    <mergeCell ref="D1:D3"/>
    <mergeCell ref="E1:E2"/>
    <mergeCell ref="F1:F2"/>
    <mergeCell ref="F26:F27"/>
  </mergeCells>
  <phoneticPr fontId="1" type="noConversion"/>
  <pageMargins left="0.7" right="0.7" top="0.75" bottom="0.75" header="0.3" footer="0.3"/>
  <pageSetup paperSize="9" scale="92" orientation="landscape" r:id="rId1"/>
  <rowBreaks count="1" manualBreakCount="1">
    <brk id="25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已命名的範圍</vt:lpstr>
      </vt:variant>
      <vt:variant>
        <vt:i4>2</vt:i4>
      </vt:variant>
    </vt:vector>
  </HeadingPairs>
  <TitlesOfParts>
    <vt:vector size="6" baseType="lpstr">
      <vt:lpstr>搭接長度計算表格</vt:lpstr>
      <vt:lpstr>計算表格</vt:lpstr>
      <vt:lpstr>圖說表格</vt:lpstr>
      <vt:lpstr>圖說表格(一)</vt:lpstr>
      <vt:lpstr>搭接長度計算表格!Print_Area</vt:lpstr>
      <vt:lpstr>搭接長度計算表格!Print_Titles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顏聖益</dc:creator>
  <cp:lastModifiedBy>顏聖益</cp:lastModifiedBy>
  <cp:lastPrinted>2018-08-28T03:09:11Z</cp:lastPrinted>
  <dcterms:created xsi:type="dcterms:W3CDTF">2017-08-09T05:58:14Z</dcterms:created>
  <dcterms:modified xsi:type="dcterms:W3CDTF">2018-09-04T06:33:07Z</dcterms:modified>
</cp:coreProperties>
</file>